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6月分配 " sheetId="11" r:id="rId1"/>
    <sheet name="5月分配 " sheetId="9" r:id="rId2"/>
    <sheet name="4月分配" sheetId="8" r:id="rId3"/>
    <sheet name="3月分配" sheetId="1" r:id="rId4"/>
    <sheet name="2月分配" sheetId="2" r:id="rId5"/>
    <sheet name="Sheet5" sheetId="12" r:id="rId6"/>
  </sheets>
  <externalReferences>
    <externalReference r:id="rId9"/>
  </externalReferences>
  <definedNames>
    <definedName name="_xlnm._FilterDatabase" localSheetId="0" hidden="1">'6月分配 '!$A$3:$AG$177</definedName>
    <definedName name="_xlnm._FilterDatabase" localSheetId="1" hidden="1">'5月分配 '!$A$3:$AF$177</definedName>
    <definedName name="_xlnm._FilterDatabase" localSheetId="2" hidden="1">'4月分配'!$A$3:$Q$182</definedName>
    <definedName name="_xlnm._FilterDatabase" localSheetId="3" hidden="1">'3月分配'!$A$3:$Q$189</definedName>
    <definedName name="_xlnm._FilterDatabase" localSheetId="4" hidden="1">'2月分配'!$A$3:$T$136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<sst xmlns="http://schemas.openxmlformats.org/spreadsheetml/2006/main" count="5345" uniqueCount="997">
  <si>
    <t>90天-6月需销售量</t>
  </si>
  <si>
    <t>SP</t>
  </si>
  <si>
    <t>TK</t>
  </si>
  <si>
    <t>主SKU</t>
  </si>
  <si>
    <t>商品名称</t>
  </si>
  <si>
    <t>国家</t>
  </si>
  <si>
    <t>品类</t>
  </si>
  <si>
    <t>三级分类</t>
  </si>
  <si>
    <t>销售成本</t>
  </si>
  <si>
    <t>当前库存</t>
  </si>
  <si>
    <t>日销量</t>
  </si>
  <si>
    <t>周转天数</t>
  </si>
  <si>
    <t>月预估超期库存</t>
  </si>
  <si>
    <t>月预估超期金额</t>
  </si>
  <si>
    <t>日销差距（50天）</t>
  </si>
  <si>
    <t>预计出清数量（50天）</t>
  </si>
  <si>
    <t>出清金额（3月）</t>
  </si>
  <si>
    <t>日销差距（90天）</t>
  </si>
  <si>
    <t>预计出清数量（90天）</t>
  </si>
  <si>
    <t>出清金额(6月）</t>
  </si>
  <si>
    <t>总数量</t>
  </si>
  <si>
    <t>目标日销</t>
  </si>
  <si>
    <t>日销差异</t>
  </si>
  <si>
    <t>总出清金额</t>
  </si>
  <si>
    <t>业绩占比</t>
  </si>
  <si>
    <t>总销量</t>
  </si>
  <si>
    <t>出清额</t>
  </si>
  <si>
    <t>出清额度</t>
  </si>
  <si>
    <t>TK:备注</t>
  </si>
  <si>
    <t>SP:备注</t>
  </si>
  <si>
    <t>TK:第1周</t>
  </si>
  <si>
    <t>SP:第1周</t>
  </si>
  <si>
    <t>CC0283</t>
  </si>
  <si>
    <t>3B-便携式储能电源</t>
  </si>
  <si>
    <t>马来</t>
  </si>
  <si>
    <t>办公安防</t>
  </si>
  <si>
    <t>便携储能电源</t>
  </si>
  <si>
    <t>重点：
全组进行推广，预估寄样数量40件，售后过不做降解动作
自营视频：雨前+伟民+罗城+心怡，每日发布数量1</t>
  </si>
  <si>
    <t>全组重点下费用推品，每日现货开10个搭配光伏板
光伏板到货后补发，每人3条链接推品</t>
  </si>
  <si>
    <t>CC0282</t>
  </si>
  <si>
    <t>3B-保险箱黑50*35*30</t>
  </si>
  <si>
    <t>保险箱</t>
  </si>
  <si>
    <t>重点：
全组进行推广，预估寄样数量30件，售后过不做降解动作
自营视频：雨前+伟民+罗城+心怡，每日发布数量2</t>
  </si>
  <si>
    <t>全组重点下费用推品，搭配灭款锁呆滞品出清
标价对标竞品下调至42%</t>
  </si>
  <si>
    <t>CC0462</t>
  </si>
  <si>
    <t>3B-X1指纹考勤机</t>
  </si>
  <si>
    <t>考勤机</t>
  </si>
  <si>
    <t>重点：
分人进行推广，预估寄样数量50件，广告投入加大
人员：伟民+罗城+心怡</t>
  </si>
  <si>
    <t>孝鑫+荣锦重点下费用推品
每日对标竞品低价限量4个出清</t>
  </si>
  <si>
    <t>CC0764</t>
  </si>
  <si>
    <t>3C-无弦吉他</t>
  </si>
  <si>
    <t>3C数码</t>
  </si>
  <si>
    <t>未来吉他</t>
  </si>
  <si>
    <t>重点：
分人进行推广，预估寄样数量5-8件，广告投入加大，原价进工资活动。
人员：心怡+伟铭</t>
  </si>
  <si>
    <t>全组下费用推品，市场体量小
联盟佣金方面会上调至12%尝试</t>
  </si>
  <si>
    <t>CC0711</t>
  </si>
  <si>
    <t>3B-点钞机灰色</t>
  </si>
  <si>
    <t>点钞机</t>
  </si>
  <si>
    <t>重点：
分人进行推广，预估寄样数量10-15件，广告投入加大，原价进工资活动。
人员：罗城+伟民</t>
  </si>
  <si>
    <t>CC0780</t>
  </si>
  <si>
    <t>3C-折叠带蓝牙带琴谱架电子琴61键</t>
  </si>
  <si>
    <t>电子琴</t>
  </si>
  <si>
    <t>重点：
分人进行推广，预估寄样数量10-15件，广告投入加大，原价进工资活动。
人员：雨倩+伟铭</t>
  </si>
  <si>
    <t>全组下费用推品，培庆每日限量3个对标竞品28%标价</t>
  </si>
  <si>
    <t>CC0514</t>
  </si>
  <si>
    <t>3B-路由器P6000白色</t>
  </si>
  <si>
    <t>路由器</t>
  </si>
  <si>
    <t>无法上架，暂不规划，可以送达人5个</t>
  </si>
  <si>
    <t>无法上架，尝试搭配交换机出清</t>
  </si>
  <si>
    <t>CC0739</t>
  </si>
  <si>
    <t>3B-液晶面板保险柜45cm*38cm*30cm</t>
  </si>
  <si>
    <t>重点：
全组进行推广，预估寄样数量10件
自营视频：罗城+心怡，每日发布数量1</t>
  </si>
  <si>
    <t>全组重点下费用推品</t>
  </si>
  <si>
    <t>CC1048</t>
  </si>
  <si>
    <t>3C-高亮自动对焦灯带投影仪Z300</t>
  </si>
  <si>
    <t>家用音视频设备*投影仪</t>
  </si>
  <si>
    <t>重点：
全组进行推广，预估寄样数量8件</t>
  </si>
  <si>
    <t>全组下费用推品，投影仪+幕布+支架组合出售</t>
  </si>
  <si>
    <t>CC0706</t>
  </si>
  <si>
    <t>3C-32英寸到55英寸带中托可移动电视支架</t>
  </si>
  <si>
    <t>电视支架</t>
  </si>
  <si>
    <t>重点：
寄样20个，主要是产品售后配件缺失的问题，成本上涨。
人员：伟民+伟铭</t>
  </si>
  <si>
    <t>该品后续转为平销款，本月重点下调价格
另一款双层移动推车MY1700PJ作为链接主推
鹭燕小店重点给优势扶持</t>
  </si>
  <si>
    <t>CC0979</t>
  </si>
  <si>
    <t>3B-XT保险箱45*38*32cm灰白色密码款</t>
  </si>
  <si>
    <t>保险柜</t>
  </si>
  <si>
    <t>重点：
全组进行推广，预估寄样数量5-8件
自营视频：罗城+心怡，每日发布数量1</t>
  </si>
  <si>
    <t>CC0898</t>
  </si>
  <si>
    <t>3B-液晶面板保险柜密码A15款</t>
  </si>
  <si>
    <t>无超期风险：
全组正常推</t>
  </si>
  <si>
    <t>CC0980</t>
  </si>
  <si>
    <t>3B-XT保险箱45*38*32cm灰白色指纹款</t>
  </si>
  <si>
    <t>z</t>
  </si>
  <si>
    <t>目前不会超期，和密码的动作一致</t>
  </si>
  <si>
    <t>CC0177</t>
  </si>
  <si>
    <t>3B-300CWiFi路由器</t>
  </si>
  <si>
    <t>CC0634</t>
  </si>
  <si>
    <t>3C-电子琴61健黑色</t>
  </si>
  <si>
    <t>超期：
导致已经控在22%</t>
  </si>
  <si>
    <t>对标竞品价格36%标价正常销售</t>
  </si>
  <si>
    <t>CC1046</t>
  </si>
  <si>
    <t>3C-电视移动推车支架TG11</t>
  </si>
  <si>
    <t>新品：
寄样10个，正常推品
人员：伟民+伟铭</t>
  </si>
  <si>
    <t>月底刚到，正常下费用插入老链接推品
鹭燕小店重点给优势扶持</t>
  </si>
  <si>
    <t>CC0906</t>
  </si>
  <si>
    <t>3B-磁吸白板密度板夹层90cm*150cm</t>
  </si>
  <si>
    <t>白板</t>
  </si>
  <si>
    <t>占比过小，正常销售</t>
  </si>
  <si>
    <t>CC0672</t>
  </si>
  <si>
    <t>3B-仿真书银钱盒钥匙款蓝色</t>
  </si>
  <si>
    <t>银钱盒</t>
  </si>
  <si>
    <t xml:space="preserve">重点：
阶段降解消耗，周转控制在60
人员：心怡
</t>
  </si>
  <si>
    <t>小店重点价格扶持起量
孝鑫+鹭燕</t>
  </si>
  <si>
    <t>CC0781</t>
  </si>
  <si>
    <t>3C-折叠带蓝牙带琴谱架电子琴88键</t>
  </si>
  <si>
    <t>无超期风险</t>
  </si>
  <si>
    <t>CC0342</t>
  </si>
  <si>
    <t>3B-保险柜100cm*51cm*45cm</t>
  </si>
  <si>
    <t xml:space="preserve">呆滞品：清除3个
成本价销售进行销售。费用进行寄样
</t>
  </si>
  <si>
    <t>正常出清，标价34%利润出清，预计本月消耗10个</t>
  </si>
  <si>
    <t>CC0732</t>
  </si>
  <si>
    <t>3B-橡胶磁白板背胶90cm*180cm</t>
  </si>
  <si>
    <t>新品：
降价</t>
  </si>
  <si>
    <t>CC0278</t>
  </si>
  <si>
    <t>3B-智能指纹门锁X7</t>
  </si>
  <si>
    <t>指纹锁</t>
  </si>
  <si>
    <t>CC0860</t>
  </si>
  <si>
    <t>3C-辉光管</t>
  </si>
  <si>
    <t>辉光管</t>
  </si>
  <si>
    <t>呆滞品：消耗15个
毛利15%销售。
人员：罗城+心怡</t>
  </si>
  <si>
    <t>暂不规划</t>
  </si>
  <si>
    <t>CC0904</t>
  </si>
  <si>
    <t>3B-磁吸白板密度板夹层70cm*100cm</t>
  </si>
  <si>
    <t>CC0176</t>
  </si>
  <si>
    <t>3C-手卷电子7垫鼓</t>
  </si>
  <si>
    <t>电子鼓</t>
  </si>
  <si>
    <t>正常销售</t>
  </si>
  <si>
    <t>CC0673</t>
  </si>
  <si>
    <t>3B-仿真书银钱盒密码款蓝色</t>
  </si>
  <si>
    <t>CC0142</t>
  </si>
  <si>
    <t>3B-手提收银箱双层黑色</t>
  </si>
  <si>
    <t>收银箱</t>
  </si>
  <si>
    <t>CC1044</t>
  </si>
  <si>
    <t>3B-可充电不锈钢球形锁K06</t>
  </si>
  <si>
    <t>球型智能门锁</t>
  </si>
  <si>
    <t>新品：
寄样5，加入老链接本月销售21单</t>
  </si>
  <si>
    <t>月底刚到，正常下费用推品，每人至少上架三条链接，插入一条老链接</t>
  </si>
  <si>
    <t>CC0903</t>
  </si>
  <si>
    <t>3B-磁吸白板密度板夹层60cm*90cm</t>
  </si>
  <si>
    <t>CC0852</t>
  </si>
  <si>
    <t>3B-启动电源N20</t>
  </si>
  <si>
    <t>启动电源</t>
  </si>
  <si>
    <t>呆滞品：
寄样：5单</t>
  </si>
  <si>
    <t>正常出清，当前标价28%，插入原有JY链接尝试</t>
  </si>
  <si>
    <t>CC0876</t>
  </si>
  <si>
    <t>3B-B1A五功能断桥铝锁带APP</t>
  </si>
  <si>
    <t>密码锁</t>
  </si>
  <si>
    <t>新品：
寄样8，价格进行调整
人员：伟民+罗城+心怡</t>
  </si>
  <si>
    <t>CC0758</t>
  </si>
  <si>
    <t>3B-碎纸机7L</t>
  </si>
  <si>
    <t>碎纸机</t>
  </si>
  <si>
    <t>进行调价，控合理周转</t>
  </si>
  <si>
    <t>全组消耗，竞品价格过低，标价利润13%，已每日安排10个库存对标竞品销售
后续不当主推，主推新款</t>
  </si>
  <si>
    <t>CC0807</t>
  </si>
  <si>
    <t>3C-显示器桌面支架3屏</t>
  </si>
  <si>
    <t>显示器支架</t>
  </si>
  <si>
    <t>CC1057</t>
  </si>
  <si>
    <t>3C-单柱旋转移动推车MY01</t>
  </si>
  <si>
    <t>月底刚到，正常下费用插入老链接推品</t>
  </si>
  <si>
    <t>CC0859</t>
  </si>
  <si>
    <t>3B-广告架kt板斜面3.5kg</t>
  </si>
  <si>
    <t>广告架</t>
  </si>
  <si>
    <t>呆滞品：
样品送出10个</t>
  </si>
  <si>
    <t>正常出清，当前标价28%</t>
  </si>
  <si>
    <t>CC0315</t>
  </si>
  <si>
    <t>3B-密码保险箱黑</t>
  </si>
  <si>
    <t>CC0905</t>
  </si>
  <si>
    <t>3B-磁吸白板密度板夹层90cm*120cm</t>
  </si>
  <si>
    <t>CC0996</t>
  </si>
  <si>
    <t>3C-专业播客动圈麦克风</t>
  </si>
  <si>
    <t>有线麦克风</t>
  </si>
  <si>
    <t>新品：麦系列TK为主达人推广
寄样5
人员：郑雨倩+罗城+伟铭</t>
  </si>
  <si>
    <t>暂不规划，需重新对标竞品价格</t>
  </si>
  <si>
    <t>CC0295</t>
  </si>
  <si>
    <t>3C-声霸蓝牙音箱</t>
  </si>
  <si>
    <t>音箱</t>
  </si>
  <si>
    <t>CC0277</t>
  </si>
  <si>
    <t>3B-智能指纹门锁M20</t>
  </si>
  <si>
    <t>CC0181</t>
  </si>
  <si>
    <t>3B-碎纸机10L</t>
  </si>
  <si>
    <t>CC0756</t>
  </si>
  <si>
    <t>3B-交换机机柜60cm</t>
  </si>
  <si>
    <t>金属制品机柜</t>
  </si>
  <si>
    <t>CC0666</t>
  </si>
  <si>
    <t>3C-X3游戏手柄带手机支架</t>
  </si>
  <si>
    <t>游戏手柄</t>
  </si>
  <si>
    <t>CC0830</t>
  </si>
  <si>
    <t>3C-显示器桌面支架4屏</t>
  </si>
  <si>
    <t>CC0743</t>
  </si>
  <si>
    <t>3B-道路减速带100cm*35cm*3cm</t>
  </si>
  <si>
    <t>橡胶减速带</t>
  </si>
  <si>
    <t>CC1010</t>
  </si>
  <si>
    <t>3C-电脑机箱T8款风扇款白色</t>
  </si>
  <si>
    <t>电脑机箱</t>
  </si>
  <si>
    <t>呆滞品：
调回之前控价。</t>
  </si>
  <si>
    <t>对标竞品价格30%标价出清
鹭燕+荣锦重点下费用</t>
  </si>
  <si>
    <t>CC0339</t>
  </si>
  <si>
    <t>3B-保险柜80cm*44cm*40cm</t>
  </si>
  <si>
    <t>呆滞品：成本销售，寄样赠送4个</t>
  </si>
  <si>
    <t>CC1000</t>
  </si>
  <si>
    <t>3C-跟拍自动支撑自拍杆Q625</t>
  </si>
  <si>
    <t>自拍杆</t>
  </si>
  <si>
    <t>新品：
寄样5，
人员：郑雨倩</t>
  </si>
  <si>
    <t>CC0605</t>
  </si>
  <si>
    <t>3C-32至70寸电视移动支架的单支架</t>
  </si>
  <si>
    <t>CC0960</t>
  </si>
  <si>
    <t>3B-997型号外币点钞机</t>
  </si>
  <si>
    <t>CC0887</t>
  </si>
  <si>
    <t>3B-U9五功能玻璃门智能锁带TUYAAPP</t>
  </si>
  <si>
    <t>智能锁</t>
  </si>
  <si>
    <t>CC0611</t>
  </si>
  <si>
    <t>3C-投影仪支架1.2米</t>
  </si>
  <si>
    <t>投影仪支架</t>
  </si>
  <si>
    <t>CC0235</t>
  </si>
  <si>
    <t>3B-306CWiFi路由器</t>
  </si>
  <si>
    <t>无法上架</t>
  </si>
  <si>
    <t>CC0851</t>
  </si>
  <si>
    <t>3C-PRO蓝牙RGB无线拉伸手机游戏手柄STK7011</t>
  </si>
  <si>
    <t>CC0998</t>
  </si>
  <si>
    <t>3C-RGB全透明动圈降噪桌面麦克风</t>
  </si>
  <si>
    <t>CC0878</t>
  </si>
  <si>
    <t>3B-R5A房间门锁单锁舌四功能不带APP</t>
  </si>
  <si>
    <t>CC0621</t>
  </si>
  <si>
    <t>3C-圆筒投影仪白色</t>
  </si>
  <si>
    <t>投影仪</t>
  </si>
  <si>
    <t>仅广告消耗出清
罗城。</t>
  </si>
  <si>
    <t>全组下费用到新投影仪链接
插入新投影仪拉低页面价格出清</t>
  </si>
  <si>
    <t>CC0777</t>
  </si>
  <si>
    <t>3C-头戴式无线三模耳机K90W</t>
  </si>
  <si>
    <t>耳机</t>
  </si>
  <si>
    <t>新品:
加入老链接，消耗17</t>
  </si>
  <si>
    <t>CC0790</t>
  </si>
  <si>
    <t>3C-相机三脚架160cm</t>
  </si>
  <si>
    <t>三脚架</t>
  </si>
  <si>
    <t>CC0079</t>
  </si>
  <si>
    <t>3C-电视壁挂架小一体</t>
  </si>
  <si>
    <t>正常消耗，支架系列受到售后问题导致出清降环</t>
  </si>
  <si>
    <t>正常赠品消耗</t>
  </si>
  <si>
    <t>CC0589</t>
  </si>
  <si>
    <t>3B-小票快递单打印机黑蓝色</t>
  </si>
  <si>
    <t>打印机</t>
  </si>
  <si>
    <t>CC1061</t>
  </si>
  <si>
    <t>3B-桌面碎纸机4L桶CS201C</t>
  </si>
  <si>
    <t>新品：
寄样6，
人员：王心怡+罗城</t>
  </si>
  <si>
    <t>CC1053</t>
  </si>
  <si>
    <t>3C-电脑机箱34014款风扇款黑色</t>
  </si>
  <si>
    <t>插入原有机箱链接出清</t>
  </si>
  <si>
    <t>CC1066</t>
  </si>
  <si>
    <t>3B-WIFI漏电多功能导轨表彩屏6显款2P63A</t>
  </si>
  <si>
    <t>单相电子式电度表</t>
  </si>
  <si>
    <t>CC0040</t>
  </si>
  <si>
    <t>3C-X400电视壁挂架送膨胀丝等安装螺丝</t>
  </si>
  <si>
    <t>CC0882</t>
  </si>
  <si>
    <t>3B-断桥铝门弯舌锁体2.2*27</t>
  </si>
  <si>
    <t>锁体</t>
  </si>
  <si>
    <t>配件和锁规划一致</t>
  </si>
  <si>
    <t>CC0942</t>
  </si>
  <si>
    <t>3B-9260B标签打印机4寸黑色USB蓝牙</t>
  </si>
  <si>
    <t>新品：
寄样4
心怡+伟民</t>
  </si>
  <si>
    <t>CC0967</t>
  </si>
  <si>
    <t>3B-大号仿真书银钱盒钥匙款黑色</t>
  </si>
  <si>
    <t>CC1067</t>
  </si>
  <si>
    <t>3B-导轨单相计量电能表1P机械计量款</t>
  </si>
  <si>
    <t>竞品价格过低，为成本价
当做链接引流款每天限量3个
人员：培庆</t>
  </si>
  <si>
    <t>CC0338</t>
  </si>
  <si>
    <t>3B-大号仿真书银钱盒密码款蓝色</t>
  </si>
  <si>
    <t>CC1081</t>
  </si>
  <si>
    <t>3C-无线四模头戴耳机黑白色K80</t>
  </si>
  <si>
    <t>新品：寄样5
伟民+罗城</t>
  </si>
  <si>
    <t>CC1068</t>
  </si>
  <si>
    <t>3B-导轨单相多功能电能表1P液晶计量款</t>
  </si>
  <si>
    <t>CC0865</t>
  </si>
  <si>
    <t>3C-黑色吉他包装升级款</t>
  </si>
  <si>
    <t>吉他套装</t>
  </si>
  <si>
    <t>CC0297</t>
  </si>
  <si>
    <t>3C-翻页笔</t>
  </si>
  <si>
    <t>翻页笔</t>
  </si>
  <si>
    <t>CC0868</t>
  </si>
  <si>
    <t>3C-原木色吉他套装包装升级款</t>
  </si>
  <si>
    <t>CC0857</t>
  </si>
  <si>
    <t>3B-广告架kt板直面3.7kg</t>
  </si>
  <si>
    <t>CC0994</t>
  </si>
  <si>
    <t>3C-RGB电容悬臂支架降噪麦克风</t>
  </si>
  <si>
    <t>新品：麦系列TK为主达人推广
寄样3
人员：郑雨倩+罗城+伟铭</t>
  </si>
  <si>
    <t>CC0823</t>
  </si>
  <si>
    <t>3B-指纹挂锁</t>
  </si>
  <si>
    <t>CC0976</t>
  </si>
  <si>
    <t>3B-捆钞机8011A型</t>
  </si>
  <si>
    <t>捆钞机</t>
  </si>
  <si>
    <t>寄样2</t>
  </si>
  <si>
    <t>CC1064</t>
  </si>
  <si>
    <t>3B-WIFI漏电多功能导轨表彩屏款2P100A</t>
  </si>
  <si>
    <t>CC0866</t>
  </si>
  <si>
    <t>3C-原木色民谣吉他包装升级款</t>
  </si>
  <si>
    <t>CC0983</t>
  </si>
  <si>
    <t>3B-A3简易过胶机</t>
  </si>
  <si>
    <t>过胶机</t>
  </si>
  <si>
    <t>CC0298</t>
  </si>
  <si>
    <t>3C-平板旋转支架</t>
  </si>
  <si>
    <t>电脑支架</t>
  </si>
  <si>
    <t>呆滞品：便携显示器赠送</t>
  </si>
  <si>
    <t>CC0138</t>
  </si>
  <si>
    <t>3C-投影仪支架</t>
  </si>
  <si>
    <t>投影仪支架-2</t>
  </si>
  <si>
    <t>CC0072</t>
  </si>
  <si>
    <t>3C-数码相机银色6400万像素</t>
  </si>
  <si>
    <t>数码相机</t>
  </si>
  <si>
    <t>呆滞品：消耗5个</t>
  </si>
  <si>
    <t>CC0727</t>
  </si>
  <si>
    <t>3C-led智能互动屏59.5cm*12cm</t>
  </si>
  <si>
    <t>LED像素屏</t>
  </si>
  <si>
    <t>呆滞品：成本价消耗</t>
  </si>
  <si>
    <t>CC0770</t>
  </si>
  <si>
    <t>3B-可翻转白板70*100</t>
  </si>
  <si>
    <t>教具白板</t>
  </si>
  <si>
    <t>CC0737</t>
  </si>
  <si>
    <t>3B-多功能简易支架14.5cm*19cm</t>
  </si>
  <si>
    <t>简易支架</t>
  </si>
  <si>
    <t>预计小白板到货后重点搭配出清</t>
  </si>
  <si>
    <t>CC0855</t>
  </si>
  <si>
    <t>3B-广告架A4款</t>
  </si>
  <si>
    <t>CC0972</t>
  </si>
  <si>
    <t>3B-小号仿真书银钱盒钥匙款黄色</t>
  </si>
  <si>
    <t>CC1039</t>
  </si>
  <si>
    <t>3B-毛毡照片公告墙咖啡色60*120CM</t>
  </si>
  <si>
    <t>毛毡照片墙</t>
  </si>
  <si>
    <t>CC0490</t>
  </si>
  <si>
    <t>3B-不干胶标签打印纸单卷150*100mm</t>
  </si>
  <si>
    <t>标签打印纸</t>
  </si>
  <si>
    <t>CC1069</t>
  </si>
  <si>
    <t>3B-导轨单相电能表2P液晶计量款</t>
  </si>
  <si>
    <t>CC0701</t>
  </si>
  <si>
    <t>3B-手提款双面广告展示架口字结构</t>
  </si>
  <si>
    <t>广告支架</t>
  </si>
  <si>
    <t>CC0982</t>
  </si>
  <si>
    <t>3B-A4简易过胶机</t>
  </si>
  <si>
    <t>CC0822</t>
  </si>
  <si>
    <t>3B-H1AP五功能防盗门锁带APP</t>
  </si>
  <si>
    <t>CC0850</t>
  </si>
  <si>
    <t>3C-RGB蓝牙无线拉伸手机游戏手柄STK7009</t>
  </si>
  <si>
    <t>CC0881</t>
  </si>
  <si>
    <t>3B-断桥铝门方舌锁体2.2*24</t>
  </si>
  <si>
    <t>CC0747</t>
  </si>
  <si>
    <t>3B-折叠安全护栏2.5m</t>
  </si>
  <si>
    <t>伸缩护栏</t>
  </si>
  <si>
    <t>CC0999</t>
  </si>
  <si>
    <t>3C-播客级专业游戏单人混音器</t>
  </si>
  <si>
    <t>混音器</t>
  </si>
  <si>
    <t>CC1008</t>
  </si>
  <si>
    <t>3C-电脑机箱T6款黑色3风扇</t>
  </si>
  <si>
    <t>CC0886</t>
  </si>
  <si>
    <t>3B-智能门锁IC卡</t>
  </si>
  <si>
    <t>门锁IC卡</t>
  </si>
  <si>
    <t>CC0294</t>
  </si>
  <si>
    <t>3B-48位密码盒密码款</t>
  </si>
  <si>
    <t>钥匙密码盒</t>
  </si>
  <si>
    <t>CC0376</t>
  </si>
  <si>
    <t>3B-宽57cm不干胶标签打印纸5卷</t>
  </si>
  <si>
    <t>CC0997</t>
  </si>
  <si>
    <t>3C-RGB动圈降噪桌面麦克风</t>
  </si>
  <si>
    <t>CC0975</t>
  </si>
  <si>
    <t>3B-扎钞纸</t>
  </si>
  <si>
    <t>扎钞纸</t>
  </si>
  <si>
    <t>CC1003</t>
  </si>
  <si>
    <t>3C-直播自动支撑自拍杆P510</t>
  </si>
  <si>
    <t>CC0746</t>
  </si>
  <si>
    <t>3B-斜坡垫50*22*11cm</t>
  </si>
  <si>
    <t>减速带</t>
  </si>
  <si>
    <t>CC0604</t>
  </si>
  <si>
    <t>3C-32至70寸电视移动支架的中托盘</t>
  </si>
  <si>
    <t>电视支架托盘</t>
  </si>
  <si>
    <t>CC0336</t>
  </si>
  <si>
    <t>3B-小号仿真书银钱盒密码款蓝色</t>
  </si>
  <si>
    <t>CC0270</t>
  </si>
  <si>
    <t>3C-铝合金支架N3</t>
  </si>
  <si>
    <t>CC0966</t>
  </si>
  <si>
    <t>3B-小号仿真书银钱盒钥匙款红色</t>
  </si>
  <si>
    <t>CC1013</t>
  </si>
  <si>
    <t>3B-新A6保险箱指纹款35cm*26cm*25cm</t>
  </si>
  <si>
    <t>CC0821</t>
  </si>
  <si>
    <t>3B-对开门矮保险箱</t>
  </si>
  <si>
    <t>文件柜</t>
  </si>
  <si>
    <t>CC0712</t>
  </si>
  <si>
    <t>3B-点钞机外接显示器白色</t>
  </si>
  <si>
    <t>点钞机外接显示器</t>
  </si>
  <si>
    <t>CC0880</t>
  </si>
  <si>
    <t>3B-房间门单舌锁体2.7*6.8</t>
  </si>
  <si>
    <t>CC0333</t>
  </si>
  <si>
    <t>3B-大号仿真书银钱盒钥匙款蓝色</t>
  </si>
  <si>
    <t>CC0941</t>
  </si>
  <si>
    <t>3B-9260A标签打印机4寸黑色USB</t>
  </si>
  <si>
    <t>CC0749</t>
  </si>
  <si>
    <t>3B-道路警示柱75cm</t>
  </si>
  <si>
    <t>警示柱</t>
  </si>
  <si>
    <t>CC0940</t>
  </si>
  <si>
    <t>3B-8008便携式不干胶标签打印机80mm黑色</t>
  </si>
  <si>
    <t>CC0102</t>
  </si>
  <si>
    <t>3C-插电式分体电动旋转盘黑色13cm</t>
  </si>
  <si>
    <t>展示台</t>
  </si>
  <si>
    <t>CC0748</t>
  </si>
  <si>
    <t>3B-黄黑伸缩连接杆1至2m</t>
  </si>
  <si>
    <t>路障链接棍</t>
  </si>
  <si>
    <t>CC0856</t>
  </si>
  <si>
    <t>3B-广告架kt板直面1.3kg</t>
  </si>
  <si>
    <t>CC0867</t>
  </si>
  <si>
    <t>3C-黑色民谣吉他包装升级款</t>
  </si>
  <si>
    <t>CC1040</t>
  </si>
  <si>
    <t>3B-毛毡照片公告墙咖啡色60*80CM</t>
  </si>
  <si>
    <t>CC0969</t>
  </si>
  <si>
    <t>3B-小号仿真书银钱盒钥匙款黑色</t>
  </si>
  <si>
    <t>CC0985</t>
  </si>
  <si>
    <t>3B-A3金属外壳过胶机STL316A</t>
  </si>
  <si>
    <t>CC1034</t>
  </si>
  <si>
    <t>3B-毛毡照片公告墙浅驼色60*120CM</t>
  </si>
  <si>
    <t>CC0273</t>
  </si>
  <si>
    <t>3C-双扇散热支架5档调节</t>
  </si>
  <si>
    <t>电脑散热器</t>
  </si>
  <si>
    <t>CC0779</t>
  </si>
  <si>
    <t>3C-电子琴带琴谱架61键</t>
  </si>
  <si>
    <t>CC0265</t>
  </si>
  <si>
    <t>3B-挂绳款半合金密码盒</t>
  </si>
  <si>
    <t>密码盒</t>
  </si>
  <si>
    <t>呆滞品：保险箱赠品送15个</t>
  </si>
  <si>
    <t>呆滞品：新款保险箱起量送，预计每日3个</t>
  </si>
  <si>
    <t>CC0753</t>
  </si>
  <si>
    <t>3B-交换机机柜24cm</t>
  </si>
  <si>
    <t>CC0763</t>
  </si>
  <si>
    <t>3B-打孔机</t>
  </si>
  <si>
    <t>装订机</t>
  </si>
  <si>
    <t>CC0806</t>
  </si>
  <si>
    <t>3C-电视机上方支架</t>
  </si>
  <si>
    <t>CC0819</t>
  </si>
  <si>
    <t>3B-5门文件保险箱</t>
  </si>
  <si>
    <t>CC0864</t>
  </si>
  <si>
    <t>3C-原木色吉他包装升级款</t>
  </si>
  <si>
    <t>CC0750</t>
  </si>
  <si>
    <t>3B-道路警示折叠锥桶30cm</t>
  </si>
  <si>
    <t>折叠锥桶</t>
  </si>
  <si>
    <t>CC1038</t>
  </si>
  <si>
    <t>3B-毛毡照片公告墙咖啡色80*120CM</t>
  </si>
  <si>
    <t>CC0800</t>
  </si>
  <si>
    <t>3C-电脑机箱T8款黑色</t>
  </si>
  <si>
    <t>CC0846</t>
  </si>
  <si>
    <t>3B-插销密码锁</t>
  </si>
  <si>
    <t>CC0984</t>
  </si>
  <si>
    <t>3B-专业快速过胶机A3</t>
  </si>
  <si>
    <t>CC0970</t>
  </si>
  <si>
    <t>3B-大号仿真书银钱盒钥匙款黄色</t>
  </si>
  <si>
    <t>CC1033</t>
  </si>
  <si>
    <t>3B-毛毡照片公告墙浅驼色80*120CM</t>
  </si>
  <si>
    <t>CC0879</t>
  </si>
  <si>
    <t>3B-房间门锁体2.2*16</t>
  </si>
  <si>
    <t>CC0883</t>
  </si>
  <si>
    <t>3B-防盗门锁体2.4*24</t>
  </si>
  <si>
    <t>CC0965</t>
  </si>
  <si>
    <t>3B-仿真书银钱盒钥匙款红色</t>
  </si>
  <si>
    <t>CC0801</t>
  </si>
  <si>
    <t>3C-电脑机箱T8款白色</t>
  </si>
  <si>
    <t>CC0355</t>
  </si>
  <si>
    <t>3C-W1白色数码相机包含64gTF卡</t>
  </si>
  <si>
    <t>CC0683</t>
  </si>
  <si>
    <t>3B-磁吸白板30cm*45cm</t>
  </si>
  <si>
    <t>CC0562</t>
  </si>
  <si>
    <t>3B-热敏标签打印机H11</t>
  </si>
  <si>
    <t>热敏打印机</t>
  </si>
  <si>
    <t>CC0771</t>
  </si>
  <si>
    <t>3B-可翻转白板100*80</t>
  </si>
  <si>
    <t>CC0885</t>
  </si>
  <si>
    <t>3B-智能门锁配件包</t>
  </si>
  <si>
    <t>五金件</t>
  </si>
  <si>
    <t>CC1035</t>
  </si>
  <si>
    <t>3B-毛毡照片公告墙浅驼色60*80CM</t>
  </si>
  <si>
    <t>CC0272</t>
  </si>
  <si>
    <t>3C-单扇散热支架无调节</t>
  </si>
  <si>
    <t>CC0938</t>
  </si>
  <si>
    <t>3B-5890A台式票据打印机58mm白色</t>
  </si>
  <si>
    <t>CC1031</t>
  </si>
  <si>
    <t>3B-现金盒钥匙款白色300A</t>
  </si>
  <si>
    <t>CC0964</t>
  </si>
  <si>
    <t>3B-大号仿真书银钱盒钥匙款红色</t>
  </si>
  <si>
    <t>CC0638</t>
  </si>
  <si>
    <t>3B-2.4寸带屏双向可视摄像头</t>
  </si>
  <si>
    <t>摄像头</t>
  </si>
  <si>
    <t>呆滞品：送1个</t>
  </si>
  <si>
    <t>呆滞品：送2个</t>
  </si>
  <si>
    <t>CC1037</t>
  </si>
  <si>
    <t>3B-毛毡照片公告墙咖啡色120*180CM</t>
  </si>
  <si>
    <t>新品：
寄样3个
人员：心怡</t>
  </si>
  <si>
    <t>CC0157</t>
  </si>
  <si>
    <t>3B-旅行AC插头充电宝10000毫安白色</t>
  </si>
  <si>
    <t>充电宝</t>
  </si>
  <si>
    <t>CC0751</t>
  </si>
  <si>
    <t>3B-道路警示折叠锥桶45cm</t>
  </si>
  <si>
    <t>不规划</t>
  </si>
  <si>
    <t>CC0620</t>
  </si>
  <si>
    <t>3B-三天线摇头机摄像头</t>
  </si>
  <si>
    <t>CC0989</t>
  </si>
  <si>
    <t>3B-碎纸机6张段状S0206L</t>
  </si>
  <si>
    <t>CC0988</t>
  </si>
  <si>
    <t>3B-碎纸机4张段状S0204B</t>
  </si>
  <si>
    <t>CC0718</t>
  </si>
  <si>
    <t>3B-磁吸白板90cm*180cm</t>
  </si>
  <si>
    <t>呆滞品：替发</t>
  </si>
  <si>
    <t>CC0844</t>
  </si>
  <si>
    <t>3C-RGB蓝牙音箱</t>
  </si>
  <si>
    <t>CC0745</t>
  </si>
  <si>
    <t>3B-斜坡垫50*22*9cm</t>
  </si>
  <si>
    <t>CZ0139</t>
  </si>
  <si>
    <t>3C-投影仪支架托盘</t>
  </si>
  <si>
    <t>CC0685</t>
  </si>
  <si>
    <t>3B-磁吸白板60cm*90cm</t>
  </si>
  <si>
    <t>CC0540</t>
  </si>
  <si>
    <t>3B-便携式路由器R5款黑色</t>
  </si>
  <si>
    <t>CC0167</t>
  </si>
  <si>
    <t>3B-手持一维有线影像扫描枪</t>
  </si>
  <si>
    <t>扫码枪</t>
  </si>
  <si>
    <t>CC1027</t>
  </si>
  <si>
    <t>3B-现金盒钥匙款黑色300A</t>
  </si>
  <si>
    <t>CC0275</t>
  </si>
  <si>
    <t>3C-半透明蓝牙RGB背光鼠标橙色</t>
  </si>
  <si>
    <t>无线蓝牙鼠标</t>
  </si>
  <si>
    <t>呆滞品：送一个</t>
  </si>
  <si>
    <t>CC0155</t>
  </si>
  <si>
    <t>3B-胶囊充电宝5000毫安苹果接口白色</t>
  </si>
  <si>
    <t>90天-4月需销售量</t>
  </si>
  <si>
    <t>出清金额(3月）</t>
  </si>
  <si>
    <t>策略方向</t>
  </si>
  <si>
    <t>主推产品，重点降解</t>
  </si>
  <si>
    <t>CC0517</t>
  </si>
  <si>
    <t>3B-功勋仓保险箱45*38*32cm红色密码款</t>
  </si>
  <si>
    <t>新品主推产品，重点降解</t>
  </si>
  <si>
    <t>3B-硬币清分机5188</t>
  </si>
  <si>
    <t>硬币清分机</t>
  </si>
  <si>
    <t>3B-58mm手持蓝牙标签打印机</t>
  </si>
  <si>
    <t>CC0516</t>
  </si>
  <si>
    <t>呆滞品，定向清理</t>
  </si>
  <si>
    <t>3B-收银箱405金属黑色固定版</t>
  </si>
  <si>
    <t>重点降解</t>
  </si>
  <si>
    <t>3B-功勋仓保险箱45*38*32cm红色指纹款</t>
  </si>
  <si>
    <t>CC0228</t>
  </si>
  <si>
    <t>业绩大头，重点降解</t>
  </si>
  <si>
    <t>3B-6088型号外币点钞机</t>
  </si>
  <si>
    <t>CC0686</t>
  </si>
  <si>
    <t>CC0907</t>
  </si>
  <si>
    <t>CC0688</t>
  </si>
  <si>
    <t>CC0377</t>
  </si>
  <si>
    <t>CC0768</t>
  </si>
  <si>
    <t>新品降解</t>
  </si>
  <si>
    <t>长期日销偏低，系列降解</t>
  </si>
  <si>
    <t>CC0678</t>
  </si>
  <si>
    <t>3B-收银箱335金属黑色固定版</t>
  </si>
  <si>
    <t>3B-宽57cm热敏打印纸5卷</t>
  </si>
  <si>
    <t>主推配套，降解打印机</t>
  </si>
  <si>
    <t>CC0730</t>
  </si>
  <si>
    <t>新品长期动销不住</t>
  </si>
  <si>
    <t>CC0733</t>
  </si>
  <si>
    <t>3C-显示器支架单臂铁塑款</t>
  </si>
  <si>
    <t>CC0731</t>
  </si>
  <si>
    <t>CC0433</t>
  </si>
  <si>
    <t>3C-双层移动推车MY1700PJ</t>
  </si>
  <si>
    <t>3C-黑色吉他套装</t>
  </si>
  <si>
    <t>CC0101</t>
  </si>
  <si>
    <t>3C-原木色吉他套装</t>
  </si>
  <si>
    <t>CC0695</t>
  </si>
  <si>
    <t>3B-8360款台式票据打印机80mm黑橘</t>
  </si>
  <si>
    <t>3C-V8H型电视机支架</t>
  </si>
  <si>
    <t>CC0477</t>
  </si>
  <si>
    <t>CC0728</t>
  </si>
  <si>
    <t>3B-便携式点钞机V30</t>
  </si>
  <si>
    <t>CC0386</t>
  </si>
  <si>
    <t>3B-可翻转白板50*70</t>
  </si>
  <si>
    <t>CC0633</t>
  </si>
  <si>
    <t>CC0769</t>
  </si>
  <si>
    <t>CC0741</t>
  </si>
  <si>
    <t>3B-新A6保险箱密码款35cm*26cm*25cm</t>
  </si>
  <si>
    <t>3C-组合双臂显示器支架</t>
  </si>
  <si>
    <t>CC0430</t>
  </si>
  <si>
    <t>3B-交换机机柜45cm</t>
  </si>
  <si>
    <t>3B-WIFI漏电多功能导轨表彩屏款2P63A</t>
  </si>
  <si>
    <t>3B-保险箱黑</t>
  </si>
  <si>
    <t>CC0280</t>
  </si>
  <si>
    <t>CC0036</t>
  </si>
  <si>
    <t>3C-桌面显示器支架钢化玻璃底座</t>
  </si>
  <si>
    <t>3B-交换机机柜30cm</t>
  </si>
  <si>
    <t>定点降解</t>
  </si>
  <si>
    <t>CC0729</t>
  </si>
  <si>
    <t>CC0814</t>
  </si>
  <si>
    <t>3B-道路广角镜60cm</t>
  </si>
  <si>
    <t>道路反光镜</t>
  </si>
  <si>
    <t>保险箱送</t>
  </si>
  <si>
    <t>成本上涨，合理降解</t>
  </si>
  <si>
    <t>CC0725</t>
  </si>
  <si>
    <t>CC0303</t>
  </si>
  <si>
    <t>CC0572</t>
  </si>
  <si>
    <t>CC1019</t>
  </si>
  <si>
    <t>3C-显示器支架双臂铁塑款</t>
  </si>
  <si>
    <t>CC0684</t>
  </si>
  <si>
    <t>3B-迷你标签打印机白色</t>
  </si>
  <si>
    <t>CC0700</t>
  </si>
  <si>
    <t>CC1016</t>
  </si>
  <si>
    <t>CC0789</t>
  </si>
  <si>
    <t>3C-带杆可升降可倒挂气弹簧双臂支架</t>
  </si>
  <si>
    <t>CC0301</t>
  </si>
  <si>
    <t>售后严重产品</t>
  </si>
  <si>
    <t>CC0824</t>
  </si>
  <si>
    <t>CC0264</t>
  </si>
  <si>
    <t>3C-120英寸投影仪屏幕</t>
  </si>
  <si>
    <t>抗光幕布</t>
  </si>
  <si>
    <t>CC1029</t>
  </si>
  <si>
    <t>CC1032</t>
  </si>
  <si>
    <t>CC0076</t>
  </si>
  <si>
    <t>3C-360有线游戏手柄不带耳麦白色</t>
  </si>
  <si>
    <t>CC1026</t>
  </si>
  <si>
    <t>TK目标完成</t>
  </si>
  <si>
    <t>CC0622</t>
  </si>
  <si>
    <t>3C-电子琴37健黑色</t>
  </si>
  <si>
    <t>CC0642</t>
  </si>
  <si>
    <t>CC0171</t>
  </si>
  <si>
    <t>CC1022</t>
  </si>
  <si>
    <t>CC0007</t>
  </si>
  <si>
    <t>3C-插电电池两用电动旋转盘12cm</t>
  </si>
  <si>
    <t>CC1020</t>
  </si>
  <si>
    <t>无动销</t>
  </si>
  <si>
    <t>3C-360有线游戏手柄不带耳麦黑色</t>
  </si>
  <si>
    <t>3C-插电式分体电动旋转盘白色20cm</t>
  </si>
  <si>
    <t>CC0111</t>
  </si>
  <si>
    <t>CC0715</t>
  </si>
  <si>
    <t>CC0809</t>
  </si>
  <si>
    <t>3C-84英寸投影仪屏幕</t>
  </si>
  <si>
    <t>CC0766</t>
  </si>
  <si>
    <t>3B-现金盒钥匙款白色200A</t>
  </si>
  <si>
    <t>CC0722</t>
  </si>
  <si>
    <t>3B-广告架kt板斜面1.3kg</t>
  </si>
  <si>
    <t>3C-电脑机箱T6款白色3风扇</t>
  </si>
  <si>
    <t>CC1023</t>
  </si>
  <si>
    <t>3B-R2A房间门锁五功能带APP</t>
  </si>
  <si>
    <t>CC0726</t>
  </si>
  <si>
    <t>3B-橡胶磁白板背胶120cm*150cm</t>
  </si>
  <si>
    <t>CC0352</t>
  </si>
  <si>
    <t>3B-全塑料密码盒</t>
  </si>
  <si>
    <t>3B-现金盒钥匙款白色250A</t>
  </si>
  <si>
    <t>CC0227</t>
  </si>
  <si>
    <t>CC0721</t>
  </si>
  <si>
    <t>3B-现金盒钥匙款白色150A</t>
  </si>
  <si>
    <t>CC0595</t>
  </si>
  <si>
    <t>CC0808</t>
  </si>
  <si>
    <t>3C-头戴式RGB光电竞无线三模耳机K91W</t>
  </si>
  <si>
    <t>CC0404</t>
  </si>
  <si>
    <t>CC0858</t>
  </si>
  <si>
    <t>CC0740</t>
  </si>
  <si>
    <t>3B-重型订书机</t>
  </si>
  <si>
    <t>订书机</t>
  </si>
  <si>
    <t>3C-W1白色数码相机包含32gTF卡</t>
  </si>
  <si>
    <t>3B-现金盒钥匙款粉色300A</t>
  </si>
  <si>
    <t>3C-led智能互动屏17.3cm*7cm</t>
  </si>
  <si>
    <t>日销降低，长期超期</t>
  </si>
  <si>
    <t>CC0735</t>
  </si>
  <si>
    <t>CC0162</t>
  </si>
  <si>
    <t>CC0744</t>
  </si>
  <si>
    <t>伟民/恩铭7</t>
  </si>
  <si>
    <t>3C-led智能互动屏34.8cm*10.2cm</t>
  </si>
  <si>
    <t>3B-橡胶磁白板背胶60cm*90cm</t>
  </si>
  <si>
    <t>CC1006</t>
  </si>
  <si>
    <t>3B-橡胶磁白板背胶45cm*75cm</t>
  </si>
  <si>
    <t>CC0179</t>
  </si>
  <si>
    <t>3C-电脑显示器支架单臂白色</t>
  </si>
  <si>
    <t>CC0873</t>
  </si>
  <si>
    <t>3B-手持一维无线影像扫描枪</t>
  </si>
  <si>
    <t>CC1009</t>
  </si>
  <si>
    <t>CC0608</t>
  </si>
  <si>
    <t>CC1014</t>
  </si>
  <si>
    <t>CC0108</t>
  </si>
  <si>
    <t>王宇/罗城/恩铭/伟民2</t>
  </si>
  <si>
    <t>CC0234</t>
  </si>
  <si>
    <t>朱恩鸣1</t>
  </si>
  <si>
    <t>CC0717</t>
  </si>
  <si>
    <t>3B-白板通用支架60cm*100cm</t>
  </si>
  <si>
    <t>支架</t>
  </si>
  <si>
    <t>3B-磁吸白板密度板夹层90cm*180cm</t>
  </si>
  <si>
    <t>3C-11.6寸60Hz直面1K便携式显示器无触摸黑色</t>
  </si>
  <si>
    <t>显示器</t>
  </si>
  <si>
    <t>3B-橡胶磁白板背胶90cm*120cm</t>
  </si>
  <si>
    <t>3B-四功能智能门锁</t>
  </si>
  <si>
    <t>3B-白板双杠可伸缩通用支架</t>
  </si>
  <si>
    <t>白板通用支架</t>
  </si>
  <si>
    <t>3B-快递面单打印机白色</t>
  </si>
  <si>
    <t>3B-钥匙款保险箱黑小23*17*17cm</t>
  </si>
  <si>
    <t>3B-可翻转白板60*90</t>
  </si>
  <si>
    <t>3C-黑色民谣吉他</t>
  </si>
  <si>
    <t>3C-H型32至70寸电视壁架</t>
  </si>
  <si>
    <t>3B-橡胶磁白板背胶45cm*100cm</t>
  </si>
  <si>
    <t>3B-磁吸白板45cm*60cm</t>
  </si>
  <si>
    <t>3B-手提款单面广告展示架口字结构</t>
  </si>
  <si>
    <t>3C-84寸16比9电子限位白塑电动幕布</t>
  </si>
  <si>
    <t>投影幕布</t>
  </si>
  <si>
    <t>3B-指纹密码刷卡手机App美标锁</t>
  </si>
  <si>
    <t>智能门锁</t>
  </si>
  <si>
    <t>3B-毛毡照片公告墙浅驼色120*180CM</t>
  </si>
  <si>
    <t>3B-磁吸数显快充充电宝10000mAh</t>
  </si>
  <si>
    <t>3B-双目灯泡摄像头</t>
  </si>
  <si>
    <t>3B-现金盒钥匙款粉色250A</t>
  </si>
  <si>
    <t>3C-30*80*2cm鼠标垫RGB</t>
  </si>
  <si>
    <t>鼠标垫</t>
  </si>
  <si>
    <t>3B-现金盒钥匙款粉色200A</t>
  </si>
  <si>
    <t>3C-插电式分体电动旋转盘黑色20cm</t>
  </si>
  <si>
    <t>3B-球型门锁Q7豪华款</t>
  </si>
  <si>
    <t>3C-上下双屏显示器支架</t>
  </si>
  <si>
    <t>3B-白板画板60*90</t>
  </si>
  <si>
    <t>3C-口袋运动相机11.7cm*3.4cm</t>
  </si>
  <si>
    <t>口袋运动相机</t>
  </si>
  <si>
    <t>3B-现金盒钥匙款黑色250A</t>
  </si>
  <si>
    <t>3C-插电式分体电动旋转盘白色13cm</t>
  </si>
  <si>
    <t>3B-玻璃门框指纹密码锁A16</t>
  </si>
  <si>
    <t>3B-户外太阳能单板摄像头WiFi版</t>
  </si>
  <si>
    <t>3C-显示器桌面支架2屏</t>
  </si>
  <si>
    <t>3C-26至63寸电视支架</t>
  </si>
  <si>
    <t>3B-道路广角镜45cm</t>
  </si>
  <si>
    <t>3B-双面涂鸦板30cm*21cm</t>
  </si>
  <si>
    <t>3C-双臂带托盘显示器支架</t>
  </si>
  <si>
    <t>3B-斜坡垫50*22*5cm</t>
  </si>
  <si>
    <t>3C-电脑机箱T6款黑色</t>
  </si>
  <si>
    <t>3C-小蜜蜂黑色有线升级版</t>
  </si>
  <si>
    <t>扩音器</t>
  </si>
  <si>
    <t>3B-交换机立式机柜18U</t>
  </si>
  <si>
    <t>3C-投影仪支架云台32cm*25cm</t>
  </si>
  <si>
    <t>3B-现金盒钥匙款粉色150A</t>
  </si>
  <si>
    <t>3C-加粗2.1米三角支架</t>
  </si>
  <si>
    <t>摄影器材支架</t>
  </si>
  <si>
    <t>3B-光头强五天线WiFi摄像头</t>
  </si>
  <si>
    <t>3B-磁吸白板90cm*150cm</t>
  </si>
  <si>
    <t>CC0968</t>
  </si>
  <si>
    <t>3B-仿真书银钱盒钥匙款黑色</t>
  </si>
  <si>
    <t>CC0889</t>
  </si>
  <si>
    <t>CC0291</t>
  </si>
  <si>
    <t>3B-20位钥匙盒钥匙款</t>
  </si>
  <si>
    <t>货架1</t>
  </si>
  <si>
    <t>CC0005</t>
  </si>
  <si>
    <t>3B-保险箱黑小</t>
  </si>
  <si>
    <t>90天-3月需销售量</t>
  </si>
  <si>
    <t>销售数据</t>
  </si>
  <si>
    <t>超期库存</t>
  </si>
  <si>
    <t>超期金额</t>
  </si>
  <si>
    <t>出清数量</t>
  </si>
  <si>
    <t>3月数据</t>
  </si>
  <si>
    <t>金额</t>
  </si>
  <si>
    <t>进度</t>
  </si>
  <si>
    <t>CC0380</t>
  </si>
  <si>
    <t>3C-M98型机顶盒</t>
  </si>
  <si>
    <t>机顶盒</t>
  </si>
  <si>
    <t>CC0973</t>
  </si>
  <si>
    <t>3C-15.6寸60Hz直面1K便携式显示器黑色配皮套</t>
  </si>
  <si>
    <t>CC0045</t>
  </si>
  <si>
    <t>CC0655</t>
  </si>
  <si>
    <t>3B-JY004便携式储能电源8KG</t>
  </si>
  <si>
    <t>CC0689</t>
  </si>
  <si>
    <t>3C-21寸尤克里里</t>
  </si>
  <si>
    <t>CC0869</t>
  </si>
  <si>
    <t>3C-黑色吉他套装包装升级款</t>
  </si>
  <si>
    <t>CC0531</t>
  </si>
  <si>
    <t>3C-X81海外智能版投影仪</t>
  </si>
  <si>
    <t>CC0316</t>
  </si>
  <si>
    <t>CC0160</t>
  </si>
  <si>
    <t>3C-单臂显示器支架</t>
  </si>
  <si>
    <t>CC0261</t>
  </si>
  <si>
    <t>3C-原木色民谣吉他</t>
  </si>
  <si>
    <t>CC0877</t>
  </si>
  <si>
    <t>3B-R4A房间门锁单锁舌五功能带APP</t>
  </si>
  <si>
    <t>CC0161</t>
  </si>
  <si>
    <t>3C-双臂显示器支架</t>
  </si>
  <si>
    <t>CC0508</t>
  </si>
  <si>
    <t>3B-太阳能应急储能电源</t>
  </si>
  <si>
    <t>CC0888</t>
  </si>
  <si>
    <t>CC0992</t>
  </si>
  <si>
    <t>3B-A4重型裁纸机STC440</t>
  </si>
  <si>
    <t>裁纸机</t>
  </si>
  <si>
    <t>CC0664</t>
  </si>
  <si>
    <t>3C-铜纤维游戏指套</t>
  </si>
  <si>
    <t>游戏指套</t>
  </si>
  <si>
    <t>CC0418</t>
  </si>
  <si>
    <t>3B-有线二维扫描平台</t>
  </si>
  <si>
    <t>CC0816</t>
  </si>
  <si>
    <t>3C-RGB气弹簧单臂支架</t>
  </si>
  <si>
    <t>CC1007</t>
  </si>
  <si>
    <t>3C-电脑机箱T6款白色</t>
  </si>
  <si>
    <t>CC0875</t>
  </si>
  <si>
    <t>CC1021</t>
  </si>
  <si>
    <t>3B-现金盒钥匙款黑色200A</t>
  </si>
  <si>
    <t>CC0256</t>
  </si>
  <si>
    <t>3C-电脑组合小音响</t>
  </si>
  <si>
    <t>CC0754</t>
  </si>
  <si>
    <t>CC0993</t>
  </si>
  <si>
    <t>3B-A3重型裁纸机STC430</t>
  </si>
  <si>
    <t>CC0762</t>
  </si>
  <si>
    <t>CC0847</t>
  </si>
  <si>
    <t>3B-玻璃门U型密码锁</t>
  </si>
  <si>
    <t>CC0249</t>
  </si>
  <si>
    <t>3C-电脑散热冷风扇</t>
  </si>
  <si>
    <t>手提桌面冷风扇</t>
  </si>
  <si>
    <t>2月需销售量</t>
  </si>
  <si>
    <t>数量</t>
  </si>
  <si>
    <t>·</t>
  </si>
  <si>
    <t>策略</t>
  </si>
  <si>
    <t>2月实际超期库存</t>
  </si>
  <si>
    <t>2月实际超期金额</t>
  </si>
  <si>
    <t>降解率</t>
  </si>
  <si>
    <t>出清金额（1月）</t>
  </si>
  <si>
    <t>出清金额(1月）</t>
  </si>
  <si>
    <t>实际出清日销</t>
  </si>
  <si>
    <t>实际出清</t>
  </si>
  <si>
    <t>降价</t>
  </si>
  <si>
    <t>鹭燕-培庆-荣锦</t>
  </si>
  <si>
    <t>降价/寄样</t>
  </si>
  <si>
    <t>罗城-朱恩铭-饶伟明</t>
  </si>
  <si>
    <t>撕标</t>
  </si>
  <si>
    <t>全员</t>
  </si>
  <si>
    <t>撕标虚表</t>
  </si>
  <si>
    <t>CC0583</t>
  </si>
  <si>
    <t>3C-15.6寸60Hz直面1K便携式显示器黑色</t>
  </si>
  <si>
    <t>价格微下调</t>
  </si>
  <si>
    <t>降价/寄样/自营/仅广告</t>
  </si>
  <si>
    <t>王宇-朱恩铭</t>
  </si>
  <si>
    <t>短时间下调</t>
  </si>
  <si>
    <t>荣锦</t>
  </si>
  <si>
    <t>寄样</t>
  </si>
  <si>
    <t>朱恩铭-罗城</t>
  </si>
  <si>
    <t>赠送小一体测试一周</t>
  </si>
  <si>
    <t>孝鑫</t>
  </si>
  <si>
    <t>自营</t>
  </si>
  <si>
    <t>饶伟明-朱恩铭</t>
  </si>
  <si>
    <t>降价，销售不动</t>
  </si>
  <si>
    <t>限制库存降价</t>
  </si>
  <si>
    <t>饶伟明-王宇</t>
  </si>
  <si>
    <t>CC0582</t>
  </si>
  <si>
    <t>3C-15.6寸60Hz直面1K便携式触摸显示器黑色</t>
  </si>
  <si>
    <t>重点下费用</t>
  </si>
  <si>
    <t>孝鑫-荣锦</t>
  </si>
  <si>
    <t>重点下费用测试</t>
  </si>
  <si>
    <t>寄样10个</t>
  </si>
  <si>
    <t>寄样4个</t>
  </si>
  <si>
    <t>王宇-罗城</t>
  </si>
  <si>
    <t>罗城-朱恩铭-王宇</t>
  </si>
  <si>
    <t>鹭燕-江俊</t>
  </si>
  <si>
    <t>达人复拍</t>
  </si>
  <si>
    <t>朱恩铭</t>
  </si>
  <si>
    <t>捆绑送</t>
  </si>
  <si>
    <t>全组</t>
  </si>
  <si>
    <t>直播达人</t>
  </si>
  <si>
    <t>CC0654</t>
  </si>
  <si>
    <t>3B-JY004便携式储能电源5KG</t>
  </si>
  <si>
    <t>重要下费用</t>
  </si>
  <si>
    <t>罗城</t>
  </si>
  <si>
    <t>王宇</t>
  </si>
  <si>
    <t>智伟</t>
  </si>
  <si>
    <t>寄样送10</t>
  </si>
  <si>
    <t>CC0890</t>
  </si>
  <si>
    <t>CC0720</t>
  </si>
  <si>
    <t>高利润随单送</t>
  </si>
  <si>
    <t>罗城-伟明-恩铭</t>
  </si>
  <si>
    <t>CC0279</t>
  </si>
  <si>
    <t>CC0818</t>
  </si>
  <si>
    <t>3B-2门文件保险箱</t>
  </si>
  <si>
    <t>CC0939</t>
  </si>
  <si>
    <t>CC0752</t>
  </si>
  <si>
    <t>3B-道路警示折叠锥桶70cm</t>
  </si>
  <si>
    <t>CC0682</t>
  </si>
  <si>
    <t>3B-磁吸白板20cm*30cm</t>
  </si>
  <si>
    <t>CC0971</t>
  </si>
  <si>
    <t>3B-仿真书银钱盒钥匙款黄色</t>
  </si>
  <si>
    <t>CC0276</t>
  </si>
  <si>
    <t>3C-半透明蓝牙RGB背光鼠标黑色</t>
  </si>
  <si>
    <t>CC0368</t>
  </si>
  <si>
    <t>3B-Q16S1型摄像头</t>
  </si>
  <si>
    <t>CC0736</t>
  </si>
  <si>
    <t>3B-双面涂鸦板45cm*30cm</t>
  </si>
  <si>
    <t>CC0691</t>
  </si>
  <si>
    <t>3B-储能电源光伏充电板</t>
  </si>
  <si>
    <t>太阳能充电板</t>
  </si>
  <si>
    <t>Shopee</t>
  </si>
  <si>
    <t>TikTokShop</t>
  </si>
  <si>
    <t>3B-小票快递单打印机黑色</t>
  </si>
  <si>
    <t>3B-手提收银箱双层粉色</t>
  </si>
  <si>
    <t>3C-显示器支架立管ZTT003B</t>
  </si>
  <si>
    <t>3C-显示器支架立管带抽屉ZTT003DB</t>
  </si>
  <si>
    <t>3B-手提收银箱双层黑色密码款</t>
  </si>
  <si>
    <t>3C-原木色吉他</t>
  </si>
  <si>
    <t>3B-手持二维有线影像扫描枪</t>
  </si>
  <si>
    <t>3B-手持二维无线影像扫描枪</t>
  </si>
  <si>
    <t>3B-手持二维无线蓝牙影像扫描枪</t>
  </si>
  <si>
    <t>3B-磁吸白板70cm*100cm</t>
  </si>
  <si>
    <t>3C-黑色吉他</t>
  </si>
  <si>
    <t>3C-电脑显示器支架</t>
  </si>
  <si>
    <t>3C-立式显示器支架不带托盘</t>
  </si>
  <si>
    <t>3C-100英寸投影仪屏幕</t>
  </si>
  <si>
    <t>3B-小号仿真书银钱盒钥匙款蓝色</t>
  </si>
  <si>
    <t>3B-投币款保险箱23*17*17cm</t>
  </si>
  <si>
    <t>3B-JY004便携式储能电源4KG</t>
  </si>
  <si>
    <t>3B-道路广角镜80cm</t>
  </si>
  <si>
    <t>3B-道路广角镜100cm</t>
  </si>
  <si>
    <t>3C-双风扇RGB带海绵散热支架7档调节</t>
  </si>
  <si>
    <t>3C-6风扇RGB散热支架7档调节带手机支架</t>
  </si>
  <si>
    <t>3C-电子架子鼓</t>
  </si>
  <si>
    <t>3C-透明RGB无线蓝牙游戏手柄STK7040</t>
  </si>
  <si>
    <t>3C-投影仪支架系列托盘</t>
  </si>
  <si>
    <t>3B-碎纸机头不带桶WS0106</t>
  </si>
  <si>
    <t>3B-点钞机灰色含外接显示器</t>
  </si>
  <si>
    <t>3A-可充电不锈钢球形锁K06</t>
  </si>
  <si>
    <t>3B-便携式储能电源ESP100</t>
  </si>
  <si>
    <t>3B-指纹柜锁K16款</t>
  </si>
  <si>
    <t>3B-指纹柜锁CTS10款</t>
  </si>
  <si>
    <t>3C-触摸钢琴带琴谱架88键力度键LM600</t>
  </si>
  <si>
    <t>3C-数码钢琴带琴谱架88键力度键LM200</t>
  </si>
  <si>
    <t>3C-电子架子鼓两鼓两镲MT10L</t>
  </si>
  <si>
    <t>3B-微型电脑纸卡考勤机</t>
  </si>
  <si>
    <t>3B-木框白板60cm*90cm</t>
  </si>
  <si>
    <t>3B-木框留言板60cm*90cm</t>
  </si>
  <si>
    <t>3B-首饰盒指纹款AJX</t>
  </si>
  <si>
    <t>3C-14寸60Hz直面1K便携式显示器触摸黑色</t>
  </si>
  <si>
    <t>3C-15.6寸60Hz直面1K便携式无线投屏显示器黑色</t>
  </si>
  <si>
    <t>3C-乐器机械节拍器</t>
  </si>
  <si>
    <t>3B-家用储能电源HeroEE1</t>
  </si>
  <si>
    <t>3B-家用储能电源HeroEE2</t>
  </si>
  <si>
    <t>3B-储能电源G120</t>
  </si>
  <si>
    <t>3B-储能电源G300</t>
  </si>
  <si>
    <t>3B-储能电源R300</t>
  </si>
  <si>
    <t>3B-储能电源R350</t>
  </si>
  <si>
    <t>3B-储能电源R600</t>
  </si>
  <si>
    <t>3B-家用储能电源S167型</t>
  </si>
  <si>
    <t>3B-家用储能电源S192型</t>
  </si>
  <si>
    <t>3B-家用储能电源S75型</t>
  </si>
  <si>
    <t>3B-便携式太阳能一体储能电源</t>
  </si>
  <si>
    <t>3C-显示器桌面支架T001</t>
  </si>
  <si>
    <t>3C-21寸初学者入门侧旋款尤克里里</t>
  </si>
  <si>
    <t>3C-38寸初学者民谣入门练习吉他套装</t>
  </si>
  <si>
    <t>3C-38寸手工进阶款民谣吉他</t>
  </si>
  <si>
    <t>3C-X3S游戏手柄带手机支架</t>
  </si>
  <si>
    <t>3C-电脑机箱异形01机箱黑色灯板款</t>
  </si>
  <si>
    <t>3C-电脑机箱异形01机箱黑色风扇款</t>
  </si>
  <si>
    <t>3C-儿童电子琴套装带琴谱架37键LM970黑色</t>
  </si>
  <si>
    <t>3C-便携九打手卷电子鼓橙色</t>
  </si>
  <si>
    <t>3B-光伏板一体层压2折10W</t>
  </si>
  <si>
    <t>3B-光伏板一体层压3折30W</t>
  </si>
  <si>
    <t>3B-光伏板车缝3折21W</t>
  </si>
  <si>
    <t>3B-光伏板一体层压8折25W</t>
  </si>
  <si>
    <t>3B-光伏板太阳能单面发电板12W</t>
  </si>
  <si>
    <t>3B-光伏板轻量化车缝2折100W</t>
  </si>
  <si>
    <t>3B-光伏板轻量化车缝4折200W</t>
  </si>
  <si>
    <t>3B-锂离子蓄电池12V30AH</t>
  </si>
  <si>
    <t>3B-锂离子蓄电池12V100AH</t>
  </si>
  <si>
    <t>3C-有线多功能游戏透明手柄STK2039XRG</t>
  </si>
  <si>
    <t>3B-储能电源光伏充电板16V</t>
  </si>
  <si>
    <t>3C-H型14至55寸电视壁架</t>
  </si>
  <si>
    <t>3B-液晶面板黑色保险箱密码45S2款</t>
  </si>
  <si>
    <t>3B-液晶面板黑色保险箱内柜指纹45FS款</t>
  </si>
  <si>
    <t>3B-液晶面板黑色保险箱指纹45FS2款</t>
  </si>
  <si>
    <t>3B-功勋仓咖啡金保险箱密码45S2款</t>
  </si>
  <si>
    <t>3B-功勋仓咖啡金保险箱内柜指纹45FS款</t>
  </si>
  <si>
    <t>3B-XT香槟金保险箱内柜密码45S款</t>
  </si>
  <si>
    <t>3B-XT香槟金保险箱内柜指纹45FS款</t>
  </si>
  <si>
    <t>3B-新A6黑色保险箱密码25H9款</t>
  </si>
  <si>
    <t>3B-新A6黑色保险箱指纹25FH9款</t>
  </si>
  <si>
    <t>3C-吉他变调夹</t>
  </si>
  <si>
    <t>3C-吉他助弹器</t>
  </si>
  <si>
    <t>3C-吉他立稳支架</t>
  </si>
  <si>
    <t>3C-单臂显示器支架基础款MS007</t>
  </si>
  <si>
    <t>3C-72英寸16比9户外便携双支架幕</t>
  </si>
  <si>
    <t>3C-60英寸16比9便携式简易壁挂幕</t>
  </si>
  <si>
    <t>3C-72英寸16比9便携式简易壁挂幕</t>
  </si>
  <si>
    <t>3C-60英寸16比9手拉自锁幕</t>
  </si>
  <si>
    <t>3C-70英寸16比9手拉自锁幕</t>
  </si>
  <si>
    <t>3C-39寸ST电吉他</t>
  </si>
  <si>
    <t>3C-10W吉他电音箱</t>
  </si>
  <si>
    <t>3C-马歇尔风格复古音箱</t>
  </si>
  <si>
    <t>3C-PS4无线游戏手柄STK4006L</t>
  </si>
  <si>
    <t>3C-彩色电子7垫鼓</t>
  </si>
  <si>
    <t>3C-单臂显示器支架灯效银白色MS001</t>
  </si>
  <si>
    <t>3C-单臂显示器支架基础灯效款白色MS011D</t>
  </si>
  <si>
    <t>3C-双臂显示器支架银色MS012</t>
  </si>
  <si>
    <t>3C-60英寸16比9便携式壁挂支架幕布</t>
  </si>
  <si>
    <t>3C-72英寸16比9便携式壁挂支架幕布</t>
  </si>
  <si>
    <t>3C-蓝牙语音机顶盒</t>
  </si>
  <si>
    <t>3B-磁吸白板90cm*120cm</t>
  </si>
  <si>
    <t>3B-保险箱密码款F640黑色</t>
  </si>
  <si>
    <t>3B-保险箱密码款内柜F645金色</t>
  </si>
  <si>
    <t>3B-WIFI断路器涂鸦单继电器ZWF63T2P</t>
  </si>
  <si>
    <t>3B-WIFI断路器涂鸦双继电器ZWF63AVP2P</t>
  </si>
  <si>
    <t>3C-高亮直投自动对焦灯带投影仪N21米白色</t>
  </si>
  <si>
    <t>3C-高亮手动对焦投影仪V8白色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</si>
</sst>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.00_);[Red]\(0.00\)"/>
    <numFmt numFmtId="179" formatCode="0.0_ "/>
  </numFmts>
  <fonts count="30">
    <font>
      <sz val="12"/>
      <color theme="1"/>
      <name val="等线"/>
      <charset val="134"/>
      <scheme val="minor"/>
    </font>
    <font>
      <sz val="8"/>
      <color rgb="FF000000"/>
      <name val="等线 Light"/>
      <charset val="134"/>
    </font>
    <font>
      <b/>
      <sz val="8"/>
      <color rgb="FF000000"/>
      <name val="等线 Light"/>
      <charset val="134"/>
    </font>
    <font>
      <sz val="10"/>
      <name val="等线"/>
      <charset val="134"/>
      <scheme val="minor"/>
    </font>
    <font>
      <b/>
      <sz val="8"/>
      <color theme="0"/>
      <name val="等线 Light"/>
      <charset val="134"/>
    </font>
    <font>
      <sz val="8"/>
      <color rgb="FFFFFFFF"/>
      <name val="等线 Light"/>
      <charset val="134"/>
    </font>
    <font>
      <b/>
      <sz val="8"/>
      <color rgb="FFFFFFFF"/>
      <name val="等线 Light"/>
      <charset val="134"/>
    </font>
    <font>
      <sz val="8"/>
      <color theme="1"/>
      <name val="等线 Light"/>
      <charset val="134"/>
    </font>
    <font>
      <sz val="8"/>
      <name val="等线 Light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C2252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 style="hair">
        <color rgb="FFA5A5A5"/>
      </left>
      <right/>
      <top style="hair">
        <color rgb="FFA5A5A5"/>
      </top>
      <bottom/>
      <diagonal/>
    </border>
    <border>
      <left/>
      <right style="hair">
        <color rgb="FFA5A5A5"/>
      </right>
      <top style="hair">
        <color rgb="FFA5A5A5"/>
      </top>
      <bottom/>
      <diagonal/>
    </border>
    <border>
      <left style="hair">
        <color rgb="FFA5A5A5"/>
      </left>
      <right/>
      <top/>
      <bottom style="hair">
        <color rgb="FFA5A5A5"/>
      </bottom>
      <diagonal/>
    </border>
    <border>
      <left/>
      <right style="hair">
        <color rgb="FFA5A5A5"/>
      </right>
      <top/>
      <bottom style="hair">
        <color rgb="FFA5A5A5"/>
      </bottom>
      <diagonal/>
    </border>
    <border>
      <left style="hair">
        <color rgb="FFA5A5A5"/>
      </left>
      <right/>
      <top style="hair">
        <color rgb="FFA5A5A5"/>
      </top>
      <bottom style="hair">
        <color rgb="FFA5A5A5"/>
      </bottom>
      <diagonal/>
    </border>
    <border>
      <left/>
      <right style="hair">
        <color rgb="FFA5A5A5"/>
      </right>
      <top style="hair">
        <color rgb="FFA5A5A5"/>
      </top>
      <bottom style="hair">
        <color rgb="FFA5A5A5"/>
      </bottom>
      <diagonal/>
    </border>
    <border>
      <left/>
      <right/>
      <top style="hair">
        <color rgb="FFA5A5A5"/>
      </top>
      <bottom/>
      <diagonal/>
    </border>
    <border>
      <left/>
      <right/>
      <top/>
      <bottom style="hair">
        <color rgb="FFA5A5A5"/>
      </bottom>
      <diagonal/>
    </border>
    <border>
      <left style="hair">
        <color rgb="FFA5A5A5"/>
      </left>
      <right style="hair">
        <color rgb="FFA5A5A5"/>
      </right>
      <top style="hair">
        <color rgb="FFA5A5A5"/>
      </top>
      <bottom/>
      <diagonal/>
    </border>
    <border>
      <left style="hair">
        <color rgb="FFA5A5A5"/>
      </left>
      <right style="hair">
        <color rgb="FFA5A5A5"/>
      </right>
      <top/>
      <bottom style="hair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0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1" borderId="15" applyNumberFormat="0" applyAlignment="0" applyProtection="0">
      <alignment vertical="center"/>
    </xf>
    <xf numFmtId="0" fontId="20" fillId="32" borderId="16" applyNumberFormat="0" applyAlignment="0" applyProtection="0">
      <alignment vertical="center"/>
    </xf>
    <xf numFmtId="0" fontId="21" fillId="32" borderId="15" applyNumberFormat="0" applyAlignment="0" applyProtection="0">
      <alignment vertical="center"/>
    </xf>
    <xf numFmtId="0" fontId="22" fillId="33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9" fillId="56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176" fontId="2" fillId="4" borderId="1" xfId="0" applyNumberFormat="1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9" fontId="2" fillId="5" borderId="1" xfId="0" applyNumberFormat="1" applyFont="1" applyFill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2" fillId="6" borderId="1" xfId="0" applyFont="1" applyFill="1" applyBorder="1" applyAlignment="1" applyProtection="1">
      <alignment horizontal="center" vertical="top" wrapText="1"/>
    </xf>
    <xf numFmtId="0" fontId="2" fillId="7" borderId="1" xfId="0" applyFont="1" applyFill="1" applyBorder="1" applyAlignment="1" applyProtection="1">
      <alignment horizontal="center" vertical="top" wrapText="1"/>
    </xf>
    <xf numFmtId="0" fontId="2" fillId="8" borderId="1" xfId="0" applyFont="1" applyFill="1" applyBorder="1" applyAlignment="1" applyProtection="1">
      <alignment horizontal="center" vertical="top" wrapText="1"/>
    </xf>
    <xf numFmtId="0" fontId="2" fillId="9" borderId="1" xfId="0" applyFont="1" applyFill="1" applyBorder="1" applyAlignment="1" applyProtection="1">
      <alignment horizontal="center" vertical="top" wrapText="1"/>
    </xf>
    <xf numFmtId="0" fontId="1" fillId="0" borderId="6" xfId="0" applyFont="1" applyBorder="1" applyAlignment="1" applyProtection="1">
      <alignment horizontal="center" vertical="center"/>
    </xf>
    <xf numFmtId="0" fontId="3" fillId="0" borderId="7" xfId="0" applyFont="1" applyBorder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/>
    </xf>
    <xf numFmtId="9" fontId="1" fillId="0" borderId="1" xfId="3" applyFont="1" applyBorder="1" applyAlignment="1" applyProtection="1">
      <alignment horizontal="center" vertical="center"/>
    </xf>
    <xf numFmtId="43" fontId="1" fillId="0" borderId="1" xfId="3" applyNumberFormat="1" applyFont="1" applyBorder="1" applyAlignment="1" applyProtection="1">
      <alignment horizontal="center" vertical="center"/>
    </xf>
    <xf numFmtId="3" fontId="1" fillId="0" borderId="1" xfId="0" applyNumberFormat="1" applyFont="1" applyBorder="1" applyAlignment="1" applyProtection="1">
      <alignment horizontal="center" vertical="center"/>
    </xf>
    <xf numFmtId="177" fontId="1" fillId="0" borderId="1" xfId="0" applyNumberFormat="1" applyFont="1" applyBorder="1" applyAlignment="1" applyProtection="1">
      <alignment horizontal="center" vertical="center"/>
    </xf>
    <xf numFmtId="0" fontId="4" fillId="10" borderId="8" xfId="0" applyFont="1" applyFill="1" applyBorder="1" applyAlignment="1" applyProtection="1">
      <alignment horizontal="center" vertical="center"/>
    </xf>
    <xf numFmtId="177" fontId="4" fillId="10" borderId="8" xfId="0" applyNumberFormat="1" applyFont="1" applyFill="1" applyBorder="1" applyAlignment="1" applyProtection="1">
      <alignment horizontal="center" vertical="center"/>
    </xf>
    <xf numFmtId="0" fontId="4" fillId="7" borderId="8" xfId="0" applyFont="1" applyFill="1" applyBorder="1" applyAlignment="1" applyProtection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</xf>
    <xf numFmtId="0" fontId="5" fillId="11" borderId="8" xfId="0" applyFont="1" applyFill="1" applyBorder="1" applyAlignment="1" applyProtection="1">
      <alignment horizontal="center" vertical="center"/>
    </xf>
    <xf numFmtId="177" fontId="5" fillId="11" borderId="8" xfId="0" applyNumberFormat="1" applyFont="1" applyFill="1" applyBorder="1" applyAlignment="1" applyProtection="1">
      <alignment horizontal="center" vertical="center"/>
    </xf>
    <xf numFmtId="0" fontId="4" fillId="10" borderId="9" xfId="0" applyFont="1" applyFill="1" applyBorder="1" applyAlignment="1" applyProtection="1">
      <alignment horizontal="center" vertical="center"/>
    </xf>
    <xf numFmtId="177" fontId="4" fillId="10" borderId="9" xfId="0" applyNumberFormat="1" applyFont="1" applyFill="1" applyBorder="1" applyAlignment="1" applyProtection="1">
      <alignment horizontal="center" vertical="center"/>
    </xf>
    <xf numFmtId="0" fontId="4" fillId="7" borderId="9" xfId="0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horizontal="center" vertical="center"/>
    </xf>
    <xf numFmtId="0" fontId="5" fillId="11" borderId="0" xfId="0" applyFont="1" applyFill="1" applyAlignment="1" applyProtection="1">
      <alignment horizontal="center" vertical="center"/>
    </xf>
    <xf numFmtId="177" fontId="5" fillId="11" borderId="0" xfId="0" applyNumberFormat="1" applyFont="1" applyFill="1" applyAlignment="1" applyProtection="1">
      <alignment horizontal="center" vertical="center"/>
    </xf>
    <xf numFmtId="3" fontId="2" fillId="6" borderId="1" xfId="0" applyNumberFormat="1" applyFont="1" applyFill="1" applyBorder="1" applyAlignment="1" applyProtection="1">
      <alignment horizontal="center" vertical="top" wrapText="1"/>
    </xf>
    <xf numFmtId="0" fontId="4" fillId="10" borderId="1" xfId="0" applyFont="1" applyFill="1" applyBorder="1" applyAlignment="1" applyProtection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</xf>
    <xf numFmtId="0" fontId="6" fillId="12" borderId="1" xfId="0" applyFont="1" applyFill="1" applyBorder="1" applyAlignment="1" applyProtection="1">
      <alignment horizontal="center" vertical="center"/>
    </xf>
    <xf numFmtId="177" fontId="6" fillId="12" borderId="1" xfId="0" applyNumberFormat="1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6" fillId="11" borderId="1" xfId="0" applyFont="1" applyFill="1" applyBorder="1" applyAlignment="1" applyProtection="1">
      <alignment horizontal="center" vertical="center"/>
    </xf>
    <xf numFmtId="177" fontId="6" fillId="11" borderId="1" xfId="0" applyNumberFormat="1" applyFont="1" applyFill="1" applyBorder="1" applyAlignment="1" applyProtection="1">
      <alignment horizontal="center" vertical="center"/>
    </xf>
    <xf numFmtId="0" fontId="1" fillId="13" borderId="1" xfId="0" applyFont="1" applyFill="1" applyBorder="1" applyAlignment="1" applyProtection="1">
      <alignment horizontal="center" vertical="center"/>
    </xf>
    <xf numFmtId="0" fontId="1" fillId="0" borderId="1" xfId="0" applyNumberFormat="1" applyFont="1" applyBorder="1" applyAlignment="1" applyProtection="1">
      <alignment horizontal="center" vertical="center"/>
    </xf>
    <xf numFmtId="9" fontId="1" fillId="0" borderId="1" xfId="3" applyNumberFormat="1" applyFont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177" fontId="1" fillId="0" borderId="1" xfId="3" applyNumberFormat="1" applyFont="1" applyBorder="1" applyAlignment="1" applyProtection="1">
      <alignment horizontal="center" vertical="center"/>
    </xf>
    <xf numFmtId="9" fontId="1" fillId="14" borderId="1" xfId="3" applyNumberFormat="1" applyFont="1" applyFill="1" applyBorder="1" applyAlignment="1" applyProtection="1">
      <alignment horizontal="center" vertical="center"/>
    </xf>
    <xf numFmtId="10" fontId="1" fillId="14" borderId="1" xfId="0" applyNumberFormat="1" applyFont="1" applyFill="1" applyBorder="1" applyAlignment="1" applyProtection="1">
      <alignment horizontal="center" vertical="center"/>
    </xf>
    <xf numFmtId="0" fontId="1" fillId="15" borderId="1" xfId="0" applyFont="1" applyFill="1" applyBorder="1" applyAlignment="1" applyProtection="1">
      <alignment horizontal="center" vertical="center"/>
    </xf>
    <xf numFmtId="178" fontId="1" fillId="0" borderId="1" xfId="0" applyNumberFormat="1" applyFont="1" applyBorder="1" applyAlignment="1" applyProtection="1">
      <alignment horizontal="center" vertical="center"/>
    </xf>
    <xf numFmtId="0" fontId="1" fillId="16" borderId="1" xfId="0" applyFont="1" applyFill="1" applyBorder="1" applyAlignment="1" applyProtection="1">
      <alignment horizontal="center" vertical="center"/>
    </xf>
    <xf numFmtId="0" fontId="1" fillId="11" borderId="1" xfId="0" applyFont="1" applyFill="1" applyBorder="1" applyAlignment="1" applyProtection="1">
      <alignment horizontal="center" vertical="center"/>
    </xf>
    <xf numFmtId="0" fontId="1" fillId="17" borderId="1" xfId="0" applyFont="1" applyFill="1" applyBorder="1" applyAlignment="1" applyProtection="1">
      <alignment horizontal="center" vertical="center"/>
    </xf>
    <xf numFmtId="0" fontId="1" fillId="18" borderId="1" xfId="0" applyFont="1" applyFill="1" applyBorder="1" applyAlignment="1" applyProtection="1">
      <alignment horizontal="center" vertical="center"/>
    </xf>
    <xf numFmtId="0" fontId="1" fillId="19" borderId="1" xfId="0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0" borderId="3" xfId="0" applyFont="1" applyFill="1" applyBorder="1" applyAlignment="1" applyProtection="1">
      <alignment horizontal="center" vertical="center"/>
    </xf>
    <xf numFmtId="0" fontId="4" fillId="10" borderId="5" xfId="0" applyFont="1" applyFill="1" applyBorder="1" applyAlignment="1" applyProtection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76" fontId="1" fillId="20" borderId="1" xfId="0" applyNumberFormat="1" applyFont="1" applyFill="1" applyBorder="1" applyAlignment="1" applyProtection="1">
      <alignment horizontal="center" vertical="center"/>
    </xf>
    <xf numFmtId="9" fontId="1" fillId="20" borderId="1" xfId="3" applyNumberFormat="1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176" fontId="1" fillId="21" borderId="1" xfId="0" applyNumberFormat="1" applyFont="1" applyFill="1" applyBorder="1" applyAlignment="1" applyProtection="1">
      <alignment horizontal="center" vertical="center"/>
    </xf>
    <xf numFmtId="9" fontId="1" fillId="21" borderId="1" xfId="3" applyNumberFormat="1" applyFont="1" applyFill="1" applyBorder="1" applyAlignment="1" applyProtection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9" fontId="1" fillId="0" borderId="1" xfId="3" applyFont="1" applyFill="1" applyBorder="1" applyAlignment="1" applyProtection="1">
      <alignment horizontal="center" vertical="center"/>
    </xf>
    <xf numFmtId="9" fontId="1" fillId="0" borderId="1" xfId="3" applyNumberFormat="1" applyFont="1" applyFill="1" applyBorder="1" applyAlignment="1" applyProtection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9" fontId="1" fillId="20" borderId="1" xfId="3" applyFont="1" applyFill="1" applyBorder="1" applyAlignment="1" applyProtection="1">
      <alignment horizontal="center" vertical="center"/>
    </xf>
    <xf numFmtId="0" fontId="1" fillId="24" borderId="0" xfId="0" applyFont="1" applyFill="1" applyAlignment="1">
      <alignment horizontal="center" vertical="center"/>
    </xf>
    <xf numFmtId="176" fontId="1" fillId="24" borderId="1" xfId="0" applyNumberFormat="1" applyFont="1" applyFill="1" applyBorder="1" applyAlignment="1" applyProtection="1">
      <alignment horizontal="center" vertical="center"/>
    </xf>
    <xf numFmtId="9" fontId="1" fillId="24" borderId="1" xfId="3" applyNumberFormat="1" applyFont="1" applyFill="1" applyBorder="1" applyAlignment="1" applyProtection="1">
      <alignment horizontal="center" vertical="center"/>
    </xf>
    <xf numFmtId="9" fontId="1" fillId="24" borderId="1" xfId="3" applyFont="1" applyFill="1" applyBorder="1" applyAlignment="1" applyProtection="1">
      <alignment horizontal="center" vertical="center"/>
    </xf>
    <xf numFmtId="176" fontId="1" fillId="25" borderId="1" xfId="0" applyNumberFormat="1" applyFont="1" applyFill="1" applyBorder="1" applyAlignment="1" applyProtection="1">
      <alignment horizontal="center" vertical="center"/>
    </xf>
    <xf numFmtId="9" fontId="1" fillId="21" borderId="1" xfId="3" applyFont="1" applyFill="1" applyBorder="1" applyAlignment="1" applyProtection="1">
      <alignment horizontal="center" vertical="center"/>
    </xf>
    <xf numFmtId="176" fontId="1" fillId="7" borderId="1" xfId="0" applyNumberFormat="1" applyFont="1" applyFill="1" applyBorder="1" applyAlignment="1" applyProtection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6" borderId="10" xfId="0" applyFont="1" applyFill="1" applyBorder="1" applyAlignment="1" applyProtection="1">
      <alignment horizontal="center" vertical="top" wrapText="1"/>
    </xf>
    <xf numFmtId="3" fontId="2" fillId="6" borderId="10" xfId="0" applyNumberFormat="1" applyFont="1" applyFill="1" applyBorder="1" applyAlignment="1" applyProtection="1">
      <alignment horizontal="center" vertical="top" wrapText="1"/>
    </xf>
    <xf numFmtId="0" fontId="1" fillId="26" borderId="0" xfId="0" applyFont="1" applyFill="1" applyAlignment="1">
      <alignment horizontal="center" vertical="center"/>
    </xf>
    <xf numFmtId="0" fontId="8" fillId="26" borderId="0" xfId="0" applyFont="1" applyFill="1" applyBorder="1" applyAlignment="1">
      <alignment horizontal="left" vertical="center"/>
    </xf>
    <xf numFmtId="0" fontId="8" fillId="26" borderId="0" xfId="0" applyFont="1" applyFill="1" applyBorder="1" applyAlignment="1">
      <alignment horizontal="center" vertical="center"/>
    </xf>
    <xf numFmtId="176" fontId="1" fillId="27" borderId="7" xfId="0" applyNumberFormat="1" applyFont="1" applyFill="1" applyBorder="1" applyAlignment="1" applyProtection="1">
      <alignment horizontal="center" vertical="center"/>
    </xf>
    <xf numFmtId="176" fontId="1" fillId="27" borderId="1" xfId="0" applyNumberFormat="1" applyFont="1" applyFill="1" applyBorder="1" applyAlignment="1" applyProtection="1">
      <alignment horizontal="center" vertical="center"/>
    </xf>
    <xf numFmtId="9" fontId="1" fillId="26" borderId="1" xfId="3" applyNumberFormat="1" applyFont="1" applyFill="1" applyBorder="1" applyAlignment="1" applyProtection="1">
      <alignment horizontal="center" vertical="center"/>
    </xf>
    <xf numFmtId="176" fontId="1" fillId="26" borderId="1" xfId="0" applyNumberFormat="1" applyFont="1" applyFill="1" applyBorder="1" applyAlignment="1" applyProtection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8" fillId="28" borderId="0" xfId="0" applyFont="1" applyFill="1" applyBorder="1" applyAlignment="1">
      <alignment horizontal="left" vertical="center"/>
    </xf>
    <xf numFmtId="0" fontId="8" fillId="28" borderId="0" xfId="0" applyFont="1" applyFill="1" applyBorder="1" applyAlignment="1">
      <alignment horizontal="center" vertical="center"/>
    </xf>
    <xf numFmtId="176" fontId="1" fillId="21" borderId="7" xfId="0" applyNumberFormat="1" applyFont="1" applyFill="1" applyBorder="1" applyAlignment="1" applyProtection="1">
      <alignment horizontal="center" vertical="center"/>
    </xf>
    <xf numFmtId="9" fontId="1" fillId="28" borderId="1" xfId="3" applyNumberFormat="1" applyFont="1" applyFill="1" applyBorder="1" applyAlignment="1" applyProtection="1">
      <alignment horizontal="center" vertical="center"/>
    </xf>
    <xf numFmtId="176" fontId="1" fillId="28" borderId="1" xfId="0" applyNumberFormat="1" applyFont="1" applyFill="1" applyBorder="1" applyAlignment="1" applyProtection="1">
      <alignment horizontal="center" vertical="center"/>
    </xf>
    <xf numFmtId="0" fontId="7" fillId="28" borderId="0" xfId="0" applyFont="1" applyFill="1" applyAlignment="1">
      <alignment horizontal="center" vertical="center"/>
    </xf>
    <xf numFmtId="176" fontId="1" fillId="0" borderId="7" xfId="0" applyNumberFormat="1" applyFont="1" applyFill="1" applyBorder="1" applyAlignment="1" applyProtection="1">
      <alignment horizontal="center" vertical="center"/>
    </xf>
    <xf numFmtId="176" fontId="1" fillId="11" borderId="7" xfId="0" applyNumberFormat="1" applyFont="1" applyFill="1" applyBorder="1" applyAlignment="1" applyProtection="1">
      <alignment horizontal="center" vertical="center"/>
    </xf>
    <xf numFmtId="176" fontId="1" fillId="11" borderId="1" xfId="0" applyNumberFormat="1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8" fillId="29" borderId="0" xfId="0" applyFont="1" applyFill="1" applyBorder="1" applyAlignment="1">
      <alignment horizontal="left" vertical="center"/>
    </xf>
    <xf numFmtId="0" fontId="8" fillId="29" borderId="0" xfId="0" applyFont="1" applyFill="1" applyBorder="1" applyAlignment="1">
      <alignment horizontal="center" vertical="center"/>
    </xf>
    <xf numFmtId="176" fontId="1" fillId="24" borderId="7" xfId="0" applyNumberFormat="1" applyFont="1" applyFill="1" applyBorder="1" applyAlignment="1" applyProtection="1">
      <alignment horizontal="center" vertical="center"/>
    </xf>
    <xf numFmtId="9" fontId="1" fillId="29" borderId="1" xfId="3" applyNumberFormat="1" applyFont="1" applyFill="1" applyBorder="1" applyAlignment="1" applyProtection="1">
      <alignment horizontal="center" vertical="center"/>
    </xf>
    <xf numFmtId="176" fontId="1" fillId="29" borderId="1" xfId="0" applyNumberFormat="1" applyFont="1" applyFill="1" applyBorder="1" applyAlignment="1" applyProtection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1" fillId="0" borderId="11" xfId="0" applyFont="1" applyBorder="1" applyAlignment="1" applyProtection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9" fontId="1" fillId="0" borderId="1" xfId="0" applyNumberFormat="1" applyFont="1" applyBorder="1" applyAlignment="1" applyProtection="1">
      <alignment horizontal="center"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 applyProtection="1">
      <alignment horizontal="center" vertical="center" wrapText="1"/>
    </xf>
    <xf numFmtId="3" fontId="1" fillId="0" borderId="1" xfId="0" applyNumberFormat="1" applyFont="1" applyBorder="1" applyAlignment="1" applyProtection="1">
      <alignment horizontal="center" vertical="center" wrapText="1"/>
    </xf>
    <xf numFmtId="176" fontId="2" fillId="4" borderId="1" xfId="0" applyNumberFormat="1" applyFont="1" applyFill="1" applyBorder="1" applyAlignment="1" applyProtection="1">
      <alignment horizontal="center" vertical="center" wrapText="1"/>
    </xf>
    <xf numFmtId="0" fontId="4" fillId="10" borderId="8" xfId="0" applyFont="1" applyFill="1" applyBorder="1" applyAlignment="1" applyProtection="1">
      <alignment horizontal="center" vertical="center" wrapText="1"/>
    </xf>
    <xf numFmtId="179" fontId="4" fillId="10" borderId="8" xfId="0" applyNumberFormat="1" applyFont="1" applyFill="1" applyBorder="1" applyAlignment="1" applyProtection="1">
      <alignment horizontal="center" vertical="center" wrapText="1"/>
    </xf>
    <xf numFmtId="0" fontId="4" fillId="10" borderId="3" xfId="0" applyFont="1" applyFill="1" applyBorder="1" applyAlignment="1" applyProtection="1">
      <alignment horizontal="center" vertical="center" wrapText="1"/>
    </xf>
    <xf numFmtId="0" fontId="4" fillId="7" borderId="8" xfId="0" applyFont="1" applyFill="1" applyBorder="1" applyAlignment="1" applyProtection="1">
      <alignment horizontal="center" vertical="center" wrapText="1"/>
    </xf>
    <xf numFmtId="179" fontId="4" fillId="7" borderId="8" xfId="0" applyNumberFormat="1" applyFont="1" applyFill="1" applyBorder="1" applyAlignment="1" applyProtection="1">
      <alignment horizontal="center" vertical="center" wrapText="1"/>
    </xf>
    <xf numFmtId="0" fontId="4" fillId="7" borderId="3" xfId="0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10" borderId="9" xfId="0" applyFont="1" applyFill="1" applyBorder="1" applyAlignment="1" applyProtection="1">
      <alignment horizontal="center" vertical="center" wrapText="1"/>
    </xf>
    <xf numFmtId="179" fontId="4" fillId="10" borderId="9" xfId="0" applyNumberFormat="1" applyFont="1" applyFill="1" applyBorder="1" applyAlignment="1" applyProtection="1">
      <alignment horizontal="center" vertical="center" wrapText="1"/>
    </xf>
    <xf numFmtId="0" fontId="4" fillId="10" borderId="5" xfId="0" applyFont="1" applyFill="1" applyBorder="1" applyAlignment="1" applyProtection="1">
      <alignment horizontal="center" vertical="center" wrapText="1"/>
    </xf>
    <xf numFmtId="0" fontId="4" fillId="7" borderId="9" xfId="0" applyFont="1" applyFill="1" applyBorder="1" applyAlignment="1" applyProtection="1">
      <alignment horizontal="center" vertical="center" wrapText="1"/>
    </xf>
    <xf numFmtId="179" fontId="4" fillId="7" borderId="9" xfId="0" applyNumberFormat="1" applyFont="1" applyFill="1" applyBorder="1" applyAlignment="1" applyProtection="1">
      <alignment horizontal="center" vertical="center" wrapText="1"/>
    </xf>
    <xf numFmtId="0" fontId="4" fillId="7" borderId="5" xfId="0" applyFont="1" applyFill="1" applyBorder="1" applyAlignment="1" applyProtection="1">
      <alignment horizontal="center" vertical="center" wrapText="1"/>
    </xf>
    <xf numFmtId="0" fontId="2" fillId="8" borderId="10" xfId="0" applyFont="1" applyFill="1" applyBorder="1" applyAlignment="1" applyProtection="1">
      <alignment horizontal="center" vertical="top" wrapText="1"/>
    </xf>
    <xf numFmtId="0" fontId="2" fillId="9" borderId="10" xfId="0" applyFont="1" applyFill="1" applyBorder="1" applyAlignment="1" applyProtection="1">
      <alignment horizontal="center" vertical="top" wrapText="1"/>
    </xf>
    <xf numFmtId="176" fontId="2" fillId="4" borderId="10" xfId="0" applyNumberFormat="1" applyFont="1" applyFill="1" applyBorder="1" applyAlignment="1" applyProtection="1">
      <alignment horizontal="center" vertical="center" wrapText="1"/>
    </xf>
    <xf numFmtId="0" fontId="4" fillId="10" borderId="10" xfId="0" applyFont="1" applyFill="1" applyBorder="1" applyAlignment="1" applyProtection="1">
      <alignment horizontal="center" vertical="center" wrapText="1"/>
    </xf>
    <xf numFmtId="179" fontId="4" fillId="10" borderId="10" xfId="0" applyNumberFormat="1" applyFont="1" applyFill="1" applyBorder="1" applyAlignment="1" applyProtection="1">
      <alignment horizontal="center" vertical="center" wrapText="1"/>
    </xf>
    <xf numFmtId="0" fontId="6" fillId="10" borderId="10" xfId="0" applyFont="1" applyFill="1" applyBorder="1" applyAlignment="1" applyProtection="1">
      <alignment horizontal="center" vertical="center" wrapText="1"/>
    </xf>
    <xf numFmtId="0" fontId="4" fillId="7" borderId="10" xfId="0" applyFont="1" applyFill="1" applyBorder="1" applyAlignment="1" applyProtection="1">
      <alignment horizontal="center" vertical="center" wrapText="1"/>
    </xf>
    <xf numFmtId="179" fontId="4" fillId="7" borderId="10" xfId="0" applyNumberFormat="1" applyFont="1" applyFill="1" applyBorder="1" applyAlignment="1" applyProtection="1">
      <alignment horizontal="center" vertical="center" wrapText="1"/>
    </xf>
    <xf numFmtId="0" fontId="6" fillId="7" borderId="10" xfId="0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 applyProtection="1">
      <alignment horizontal="center" vertical="center" wrapText="1"/>
    </xf>
    <xf numFmtId="9" fontId="1" fillId="0" borderId="0" xfId="3" applyNumberFormat="1" applyFont="1" applyFill="1" applyBorder="1" applyAlignment="1" applyProtection="1">
      <alignment horizontal="center" vertical="center" wrapText="1"/>
    </xf>
    <xf numFmtId="179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1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colors>
    <mruColors>
      <color rgb="00E2343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1-&#26085;&#38144;&#34920;\2026-&#39532;&#26469;\2026&#24180;\5&#26376;\3C&#25968;&#30721;&amp;&#21150;&#20844;&#23433;&#38450;-&#26085;&#38144;0504&#29256;-&#39532;&#26469;&#12304;&#26377;&#25928;&#26085;&#38144;&#25968;&#25454;&#25130;&#27490;&#26376;5&#26376;1&#26085;&#1230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商品名称</v>
          </cell>
        </row>
        <row r="2">
          <cell r="P2" t="str">
            <v>Shopee</v>
          </cell>
          <cell r="Q2" t="str">
            <v>TikTokShop</v>
          </cell>
        </row>
        <row r="3">
          <cell r="B3" t="str">
            <v>3B-钥匙款保险箱黑小23*17*17cm</v>
          </cell>
        </row>
        <row r="3">
          <cell r="P3">
            <v>0.0833333333333333</v>
          </cell>
          <cell r="Q3">
            <v>0.916666666666667</v>
          </cell>
        </row>
        <row r="4">
          <cell r="B4" t="str">
            <v>3C-插电电池两用电动旋转盘12cm</v>
          </cell>
        </row>
        <row r="4">
          <cell r="P4">
            <v>0.68</v>
          </cell>
          <cell r="Q4">
            <v>0.32</v>
          </cell>
        </row>
        <row r="5">
          <cell r="B5" t="str">
            <v>3B-小票快递单打印机黑色</v>
          </cell>
        </row>
        <row r="5">
          <cell r="P5">
            <v>0</v>
          </cell>
          <cell r="Q5">
            <v>0</v>
          </cell>
        </row>
        <row r="6">
          <cell r="B6" t="str">
            <v>3C-22寸75Hz直面1K窄边显示器ES黑色</v>
          </cell>
        </row>
        <row r="6">
          <cell r="P6">
            <v>1</v>
          </cell>
          <cell r="Q6">
            <v>0</v>
          </cell>
        </row>
        <row r="7">
          <cell r="B7" t="str">
            <v>3C-23.6寸75Hz直面1K窄边显示器ES黑色</v>
          </cell>
        </row>
        <row r="7">
          <cell r="P7">
            <v>0</v>
          </cell>
          <cell r="Q7">
            <v>0</v>
          </cell>
        </row>
        <row r="8">
          <cell r="B8" t="str">
            <v>3C-19寸60Hz直面1K窄边显示器黑色ES</v>
          </cell>
        </row>
        <row r="8">
          <cell r="P8">
            <v>0</v>
          </cell>
          <cell r="Q8">
            <v>0</v>
          </cell>
        </row>
        <row r="9">
          <cell r="B9" t="str">
            <v>3B-路由器P6000白色</v>
          </cell>
        </row>
        <row r="9">
          <cell r="P9">
            <v>1</v>
          </cell>
          <cell r="Q9">
            <v>0</v>
          </cell>
        </row>
        <row r="10">
          <cell r="B10" t="str">
            <v>3C-X81海外智能版投影仪</v>
          </cell>
        </row>
        <row r="10">
          <cell r="P10">
            <v>0.25</v>
          </cell>
          <cell r="Q10">
            <v>0.75</v>
          </cell>
        </row>
        <row r="11">
          <cell r="B11" t="str">
            <v>3B-X1指纹考勤机</v>
          </cell>
        </row>
        <row r="11">
          <cell r="P11">
            <v>0.571428571428571</v>
          </cell>
          <cell r="Q11">
            <v>0.428571428571429</v>
          </cell>
        </row>
        <row r="12">
          <cell r="B12" t="str">
            <v>3C-360有线游戏手柄不带耳麦黑色</v>
          </cell>
        </row>
        <row r="12">
          <cell r="P12">
            <v>0.545454545454545</v>
          </cell>
          <cell r="Q12">
            <v>0.454545454545455</v>
          </cell>
        </row>
        <row r="13">
          <cell r="B13" t="str">
            <v>3C-加粗2.1米三角支架</v>
          </cell>
        </row>
        <row r="13">
          <cell r="P13">
            <v>0.852941176470588</v>
          </cell>
          <cell r="Q13">
            <v>0.147058823529412</v>
          </cell>
        </row>
        <row r="14">
          <cell r="B14" t="str">
            <v>3C-电视壁挂架小一体</v>
          </cell>
        </row>
        <row r="14">
          <cell r="P14">
            <v>0.523255813953488</v>
          </cell>
          <cell r="Q14">
            <v>0.476744186046512</v>
          </cell>
        </row>
        <row r="15">
          <cell r="B15" t="str">
            <v>3C-32至70寸电视移动支架的中托盘</v>
          </cell>
        </row>
        <row r="15">
          <cell r="P15">
            <v>0.5625</v>
          </cell>
          <cell r="Q15">
            <v>0.4375</v>
          </cell>
        </row>
        <row r="16">
          <cell r="B16" t="str">
            <v>3C-32至70寸电视移动支架的单支架</v>
          </cell>
        </row>
        <row r="16">
          <cell r="P16">
            <v>0.604395604395604</v>
          </cell>
          <cell r="Q16">
            <v>0.395604395604396</v>
          </cell>
        </row>
        <row r="17">
          <cell r="B17" t="str">
            <v>3B-不干胶打印纸5卷</v>
          </cell>
        </row>
        <row r="17">
          <cell r="P17">
            <v>0</v>
          </cell>
          <cell r="Q17">
            <v>0</v>
          </cell>
        </row>
        <row r="18">
          <cell r="B18" t="str">
            <v>3B-手提收银箱双层粉色</v>
          </cell>
        </row>
        <row r="18">
          <cell r="P18">
            <v>0.393700787401575</v>
          </cell>
          <cell r="Q18">
            <v>0.606299212598425</v>
          </cell>
        </row>
        <row r="19">
          <cell r="B19" t="str">
            <v>3C-单臂显示器支架</v>
          </cell>
        </row>
        <row r="19">
          <cell r="P19">
            <v>0.904255319148936</v>
          </cell>
          <cell r="Q19">
            <v>0.0957446808510638</v>
          </cell>
        </row>
        <row r="20">
          <cell r="B20" t="str">
            <v>3C-显示器支架立管ZTT003B</v>
          </cell>
        </row>
        <row r="20">
          <cell r="P20">
            <v>0.918367346938776</v>
          </cell>
          <cell r="Q20">
            <v>0.0816326530612245</v>
          </cell>
        </row>
        <row r="21">
          <cell r="B21" t="str">
            <v>3C-显示器支架立管带抽屉ZTT003DB</v>
          </cell>
        </row>
        <row r="21">
          <cell r="P21">
            <v>0.919354838709677</v>
          </cell>
          <cell r="Q21">
            <v>0.0806451612903226</v>
          </cell>
        </row>
        <row r="22">
          <cell r="B22" t="str">
            <v>3C-双臂显示器支架</v>
          </cell>
        </row>
        <row r="22">
          <cell r="P22">
            <v>0.918032786885246</v>
          </cell>
          <cell r="Q22">
            <v>0.0819672131147541</v>
          </cell>
        </row>
        <row r="23">
          <cell r="B23" t="str">
            <v>3C-双臂带托盘显示器支架</v>
          </cell>
        </row>
        <row r="23">
          <cell r="P23">
            <v>0.53968253968254</v>
          </cell>
          <cell r="Q23">
            <v>0.46031746031746</v>
          </cell>
        </row>
        <row r="24">
          <cell r="B24" t="str">
            <v>3B-手提收银箱双层黑色</v>
          </cell>
        </row>
        <row r="24">
          <cell r="P24">
            <v>0.661971830985915</v>
          </cell>
          <cell r="Q24">
            <v>0.338028169014085</v>
          </cell>
        </row>
        <row r="25">
          <cell r="B25" t="str">
            <v>3B-手提收银箱双层黑色密码款</v>
          </cell>
        </row>
        <row r="25">
          <cell r="P25">
            <v>0.394849785407725</v>
          </cell>
          <cell r="Q25">
            <v>0.605150214592275</v>
          </cell>
        </row>
        <row r="26">
          <cell r="B26" t="str">
            <v>3C-投影仪支架</v>
          </cell>
        </row>
        <row r="26">
          <cell r="P26">
            <v>0.675675675675676</v>
          </cell>
          <cell r="Q26">
            <v>0.324324324324324</v>
          </cell>
        </row>
        <row r="27">
          <cell r="B27" t="str">
            <v>3C-投影仪支架托盘</v>
          </cell>
        </row>
        <row r="27">
          <cell r="P27">
            <v>0.675675675675676</v>
          </cell>
          <cell r="Q27">
            <v>0.324324324324324</v>
          </cell>
        </row>
        <row r="28">
          <cell r="B28" t="str">
            <v>3C-X400电视壁挂架送膨胀丝等安装螺丝</v>
          </cell>
        </row>
        <row r="28">
          <cell r="P28">
            <v>0.23943661971831</v>
          </cell>
          <cell r="Q28">
            <v>0.76056338028169</v>
          </cell>
        </row>
        <row r="29">
          <cell r="B29" t="str">
            <v>3C-圆筒投影仪白色</v>
          </cell>
        </row>
        <row r="29">
          <cell r="P29">
            <v>0</v>
          </cell>
          <cell r="Q29">
            <v>1</v>
          </cell>
        </row>
        <row r="30">
          <cell r="B30" t="str">
            <v>3C-26至63寸电视支架</v>
          </cell>
        </row>
        <row r="30">
          <cell r="P30">
            <v>0.0508474576271186</v>
          </cell>
          <cell r="Q30">
            <v>0.949152542372881</v>
          </cell>
        </row>
        <row r="31">
          <cell r="B31" t="str">
            <v>3C-15.6寸60Hz直面1K便携式触摸显示器黑色</v>
          </cell>
        </row>
        <row r="31">
          <cell r="P31">
            <v>0</v>
          </cell>
          <cell r="Q31">
            <v>0</v>
          </cell>
        </row>
        <row r="32">
          <cell r="B32" t="str">
            <v>3C-电子琴37健黑色</v>
          </cell>
        </row>
        <row r="32">
          <cell r="P32">
            <v>0.564935064935065</v>
          </cell>
          <cell r="Q32">
            <v>0.435064935064935</v>
          </cell>
        </row>
        <row r="33">
          <cell r="B33" t="str">
            <v>3C-电子琴61健黑色</v>
          </cell>
        </row>
        <row r="33">
          <cell r="P33">
            <v>0.487603305785124</v>
          </cell>
          <cell r="Q33">
            <v>0.512396694214876</v>
          </cell>
        </row>
        <row r="34">
          <cell r="B34" t="str">
            <v>3B-2.4寸带屏双向可视摄像头</v>
          </cell>
        </row>
        <row r="34">
          <cell r="P34">
            <v>0.75</v>
          </cell>
          <cell r="Q34">
            <v>0.25</v>
          </cell>
        </row>
        <row r="35">
          <cell r="B35" t="str">
            <v>3B-户外太阳能单板摄像头WiFi版</v>
          </cell>
        </row>
        <row r="35">
          <cell r="P35">
            <v>0.0909090909090909</v>
          </cell>
          <cell r="Q35">
            <v>0.909090909090909</v>
          </cell>
        </row>
        <row r="36">
          <cell r="B36" t="str">
            <v>3C-H型32至70寸电视壁架</v>
          </cell>
        </row>
        <row r="36">
          <cell r="P36">
            <v>0.62680412371134</v>
          </cell>
          <cell r="Q36">
            <v>0.37319587628866</v>
          </cell>
        </row>
        <row r="37">
          <cell r="B37" t="str">
            <v>3B-保险箱黑</v>
          </cell>
        </row>
        <row r="37">
          <cell r="P37">
            <v>0.506849315068493</v>
          </cell>
          <cell r="Q37">
            <v>0.493150684931507</v>
          </cell>
        </row>
        <row r="38">
          <cell r="B38" t="str">
            <v>3C-15.6寸60Hz直面1K便携式显示器黑色</v>
          </cell>
        </row>
        <row r="38">
          <cell r="P38">
            <v>0.333333333333333</v>
          </cell>
          <cell r="Q38">
            <v>0.666666666666667</v>
          </cell>
        </row>
        <row r="39">
          <cell r="B39" t="str">
            <v>3C-14寸60Hz直面1K便携式显示器黑色</v>
          </cell>
        </row>
        <row r="39">
          <cell r="P39">
            <v>0</v>
          </cell>
          <cell r="Q39">
            <v>0</v>
          </cell>
        </row>
        <row r="40">
          <cell r="B40" t="str">
            <v>3C-蓝牙语音机顶盒</v>
          </cell>
        </row>
        <row r="40">
          <cell r="P40">
            <v>0</v>
          </cell>
          <cell r="Q40">
            <v>0</v>
          </cell>
        </row>
        <row r="41">
          <cell r="B41" t="str">
            <v>3B-摄像头存储卡16G</v>
          </cell>
        </row>
        <row r="41">
          <cell r="P41">
            <v>0</v>
          </cell>
          <cell r="Q41">
            <v>0</v>
          </cell>
        </row>
        <row r="42">
          <cell r="B42" t="str">
            <v>3B-摄像头存储卡32G</v>
          </cell>
        </row>
        <row r="42">
          <cell r="P42">
            <v>0</v>
          </cell>
          <cell r="Q42">
            <v>0</v>
          </cell>
        </row>
        <row r="43">
          <cell r="B43" t="str">
            <v>3B-仿真书银钱盒钥匙款蓝色</v>
          </cell>
        </row>
        <row r="43">
          <cell r="P43">
            <v>0.3375</v>
          </cell>
          <cell r="Q43">
            <v>0.6625</v>
          </cell>
        </row>
        <row r="44">
          <cell r="B44" t="str">
            <v>3B-仿真书银钱盒密码款蓝色</v>
          </cell>
        </row>
        <row r="44">
          <cell r="P44">
            <v>0.510416666666667</v>
          </cell>
          <cell r="Q44">
            <v>0.489583333333333</v>
          </cell>
        </row>
        <row r="45">
          <cell r="B45" t="str">
            <v>3C-11.6寸60Hz直面1K便携式显示器无触摸黑色</v>
          </cell>
        </row>
        <row r="45">
          <cell r="P45">
            <v>0.418685121107266</v>
          </cell>
          <cell r="Q45">
            <v>0.581314878892734</v>
          </cell>
        </row>
        <row r="46">
          <cell r="B46" t="str">
            <v>3B-磁吸白板20cm*30cm</v>
          </cell>
        </row>
        <row r="46">
          <cell r="P46">
            <v>0.497005988023952</v>
          </cell>
          <cell r="Q46">
            <v>0.502994011976048</v>
          </cell>
        </row>
        <row r="47">
          <cell r="B47" t="str">
            <v>3B-磁吸白板30cm*45cm</v>
          </cell>
        </row>
        <row r="47">
          <cell r="P47">
            <v>1</v>
          </cell>
          <cell r="Q47">
            <v>0</v>
          </cell>
        </row>
        <row r="48">
          <cell r="B48" t="str">
            <v>3B-磁吸白板45cm*60cm</v>
          </cell>
        </row>
        <row r="48">
          <cell r="P48">
            <v>0.713523131672598</v>
          </cell>
          <cell r="Q48">
            <v>0.286476868327402</v>
          </cell>
        </row>
        <row r="49">
          <cell r="B49" t="str">
            <v>3B-磁吸白板60cm*90cm</v>
          </cell>
        </row>
        <row r="49">
          <cell r="P49">
            <v>0</v>
          </cell>
          <cell r="Q49">
            <v>0</v>
          </cell>
        </row>
        <row r="50">
          <cell r="B50" t="str">
            <v>3B-白板通用支架60cm*100cm</v>
          </cell>
        </row>
        <row r="50">
          <cell r="P50">
            <v>0.579741379310345</v>
          </cell>
          <cell r="Q50">
            <v>0.420258620689655</v>
          </cell>
        </row>
        <row r="51">
          <cell r="B51" t="str">
            <v>3C-铜纤维游戏指套</v>
          </cell>
        </row>
        <row r="51">
          <cell r="P51">
            <v>0.976377952755906</v>
          </cell>
          <cell r="Q51">
            <v>0.0236220472440945</v>
          </cell>
        </row>
        <row r="52">
          <cell r="B52" t="str">
            <v>3C-X3游戏手柄带手机支架</v>
          </cell>
        </row>
        <row r="52">
          <cell r="P52">
            <v>0.34841628959276</v>
          </cell>
          <cell r="Q52">
            <v>0.65158371040724</v>
          </cell>
        </row>
        <row r="53">
          <cell r="B53" t="str">
            <v>3C-风扇款手机散热器</v>
          </cell>
        </row>
        <row r="53">
          <cell r="P53">
            <v>0</v>
          </cell>
          <cell r="Q53">
            <v>0</v>
          </cell>
        </row>
        <row r="54">
          <cell r="B54" t="str">
            <v>3C-原木色吉他套装</v>
          </cell>
        </row>
        <row r="54">
          <cell r="P54">
            <v>0.407079646017699</v>
          </cell>
          <cell r="Q54">
            <v>0.592920353982301</v>
          </cell>
        </row>
        <row r="55">
          <cell r="B55" t="str">
            <v>3C-21寸尤克里里</v>
          </cell>
        </row>
        <row r="55">
          <cell r="P55">
            <v>0.304582210242588</v>
          </cell>
          <cell r="Q55">
            <v>0.695417789757412</v>
          </cell>
        </row>
        <row r="56">
          <cell r="B56" t="str">
            <v>3C-原木色吉他</v>
          </cell>
        </row>
        <row r="56">
          <cell r="P56">
            <v>0.294520547945205</v>
          </cell>
          <cell r="Q56">
            <v>0.705479452054794</v>
          </cell>
        </row>
        <row r="57">
          <cell r="B57" t="str">
            <v>3C-数码相机银色6400万像素</v>
          </cell>
        </row>
        <row r="57">
          <cell r="P57">
            <v>0</v>
          </cell>
          <cell r="Q57">
            <v>1</v>
          </cell>
        </row>
        <row r="58">
          <cell r="B58" t="str">
            <v>3B-磁吸数显快充充电宝10000mAh</v>
          </cell>
        </row>
        <row r="58">
          <cell r="P58">
            <v>0.943661971830986</v>
          </cell>
          <cell r="Q58">
            <v>0.0563380281690141</v>
          </cell>
        </row>
        <row r="59">
          <cell r="B59" t="str">
            <v>3C-插电式分体电动旋转盘白色20cm</v>
          </cell>
        </row>
        <row r="59">
          <cell r="P59">
            <v>0.662251655629139</v>
          </cell>
          <cell r="Q59">
            <v>0.337748344370861</v>
          </cell>
        </row>
        <row r="60">
          <cell r="B60" t="str">
            <v>3C-插电式分体电动旋转盘黑色13cm</v>
          </cell>
        </row>
        <row r="60">
          <cell r="P60">
            <v>0.859375</v>
          </cell>
          <cell r="Q60">
            <v>0.140625</v>
          </cell>
        </row>
        <row r="61">
          <cell r="B61" t="str">
            <v>3C-插电式分体电动旋转盘黑色20cm</v>
          </cell>
        </row>
        <row r="61">
          <cell r="P61">
            <v>0.629032258064516</v>
          </cell>
          <cell r="Q61">
            <v>0.370967741935484</v>
          </cell>
        </row>
        <row r="62">
          <cell r="B62" t="str">
            <v>3B-小票快递单打印机黑蓝色</v>
          </cell>
        </row>
        <row r="62">
          <cell r="P62">
            <v>0.944827586206897</v>
          </cell>
          <cell r="Q62">
            <v>0.0551724137931034</v>
          </cell>
        </row>
        <row r="63">
          <cell r="B63" t="str">
            <v>3B-旅行AC插头充电宝10000毫安白色</v>
          </cell>
        </row>
        <row r="63">
          <cell r="P63">
            <v>0</v>
          </cell>
          <cell r="Q63">
            <v>0</v>
          </cell>
        </row>
        <row r="64">
          <cell r="B64" t="str">
            <v>3B-胶囊充电宝5000毫安苹果接口白色</v>
          </cell>
        </row>
        <row r="64">
          <cell r="P64">
            <v>0.5</v>
          </cell>
          <cell r="Q64">
            <v>0.5</v>
          </cell>
        </row>
        <row r="65">
          <cell r="B65" t="str">
            <v>3B-手持一维无线影像扫描枪</v>
          </cell>
        </row>
        <row r="65">
          <cell r="P65">
            <v>0.526315789473684</v>
          </cell>
          <cell r="Q65">
            <v>0.473684210526316</v>
          </cell>
        </row>
        <row r="66">
          <cell r="B66" t="str">
            <v>3B-手持二维有线影像扫描枪</v>
          </cell>
        </row>
        <row r="66">
          <cell r="P66">
            <v>0</v>
          </cell>
          <cell r="Q66">
            <v>0</v>
          </cell>
        </row>
        <row r="67">
          <cell r="B67" t="str">
            <v>3B-手持二维无线影像扫描枪</v>
          </cell>
        </row>
        <row r="67">
          <cell r="P67">
            <v>0</v>
          </cell>
          <cell r="Q67">
            <v>1</v>
          </cell>
        </row>
        <row r="68">
          <cell r="B68" t="str">
            <v>3B-手持二维无线蓝牙影像扫描枪</v>
          </cell>
        </row>
        <row r="68">
          <cell r="P68">
            <v>0</v>
          </cell>
          <cell r="Q68">
            <v>0</v>
          </cell>
        </row>
        <row r="69">
          <cell r="B69" t="str">
            <v>3B-碎纸机10L</v>
          </cell>
        </row>
        <row r="69">
          <cell r="P69">
            <v>0.686274509803922</v>
          </cell>
          <cell r="Q69">
            <v>0.313725490196078</v>
          </cell>
        </row>
        <row r="70">
          <cell r="B70" t="str">
            <v>3C-M98型机顶盒</v>
          </cell>
        </row>
        <row r="70">
          <cell r="P70">
            <v>0.468412942989214</v>
          </cell>
          <cell r="Q70">
            <v>0.531587057010786</v>
          </cell>
        </row>
        <row r="71">
          <cell r="B71" t="str">
            <v>3C-手卷电子7垫鼓</v>
          </cell>
        </row>
        <row r="71">
          <cell r="P71">
            <v>1</v>
          </cell>
          <cell r="Q71">
            <v>0</v>
          </cell>
        </row>
        <row r="72">
          <cell r="B72" t="str">
            <v>3C-游戏手柄套装</v>
          </cell>
        </row>
        <row r="72">
          <cell r="P72">
            <v>0</v>
          </cell>
          <cell r="Q72">
            <v>0</v>
          </cell>
        </row>
        <row r="73">
          <cell r="B73" t="str">
            <v>3B-磁吸白板70cm*100cm</v>
          </cell>
        </row>
        <row r="73">
          <cell r="P73">
            <v>1</v>
          </cell>
          <cell r="Q73">
            <v>0</v>
          </cell>
        </row>
        <row r="74">
          <cell r="B74" t="str">
            <v>3C-黑色吉他</v>
          </cell>
        </row>
        <row r="74">
          <cell r="P74">
            <v>1</v>
          </cell>
          <cell r="Q74">
            <v>0</v>
          </cell>
        </row>
        <row r="75">
          <cell r="B75" t="str">
            <v>3C-10寸蓝牙键盘白色</v>
          </cell>
        </row>
        <row r="75">
          <cell r="P75">
            <v>0</v>
          </cell>
          <cell r="Q75">
            <v>0</v>
          </cell>
        </row>
        <row r="76">
          <cell r="B76" t="str">
            <v>3C-插电式分体电动旋转盘白色13cm</v>
          </cell>
        </row>
        <row r="76">
          <cell r="P76">
            <v>0.848101265822785</v>
          </cell>
          <cell r="Q76">
            <v>0.151898734177215</v>
          </cell>
        </row>
        <row r="77">
          <cell r="B77" t="str">
            <v>3C-黑色吉他套装</v>
          </cell>
        </row>
        <row r="77">
          <cell r="P77">
            <v>0.423728813559322</v>
          </cell>
          <cell r="Q77">
            <v>0.576271186440678</v>
          </cell>
        </row>
        <row r="78">
          <cell r="B78" t="str">
            <v>3C-360有线游戏手柄不带耳麦白色</v>
          </cell>
        </row>
        <row r="78">
          <cell r="P78">
            <v>0.745762711864407</v>
          </cell>
          <cell r="Q78">
            <v>0.254237288135593</v>
          </cell>
        </row>
        <row r="79">
          <cell r="B79" t="str">
            <v>3C-电脑显示器支架</v>
          </cell>
        </row>
        <row r="79">
          <cell r="P79">
            <v>0.698324022346369</v>
          </cell>
          <cell r="Q79">
            <v>0.301675977653631</v>
          </cell>
        </row>
        <row r="80">
          <cell r="B80" t="str">
            <v>3C-组合双臂显示器支架</v>
          </cell>
        </row>
        <row r="80">
          <cell r="P80">
            <v>0.651041666666667</v>
          </cell>
          <cell r="Q80">
            <v>0.348958333333333</v>
          </cell>
        </row>
        <row r="81">
          <cell r="B81" t="str">
            <v>3B-保险箱黑小</v>
          </cell>
        </row>
        <row r="81">
          <cell r="P81">
            <v>0.174242424242424</v>
          </cell>
          <cell r="Q81">
            <v>0.825757575757576</v>
          </cell>
        </row>
        <row r="82">
          <cell r="B82" t="str">
            <v>3C-吉他金属挂架</v>
          </cell>
        </row>
        <row r="82">
          <cell r="P82">
            <v>0</v>
          </cell>
          <cell r="Q82">
            <v>0</v>
          </cell>
        </row>
        <row r="83">
          <cell r="B83" t="str">
            <v>3C-单扇散热支架无调节</v>
          </cell>
        </row>
        <row r="83">
          <cell r="P83">
            <v>0.5</v>
          </cell>
          <cell r="Q83">
            <v>0.5</v>
          </cell>
        </row>
        <row r="84">
          <cell r="B84" t="str">
            <v>3C-双扇散热支架5档调节</v>
          </cell>
        </row>
        <row r="84">
          <cell r="P84">
            <v>0.333333333333333</v>
          </cell>
          <cell r="Q84">
            <v>0.666666666666667</v>
          </cell>
        </row>
        <row r="85">
          <cell r="B85" t="str">
            <v>3B-全塑料密码盒</v>
          </cell>
        </row>
        <row r="85">
          <cell r="P85">
            <v>0.972222222222222</v>
          </cell>
          <cell r="Q85">
            <v>0.0277777777777778</v>
          </cell>
        </row>
        <row r="86">
          <cell r="B86" t="str">
            <v>3B-挂绳款半合金密码盒</v>
          </cell>
        </row>
        <row r="86">
          <cell r="P86">
            <v>0.714285714285714</v>
          </cell>
          <cell r="Q86">
            <v>0.285714285714286</v>
          </cell>
        </row>
        <row r="87">
          <cell r="B87" t="str">
            <v>3B-摄像头置物架</v>
          </cell>
        </row>
        <row r="87">
          <cell r="P87">
            <v>0</v>
          </cell>
          <cell r="Q87">
            <v>0</v>
          </cell>
        </row>
        <row r="88">
          <cell r="B88" t="str">
            <v>3C-铝合金支架N3</v>
          </cell>
        </row>
        <row r="88">
          <cell r="P88">
            <v>0.842105263157895</v>
          </cell>
          <cell r="Q88">
            <v>0.157894736842105</v>
          </cell>
        </row>
        <row r="89">
          <cell r="B89" t="str">
            <v>3C-半透明蓝牙RGB背光鼠标橙色</v>
          </cell>
        </row>
        <row r="89">
          <cell r="P89">
            <v>0.333333333333333</v>
          </cell>
          <cell r="Q89">
            <v>0.666666666666667</v>
          </cell>
        </row>
        <row r="90">
          <cell r="B90" t="str">
            <v>3C-半透明蓝牙RGB背光鼠标黑色</v>
          </cell>
        </row>
        <row r="90">
          <cell r="P90">
            <v>0</v>
          </cell>
          <cell r="Q90">
            <v>0</v>
          </cell>
        </row>
        <row r="91">
          <cell r="B91" t="str">
            <v>3B-智能指纹门锁X7</v>
          </cell>
        </row>
        <row r="91">
          <cell r="P91">
            <v>0.211538461538462</v>
          </cell>
          <cell r="Q91">
            <v>0.788461538461538</v>
          </cell>
        </row>
        <row r="92">
          <cell r="B92" t="str">
            <v>3C-原木色民谣吉他</v>
          </cell>
        </row>
        <row r="92">
          <cell r="P92">
            <v>0.229166666666667</v>
          </cell>
          <cell r="Q92">
            <v>0.770833333333333</v>
          </cell>
        </row>
        <row r="93">
          <cell r="B93" t="str">
            <v>3C-黑色民谣吉他</v>
          </cell>
        </row>
        <row r="93">
          <cell r="P93">
            <v>0.103448275862069</v>
          </cell>
          <cell r="Q93">
            <v>0.896551724137931</v>
          </cell>
        </row>
        <row r="94">
          <cell r="B94" t="str">
            <v>3B-智能指纹门锁M20</v>
          </cell>
        </row>
        <row r="94">
          <cell r="P94">
            <v>0.26530612244898</v>
          </cell>
          <cell r="Q94">
            <v>0.73469387755102</v>
          </cell>
        </row>
        <row r="95">
          <cell r="B95" t="str">
            <v>3B-收银箱335金属黑色固定版</v>
          </cell>
        </row>
        <row r="95">
          <cell r="P95">
            <v>0.790909090909091</v>
          </cell>
          <cell r="Q95">
            <v>0.209090909090909</v>
          </cell>
        </row>
        <row r="96">
          <cell r="B96" t="str">
            <v>3B-收银箱405金属黑色固定版</v>
          </cell>
        </row>
        <row r="96">
          <cell r="P96">
            <v>0.790996784565916</v>
          </cell>
          <cell r="Q96">
            <v>0.209003215434084</v>
          </cell>
        </row>
        <row r="97">
          <cell r="B97" t="str">
            <v>3C-27寸75Hz直面1K窄边显示器ES黑色</v>
          </cell>
        </row>
        <row r="97">
          <cell r="P97">
            <v>0</v>
          </cell>
          <cell r="Q97">
            <v>0</v>
          </cell>
        </row>
        <row r="98">
          <cell r="B98" t="str">
            <v>3C-23.8寸100Hz无边1K曲面显示器带喇叭黑色</v>
          </cell>
        </row>
        <row r="98">
          <cell r="P98">
            <v>0</v>
          </cell>
          <cell r="Q98">
            <v>0</v>
          </cell>
        </row>
        <row r="99">
          <cell r="B99" t="str">
            <v>3C-27寸165Hz曲面1K显示器带喇叭黑色</v>
          </cell>
        </row>
        <row r="99">
          <cell r="P99">
            <v>0</v>
          </cell>
          <cell r="Q99">
            <v>0</v>
          </cell>
        </row>
        <row r="100">
          <cell r="B100" t="str">
            <v>3B-便携式储能电源</v>
          </cell>
        </row>
        <row r="100">
          <cell r="P100">
            <v>1</v>
          </cell>
          <cell r="Q100">
            <v>0</v>
          </cell>
        </row>
        <row r="101">
          <cell r="B101" t="str">
            <v>3C-桌面显示器支架钢化玻璃底座</v>
          </cell>
        </row>
        <row r="101">
          <cell r="P101">
            <v>0.1875</v>
          </cell>
          <cell r="Q101">
            <v>0.8125</v>
          </cell>
        </row>
        <row r="102">
          <cell r="B102" t="str">
            <v>3C-立式显示器支架不带托盘</v>
          </cell>
        </row>
        <row r="102">
          <cell r="P102">
            <v>0</v>
          </cell>
          <cell r="Q102">
            <v>0</v>
          </cell>
        </row>
        <row r="103">
          <cell r="B103" t="str">
            <v>3B-密码保险箱黑</v>
          </cell>
        </row>
        <row r="103">
          <cell r="P103">
            <v>0.41304347826087</v>
          </cell>
          <cell r="Q103">
            <v>0.58695652173913</v>
          </cell>
        </row>
        <row r="104">
          <cell r="B104" t="str">
            <v>3B-保险箱黑50*35*30</v>
          </cell>
        </row>
        <row r="104">
          <cell r="P104">
            <v>0.38135593220339</v>
          </cell>
          <cell r="Q104">
            <v>0.61864406779661</v>
          </cell>
        </row>
        <row r="105">
          <cell r="B105" t="str">
            <v>3C-翻页笔</v>
          </cell>
        </row>
        <row r="105">
          <cell r="P105">
            <v>0.576923076923077</v>
          </cell>
          <cell r="Q105">
            <v>0.423076923076923</v>
          </cell>
        </row>
        <row r="106">
          <cell r="B106" t="str">
            <v>3C-平板旋转支架</v>
          </cell>
        </row>
        <row r="106">
          <cell r="P106">
            <v>0</v>
          </cell>
          <cell r="Q106">
            <v>1</v>
          </cell>
        </row>
        <row r="107">
          <cell r="B107" t="str">
            <v>3B-300CWiFi路由器</v>
          </cell>
        </row>
        <row r="107">
          <cell r="P107">
            <v>0</v>
          </cell>
          <cell r="Q107">
            <v>0</v>
          </cell>
        </row>
        <row r="108">
          <cell r="B108" t="str">
            <v>3B-306CWiFi路由器</v>
          </cell>
        </row>
        <row r="108">
          <cell r="P108">
            <v>1</v>
          </cell>
          <cell r="Q108">
            <v>0</v>
          </cell>
        </row>
        <row r="109">
          <cell r="B109" t="str">
            <v>3B-便携式C15打印机绿标配</v>
          </cell>
        </row>
        <row r="109">
          <cell r="P109">
            <v>0</v>
          </cell>
          <cell r="Q109">
            <v>0</v>
          </cell>
        </row>
        <row r="110">
          <cell r="B110" t="str">
            <v>3C-声霸蓝牙音箱</v>
          </cell>
        </row>
        <row r="110">
          <cell r="P110">
            <v>0.40997830802603</v>
          </cell>
          <cell r="Q110">
            <v>0.59002169197397</v>
          </cell>
        </row>
        <row r="111">
          <cell r="B111" t="str">
            <v>3C-30*80*2cm鼠标垫RGB</v>
          </cell>
        </row>
        <row r="111">
          <cell r="P111">
            <v>0.621399176954733</v>
          </cell>
          <cell r="Q111">
            <v>0.378600823045267</v>
          </cell>
        </row>
        <row r="112">
          <cell r="B112" t="str">
            <v>3B-宽57cm不干胶标签打印纸5卷</v>
          </cell>
        </row>
        <row r="112">
          <cell r="P112">
            <v>1</v>
          </cell>
          <cell r="Q112">
            <v>0</v>
          </cell>
        </row>
        <row r="113">
          <cell r="B113" t="str">
            <v>3B-宽57cm热敏打印纸5卷</v>
          </cell>
        </row>
        <row r="113">
          <cell r="P113">
            <v>0.892950391644909</v>
          </cell>
          <cell r="Q113">
            <v>0.107049608355091</v>
          </cell>
        </row>
        <row r="114">
          <cell r="B114" t="str">
            <v>3B-有线二维扫描平台</v>
          </cell>
        </row>
        <row r="114">
          <cell r="P114">
            <v>0.333333333333333</v>
          </cell>
          <cell r="Q114">
            <v>0.666666666666667</v>
          </cell>
        </row>
        <row r="115">
          <cell r="B115" t="str">
            <v>3B-四功能智能门锁</v>
          </cell>
        </row>
        <row r="115">
          <cell r="P115">
            <v>0.256830601092896</v>
          </cell>
          <cell r="Q115">
            <v>0.743169398907104</v>
          </cell>
        </row>
        <row r="116">
          <cell r="B116" t="str">
            <v>3C-100英寸投影仪屏幕</v>
          </cell>
        </row>
        <row r="116">
          <cell r="P116">
            <v>0.5</v>
          </cell>
          <cell r="Q116">
            <v>0.5</v>
          </cell>
        </row>
        <row r="117">
          <cell r="B117" t="str">
            <v>3C-84英寸投影仪屏幕</v>
          </cell>
        </row>
        <row r="117">
          <cell r="P117">
            <v>0.452702702702703</v>
          </cell>
          <cell r="Q117">
            <v>0.547297297297297</v>
          </cell>
        </row>
        <row r="118">
          <cell r="B118" t="str">
            <v>3C-120英寸投影仪屏幕</v>
          </cell>
        </row>
        <row r="118">
          <cell r="P118">
            <v>0.716216216216216</v>
          </cell>
          <cell r="Q118">
            <v>0.283783783783784</v>
          </cell>
        </row>
        <row r="119">
          <cell r="B119" t="str">
            <v>3C-单个装大拇指整理器</v>
          </cell>
        </row>
        <row r="119">
          <cell r="P119">
            <v>0</v>
          </cell>
          <cell r="Q119">
            <v>0</v>
          </cell>
        </row>
        <row r="120">
          <cell r="B120" t="str">
            <v>3C-23.6寸75Hz曲面1K窄边显示器带喇叭黑色</v>
          </cell>
        </row>
        <row r="120">
          <cell r="P120">
            <v>0</v>
          </cell>
          <cell r="Q120">
            <v>0</v>
          </cell>
        </row>
        <row r="121">
          <cell r="B121" t="str">
            <v>3B-小号仿真书银钱盒钥匙款蓝色</v>
          </cell>
        </row>
        <row r="121">
          <cell r="P121">
            <v>0.153439153439153</v>
          </cell>
          <cell r="Q121">
            <v>0.846560846560847</v>
          </cell>
        </row>
        <row r="122">
          <cell r="B122" t="str">
            <v>3B-大号仿真书银钱盒钥匙款蓝色</v>
          </cell>
        </row>
        <row r="122">
          <cell r="P122">
            <v>0.420814479638009</v>
          </cell>
          <cell r="Q122">
            <v>0.579185520361991</v>
          </cell>
        </row>
        <row r="123">
          <cell r="B123" t="str">
            <v>3C-电脑组合小音响</v>
          </cell>
        </row>
        <row r="123">
          <cell r="P123">
            <v>1</v>
          </cell>
          <cell r="Q123">
            <v>0</v>
          </cell>
        </row>
        <row r="124">
          <cell r="B124" t="str">
            <v>3B-小号仿真书银钱盒密码款蓝色</v>
          </cell>
        </row>
        <row r="124">
          <cell r="P124">
            <v>0.571428571428571</v>
          </cell>
          <cell r="Q124">
            <v>0.428571428571429</v>
          </cell>
        </row>
        <row r="125">
          <cell r="B125" t="str">
            <v>3B-大号仿真书银钱盒密码款蓝色</v>
          </cell>
        </row>
        <row r="125">
          <cell r="P125">
            <v>0.75</v>
          </cell>
          <cell r="Q125">
            <v>0.25</v>
          </cell>
        </row>
        <row r="126">
          <cell r="B126" t="str">
            <v>3B-保险柜80cm*44cm*40cm</v>
          </cell>
        </row>
        <row r="126">
          <cell r="P126">
            <v>0</v>
          </cell>
          <cell r="Q126">
            <v>1</v>
          </cell>
        </row>
        <row r="127">
          <cell r="B127" t="str">
            <v>3B-保险柜100cm*51cm*45cm</v>
          </cell>
        </row>
        <row r="127">
          <cell r="P127">
            <v>0.2</v>
          </cell>
          <cell r="Q127">
            <v>0.8</v>
          </cell>
        </row>
        <row r="128">
          <cell r="B128" t="str">
            <v>3C-W1白色数码相机包含32gTF卡</v>
          </cell>
        </row>
        <row r="128">
          <cell r="P128">
            <v>0</v>
          </cell>
          <cell r="Q128">
            <v>1</v>
          </cell>
        </row>
        <row r="129">
          <cell r="B129" t="str">
            <v>3C-W1白色数码相机包含64gTF卡</v>
          </cell>
        </row>
        <row r="129">
          <cell r="P129">
            <v>0</v>
          </cell>
          <cell r="Q129">
            <v>1</v>
          </cell>
        </row>
        <row r="130">
          <cell r="B130" t="str">
            <v>3C-小蜜蜂黑色有线升级版</v>
          </cell>
        </row>
        <row r="130">
          <cell r="P130">
            <v>0.148051948051948</v>
          </cell>
          <cell r="Q130">
            <v>0.851948051948052</v>
          </cell>
        </row>
        <row r="131">
          <cell r="B131" t="str">
            <v>3B-58mm手持蓝牙标签打印机</v>
          </cell>
        </row>
        <row r="131">
          <cell r="P131">
            <v>0.975155279503106</v>
          </cell>
          <cell r="Q131">
            <v>0.0248447204968944</v>
          </cell>
        </row>
        <row r="132">
          <cell r="B132" t="str">
            <v>3B-投币款保险箱23*17*17cm</v>
          </cell>
        </row>
        <row r="132">
          <cell r="P132">
            <v>1</v>
          </cell>
          <cell r="Q132">
            <v>0</v>
          </cell>
        </row>
        <row r="133">
          <cell r="B133" t="str">
            <v>3C-投影仪支架云台32cm*25cm</v>
          </cell>
        </row>
        <row r="133">
          <cell r="P133">
            <v>0.91025641025641</v>
          </cell>
          <cell r="Q133">
            <v>0.0897435897435897</v>
          </cell>
        </row>
        <row r="134">
          <cell r="B134" t="str">
            <v>3C-投影仪支架1.2米</v>
          </cell>
        </row>
        <row r="134">
          <cell r="P134">
            <v>0.945945945945946</v>
          </cell>
          <cell r="Q134">
            <v>0.0540540540540541</v>
          </cell>
        </row>
        <row r="135">
          <cell r="B135" t="str">
            <v>3B-快递面单打印机白色</v>
          </cell>
        </row>
        <row r="135">
          <cell r="P135">
            <v>0.904761904761905</v>
          </cell>
          <cell r="Q135">
            <v>0.0952380952380952</v>
          </cell>
        </row>
        <row r="136">
          <cell r="B136" t="str">
            <v>3C-23.8寸165Hz曲面1K无边显示器带喇叭黑色</v>
          </cell>
        </row>
        <row r="136">
          <cell r="P136">
            <v>0</v>
          </cell>
          <cell r="Q136">
            <v>0</v>
          </cell>
        </row>
        <row r="137">
          <cell r="B137" t="str">
            <v>3B-不干胶标签打印纸单卷150*100mm</v>
          </cell>
        </row>
        <row r="137">
          <cell r="P137">
            <v>0.678571428571429</v>
          </cell>
          <cell r="Q137">
            <v>0.321428571428571</v>
          </cell>
        </row>
        <row r="138">
          <cell r="B138" t="str">
            <v>3B-JY004便携式储能电源4KG</v>
          </cell>
        </row>
        <row r="138">
          <cell r="P138">
            <v>0.339181286549708</v>
          </cell>
          <cell r="Q138">
            <v>0.660818713450292</v>
          </cell>
        </row>
        <row r="139">
          <cell r="B139" t="str">
            <v>3B-JY004便携式储能电源5KG</v>
          </cell>
        </row>
        <row r="139">
          <cell r="P139">
            <v>0.6</v>
          </cell>
          <cell r="Q139">
            <v>0.4</v>
          </cell>
        </row>
        <row r="140">
          <cell r="B140" t="str">
            <v>3B-JY004便携式储能电源8KG</v>
          </cell>
        </row>
        <row r="140">
          <cell r="P140">
            <v>0.4</v>
          </cell>
          <cell r="Q140">
            <v>0.6</v>
          </cell>
        </row>
        <row r="141">
          <cell r="B141" t="str">
            <v>3B-储能电源光伏充电板</v>
          </cell>
        </row>
        <row r="141">
          <cell r="P141">
            <v>1</v>
          </cell>
          <cell r="Q141">
            <v>0</v>
          </cell>
        </row>
        <row r="142">
          <cell r="B142" t="str">
            <v>3B-白板双杠可伸缩通用支架</v>
          </cell>
        </row>
        <row r="142">
          <cell r="P142">
            <v>0.895454545454546</v>
          </cell>
          <cell r="Q142">
            <v>0.104545454545455</v>
          </cell>
        </row>
        <row r="143">
          <cell r="B143" t="str">
            <v>3B-手提款单面广告展示架口字结构</v>
          </cell>
        </row>
        <row r="143">
          <cell r="P143">
            <v>0.0601503759398496</v>
          </cell>
          <cell r="Q143">
            <v>0.93984962406015</v>
          </cell>
        </row>
        <row r="144">
          <cell r="B144" t="str">
            <v>3B-手提款双面广告展示架口字结构</v>
          </cell>
        </row>
        <row r="144">
          <cell r="P144">
            <v>1</v>
          </cell>
          <cell r="Q144">
            <v>0</v>
          </cell>
        </row>
        <row r="145">
          <cell r="B145" t="str">
            <v>3C-32英寸到55英寸带中托可移动电视支架</v>
          </cell>
        </row>
        <row r="145">
          <cell r="P145">
            <v>0.19672131147541</v>
          </cell>
          <cell r="Q145">
            <v>0.80327868852459</v>
          </cell>
        </row>
        <row r="146">
          <cell r="B146" t="str">
            <v>3B-点钞机外接显示器白色</v>
          </cell>
        </row>
        <row r="146">
          <cell r="P146">
            <v>0.194805194805195</v>
          </cell>
          <cell r="Q146">
            <v>0.805194805194805</v>
          </cell>
        </row>
        <row r="147">
          <cell r="B147" t="str">
            <v>3B-迷你标签打印机白色</v>
          </cell>
        </row>
        <row r="147">
          <cell r="P147">
            <v>1</v>
          </cell>
          <cell r="Q147">
            <v>0</v>
          </cell>
        </row>
        <row r="148">
          <cell r="B148" t="str">
            <v>3B-点钞机灰色</v>
          </cell>
        </row>
        <row r="148">
          <cell r="P148">
            <v>0.353174603174603</v>
          </cell>
          <cell r="Q148">
            <v>0.646825396825397</v>
          </cell>
        </row>
        <row r="149">
          <cell r="B149" t="str">
            <v>3B-球型门锁Q7豪华款</v>
          </cell>
        </row>
        <row r="149">
          <cell r="P149">
            <v>0.444444444444444</v>
          </cell>
          <cell r="Q149">
            <v>0.555555555555556</v>
          </cell>
        </row>
        <row r="150">
          <cell r="B150" t="str">
            <v>3C-V8H型电视机支架</v>
          </cell>
        </row>
        <row r="150">
          <cell r="P150">
            <v>0.24</v>
          </cell>
          <cell r="Q150">
            <v>0.76</v>
          </cell>
        </row>
        <row r="151">
          <cell r="B151" t="str">
            <v>3B-玻璃门框指纹密码锁A16</v>
          </cell>
        </row>
        <row r="151">
          <cell r="P151">
            <v>0.727272727272727</v>
          </cell>
          <cell r="Q151">
            <v>0.272727272727273</v>
          </cell>
        </row>
        <row r="152">
          <cell r="B152" t="str">
            <v>3B-磁吸白板90cm*180cm</v>
          </cell>
        </row>
        <row r="152">
          <cell r="P152">
            <v>0</v>
          </cell>
          <cell r="Q152">
            <v>0</v>
          </cell>
        </row>
        <row r="153">
          <cell r="B153" t="str">
            <v>3B-橡胶磁白板背胶45cm*75cm</v>
          </cell>
        </row>
        <row r="153">
          <cell r="P153">
            <v>0.693548387096774</v>
          </cell>
          <cell r="Q153">
            <v>0.306451612903226</v>
          </cell>
        </row>
        <row r="154">
          <cell r="B154" t="str">
            <v>3B-道路广角镜45cm</v>
          </cell>
        </row>
        <row r="154">
          <cell r="P154">
            <v>0.411764705882353</v>
          </cell>
          <cell r="Q154">
            <v>0.588235294117647</v>
          </cell>
        </row>
        <row r="155">
          <cell r="B155" t="str">
            <v>3B-道路广角镜60cm</v>
          </cell>
        </row>
        <row r="155">
          <cell r="P155">
            <v>0.333333333333333</v>
          </cell>
          <cell r="Q155">
            <v>0.666666666666667</v>
          </cell>
        </row>
        <row r="156">
          <cell r="B156" t="str">
            <v>3B-道路广角镜80cm</v>
          </cell>
        </row>
        <row r="156">
          <cell r="P156">
            <v>0</v>
          </cell>
          <cell r="Q156">
            <v>0</v>
          </cell>
        </row>
        <row r="157">
          <cell r="B157" t="str">
            <v>3B-道路广角镜100cm</v>
          </cell>
        </row>
        <row r="157">
          <cell r="P157">
            <v>0</v>
          </cell>
          <cell r="Q157">
            <v>0</v>
          </cell>
        </row>
        <row r="158">
          <cell r="B158" t="str">
            <v>3B-道路减速带100cm*35cm*3cm</v>
          </cell>
        </row>
        <row r="158">
          <cell r="P158">
            <v>1</v>
          </cell>
          <cell r="Q158">
            <v>0</v>
          </cell>
        </row>
        <row r="159">
          <cell r="B159" t="str">
            <v>3B-斜坡垫50*22*5cm</v>
          </cell>
        </row>
        <row r="159">
          <cell r="P159">
            <v>0.914893617021277</v>
          </cell>
          <cell r="Q159">
            <v>0.0851063829787234</v>
          </cell>
        </row>
        <row r="160">
          <cell r="B160" t="str">
            <v>3B-斜坡垫50*22*9cm</v>
          </cell>
        </row>
        <row r="160">
          <cell r="P160">
            <v>1</v>
          </cell>
          <cell r="Q160">
            <v>0</v>
          </cell>
        </row>
        <row r="161">
          <cell r="B161" t="str">
            <v>3B-斜坡垫50*22*11cm</v>
          </cell>
        </row>
        <row r="161">
          <cell r="P161">
            <v>1</v>
          </cell>
          <cell r="Q161">
            <v>0</v>
          </cell>
        </row>
        <row r="162">
          <cell r="B162" t="str">
            <v>3B-折叠安全护栏2.5m</v>
          </cell>
        </row>
        <row r="162">
          <cell r="P162">
            <v>0</v>
          </cell>
          <cell r="Q162">
            <v>0</v>
          </cell>
        </row>
        <row r="163">
          <cell r="B163" t="str">
            <v>3B-黄黑伸缩连接杆1至2m</v>
          </cell>
        </row>
        <row r="163">
          <cell r="P163">
            <v>0</v>
          </cell>
          <cell r="Q163">
            <v>1</v>
          </cell>
        </row>
        <row r="164">
          <cell r="B164" t="str">
            <v>3B-道路警示柱75cm</v>
          </cell>
        </row>
        <row r="164">
          <cell r="P164">
            <v>0</v>
          </cell>
          <cell r="Q164">
            <v>0</v>
          </cell>
        </row>
        <row r="165">
          <cell r="B165" t="str">
            <v>3B-道路警示折叠锥桶30cm</v>
          </cell>
        </row>
        <row r="165">
          <cell r="P165">
            <v>0</v>
          </cell>
          <cell r="Q165">
            <v>0</v>
          </cell>
        </row>
        <row r="166">
          <cell r="B166" t="str">
            <v>3B-道路警示折叠锥桶45cm</v>
          </cell>
        </row>
        <row r="166">
          <cell r="P166">
            <v>0.888888888888889</v>
          </cell>
          <cell r="Q166">
            <v>0.111111111111111</v>
          </cell>
        </row>
        <row r="167">
          <cell r="B167" t="str">
            <v>3B-道路警示折叠锥桶70cm</v>
          </cell>
        </row>
        <row r="167">
          <cell r="P167">
            <v>1</v>
          </cell>
          <cell r="Q167">
            <v>0</v>
          </cell>
        </row>
        <row r="168">
          <cell r="B168" t="str">
            <v>3B-橡胶磁白板背胶45cm*100cm</v>
          </cell>
        </row>
        <row r="168">
          <cell r="P168">
            <v>0.633928571428571</v>
          </cell>
          <cell r="Q168">
            <v>0.366071428571429</v>
          </cell>
        </row>
        <row r="169">
          <cell r="B169" t="str">
            <v>3B-橡胶磁白板背胶60cm*90cm</v>
          </cell>
        </row>
        <row r="169">
          <cell r="P169">
            <v>0.556521739130435</v>
          </cell>
          <cell r="Q169">
            <v>0.443478260869565</v>
          </cell>
        </row>
        <row r="170">
          <cell r="B170" t="str">
            <v>3B-橡胶磁白板背胶90cm*120cm</v>
          </cell>
        </row>
        <row r="170">
          <cell r="P170">
            <v>0.703296703296703</v>
          </cell>
          <cell r="Q170">
            <v>0.296703296703297</v>
          </cell>
        </row>
        <row r="171">
          <cell r="B171" t="str">
            <v>3B-橡胶磁白板背胶90cm*180cm</v>
          </cell>
        </row>
        <row r="171">
          <cell r="P171">
            <v>0.814814814814815</v>
          </cell>
          <cell r="Q171">
            <v>0.185185185185185</v>
          </cell>
        </row>
        <row r="172">
          <cell r="B172" t="str">
            <v>3B-橡胶磁白板背胶120cm*150cm</v>
          </cell>
        </row>
        <row r="172">
          <cell r="P172">
            <v>0.723076923076923</v>
          </cell>
          <cell r="Q172">
            <v>0.276923076923077</v>
          </cell>
        </row>
        <row r="173">
          <cell r="B173" t="str">
            <v>3B-双面涂鸦板30cm*21cm</v>
          </cell>
        </row>
        <row r="173">
          <cell r="P173">
            <v>0.931034482758621</v>
          </cell>
          <cell r="Q173">
            <v>0.0689655172413793</v>
          </cell>
        </row>
        <row r="174">
          <cell r="B174" t="str">
            <v>3B-双面涂鸦板45cm*30cm</v>
          </cell>
        </row>
        <row r="174">
          <cell r="P174">
            <v>0</v>
          </cell>
          <cell r="Q174">
            <v>0</v>
          </cell>
        </row>
        <row r="175">
          <cell r="B175" t="str">
            <v>3B-多功能简易支架14.5cm*19cm</v>
          </cell>
        </row>
        <row r="175">
          <cell r="P175">
            <v>0.5</v>
          </cell>
          <cell r="Q175">
            <v>0.5</v>
          </cell>
        </row>
        <row r="176">
          <cell r="B176" t="str">
            <v>3C-led智能互动屏17.3cm*7cm</v>
          </cell>
        </row>
        <row r="176">
          <cell r="P176">
            <v>0.5</v>
          </cell>
          <cell r="Q176">
            <v>0.5</v>
          </cell>
        </row>
        <row r="177">
          <cell r="B177" t="str">
            <v>3C-led智能互动屏34.8cm*10.2cm</v>
          </cell>
        </row>
        <row r="177">
          <cell r="P177">
            <v>0.25</v>
          </cell>
          <cell r="Q177">
            <v>0.75</v>
          </cell>
        </row>
        <row r="178">
          <cell r="B178" t="str">
            <v>3C-led智能互动屏59.5cm*12cm</v>
          </cell>
        </row>
        <row r="178">
          <cell r="P178">
            <v>0.333333333333333</v>
          </cell>
          <cell r="Q178">
            <v>0.666666666666667</v>
          </cell>
        </row>
        <row r="179">
          <cell r="B179" t="str">
            <v>3C-口袋运动相机11.7cm*3.4cm</v>
          </cell>
        </row>
        <row r="179">
          <cell r="P179">
            <v>0.52</v>
          </cell>
          <cell r="Q179">
            <v>0.48</v>
          </cell>
        </row>
        <row r="180">
          <cell r="B180" t="str">
            <v>3C-43寸ATV普通电视全包</v>
          </cell>
        </row>
        <row r="180">
          <cell r="P180">
            <v>0</v>
          </cell>
          <cell r="Q180">
            <v>0</v>
          </cell>
        </row>
        <row r="181">
          <cell r="B181" t="str">
            <v>3B-重型订书机</v>
          </cell>
        </row>
        <row r="181">
          <cell r="P181">
            <v>0.333333333333333</v>
          </cell>
          <cell r="Q181">
            <v>0.666666666666667</v>
          </cell>
        </row>
        <row r="182">
          <cell r="B182" t="str">
            <v>3B-打孔机</v>
          </cell>
        </row>
        <row r="182">
          <cell r="P182">
            <v>0.208333333333333</v>
          </cell>
          <cell r="Q182">
            <v>0.791666666666667</v>
          </cell>
        </row>
        <row r="183">
          <cell r="B183" t="str">
            <v>3B-交换机机柜24cm</v>
          </cell>
        </row>
        <row r="183">
          <cell r="P183">
            <v>1</v>
          </cell>
          <cell r="Q183">
            <v>0</v>
          </cell>
        </row>
        <row r="184">
          <cell r="B184" t="str">
            <v>3B-交换机机柜30cm</v>
          </cell>
        </row>
        <row r="184">
          <cell r="P184">
            <v>0</v>
          </cell>
          <cell r="Q184">
            <v>0</v>
          </cell>
        </row>
        <row r="185">
          <cell r="B185" t="str">
            <v>3B-白板画板60*90</v>
          </cell>
        </row>
        <row r="185">
          <cell r="P185">
            <v>0.378787878787879</v>
          </cell>
          <cell r="Q185">
            <v>0.621212121212121</v>
          </cell>
        </row>
        <row r="186">
          <cell r="B186" t="str">
            <v>3B-可翻转白板50*70</v>
          </cell>
        </row>
        <row r="186">
          <cell r="P186">
            <v>0.816326530612245</v>
          </cell>
          <cell r="Q186">
            <v>0.183673469387755</v>
          </cell>
        </row>
        <row r="187">
          <cell r="B187" t="str">
            <v>3B-可翻转白板100*80</v>
          </cell>
        </row>
        <row r="187">
          <cell r="P187">
            <v>0.939393939393939</v>
          </cell>
          <cell r="Q187">
            <v>0.0606060606060606</v>
          </cell>
        </row>
        <row r="188">
          <cell r="B188" t="str">
            <v>3B-碎纸机7L</v>
          </cell>
        </row>
        <row r="188">
          <cell r="P188">
            <v>0.6</v>
          </cell>
          <cell r="Q188">
            <v>0.4</v>
          </cell>
        </row>
        <row r="189">
          <cell r="B189" t="str">
            <v>3B-交换机机柜45cm</v>
          </cell>
        </row>
        <row r="189">
          <cell r="P189">
            <v>0</v>
          </cell>
          <cell r="Q189">
            <v>1</v>
          </cell>
        </row>
        <row r="190">
          <cell r="B190" t="str">
            <v>3B-交换机机柜60cm</v>
          </cell>
        </row>
        <row r="190">
          <cell r="P190">
            <v>0</v>
          </cell>
          <cell r="Q190">
            <v>0</v>
          </cell>
        </row>
        <row r="191">
          <cell r="B191" t="str">
            <v>3C-无弦吉他</v>
          </cell>
        </row>
        <row r="191">
          <cell r="P191">
            <v>0.117647058823529</v>
          </cell>
          <cell r="Q191">
            <v>0.882352941176471</v>
          </cell>
        </row>
        <row r="192">
          <cell r="B192" t="str">
            <v>3C-84寸16比9电子限位白塑电动幕布</v>
          </cell>
        </row>
        <row r="192">
          <cell r="P192">
            <v>0</v>
          </cell>
          <cell r="Q192">
            <v>1</v>
          </cell>
        </row>
        <row r="193">
          <cell r="B193" t="str">
            <v>3B-A5笔记本白板灰色</v>
          </cell>
        </row>
        <row r="193">
          <cell r="P193">
            <v>0</v>
          </cell>
          <cell r="Q193">
            <v>0</v>
          </cell>
        </row>
        <row r="194">
          <cell r="B194" t="str">
            <v>3C-相机三脚架160cm</v>
          </cell>
        </row>
        <row r="194">
          <cell r="P194">
            <v>0</v>
          </cell>
          <cell r="Q194">
            <v>0</v>
          </cell>
        </row>
        <row r="195">
          <cell r="B195" t="str">
            <v>3C-电子琴带琴谱架61键</v>
          </cell>
        </row>
        <row r="195">
          <cell r="P195">
            <v>0.24</v>
          </cell>
          <cell r="Q195">
            <v>0.76</v>
          </cell>
        </row>
        <row r="196">
          <cell r="B196" t="str">
            <v>3C-折叠带蓝牙带琴谱架电子琴88键</v>
          </cell>
        </row>
        <row r="196">
          <cell r="P196">
            <v>0.418604651162791</v>
          </cell>
          <cell r="Q196">
            <v>0.581395348837209</v>
          </cell>
        </row>
        <row r="197">
          <cell r="B197" t="str">
            <v>3C-头戴式无线三模耳机K90W</v>
          </cell>
        </row>
        <row r="197">
          <cell r="P197">
            <v>0</v>
          </cell>
          <cell r="Q197">
            <v>1</v>
          </cell>
        </row>
        <row r="198">
          <cell r="B198" t="str">
            <v>3C-头戴式RGB光电竞无线三模耳机K91W</v>
          </cell>
        </row>
        <row r="198">
          <cell r="P198">
            <v>0</v>
          </cell>
          <cell r="Q198">
            <v>1</v>
          </cell>
        </row>
        <row r="199">
          <cell r="B199" t="str">
            <v>3C-电脑机箱T8款黑色</v>
          </cell>
        </row>
        <row r="199">
          <cell r="P199">
            <v>0.75</v>
          </cell>
          <cell r="Q199">
            <v>0.25</v>
          </cell>
        </row>
        <row r="200">
          <cell r="B200" t="str">
            <v>3C-电脑机箱T8款白色</v>
          </cell>
        </row>
        <row r="200">
          <cell r="P200">
            <v>0.888888888888889</v>
          </cell>
          <cell r="Q200">
            <v>0.111111111111111</v>
          </cell>
        </row>
        <row r="201">
          <cell r="B201" t="str">
            <v>3C-电视机上方支架</v>
          </cell>
        </row>
        <row r="201">
          <cell r="P201">
            <v>1</v>
          </cell>
          <cell r="Q201">
            <v>0</v>
          </cell>
        </row>
        <row r="202">
          <cell r="B202" t="str">
            <v>3C-显示器桌面支架3屏</v>
          </cell>
        </row>
        <row r="202">
          <cell r="P202">
            <v>1</v>
          </cell>
          <cell r="Q202">
            <v>0</v>
          </cell>
        </row>
        <row r="203">
          <cell r="B203" t="str">
            <v>3C-显示器桌面支架2屏</v>
          </cell>
        </row>
        <row r="203">
          <cell r="P203">
            <v>1</v>
          </cell>
          <cell r="Q203">
            <v>0</v>
          </cell>
        </row>
        <row r="204">
          <cell r="B204" t="str">
            <v>3C-上下双屏显示器支架</v>
          </cell>
        </row>
        <row r="204">
          <cell r="P204">
            <v>0.0714285714285714</v>
          </cell>
          <cell r="Q204">
            <v>0.928571428571429</v>
          </cell>
        </row>
        <row r="205">
          <cell r="B205" t="str">
            <v>3C-带杆可升降可倒挂气弹簧双臂支架</v>
          </cell>
        </row>
        <row r="205">
          <cell r="P205">
            <v>0.9375</v>
          </cell>
          <cell r="Q205">
            <v>0.0625</v>
          </cell>
        </row>
        <row r="206">
          <cell r="B206" t="str">
            <v>3C-RGB气弹簧单臂支架</v>
          </cell>
        </row>
        <row r="206">
          <cell r="P206">
            <v>1</v>
          </cell>
          <cell r="Q206">
            <v>0</v>
          </cell>
        </row>
        <row r="207">
          <cell r="B207" t="str">
            <v>3C-显示器桌面支架4屏</v>
          </cell>
        </row>
        <row r="207">
          <cell r="P207">
            <v>0</v>
          </cell>
          <cell r="Q207">
            <v>0</v>
          </cell>
        </row>
        <row r="208">
          <cell r="B208" t="str">
            <v>3B-指纹挂锁</v>
          </cell>
        </row>
        <row r="208">
          <cell r="P208">
            <v>0.716981132075472</v>
          </cell>
          <cell r="Q208">
            <v>0.283018867924528</v>
          </cell>
        </row>
        <row r="209">
          <cell r="B209" t="str">
            <v>3C-双风扇RGB带海绵散热支架7档调节</v>
          </cell>
        </row>
        <row r="209">
          <cell r="P209">
            <v>0</v>
          </cell>
          <cell r="Q209">
            <v>0</v>
          </cell>
        </row>
        <row r="210">
          <cell r="B210" t="str">
            <v>3C-6风扇RGB散热支架7档调节带手机支架</v>
          </cell>
        </row>
        <row r="210">
          <cell r="P210">
            <v>0</v>
          </cell>
          <cell r="Q210">
            <v>0</v>
          </cell>
        </row>
        <row r="211">
          <cell r="B211" t="str">
            <v>3C-电子架子鼓</v>
          </cell>
        </row>
        <row r="211">
          <cell r="P211">
            <v>0.292307692307692</v>
          </cell>
          <cell r="Q211">
            <v>0.707692307692308</v>
          </cell>
        </row>
        <row r="212">
          <cell r="B212" t="str">
            <v>3B-2门文件保险箱</v>
          </cell>
        </row>
        <row r="212">
          <cell r="P212">
            <v>0</v>
          </cell>
          <cell r="Q212">
            <v>0</v>
          </cell>
        </row>
        <row r="213">
          <cell r="B213" t="str">
            <v>3B-5门文件保险箱</v>
          </cell>
        </row>
        <row r="213">
          <cell r="P213">
            <v>1</v>
          </cell>
          <cell r="Q213">
            <v>0</v>
          </cell>
        </row>
        <row r="214">
          <cell r="B214" t="str">
            <v>3B-对开门矮保险箱</v>
          </cell>
        </row>
        <row r="214">
          <cell r="P214">
            <v>1</v>
          </cell>
          <cell r="Q214">
            <v>0</v>
          </cell>
        </row>
        <row r="215">
          <cell r="B215" t="str">
            <v>3B-H1AP五功能防盗门锁带APP</v>
          </cell>
        </row>
        <row r="215">
          <cell r="P215">
            <v>1</v>
          </cell>
          <cell r="Q215">
            <v>0</v>
          </cell>
        </row>
        <row r="216">
          <cell r="B216" t="str">
            <v>3C-RGB蓝牙音箱</v>
          </cell>
        </row>
        <row r="216">
          <cell r="P216">
            <v>0</v>
          </cell>
          <cell r="Q216">
            <v>0</v>
          </cell>
        </row>
        <row r="217">
          <cell r="B217" t="str">
            <v>3B-启动电源N20</v>
          </cell>
        </row>
        <row r="217">
          <cell r="P217">
            <v>1</v>
          </cell>
          <cell r="Q217">
            <v>0</v>
          </cell>
        </row>
        <row r="218">
          <cell r="B218" t="str">
            <v>3C-透明RGB无线蓝牙游戏手柄STK7040</v>
          </cell>
        </row>
        <row r="218">
          <cell r="P218">
            <v>0</v>
          </cell>
          <cell r="Q218">
            <v>0</v>
          </cell>
        </row>
        <row r="219">
          <cell r="B219" t="str">
            <v>3C-RGB蓝牙无线拉伸手机游戏手柄STK7009</v>
          </cell>
        </row>
        <row r="219">
          <cell r="P219">
            <v>0</v>
          </cell>
          <cell r="Q219">
            <v>1</v>
          </cell>
        </row>
        <row r="220">
          <cell r="B220" t="str">
            <v>3C-PRO蓝牙RGB无线拉伸手机游戏手柄STK7011</v>
          </cell>
        </row>
        <row r="220">
          <cell r="P220">
            <v>1</v>
          </cell>
          <cell r="Q220">
            <v>0</v>
          </cell>
        </row>
        <row r="221">
          <cell r="B221" t="str">
            <v>3C-辉光管</v>
          </cell>
        </row>
        <row r="221">
          <cell r="P221">
            <v>0.5</v>
          </cell>
          <cell r="Q221">
            <v>0.5</v>
          </cell>
        </row>
        <row r="222">
          <cell r="B222" t="str">
            <v>3C-折叠带蓝牙带琴谱架电子琴61键</v>
          </cell>
        </row>
        <row r="222">
          <cell r="P222">
            <v>0.5</v>
          </cell>
          <cell r="Q222">
            <v>0.5</v>
          </cell>
        </row>
        <row r="223">
          <cell r="B223" t="str">
            <v>3B-广告架A4款</v>
          </cell>
        </row>
        <row r="223">
          <cell r="P223">
            <v>0</v>
          </cell>
          <cell r="Q223">
            <v>0</v>
          </cell>
        </row>
        <row r="224">
          <cell r="B224" t="str">
            <v>3B-广告架kt板直面1.3kg</v>
          </cell>
        </row>
        <row r="224">
          <cell r="P224">
            <v>0</v>
          </cell>
          <cell r="Q224">
            <v>0</v>
          </cell>
        </row>
        <row r="225">
          <cell r="B225" t="str">
            <v>3B-广告架kt板直面3.7kg</v>
          </cell>
        </row>
        <row r="225">
          <cell r="P225">
            <v>0</v>
          </cell>
          <cell r="Q225">
            <v>0</v>
          </cell>
        </row>
        <row r="226">
          <cell r="B226" t="str">
            <v>3B-广告架kt板斜面1.3kg</v>
          </cell>
        </row>
        <row r="226">
          <cell r="P226">
            <v>0.5</v>
          </cell>
          <cell r="Q226">
            <v>0.5</v>
          </cell>
        </row>
        <row r="227">
          <cell r="B227" t="str">
            <v>3B-广告架kt板斜面3.5kg</v>
          </cell>
        </row>
        <row r="227">
          <cell r="P227">
            <v>0</v>
          </cell>
          <cell r="Q227">
            <v>1</v>
          </cell>
        </row>
        <row r="228">
          <cell r="B228" t="str">
            <v>3C-原木色吉他包装升级款</v>
          </cell>
        </row>
        <row r="228">
          <cell r="P228">
            <v>0.032258064516129</v>
          </cell>
          <cell r="Q228">
            <v>0.967741935483871</v>
          </cell>
        </row>
        <row r="229">
          <cell r="B229" t="str">
            <v>3C-黑色吉他包装升级款</v>
          </cell>
        </row>
        <row r="229">
          <cell r="P229">
            <v>0.133333333333333</v>
          </cell>
          <cell r="Q229">
            <v>0.866666666666667</v>
          </cell>
        </row>
        <row r="230">
          <cell r="B230" t="str">
            <v>3C-原木色民谣吉他包装升级款</v>
          </cell>
        </row>
        <row r="230">
          <cell r="P230">
            <v>0</v>
          </cell>
          <cell r="Q230">
            <v>0</v>
          </cell>
        </row>
        <row r="231">
          <cell r="B231" t="str">
            <v>3C-黑色民谣吉他包装升级款</v>
          </cell>
        </row>
        <row r="231">
          <cell r="P231">
            <v>0</v>
          </cell>
          <cell r="Q231">
            <v>0</v>
          </cell>
        </row>
        <row r="232">
          <cell r="B232" t="str">
            <v>3C-原木色吉他套装包装升级款</v>
          </cell>
        </row>
        <row r="232">
          <cell r="P232">
            <v>0.241379310344828</v>
          </cell>
          <cell r="Q232">
            <v>0.758620689655172</v>
          </cell>
        </row>
        <row r="233">
          <cell r="B233" t="str">
            <v>3C-黑色吉他套装包装升级款</v>
          </cell>
        </row>
        <row r="233">
          <cell r="P233">
            <v>0.0428571428571429</v>
          </cell>
          <cell r="Q233">
            <v>0.957142857142857</v>
          </cell>
        </row>
        <row r="234">
          <cell r="B234" t="str">
            <v>3B-液晶面板保险柜45cm*38cm*30cm</v>
          </cell>
        </row>
        <row r="234">
          <cell r="P234">
            <v>1</v>
          </cell>
          <cell r="Q234">
            <v>0</v>
          </cell>
        </row>
        <row r="235">
          <cell r="B235" t="str">
            <v>3B-A30WiFi路由器</v>
          </cell>
        </row>
        <row r="235">
          <cell r="P235">
            <v>0</v>
          </cell>
          <cell r="Q235">
            <v>0</v>
          </cell>
        </row>
        <row r="236">
          <cell r="B236" t="str">
            <v>3B-四端口六天线300M路由器</v>
          </cell>
        </row>
        <row r="236">
          <cell r="P236">
            <v>0</v>
          </cell>
          <cell r="Q236">
            <v>0</v>
          </cell>
        </row>
        <row r="237">
          <cell r="B237" t="str">
            <v>3C-显示器支架托盘</v>
          </cell>
        </row>
        <row r="237">
          <cell r="P237">
            <v>0</v>
          </cell>
          <cell r="Q237">
            <v>0</v>
          </cell>
        </row>
        <row r="238">
          <cell r="B238" t="str">
            <v>3C-电脑显示器支架单臂白色</v>
          </cell>
        </row>
        <row r="238">
          <cell r="P238">
            <v>0.631578947368421</v>
          </cell>
          <cell r="Q238">
            <v>0.368421052631579</v>
          </cell>
        </row>
        <row r="239">
          <cell r="B239" t="str">
            <v>3C-显示器支架单臂铁塑款</v>
          </cell>
        </row>
        <row r="239">
          <cell r="P239">
            <v>0.228571428571429</v>
          </cell>
          <cell r="Q239">
            <v>0.771428571428571</v>
          </cell>
        </row>
        <row r="240">
          <cell r="B240" t="str">
            <v>3C-显示器支架双臂铁塑款</v>
          </cell>
        </row>
        <row r="240">
          <cell r="P240">
            <v>0.456521739130435</v>
          </cell>
          <cell r="Q240">
            <v>0.543478260869565</v>
          </cell>
        </row>
        <row r="241">
          <cell r="B241" t="str">
            <v>3C-X11机顶盒</v>
          </cell>
        </row>
        <row r="241">
          <cell r="P241">
            <v>0</v>
          </cell>
          <cell r="Q241">
            <v>0</v>
          </cell>
        </row>
        <row r="242">
          <cell r="B242" t="str">
            <v>3B-磁吸白板密度板夹层60cm*90cm</v>
          </cell>
        </row>
        <row r="242">
          <cell r="P242">
            <v>0.592592592592593</v>
          </cell>
          <cell r="Q242">
            <v>0.407407407407407</v>
          </cell>
        </row>
        <row r="243">
          <cell r="B243" t="str">
            <v>3B-磁吸白板密度板夹层70cm*100cm</v>
          </cell>
        </row>
        <row r="243">
          <cell r="P243">
            <v>0.631111111111111</v>
          </cell>
          <cell r="Q243">
            <v>0.368888888888889</v>
          </cell>
        </row>
        <row r="244">
          <cell r="B244" t="str">
            <v>3B-磁吸白板密度板夹层90cm*120cm</v>
          </cell>
        </row>
        <row r="244">
          <cell r="P244">
            <v>0.843137254901961</v>
          </cell>
          <cell r="Q244">
            <v>0.156862745098039</v>
          </cell>
        </row>
        <row r="245">
          <cell r="B245" t="str">
            <v>3B-磁吸白板密度板夹层90cm*150cm</v>
          </cell>
        </row>
        <row r="245">
          <cell r="P245">
            <v>0.9296875</v>
          </cell>
          <cell r="Q245">
            <v>0.0703125</v>
          </cell>
        </row>
        <row r="246">
          <cell r="B246" t="str">
            <v>3B-磁吸白板密度板夹层90cm*180cm</v>
          </cell>
        </row>
        <row r="246">
          <cell r="P246">
            <v>0.912408759124088</v>
          </cell>
          <cell r="Q246">
            <v>0.0875912408759124</v>
          </cell>
        </row>
        <row r="247">
          <cell r="B247" t="str">
            <v>3B-交换机立式机柜18U</v>
          </cell>
        </row>
        <row r="247">
          <cell r="P247">
            <v>0</v>
          </cell>
          <cell r="Q247">
            <v>0</v>
          </cell>
        </row>
        <row r="248">
          <cell r="B248" t="str">
            <v>3B-R2A房间门锁五功能带APP</v>
          </cell>
        </row>
        <row r="248">
          <cell r="P248">
            <v>1</v>
          </cell>
          <cell r="Q248">
            <v>0</v>
          </cell>
        </row>
        <row r="249">
          <cell r="B249" t="str">
            <v>3B-B1A五功能断桥铝锁带APP</v>
          </cell>
        </row>
        <row r="249">
          <cell r="P249">
            <v>0.692307692307692</v>
          </cell>
          <cell r="Q249">
            <v>0.307692307692308</v>
          </cell>
        </row>
        <row r="250">
          <cell r="B250" t="str">
            <v>3B-R4A房间门锁单锁舌五功能带APP</v>
          </cell>
        </row>
        <row r="250">
          <cell r="P250">
            <v>0.75</v>
          </cell>
          <cell r="Q250">
            <v>0.25</v>
          </cell>
        </row>
        <row r="251">
          <cell r="B251" t="str">
            <v>3B-R5A房间门锁单锁舌四功能不带APP</v>
          </cell>
        </row>
        <row r="251">
          <cell r="P251">
            <v>1</v>
          </cell>
          <cell r="Q251">
            <v>0</v>
          </cell>
        </row>
        <row r="252">
          <cell r="B252" t="str">
            <v>3B-房间门锁体2.2*16</v>
          </cell>
        </row>
        <row r="252">
          <cell r="P252">
            <v>1</v>
          </cell>
          <cell r="Q252">
            <v>0</v>
          </cell>
        </row>
        <row r="253">
          <cell r="B253" t="str">
            <v>3B-房间门单舌锁体2.7*6.8</v>
          </cell>
        </row>
        <row r="253">
          <cell r="P253">
            <v>0.75</v>
          </cell>
          <cell r="Q253">
            <v>0.25</v>
          </cell>
        </row>
        <row r="254">
          <cell r="B254" t="str">
            <v>3B-断桥铝门方舌锁体2.2*24</v>
          </cell>
        </row>
        <row r="254">
          <cell r="P254">
            <v>0.666666666666667</v>
          </cell>
          <cell r="Q254">
            <v>0.333333333333333</v>
          </cell>
        </row>
        <row r="255">
          <cell r="B255" t="str">
            <v>3B-断桥铝门弯舌锁体2.2*27</v>
          </cell>
        </row>
        <row r="255">
          <cell r="P255">
            <v>0.666666666666667</v>
          </cell>
          <cell r="Q255">
            <v>0.333333333333333</v>
          </cell>
        </row>
        <row r="256">
          <cell r="B256" t="str">
            <v>3B-防盗门锁体2.4*24</v>
          </cell>
        </row>
        <row r="256">
          <cell r="P256">
            <v>1</v>
          </cell>
          <cell r="Q256">
            <v>0</v>
          </cell>
        </row>
        <row r="257">
          <cell r="B257" t="str">
            <v>3B-智能门锁配件包</v>
          </cell>
        </row>
        <row r="257">
          <cell r="P257">
            <v>0</v>
          </cell>
          <cell r="Q257">
            <v>0</v>
          </cell>
        </row>
        <row r="258">
          <cell r="B258" t="str">
            <v>3B-U9五功能玻璃门智能锁带TUYAAPP</v>
          </cell>
        </row>
        <row r="258">
          <cell r="P258">
            <v>0</v>
          </cell>
          <cell r="Q258">
            <v>0</v>
          </cell>
        </row>
        <row r="259">
          <cell r="B259" t="str">
            <v>3B-指纹密码刷卡手机App美标锁</v>
          </cell>
        </row>
        <row r="259">
          <cell r="P259">
            <v>0.923076923076923</v>
          </cell>
          <cell r="Q259">
            <v>0.0769230769230769</v>
          </cell>
        </row>
        <row r="260">
          <cell r="B260" t="str">
            <v>3B-插销密码锁</v>
          </cell>
        </row>
        <row r="260">
          <cell r="P260">
            <v>0</v>
          </cell>
          <cell r="Q260">
            <v>0</v>
          </cell>
        </row>
        <row r="261">
          <cell r="B261" t="str">
            <v>3B-玻璃门U型密码锁</v>
          </cell>
        </row>
        <row r="261">
          <cell r="P261">
            <v>1</v>
          </cell>
          <cell r="Q261">
            <v>0</v>
          </cell>
        </row>
        <row r="262">
          <cell r="B262" t="str">
            <v>3B-液晶面板保险柜密码A15款</v>
          </cell>
        </row>
        <row r="262">
          <cell r="P262">
            <v>1</v>
          </cell>
          <cell r="Q262">
            <v>0</v>
          </cell>
        </row>
        <row r="263">
          <cell r="B263" t="str">
            <v>3B-5890A台式票据打印机58mm白色</v>
          </cell>
        </row>
        <row r="263">
          <cell r="P263">
            <v>0</v>
          </cell>
          <cell r="Q263">
            <v>1</v>
          </cell>
        </row>
        <row r="264">
          <cell r="B264" t="str">
            <v>3B-8360款台式票据打印机80mm黑橘</v>
          </cell>
        </row>
        <row r="264">
          <cell r="P264">
            <v>0</v>
          </cell>
          <cell r="Q264">
            <v>0</v>
          </cell>
        </row>
        <row r="265">
          <cell r="B265" t="str">
            <v>3B-9260A标签打印机4寸黑色USB</v>
          </cell>
        </row>
        <row r="265">
          <cell r="P265">
            <v>0.25</v>
          </cell>
          <cell r="Q265">
            <v>0.75</v>
          </cell>
        </row>
        <row r="266">
          <cell r="B266" t="str">
            <v>3B-9260B标签打印机4寸黑色USB蓝牙</v>
          </cell>
        </row>
        <row r="266">
          <cell r="P266">
            <v>0.6</v>
          </cell>
          <cell r="Q266">
            <v>0.4</v>
          </cell>
        </row>
        <row r="267">
          <cell r="B267" t="str">
            <v>3B-997型号外币点钞机</v>
          </cell>
        </row>
        <row r="267">
          <cell r="P267">
            <v>0</v>
          </cell>
          <cell r="Q267">
            <v>0</v>
          </cell>
        </row>
        <row r="268">
          <cell r="B268" t="str">
            <v>3B-6088型号外币点钞机</v>
          </cell>
        </row>
        <row r="268">
          <cell r="P268">
            <v>0</v>
          </cell>
          <cell r="Q268">
            <v>0</v>
          </cell>
        </row>
        <row r="269">
          <cell r="B269" t="str">
            <v>3C-投影仪支架系列托盘</v>
          </cell>
        </row>
        <row r="269">
          <cell r="P269">
            <v>0</v>
          </cell>
          <cell r="Q269">
            <v>0</v>
          </cell>
        </row>
        <row r="270">
          <cell r="B270" t="str">
            <v>3C-15.6寸60Hz直面1K便携式显示器黑色配皮套</v>
          </cell>
        </row>
        <row r="270">
          <cell r="P270">
            <v>0.603448275862069</v>
          </cell>
          <cell r="Q270">
            <v>0.396551724137931</v>
          </cell>
        </row>
        <row r="271">
          <cell r="B271" t="str">
            <v>3B-可翻转白板60*90</v>
          </cell>
        </row>
        <row r="271">
          <cell r="P271">
            <v>0.857142857142857</v>
          </cell>
          <cell r="Q271">
            <v>0.142857142857143</v>
          </cell>
        </row>
        <row r="272">
          <cell r="B272" t="str">
            <v>3B-可翻转白板70*100</v>
          </cell>
        </row>
        <row r="272">
          <cell r="P272">
            <v>0.804878048780488</v>
          </cell>
          <cell r="Q272">
            <v>0.195121951219512</v>
          </cell>
        </row>
        <row r="273">
          <cell r="B273" t="str">
            <v>3C-TS109无线充RGB显示器增高支架</v>
          </cell>
        </row>
        <row r="273">
          <cell r="P273">
            <v>0</v>
          </cell>
          <cell r="Q273">
            <v>0</v>
          </cell>
        </row>
        <row r="274">
          <cell r="B274" t="str">
            <v>3B-8008便携式不干胶标签打印机80mm黑色</v>
          </cell>
        </row>
        <row r="274">
          <cell r="P274">
            <v>1</v>
          </cell>
          <cell r="Q274">
            <v>0</v>
          </cell>
        </row>
        <row r="275">
          <cell r="B275" t="str">
            <v>3B-智能门锁IC卡</v>
          </cell>
        </row>
        <row r="275">
          <cell r="P275">
            <v>0</v>
          </cell>
          <cell r="Q275">
            <v>1</v>
          </cell>
        </row>
        <row r="276">
          <cell r="B276" t="str">
            <v>3B-大号仿真书银钱盒钥匙款红色</v>
          </cell>
        </row>
        <row r="276">
          <cell r="P276">
            <v>0</v>
          </cell>
          <cell r="Q276">
            <v>0</v>
          </cell>
        </row>
        <row r="277">
          <cell r="B277" t="str">
            <v>3B-仿真书银钱盒钥匙款红色</v>
          </cell>
        </row>
        <row r="277">
          <cell r="P277">
            <v>0</v>
          </cell>
          <cell r="Q277">
            <v>0</v>
          </cell>
        </row>
        <row r="278">
          <cell r="B278" t="str">
            <v>3B-小号仿真书银钱盒钥匙款红色</v>
          </cell>
        </row>
        <row r="278">
          <cell r="P278">
            <v>0</v>
          </cell>
          <cell r="Q278">
            <v>0</v>
          </cell>
        </row>
        <row r="279">
          <cell r="B279" t="str">
            <v>3B-大号仿真书银钱盒钥匙款黑色</v>
          </cell>
        </row>
        <row r="279">
          <cell r="P279">
            <v>0</v>
          </cell>
          <cell r="Q279">
            <v>0</v>
          </cell>
        </row>
        <row r="280">
          <cell r="B280" t="str">
            <v>3B-仿真书银钱盒钥匙款黑色</v>
          </cell>
        </row>
        <row r="280">
          <cell r="P280">
            <v>0.75</v>
          </cell>
          <cell r="Q280">
            <v>0.25</v>
          </cell>
        </row>
        <row r="281">
          <cell r="B281" t="str">
            <v>3B-小号仿真书银钱盒钥匙款黑色</v>
          </cell>
        </row>
        <row r="281">
          <cell r="P281">
            <v>1</v>
          </cell>
          <cell r="Q281">
            <v>0</v>
          </cell>
        </row>
        <row r="282">
          <cell r="B282" t="str">
            <v>3B-大号仿真书银钱盒钥匙款黄色</v>
          </cell>
        </row>
        <row r="282">
          <cell r="P282">
            <v>1</v>
          </cell>
          <cell r="Q282">
            <v>0</v>
          </cell>
        </row>
        <row r="283">
          <cell r="B283" t="str">
            <v>3B-仿真书银钱盒钥匙款黄色</v>
          </cell>
        </row>
        <row r="283">
          <cell r="P283">
            <v>0</v>
          </cell>
          <cell r="Q283">
            <v>0</v>
          </cell>
        </row>
        <row r="284">
          <cell r="B284" t="str">
            <v>3B-小号仿真书银钱盒钥匙款黄色</v>
          </cell>
        </row>
        <row r="284">
          <cell r="P284">
            <v>1</v>
          </cell>
          <cell r="Q284">
            <v>0</v>
          </cell>
        </row>
        <row r="285">
          <cell r="B285" t="str">
            <v>3B-A4简易过胶机</v>
          </cell>
        </row>
        <row r="285">
          <cell r="P285">
            <v>1</v>
          </cell>
          <cell r="Q285">
            <v>0</v>
          </cell>
        </row>
        <row r="286">
          <cell r="B286" t="str">
            <v>3B-A3简易过胶机</v>
          </cell>
        </row>
        <row r="286">
          <cell r="P286">
            <v>0.25</v>
          </cell>
          <cell r="Q286">
            <v>0.75</v>
          </cell>
        </row>
        <row r="287">
          <cell r="B287" t="str">
            <v>3B-专业快速过胶机A3</v>
          </cell>
        </row>
        <row r="287">
          <cell r="P287">
            <v>0</v>
          </cell>
          <cell r="Q287">
            <v>0</v>
          </cell>
        </row>
        <row r="288">
          <cell r="B288" t="str">
            <v>3B-A3金属外壳过胶机STL316A</v>
          </cell>
        </row>
        <row r="288">
          <cell r="P288">
            <v>0</v>
          </cell>
          <cell r="Q288">
            <v>0</v>
          </cell>
        </row>
        <row r="289">
          <cell r="B289" t="str">
            <v>3B-碎纸机头不带桶WS0106</v>
          </cell>
        </row>
        <row r="289">
          <cell r="P289">
            <v>0</v>
          </cell>
          <cell r="Q289">
            <v>0</v>
          </cell>
        </row>
        <row r="290">
          <cell r="B290" t="str">
            <v>3B-碎纸机4张段状S0204B</v>
          </cell>
        </row>
        <row r="290">
          <cell r="P290">
            <v>0</v>
          </cell>
          <cell r="Q290">
            <v>0</v>
          </cell>
        </row>
        <row r="291">
          <cell r="B291" t="str">
            <v>3B-碎纸机6张段状S0206L</v>
          </cell>
        </row>
        <row r="291">
          <cell r="P291">
            <v>0</v>
          </cell>
          <cell r="Q291">
            <v>0</v>
          </cell>
        </row>
        <row r="292">
          <cell r="B292" t="str">
            <v>3C-34寸200HZ曲面4K无边显示器黑灰双拼色QX带背光</v>
          </cell>
        </row>
        <row r="292">
          <cell r="P292">
            <v>0</v>
          </cell>
          <cell r="Q292">
            <v>0</v>
          </cell>
        </row>
        <row r="293">
          <cell r="B293" t="str">
            <v>3C-27寸180HZ直面2K无边显示器黑色QX带背光</v>
          </cell>
        </row>
        <row r="293">
          <cell r="P293">
            <v>0</v>
          </cell>
          <cell r="Q293">
            <v>0</v>
          </cell>
        </row>
        <row r="294">
          <cell r="B294" t="str">
            <v>3C-27寸240HZ直面2K无边显示器黑灰双拼色QX带背光</v>
          </cell>
        </row>
        <row r="294">
          <cell r="P294">
            <v>0</v>
          </cell>
          <cell r="Q294">
            <v>0</v>
          </cell>
        </row>
        <row r="295">
          <cell r="B295" t="str">
            <v>3B-捆钞机8011A型</v>
          </cell>
        </row>
        <row r="295">
          <cell r="P295">
            <v>0</v>
          </cell>
          <cell r="Q295">
            <v>0</v>
          </cell>
        </row>
        <row r="296">
          <cell r="B296" t="str">
            <v>3B-A4重型裁纸机STC440</v>
          </cell>
        </row>
        <row r="296">
          <cell r="P296">
            <v>0</v>
          </cell>
          <cell r="Q296">
            <v>0</v>
          </cell>
        </row>
        <row r="297">
          <cell r="B297" t="str">
            <v>3B-A3重型裁纸机STC430</v>
          </cell>
        </row>
        <row r="297">
          <cell r="P297">
            <v>0</v>
          </cell>
          <cell r="Q297">
            <v>0</v>
          </cell>
        </row>
        <row r="298">
          <cell r="B298" t="str">
            <v>3B-扎钞纸</v>
          </cell>
        </row>
        <row r="298">
          <cell r="P298">
            <v>0</v>
          </cell>
          <cell r="Q298">
            <v>1</v>
          </cell>
        </row>
        <row r="299">
          <cell r="B299" t="str">
            <v>3B-功勋仓保险箱45*38*32cm红色密码款</v>
          </cell>
        </row>
        <row r="299">
          <cell r="P299">
            <v>0</v>
          </cell>
          <cell r="Q299">
            <v>0</v>
          </cell>
        </row>
        <row r="300">
          <cell r="B300" t="str">
            <v>3B-功勋仓保险箱45*38*32cm红色指纹款</v>
          </cell>
        </row>
        <row r="300">
          <cell r="P300">
            <v>1</v>
          </cell>
          <cell r="Q300">
            <v>0</v>
          </cell>
        </row>
        <row r="301">
          <cell r="B301" t="str">
            <v>3B-XT保险箱45*38*32cm灰白色密码款</v>
          </cell>
        </row>
        <row r="301">
          <cell r="P301">
            <v>1</v>
          </cell>
          <cell r="Q301">
            <v>0</v>
          </cell>
        </row>
        <row r="302">
          <cell r="B302" t="str">
            <v>3B-XT保险箱45*38*32cm灰白色指纹款</v>
          </cell>
        </row>
        <row r="302">
          <cell r="P302">
            <v>1</v>
          </cell>
          <cell r="Q302">
            <v>0</v>
          </cell>
        </row>
        <row r="303">
          <cell r="B303" t="str">
            <v>3C-RGB电容悬臂支架降噪麦克风</v>
          </cell>
        </row>
        <row r="303">
          <cell r="P303">
            <v>0</v>
          </cell>
          <cell r="Q303">
            <v>1</v>
          </cell>
        </row>
        <row r="304">
          <cell r="B304" t="str">
            <v>3C-专业播客动圈麦克风</v>
          </cell>
        </row>
        <row r="304">
          <cell r="P304">
            <v>0</v>
          </cell>
          <cell r="Q304">
            <v>1</v>
          </cell>
        </row>
        <row r="305">
          <cell r="B305" t="str">
            <v>3C-RGB动圈降噪桌面麦克风</v>
          </cell>
        </row>
        <row r="305">
          <cell r="P305">
            <v>1</v>
          </cell>
          <cell r="Q305">
            <v>0</v>
          </cell>
        </row>
        <row r="306">
          <cell r="B306" t="str">
            <v>3C-RGB全透明动圈降噪桌面麦克风</v>
          </cell>
        </row>
        <row r="306">
          <cell r="P306">
            <v>0</v>
          </cell>
          <cell r="Q306">
            <v>1</v>
          </cell>
        </row>
        <row r="307">
          <cell r="B307" t="str">
            <v>3C-播客级专业游戏单人混音器</v>
          </cell>
        </row>
        <row r="307">
          <cell r="P307">
            <v>0</v>
          </cell>
          <cell r="Q307">
            <v>0</v>
          </cell>
        </row>
        <row r="308">
          <cell r="B308" t="str">
            <v>3B-热敏标签打印机H11</v>
          </cell>
        </row>
        <row r="308">
          <cell r="P308">
            <v>0</v>
          </cell>
          <cell r="Q308">
            <v>0</v>
          </cell>
        </row>
        <row r="309">
          <cell r="B309" t="str">
            <v>3C-26至60英寸悬挂可调节支架</v>
          </cell>
        </row>
        <row r="309">
          <cell r="P309">
            <v>0</v>
          </cell>
          <cell r="Q309">
            <v>0</v>
          </cell>
        </row>
        <row r="310">
          <cell r="B310" t="str">
            <v>3C-电脑机箱T6款黑色</v>
          </cell>
        </row>
        <row r="310">
          <cell r="P310">
            <v>0.833333333333333</v>
          </cell>
          <cell r="Q310">
            <v>0.166666666666667</v>
          </cell>
        </row>
        <row r="311">
          <cell r="B311" t="str">
            <v>3C-电脑机箱T6款白色</v>
          </cell>
        </row>
        <row r="311">
          <cell r="P311">
            <v>1</v>
          </cell>
          <cell r="Q311">
            <v>0</v>
          </cell>
        </row>
        <row r="312">
          <cell r="B312" t="str">
            <v>3C-电脑机箱T6款黑色3风扇</v>
          </cell>
        </row>
        <row r="312">
          <cell r="P312">
            <v>0.5</v>
          </cell>
          <cell r="Q312">
            <v>0.5</v>
          </cell>
        </row>
        <row r="313">
          <cell r="B313" t="str">
            <v>3C-电脑机箱T6款白色3风扇</v>
          </cell>
        </row>
        <row r="313">
          <cell r="P313">
            <v>0.333333333333333</v>
          </cell>
          <cell r="Q313">
            <v>0.666666666666667</v>
          </cell>
        </row>
        <row r="314">
          <cell r="B314" t="str">
            <v>3C-电脑机箱T8款风扇款白色</v>
          </cell>
        </row>
        <row r="314">
          <cell r="P314">
            <v>0</v>
          </cell>
          <cell r="Q314">
            <v>1</v>
          </cell>
        </row>
        <row r="315">
          <cell r="B315" t="str">
            <v>3B-毛毡照片公告墙浅驼色120*180CM</v>
          </cell>
        </row>
        <row r="315">
          <cell r="P315">
            <v>0.875</v>
          </cell>
          <cell r="Q315">
            <v>0.125</v>
          </cell>
        </row>
        <row r="316">
          <cell r="B316" t="str">
            <v>3B-毛毡照片公告墙浅驼色80*120CM</v>
          </cell>
        </row>
        <row r="316">
          <cell r="P316">
            <v>0.941176470588235</v>
          </cell>
          <cell r="Q316">
            <v>0.0588235294117647</v>
          </cell>
        </row>
        <row r="317">
          <cell r="B317" t="str">
            <v>3B-毛毡照片公告墙浅驼色60*120CM</v>
          </cell>
        </row>
        <row r="317">
          <cell r="P317">
            <v>0.888888888888889</v>
          </cell>
          <cell r="Q317">
            <v>0.111111111111111</v>
          </cell>
        </row>
        <row r="318">
          <cell r="B318" t="str">
            <v>3B-毛毡照片公告墙浅驼色60*80CM</v>
          </cell>
        </row>
        <row r="318">
          <cell r="P318">
            <v>0.741935483870968</v>
          </cell>
          <cell r="Q318">
            <v>0.258064516129032</v>
          </cell>
        </row>
        <row r="319">
          <cell r="B319" t="str">
            <v>3B-毛毡照片公告墙咖啡色120*180CM</v>
          </cell>
        </row>
        <row r="319">
          <cell r="P319">
            <v>1</v>
          </cell>
          <cell r="Q319">
            <v>0</v>
          </cell>
        </row>
        <row r="320">
          <cell r="B320" t="str">
            <v>3B-毛毡照片公告墙咖啡色80*120CM</v>
          </cell>
        </row>
        <row r="320">
          <cell r="P320">
            <v>0.5</v>
          </cell>
          <cell r="Q320">
            <v>0.5</v>
          </cell>
        </row>
        <row r="321">
          <cell r="B321" t="str">
            <v>3B-毛毡照片公告墙咖啡色60*120CM</v>
          </cell>
        </row>
        <row r="321">
          <cell r="P321">
            <v>0.428571428571429</v>
          </cell>
          <cell r="Q321">
            <v>0.571428571428571</v>
          </cell>
        </row>
        <row r="322">
          <cell r="B322" t="str">
            <v>3B-毛毡照片公告墙咖啡色60*80CM</v>
          </cell>
        </row>
        <row r="322">
          <cell r="P322">
            <v>0.461538461538462</v>
          </cell>
          <cell r="Q322">
            <v>0.538461538461538</v>
          </cell>
        </row>
        <row r="323">
          <cell r="B323" t="str">
            <v>3B-新A6保险箱密码款35cm*26cm*25cm</v>
          </cell>
        </row>
        <row r="323">
          <cell r="P323">
            <v>1</v>
          </cell>
          <cell r="Q323">
            <v>0</v>
          </cell>
        </row>
        <row r="324">
          <cell r="B324" t="str">
            <v>3B-新A6保险箱指纹款35cm*26cm*25cm</v>
          </cell>
        </row>
        <row r="324">
          <cell r="P324">
            <v>1</v>
          </cell>
          <cell r="Q324">
            <v>0</v>
          </cell>
        </row>
        <row r="325">
          <cell r="B325" t="str">
            <v>3B-现金盒钥匙款粉色150A</v>
          </cell>
        </row>
        <row r="325">
          <cell r="P325">
            <v>0.292307692307692</v>
          </cell>
          <cell r="Q325">
            <v>0.707692307692308</v>
          </cell>
        </row>
        <row r="326">
          <cell r="B326" t="str">
            <v>3B-现金盒钥匙款白色150A</v>
          </cell>
        </row>
        <row r="326">
          <cell r="P326">
            <v>0.238095238095238</v>
          </cell>
          <cell r="Q326">
            <v>0.761904761904762</v>
          </cell>
        </row>
        <row r="327">
          <cell r="B327" t="str">
            <v>3B-现金盒钥匙款白色200A</v>
          </cell>
        </row>
        <row r="327">
          <cell r="P327">
            <v>0.461538461538462</v>
          </cell>
          <cell r="Q327">
            <v>0.538461538461538</v>
          </cell>
        </row>
        <row r="328">
          <cell r="B328" t="str">
            <v>3B-现金盒钥匙款粉色200A</v>
          </cell>
        </row>
        <row r="328">
          <cell r="P328">
            <v>0.5</v>
          </cell>
          <cell r="Q328">
            <v>0.5</v>
          </cell>
        </row>
        <row r="329">
          <cell r="B329" t="str">
            <v>3B-现金盒钥匙款黑色200A</v>
          </cell>
        </row>
        <row r="329">
          <cell r="P329">
            <v>0.372093023255814</v>
          </cell>
          <cell r="Q329">
            <v>0.627906976744186</v>
          </cell>
        </row>
        <row r="330">
          <cell r="B330" t="str">
            <v>3B-现金盒钥匙款粉色250A</v>
          </cell>
        </row>
        <row r="330">
          <cell r="P330">
            <v>0.344827586206897</v>
          </cell>
          <cell r="Q330">
            <v>0.655172413793103</v>
          </cell>
        </row>
        <row r="331">
          <cell r="B331" t="str">
            <v>3B-现金盒钥匙款黑色250A</v>
          </cell>
        </row>
        <row r="331">
          <cell r="P331">
            <v>0.368421052631579</v>
          </cell>
          <cell r="Q331">
            <v>0.631578947368421</v>
          </cell>
        </row>
        <row r="332">
          <cell r="B332" t="str">
            <v>3B-现金盒钥匙款白色250A</v>
          </cell>
        </row>
        <row r="332">
          <cell r="P332">
            <v>0.4</v>
          </cell>
          <cell r="Q332">
            <v>0.6</v>
          </cell>
        </row>
        <row r="333">
          <cell r="B333" t="str">
            <v>3B-现金盒钥匙款黑色300A</v>
          </cell>
        </row>
        <row r="333">
          <cell r="P333">
            <v>0.147058823529412</v>
          </cell>
          <cell r="Q333">
            <v>0.852941176470588</v>
          </cell>
        </row>
        <row r="334">
          <cell r="B334" t="str">
            <v>3B-现金盒钥匙款粉色300A</v>
          </cell>
        </row>
        <row r="334">
          <cell r="P334">
            <v>0.2</v>
          </cell>
          <cell r="Q334">
            <v>0.8</v>
          </cell>
        </row>
        <row r="335">
          <cell r="B335" t="str">
            <v>3B-现金盒钥匙款白色300A</v>
          </cell>
        </row>
        <row r="335">
          <cell r="P335">
            <v>0.333333333333333</v>
          </cell>
          <cell r="Q335">
            <v>0.666666666666667</v>
          </cell>
        </row>
        <row r="336">
          <cell r="B336" t="str">
            <v>3C-跟拍自动支撑自拍杆Q625</v>
          </cell>
        </row>
        <row r="336">
          <cell r="P336">
            <v>0</v>
          </cell>
          <cell r="Q336">
            <v>0</v>
          </cell>
        </row>
        <row r="337">
          <cell r="B337" t="str">
            <v>3C-直播自动支撑自拍杆P510</v>
          </cell>
        </row>
        <row r="337">
          <cell r="P337">
            <v>0</v>
          </cell>
          <cell r="Q337">
            <v>0</v>
          </cell>
        </row>
        <row r="338">
          <cell r="B338" t="str">
            <v>3B-点钞机灰色含外接显示器</v>
          </cell>
        </row>
        <row r="338">
          <cell r="P338">
            <v>0</v>
          </cell>
          <cell r="Q338">
            <v>0</v>
          </cell>
        </row>
        <row r="339">
          <cell r="B339" t="str">
            <v>3A-防水球形锁ip65</v>
          </cell>
        </row>
        <row r="339">
          <cell r="P339">
            <v>0</v>
          </cell>
          <cell r="Q339">
            <v>0</v>
          </cell>
        </row>
        <row r="340">
          <cell r="B340" t="str">
            <v>3A-可充电不锈钢球形锁K06</v>
          </cell>
        </row>
        <row r="340">
          <cell r="P340">
            <v>0</v>
          </cell>
          <cell r="Q340">
            <v>0</v>
          </cell>
        </row>
        <row r="341">
          <cell r="B341" t="str">
            <v>3B-便携式储能电源ESP100</v>
          </cell>
        </row>
        <row r="341">
          <cell r="P341">
            <v>0</v>
          </cell>
          <cell r="Q341">
            <v>0</v>
          </cell>
        </row>
        <row r="342">
          <cell r="B342" t="str">
            <v>3B-48位密码盒密码款</v>
          </cell>
        </row>
        <row r="342">
          <cell r="P342">
            <v>1</v>
          </cell>
          <cell r="Q342">
            <v>0</v>
          </cell>
        </row>
        <row r="343">
          <cell r="B343" t="str">
            <v>3C-电视移动推车支架TG11</v>
          </cell>
        </row>
        <row r="343">
          <cell r="P343">
            <v>0</v>
          </cell>
          <cell r="Q343">
            <v>0</v>
          </cell>
        </row>
        <row r="344">
          <cell r="B344" t="str">
            <v>3C-双层移动推车MY1700PJ</v>
          </cell>
        </row>
        <row r="344">
          <cell r="P344">
            <v>1</v>
          </cell>
          <cell r="Q344">
            <v>0</v>
          </cell>
        </row>
        <row r="345">
          <cell r="B345" t="str">
            <v>3C-电脑机箱34014款风扇款黑色</v>
          </cell>
        </row>
        <row r="345">
          <cell r="P345">
            <v>0</v>
          </cell>
          <cell r="Q345">
            <v>0</v>
          </cell>
        </row>
        <row r="346">
          <cell r="B346" t="str">
            <v>3B-桌面碎纸机4L桶CS201C</v>
          </cell>
        </row>
        <row r="346">
          <cell r="P346">
            <v>0</v>
          </cell>
          <cell r="Q346">
            <v>0</v>
          </cell>
        </row>
        <row r="347">
          <cell r="B347" t="str">
            <v>3B-指纹柜锁K16款</v>
          </cell>
        </row>
        <row r="347">
          <cell r="P347">
            <v>0</v>
          </cell>
          <cell r="Q347">
            <v>0</v>
          </cell>
        </row>
        <row r="348">
          <cell r="B348" t="str">
            <v>3B-指纹柜锁CTS10款</v>
          </cell>
        </row>
        <row r="348">
          <cell r="P348">
            <v>0</v>
          </cell>
          <cell r="Q348">
            <v>0</v>
          </cell>
        </row>
        <row r="349">
          <cell r="B349" t="str">
            <v>3B-WIFI漏电多功能导轨表彩屏款2P63A</v>
          </cell>
        </row>
        <row r="349">
          <cell r="P349">
            <v>0</v>
          </cell>
          <cell r="Q349">
            <v>0</v>
          </cell>
        </row>
        <row r="350">
          <cell r="B350" t="str">
            <v>3B-WIFI漏电多功能导轨表彩屏款2P100A</v>
          </cell>
        </row>
        <row r="350">
          <cell r="P350">
            <v>0</v>
          </cell>
          <cell r="Q350">
            <v>0</v>
          </cell>
        </row>
        <row r="351">
          <cell r="B351" t="str">
            <v>3B-WIFI漏电多功能导轨表彩屏6显款2P63A</v>
          </cell>
        </row>
        <row r="351">
          <cell r="P351">
            <v>0</v>
          </cell>
          <cell r="Q351">
            <v>0</v>
          </cell>
        </row>
        <row r="352">
          <cell r="B352" t="str">
            <v>3B-导轨单相计量电能表1P机械计量款</v>
          </cell>
        </row>
        <row r="352">
          <cell r="P352">
            <v>0</v>
          </cell>
          <cell r="Q352">
            <v>0</v>
          </cell>
        </row>
        <row r="353">
          <cell r="B353" t="str">
            <v>3B-导轨单相多功能电能表1P液晶计量款</v>
          </cell>
        </row>
        <row r="353">
          <cell r="P353">
            <v>0</v>
          </cell>
          <cell r="Q353">
            <v>0</v>
          </cell>
        </row>
        <row r="354">
          <cell r="B354" t="str">
            <v>3B-导轨单相电能表2P液晶计量款</v>
          </cell>
        </row>
        <row r="354">
          <cell r="P354">
            <v>0</v>
          </cell>
          <cell r="Q354">
            <v>0</v>
          </cell>
        </row>
        <row r="355">
          <cell r="B355" t="str">
            <v>3C-触摸钢琴带琴谱架88键力度键LM600</v>
          </cell>
        </row>
        <row r="355">
          <cell r="P355">
            <v>0</v>
          </cell>
          <cell r="Q355">
            <v>0</v>
          </cell>
        </row>
        <row r="356">
          <cell r="B356" t="str">
            <v>3C-数码钢琴带琴谱架88键力度键LM200</v>
          </cell>
        </row>
        <row r="356">
          <cell r="P356">
            <v>0</v>
          </cell>
          <cell r="Q356">
            <v>0</v>
          </cell>
        </row>
        <row r="357">
          <cell r="B357" t="str">
            <v>3C-电子架子鼓两鼓两镲MT10L</v>
          </cell>
        </row>
        <row r="357">
          <cell r="P357">
            <v>0</v>
          </cell>
          <cell r="Q357">
            <v>0</v>
          </cell>
        </row>
        <row r="358">
          <cell r="B358" t="str">
            <v>3B-硬币清分机5188</v>
          </cell>
        </row>
        <row r="358">
          <cell r="P358">
            <v>0</v>
          </cell>
          <cell r="Q358">
            <v>0</v>
          </cell>
        </row>
        <row r="359">
          <cell r="B359" t="str">
            <v>3B-便携式点钞机V30</v>
          </cell>
        </row>
        <row r="359">
          <cell r="P359">
            <v>0</v>
          </cell>
          <cell r="Q359">
            <v>0</v>
          </cell>
        </row>
        <row r="360">
          <cell r="B360" t="str">
            <v>3B-微型电脑纸卡考勤机</v>
          </cell>
        </row>
        <row r="360">
          <cell r="P360">
            <v>0</v>
          </cell>
          <cell r="Q360">
            <v>0</v>
          </cell>
        </row>
        <row r="361">
          <cell r="B361" t="str">
            <v>3B-木框白板60cm*90cm</v>
          </cell>
        </row>
        <row r="361">
          <cell r="P361">
            <v>0</v>
          </cell>
          <cell r="Q361">
            <v>0</v>
          </cell>
        </row>
        <row r="362">
          <cell r="B362" t="str">
            <v>3B-木框留言板60cm*90cm</v>
          </cell>
        </row>
        <row r="362">
          <cell r="P362">
            <v>0</v>
          </cell>
          <cell r="Q362">
            <v>0</v>
          </cell>
        </row>
        <row r="363">
          <cell r="B363" t="str">
            <v>3B-首饰盒指纹款AJX</v>
          </cell>
        </row>
        <row r="363">
          <cell r="P363">
            <v>0</v>
          </cell>
          <cell r="Q363">
            <v>0</v>
          </cell>
        </row>
        <row r="364">
          <cell r="B364" t="str">
            <v>3C-22寸75HZ直面1K显示器无边框QX黑色M2217</v>
          </cell>
        </row>
        <row r="364">
          <cell r="P364">
            <v>0</v>
          </cell>
          <cell r="Q364">
            <v>0</v>
          </cell>
        </row>
        <row r="365">
          <cell r="B365" t="str">
            <v>3C-24寸75HZ直面1K显示器无边框QX黑色M24SW</v>
          </cell>
        </row>
        <row r="365">
          <cell r="P365">
            <v>0</v>
          </cell>
          <cell r="Q365">
            <v>0</v>
          </cell>
        </row>
        <row r="366">
          <cell r="B366" t="str">
            <v>3C-27寸75HZ直面1K显示器无边框QX黑色M27SW</v>
          </cell>
        </row>
        <row r="366">
          <cell r="P366">
            <v>0</v>
          </cell>
          <cell r="Q366">
            <v>0</v>
          </cell>
        </row>
        <row r="367">
          <cell r="B367" t="str">
            <v>3C-27寸75HZ直面1K显示器无边框升降底座QX黑色M27SW2</v>
          </cell>
        </row>
        <row r="367">
          <cell r="P367">
            <v>0</v>
          </cell>
          <cell r="Q367">
            <v>0</v>
          </cell>
        </row>
        <row r="368">
          <cell r="B368" t="str">
            <v>3C-24寸100HZ直面1K显示器无边框QX黑色M24GS</v>
          </cell>
        </row>
        <row r="368">
          <cell r="P368">
            <v>0</v>
          </cell>
          <cell r="Q368">
            <v>0</v>
          </cell>
        </row>
        <row r="369">
          <cell r="B369" t="str">
            <v>3C-27寸100HZ直面1K显示器无边框QX带背光黑色M27GS</v>
          </cell>
        </row>
        <row r="369">
          <cell r="P369">
            <v>0</v>
          </cell>
          <cell r="Q369">
            <v>0</v>
          </cell>
        </row>
        <row r="370">
          <cell r="B370" t="str">
            <v>3C-32寸100HZ直面1K显示器无边框QX带背光黑色M32GS</v>
          </cell>
        </row>
        <row r="370">
          <cell r="P370">
            <v>0</v>
          </cell>
          <cell r="Q370">
            <v>0</v>
          </cell>
        </row>
        <row r="371">
          <cell r="B371" t="str">
            <v>3C-30寸200HZ直面2K显示器无边框QX带背光黑色M30GS</v>
          </cell>
        </row>
        <row r="371">
          <cell r="P371">
            <v>0</v>
          </cell>
          <cell r="Q371">
            <v>0</v>
          </cell>
        </row>
        <row r="372">
          <cell r="B372" t="str">
            <v>3C-14寸60Hz直面1K左右双屏便携式显示器无触摸黑色</v>
          </cell>
        </row>
        <row r="372">
          <cell r="P372">
            <v>0</v>
          </cell>
          <cell r="Q372">
            <v>0</v>
          </cell>
        </row>
        <row r="373">
          <cell r="B373" t="str">
            <v>3C-14寸60Hz直面1K便携式显示器触摸黑色</v>
          </cell>
        </row>
        <row r="373">
          <cell r="P373">
            <v>0</v>
          </cell>
          <cell r="Q373">
            <v>0</v>
          </cell>
        </row>
        <row r="374">
          <cell r="B374" t="str">
            <v>3C-15.6寸60Hz直面1K便携式无线投屏显示器黑色</v>
          </cell>
        </row>
        <row r="374">
          <cell r="P374">
            <v>0</v>
          </cell>
          <cell r="Q374">
            <v>0</v>
          </cell>
        </row>
        <row r="375">
          <cell r="B375" t="str">
            <v>3C-无线四模头戴耳机黑白色K80</v>
          </cell>
        </row>
        <row r="375">
          <cell r="P375">
            <v>0</v>
          </cell>
          <cell r="Q375">
            <v>0</v>
          </cell>
        </row>
        <row r="376">
          <cell r="B376" t="str">
            <v>3C-乐器机械节拍器</v>
          </cell>
        </row>
        <row r="376">
          <cell r="P376">
            <v>0</v>
          </cell>
          <cell r="Q376">
            <v>0</v>
          </cell>
        </row>
        <row r="377">
          <cell r="B377" t="str">
            <v>3B-家用储能电源HeroEE1</v>
          </cell>
        </row>
        <row r="377">
          <cell r="P377">
            <v>0</v>
          </cell>
          <cell r="Q377">
            <v>0</v>
          </cell>
        </row>
        <row r="378">
          <cell r="B378" t="str">
            <v>3B-家用储能电源HeroEE2</v>
          </cell>
        </row>
        <row r="378">
          <cell r="P378">
            <v>0</v>
          </cell>
          <cell r="Q378">
            <v>0</v>
          </cell>
        </row>
        <row r="379">
          <cell r="B379" t="str">
            <v>3B-储能电源G120</v>
          </cell>
        </row>
        <row r="379">
          <cell r="P379">
            <v>0</v>
          </cell>
          <cell r="Q379">
            <v>0</v>
          </cell>
        </row>
        <row r="380">
          <cell r="B380" t="str">
            <v>3B-储能电源G300</v>
          </cell>
        </row>
        <row r="380">
          <cell r="P380">
            <v>0</v>
          </cell>
          <cell r="Q380">
            <v>0</v>
          </cell>
        </row>
        <row r="381">
          <cell r="B381" t="str">
            <v>3B-储能电源R300</v>
          </cell>
        </row>
        <row r="381">
          <cell r="P381">
            <v>0</v>
          </cell>
          <cell r="Q381">
            <v>0</v>
          </cell>
        </row>
        <row r="382">
          <cell r="B382" t="str">
            <v>3B-储能电源R350</v>
          </cell>
        </row>
        <row r="382">
          <cell r="P382">
            <v>0</v>
          </cell>
          <cell r="Q382">
            <v>0</v>
          </cell>
        </row>
        <row r="383">
          <cell r="B383" t="str">
            <v>3B-储能电源R600</v>
          </cell>
        </row>
        <row r="383">
          <cell r="P383">
            <v>0</v>
          </cell>
          <cell r="Q383">
            <v>0</v>
          </cell>
        </row>
        <row r="384">
          <cell r="B384" t="str">
            <v>3B-家用储能电源S167型</v>
          </cell>
        </row>
        <row r="384">
          <cell r="P384">
            <v>0</v>
          </cell>
          <cell r="Q384">
            <v>0</v>
          </cell>
        </row>
        <row r="385">
          <cell r="B385" t="str">
            <v>3B-家用储能电源S192型</v>
          </cell>
        </row>
        <row r="385">
          <cell r="P385">
            <v>0</v>
          </cell>
          <cell r="Q385">
            <v>0</v>
          </cell>
        </row>
        <row r="386">
          <cell r="B386" t="str">
            <v>3B-家用储能电源S75型</v>
          </cell>
        </row>
        <row r="386">
          <cell r="P386">
            <v>0</v>
          </cell>
          <cell r="Q386">
            <v>0</v>
          </cell>
        </row>
        <row r="387">
          <cell r="B387" t="str">
            <v>3B-便携式太阳能一体储能电源</v>
          </cell>
        </row>
        <row r="387">
          <cell r="P387">
            <v>0</v>
          </cell>
          <cell r="Q387">
            <v>0</v>
          </cell>
        </row>
        <row r="388">
          <cell r="B388" t="str">
            <v>3C-显示器桌面支架T001</v>
          </cell>
        </row>
        <row r="388">
          <cell r="P388">
            <v>0</v>
          </cell>
          <cell r="Q388">
            <v>0</v>
          </cell>
        </row>
        <row r="389">
          <cell r="B389" t="str">
            <v>3C-21寸初学者入门侧旋款尤克里里</v>
          </cell>
        </row>
        <row r="389">
          <cell r="P389">
            <v>0</v>
          </cell>
          <cell r="Q389">
            <v>0</v>
          </cell>
        </row>
        <row r="390">
          <cell r="B390" t="str">
            <v>3C-38寸初学者民谣入门练习吉他套装</v>
          </cell>
        </row>
        <row r="390">
          <cell r="P390">
            <v>0</v>
          </cell>
          <cell r="Q390">
            <v>0</v>
          </cell>
        </row>
        <row r="391">
          <cell r="B391" t="str">
            <v>3C-38寸手工进阶款民谣吉他</v>
          </cell>
        </row>
        <row r="391">
          <cell r="P391">
            <v>0</v>
          </cell>
          <cell r="Q391">
            <v>0</v>
          </cell>
        </row>
        <row r="392">
          <cell r="B392" t="str">
            <v>3C-X3S游戏手柄带手机支架</v>
          </cell>
        </row>
        <row r="392">
          <cell r="P392">
            <v>0</v>
          </cell>
          <cell r="Q392">
            <v>0</v>
          </cell>
        </row>
        <row r="393">
          <cell r="B393" t="str">
            <v>3C-电脑机箱异形01机箱黑色灯板款</v>
          </cell>
        </row>
        <row r="393">
          <cell r="P393">
            <v>0</v>
          </cell>
          <cell r="Q393">
            <v>0</v>
          </cell>
        </row>
        <row r="394">
          <cell r="B394" t="str">
            <v>3C-电脑机箱异形01机箱黑色风扇款</v>
          </cell>
        </row>
        <row r="394">
          <cell r="P394">
            <v>0</v>
          </cell>
          <cell r="Q394">
            <v>0</v>
          </cell>
        </row>
        <row r="395">
          <cell r="B395" t="str">
            <v>3C-儿童电子琴套装带琴谱架37键LM970黑色</v>
          </cell>
        </row>
        <row r="395">
          <cell r="P395">
            <v>0</v>
          </cell>
          <cell r="Q395">
            <v>0</v>
          </cell>
        </row>
        <row r="396">
          <cell r="B396" t="str">
            <v>3C-便携九打手卷电子鼓橙色</v>
          </cell>
        </row>
        <row r="396">
          <cell r="P396">
            <v>0</v>
          </cell>
          <cell r="Q396">
            <v>0</v>
          </cell>
        </row>
        <row r="397">
          <cell r="B397" t="str">
            <v>3B-光伏板一体层压2折10W</v>
          </cell>
        </row>
        <row r="397">
          <cell r="P397">
            <v>0</v>
          </cell>
          <cell r="Q397">
            <v>0</v>
          </cell>
        </row>
        <row r="398">
          <cell r="B398" t="str">
            <v>3B-光伏板一体层压3折30W</v>
          </cell>
        </row>
        <row r="398">
          <cell r="P398">
            <v>0</v>
          </cell>
          <cell r="Q398">
            <v>0</v>
          </cell>
        </row>
        <row r="399">
          <cell r="B399" t="str">
            <v>3B-光伏板车缝3折21W</v>
          </cell>
        </row>
        <row r="399">
          <cell r="P399">
            <v>0</v>
          </cell>
          <cell r="Q399">
            <v>0</v>
          </cell>
        </row>
        <row r="400">
          <cell r="B400" t="str">
            <v>3B-光伏板一体层压8折25W</v>
          </cell>
        </row>
        <row r="400">
          <cell r="P400">
            <v>0</v>
          </cell>
          <cell r="Q400">
            <v>0</v>
          </cell>
        </row>
        <row r="401">
          <cell r="B401" t="str">
            <v>3B-光伏板太阳能单面发电板12W</v>
          </cell>
        </row>
        <row r="401">
          <cell r="P401">
            <v>0</v>
          </cell>
          <cell r="Q401">
            <v>0</v>
          </cell>
        </row>
        <row r="402">
          <cell r="B402" t="str">
            <v>3B-光伏板轻量化车缝2折100W</v>
          </cell>
        </row>
        <row r="402">
          <cell r="P402">
            <v>0</v>
          </cell>
          <cell r="Q402">
            <v>0</v>
          </cell>
        </row>
        <row r="403">
          <cell r="B403" t="str">
            <v>3B-光伏板轻量化车缝4折200W</v>
          </cell>
        </row>
        <row r="403">
          <cell r="P403">
            <v>0</v>
          </cell>
          <cell r="Q403">
            <v>0</v>
          </cell>
        </row>
        <row r="404">
          <cell r="B404" t="str">
            <v>3B-锂离子蓄电池12V30AH</v>
          </cell>
        </row>
        <row r="404">
          <cell r="P404">
            <v>0</v>
          </cell>
          <cell r="Q404">
            <v>0</v>
          </cell>
        </row>
        <row r="405">
          <cell r="B405" t="str">
            <v>3B-锂离子蓄电池12V100AH</v>
          </cell>
        </row>
        <row r="405">
          <cell r="P405">
            <v>0</v>
          </cell>
          <cell r="Q405">
            <v>0</v>
          </cell>
        </row>
        <row r="406">
          <cell r="B406" t="str">
            <v>3C-单柱旋转移动推车MY01</v>
          </cell>
        </row>
        <row r="406">
          <cell r="P406">
            <v>0</v>
          </cell>
          <cell r="Q406">
            <v>0</v>
          </cell>
        </row>
        <row r="407">
          <cell r="B407" t="str">
            <v>3C-有线多功能游戏透明手柄STK2039XRG</v>
          </cell>
        </row>
        <row r="407">
          <cell r="P407">
            <v>0</v>
          </cell>
          <cell r="Q407">
            <v>0</v>
          </cell>
        </row>
        <row r="408">
          <cell r="B408" t="str">
            <v>3B-储能电源光伏充电板16V</v>
          </cell>
        </row>
        <row r="408">
          <cell r="P408">
            <v>0</v>
          </cell>
          <cell r="Q408">
            <v>0</v>
          </cell>
        </row>
        <row r="409">
          <cell r="B409" t="str">
            <v>3C-高亮自动对焦灯带投影仪Z300</v>
          </cell>
        </row>
        <row r="409">
          <cell r="P409">
            <v>0</v>
          </cell>
          <cell r="Q409">
            <v>0</v>
          </cell>
        </row>
        <row r="410">
          <cell r="B410" t="str">
            <v>3B-便携式路由器R5款黑色</v>
          </cell>
        </row>
        <row r="410">
          <cell r="P410">
            <v>0</v>
          </cell>
          <cell r="Q410">
            <v>0</v>
          </cell>
        </row>
        <row r="411">
          <cell r="B411" t="str">
            <v>3B-三天线摇头机摄像头</v>
          </cell>
        </row>
        <row r="411">
          <cell r="P411">
            <v>0</v>
          </cell>
          <cell r="Q411">
            <v>0</v>
          </cell>
        </row>
        <row r="412">
          <cell r="B412" t="str">
            <v>3C-H型14至55寸电视壁架</v>
          </cell>
        </row>
        <row r="412">
          <cell r="P412">
            <v>0</v>
          </cell>
          <cell r="Q412">
            <v>0</v>
          </cell>
        </row>
        <row r="413">
          <cell r="B413" t="str">
            <v>3B-双目灯泡摄像头</v>
          </cell>
        </row>
        <row r="413">
          <cell r="P413">
            <v>0</v>
          </cell>
          <cell r="Q413">
            <v>0</v>
          </cell>
        </row>
        <row r="414">
          <cell r="B414" t="str">
            <v>3B-手持一维有线影像扫描枪</v>
          </cell>
        </row>
        <row r="414">
          <cell r="P414">
            <v>0</v>
          </cell>
          <cell r="Q414">
            <v>0</v>
          </cell>
        </row>
        <row r="415">
          <cell r="B415" t="str">
            <v>3B-液晶面板黑色保险箱密码45S2款</v>
          </cell>
        </row>
        <row r="415">
          <cell r="P415">
            <v>0</v>
          </cell>
          <cell r="Q415">
            <v>0</v>
          </cell>
        </row>
        <row r="416">
          <cell r="B416" t="str">
            <v>3B-液晶面板黑色保险箱内柜指纹45FS款</v>
          </cell>
        </row>
        <row r="416">
          <cell r="P416">
            <v>0</v>
          </cell>
          <cell r="Q416">
            <v>0</v>
          </cell>
        </row>
        <row r="417">
          <cell r="B417" t="str">
            <v>3B-液晶面板黑色保险箱指纹45FS2款</v>
          </cell>
        </row>
        <row r="417">
          <cell r="P417">
            <v>0</v>
          </cell>
          <cell r="Q417">
            <v>0</v>
          </cell>
        </row>
        <row r="418">
          <cell r="B418" t="str">
            <v>3B-功勋仓咖啡金保险箱密码45S2款</v>
          </cell>
        </row>
        <row r="418">
          <cell r="P418">
            <v>0</v>
          </cell>
          <cell r="Q418">
            <v>0</v>
          </cell>
        </row>
        <row r="419">
          <cell r="B419" t="str">
            <v>3B-功勋仓咖啡金保险箱内柜指纹45FS款</v>
          </cell>
        </row>
        <row r="419">
          <cell r="P419">
            <v>0</v>
          </cell>
          <cell r="Q419">
            <v>0</v>
          </cell>
        </row>
        <row r="420">
          <cell r="B420" t="str">
            <v>3B-XT香槟金保险箱内柜密码45S款</v>
          </cell>
        </row>
        <row r="420">
          <cell r="P420">
            <v>0</v>
          </cell>
          <cell r="Q420">
            <v>0</v>
          </cell>
        </row>
        <row r="421">
          <cell r="B421" t="str">
            <v>3B-XT香槟金保险箱内柜指纹45FS款</v>
          </cell>
        </row>
        <row r="421">
          <cell r="P421">
            <v>0</v>
          </cell>
          <cell r="Q421">
            <v>0</v>
          </cell>
        </row>
        <row r="422">
          <cell r="B422" t="str">
            <v>3B-新A6黑色保险箱密码25H9款</v>
          </cell>
        </row>
        <row r="422">
          <cell r="P422">
            <v>0</v>
          </cell>
          <cell r="Q422">
            <v>0</v>
          </cell>
        </row>
        <row r="423">
          <cell r="B423" t="str">
            <v>3B-新A6黑色保险箱指纹25FH9款</v>
          </cell>
        </row>
        <row r="423">
          <cell r="P423">
            <v>0</v>
          </cell>
          <cell r="Q423">
            <v>0</v>
          </cell>
        </row>
        <row r="424">
          <cell r="B424" t="str">
            <v>3C-吉他变调夹</v>
          </cell>
        </row>
        <row r="424">
          <cell r="P424">
            <v>0</v>
          </cell>
          <cell r="Q424">
            <v>0</v>
          </cell>
        </row>
        <row r="425">
          <cell r="B425" t="str">
            <v>3C-吉他助弹器</v>
          </cell>
        </row>
        <row r="425">
          <cell r="P425">
            <v>0</v>
          </cell>
          <cell r="Q425">
            <v>0</v>
          </cell>
        </row>
        <row r="426">
          <cell r="B426" t="str">
            <v>3C-吉他立稳支架</v>
          </cell>
        </row>
        <row r="426">
          <cell r="P426">
            <v>0</v>
          </cell>
          <cell r="Q426">
            <v>0</v>
          </cell>
        </row>
        <row r="427">
          <cell r="B427" t="str">
            <v>3C-单臂显示器支架基础款MS007</v>
          </cell>
        </row>
        <row r="427">
          <cell r="P427">
            <v>0</v>
          </cell>
          <cell r="Q427">
            <v>0</v>
          </cell>
        </row>
        <row r="428">
          <cell r="B428" t="str">
            <v>3C-72英寸16比9户外便携双支架幕</v>
          </cell>
        </row>
        <row r="428">
          <cell r="P428">
            <v>0</v>
          </cell>
          <cell r="Q428">
            <v>0</v>
          </cell>
        </row>
        <row r="429">
          <cell r="B429" t="str">
            <v>3C-60英寸16比9便携式简易壁挂幕</v>
          </cell>
        </row>
        <row r="429">
          <cell r="P429">
            <v>0</v>
          </cell>
          <cell r="Q429">
            <v>0</v>
          </cell>
        </row>
        <row r="430">
          <cell r="B430" t="str">
            <v>3C-72英寸16比9便携式简易壁挂幕</v>
          </cell>
        </row>
        <row r="430">
          <cell r="P430">
            <v>0</v>
          </cell>
          <cell r="Q430">
            <v>0</v>
          </cell>
        </row>
        <row r="431">
          <cell r="B431" t="str">
            <v>3C-60英寸16比9手拉自锁幕</v>
          </cell>
        </row>
        <row r="431">
          <cell r="P431">
            <v>0</v>
          </cell>
          <cell r="Q431">
            <v>0</v>
          </cell>
        </row>
        <row r="432">
          <cell r="B432" t="str">
            <v>3C-70英寸16比9手拉自锁幕</v>
          </cell>
        </row>
        <row r="432">
          <cell r="P432">
            <v>0</v>
          </cell>
          <cell r="Q432">
            <v>0</v>
          </cell>
        </row>
        <row r="433">
          <cell r="B433" t="str">
            <v>3C-39寸ST电吉他</v>
          </cell>
        </row>
        <row r="433">
          <cell r="P433">
            <v>0</v>
          </cell>
          <cell r="Q4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H177"/>
  <sheetViews>
    <sheetView tabSelected="1" topLeftCell="B1" workbookViewId="0">
      <selection activeCell="L16" sqref="L16"/>
    </sheetView>
  </sheetViews>
  <sheetFormatPr defaultColWidth="9" defaultRowHeight="11.25" customHeight="1"/>
  <cols>
    <col min="1" max="1" width="9" style="7" hidden="1" customWidth="1"/>
    <col min="2" max="2" width="18.3333333333333" style="7" customWidth="1"/>
    <col min="3" max="3" width="9" style="7" customWidth="1"/>
    <col min="4" max="5" width="9" style="7" hidden="1" customWidth="1"/>
    <col min="6" max="6" width="9.58333333333333" style="7" customWidth="1"/>
    <col min="7" max="7" width="6.66666666666667" style="7" customWidth="1"/>
    <col min="8" max="8" width="6.625" style="7" customWidth="1"/>
    <col min="9" max="11" width="6.66666666666667" style="7" customWidth="1"/>
    <col min="12" max="12" width="6.66666666666667" style="24" customWidth="1"/>
    <col min="13" max="15" width="8.66666666666667" style="7" hidden="1" customWidth="1"/>
    <col min="16" max="18" width="7.5" style="7" hidden="1" customWidth="1"/>
    <col min="19" max="22" width="7.25" style="7" customWidth="1"/>
    <col min="23" max="23" width="7.5" style="7" customWidth="1"/>
    <col min="24" max="24" width="7.25" style="119" customWidth="1"/>
    <col min="25" max="26" width="7.5" style="7" customWidth="1"/>
    <col min="27" max="27" width="8.875" style="7" customWidth="1"/>
    <col min="28" max="28" width="8.25" style="120" customWidth="1"/>
    <col min="29" max="29" width="7.5" style="7" customWidth="1"/>
    <col min="30" max="30" width="7" style="7" customWidth="1"/>
    <col min="31" max="31" width="30.6916666666667" style="121" customWidth="1"/>
    <col min="32" max="32" width="30.6916666666667" customWidth="1"/>
    <col min="33" max="33" width="9.625"/>
  </cols>
  <sheetData>
    <row r="1" customHeight="1" spans="1:34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3"/>
      <c r="M1" s="122"/>
      <c r="N1" s="122"/>
      <c r="O1" s="122"/>
      <c r="P1" s="122"/>
      <c r="Q1" s="122"/>
      <c r="R1" s="122"/>
      <c r="S1" s="124" t="s">
        <v>0</v>
      </c>
      <c r="T1" s="124"/>
      <c r="U1" s="124"/>
      <c r="V1" s="124"/>
      <c r="W1" s="125" t="s">
        <v>1</v>
      </c>
      <c r="X1" s="126"/>
      <c r="Y1" s="125"/>
      <c r="Z1" s="127"/>
      <c r="AA1" s="128" t="s">
        <v>2</v>
      </c>
      <c r="AB1" s="129"/>
      <c r="AC1" s="128"/>
      <c r="AD1" s="130"/>
      <c r="AE1" s="131"/>
      <c r="AF1" s="132"/>
    </row>
    <row r="2" customHeight="1" spans="1:34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2"/>
      <c r="N2" s="122"/>
      <c r="O2" s="122"/>
      <c r="P2" s="122"/>
      <c r="Q2" s="122"/>
      <c r="R2" s="122"/>
      <c r="S2" s="124"/>
      <c r="T2" s="124"/>
      <c r="U2" s="124"/>
      <c r="V2" s="124"/>
      <c r="W2" s="133"/>
      <c r="X2" s="134"/>
      <c r="Y2" s="133"/>
      <c r="Z2" s="135"/>
      <c r="AA2" s="136"/>
      <c r="AB2" s="137"/>
      <c r="AC2" s="136"/>
      <c r="AD2" s="138"/>
      <c r="AE2" s="131"/>
      <c r="AF2" s="132"/>
    </row>
    <row r="3" ht="27" customHeight="1" spans="1:34">
      <c r="A3" s="88" t="s">
        <v>3</v>
      </c>
      <c r="B3" s="88" t="s">
        <v>4</v>
      </c>
      <c r="C3" s="88"/>
      <c r="D3" s="88" t="s">
        <v>5</v>
      </c>
      <c r="E3" s="88" t="s">
        <v>6</v>
      </c>
      <c r="F3" s="88" t="s">
        <v>7</v>
      </c>
      <c r="G3" s="88" t="s">
        <v>8</v>
      </c>
      <c r="H3" s="88" t="s">
        <v>9</v>
      </c>
      <c r="I3" s="88" t="s">
        <v>10</v>
      </c>
      <c r="J3" s="88" t="s">
        <v>11</v>
      </c>
      <c r="K3" s="88" t="s">
        <v>12</v>
      </c>
      <c r="L3" s="89" t="s">
        <v>13</v>
      </c>
      <c r="M3" s="139" t="s">
        <v>14</v>
      </c>
      <c r="N3" s="139" t="s">
        <v>15</v>
      </c>
      <c r="O3" s="139" t="s">
        <v>16</v>
      </c>
      <c r="P3" s="140" t="s">
        <v>17</v>
      </c>
      <c r="Q3" s="140" t="s">
        <v>18</v>
      </c>
      <c r="R3" s="140" t="s">
        <v>19</v>
      </c>
      <c r="S3" s="141" t="s">
        <v>20</v>
      </c>
      <c r="T3" s="141" t="s">
        <v>21</v>
      </c>
      <c r="U3" s="141" t="s">
        <v>22</v>
      </c>
      <c r="V3" s="141" t="s">
        <v>23</v>
      </c>
      <c r="W3" s="142" t="s">
        <v>24</v>
      </c>
      <c r="X3" s="143" t="s">
        <v>21</v>
      </c>
      <c r="Y3" s="142" t="s">
        <v>25</v>
      </c>
      <c r="Z3" s="144" t="s">
        <v>26</v>
      </c>
      <c r="AA3" s="145" t="s">
        <v>24</v>
      </c>
      <c r="AB3" s="146" t="s">
        <v>21</v>
      </c>
      <c r="AC3" s="145" t="s">
        <v>25</v>
      </c>
      <c r="AD3" s="147" t="s">
        <v>27</v>
      </c>
      <c r="AE3" s="148" t="s">
        <v>28</v>
      </c>
      <c r="AF3" s="149" t="s">
        <v>29</v>
      </c>
      <c r="AG3" s="150" t="s">
        <v>30</v>
      </c>
      <c r="AH3" s="150" t="s">
        <v>31</v>
      </c>
    </row>
    <row r="4" s="118" customFormat="1" ht="50" customHeight="1" spans="1:34">
      <c r="A4" s="151" t="s">
        <v>32</v>
      </c>
      <c r="B4" s="152" t="s">
        <v>33</v>
      </c>
      <c r="C4" s="152">
        <v>1</v>
      </c>
      <c r="D4" s="152" t="s">
        <v>34</v>
      </c>
      <c r="E4" s="152" t="s">
        <v>35</v>
      </c>
      <c r="F4" s="152" t="s">
        <v>36</v>
      </c>
      <c r="G4" s="152">
        <v>173.4126</v>
      </c>
      <c r="H4" s="152">
        <v>1772</v>
      </c>
      <c r="I4" s="151">
        <v>13</v>
      </c>
      <c r="J4" s="151">
        <v>136</v>
      </c>
      <c r="K4" s="151">
        <v>1077</v>
      </c>
      <c r="L4" s="151">
        <v>232286</v>
      </c>
      <c r="M4" s="153">
        <f>(H4-(I4*50))/50</f>
        <v>22.44</v>
      </c>
      <c r="N4" s="153">
        <f>31*(M4+I4)</f>
        <v>1098.64</v>
      </c>
      <c r="O4" s="153">
        <f t="shared" ref="O4:O12" si="0">N4*G4</f>
        <v>190518.018864</v>
      </c>
      <c r="P4" s="153">
        <f>(H4-(I4*90))/90</f>
        <v>6.68888888888889</v>
      </c>
      <c r="Q4" s="153">
        <f>31*(P4+I4)</f>
        <v>610.355555555556</v>
      </c>
      <c r="R4" s="153">
        <f>(P4+I4)*31*G4*1.5</f>
        <v>158765.01572</v>
      </c>
      <c r="S4" s="153">
        <f>Q4</f>
        <v>610.355555555556</v>
      </c>
      <c r="T4" s="153">
        <f>S4/31</f>
        <v>19.6888888888889</v>
      </c>
      <c r="U4" s="153">
        <f>T4-I4</f>
        <v>6.68888888888889</v>
      </c>
      <c r="V4" s="153">
        <f>R4</f>
        <v>158765.01572</v>
      </c>
      <c r="W4" s="154">
        <f>_xlfn.XLOOKUP(B4,Sheet5!G:G,Sheet5!H:H)</f>
        <v>0.585</v>
      </c>
      <c r="X4" s="155">
        <f>Y4/31</f>
        <v>11.518</v>
      </c>
      <c r="Y4" s="153">
        <f>S4*W4</f>
        <v>357.058</v>
      </c>
      <c r="Z4" s="153">
        <f>Y4*G4*1.5</f>
        <v>92877.5341962</v>
      </c>
      <c r="AA4" s="154">
        <f>_xlfn.XLOOKUP(B4,Sheet5!G:G,Sheet5!I:I)</f>
        <v>0.415</v>
      </c>
      <c r="AB4" s="155">
        <f>AC4/31</f>
        <v>8.17088888888889</v>
      </c>
      <c r="AC4" s="153">
        <f>S4*AA4</f>
        <v>253.297555555556</v>
      </c>
      <c r="AD4" s="153">
        <f>G4*AC4*1.5</f>
        <v>65887.4815238</v>
      </c>
      <c r="AE4" s="156" t="s">
        <v>37</v>
      </c>
      <c r="AF4" s="151" t="s">
        <v>38</v>
      </c>
      <c r="AG4" s="157">
        <f>$AC4/4</f>
        <v>63.3243888888889</v>
      </c>
      <c r="AH4" s="157">
        <f>$Y4/4</f>
        <v>89.2645</v>
      </c>
    </row>
    <row r="5" s="118" customFormat="1" ht="50" customHeight="1" spans="1:34">
      <c r="A5" s="151" t="s">
        <v>39</v>
      </c>
      <c r="B5" s="152" t="s">
        <v>40</v>
      </c>
      <c r="C5" s="152">
        <v>1</v>
      </c>
      <c r="D5" s="152" t="s">
        <v>34</v>
      </c>
      <c r="E5" s="152" t="s">
        <v>35</v>
      </c>
      <c r="F5" s="152" t="s">
        <v>41</v>
      </c>
      <c r="G5" s="152">
        <v>209.88</v>
      </c>
      <c r="H5" s="152">
        <v>932</v>
      </c>
      <c r="I5" s="151">
        <v>6</v>
      </c>
      <c r="J5" s="151">
        <v>155</v>
      </c>
      <c r="K5" s="151">
        <v>627</v>
      </c>
      <c r="L5" s="151">
        <v>171787</v>
      </c>
      <c r="M5" s="153">
        <f>(H5-(I5*50))/50</f>
        <v>12.64</v>
      </c>
      <c r="N5" s="153">
        <f>31*(M5+I5)</f>
        <v>577.84</v>
      </c>
      <c r="O5" s="153">
        <f t="shared" si="0"/>
        <v>121277.0592</v>
      </c>
      <c r="P5" s="153">
        <f>(H5-(I5*90))/90</f>
        <v>4.35555555555556</v>
      </c>
      <c r="Q5" s="153">
        <f>31*(P5+I5)</f>
        <v>321.022222222222</v>
      </c>
      <c r="R5" s="153">
        <f>(P5+I5)*31*G5*1.5</f>
        <v>101064.216</v>
      </c>
      <c r="S5" s="153">
        <f>Q5</f>
        <v>321.022222222222</v>
      </c>
      <c r="T5" s="153">
        <f>S5/31</f>
        <v>10.3555555555556</v>
      </c>
      <c r="U5" s="153">
        <f>T5-I5</f>
        <v>4.35555555555555</v>
      </c>
      <c r="V5" s="153">
        <f>R5</f>
        <v>101064.216</v>
      </c>
      <c r="W5" s="154">
        <f>_xlfn.XLOOKUP(B5,Sheet5!G:G,Sheet5!H:H)</f>
        <v>0.44</v>
      </c>
      <c r="X5" s="155">
        <f>Y5/31</f>
        <v>4.55644444444444</v>
      </c>
      <c r="Y5" s="153">
        <f>S5*W5</f>
        <v>141.249777777778</v>
      </c>
      <c r="Z5" s="153">
        <f>Y5*G5*1.5</f>
        <v>44468.25504</v>
      </c>
      <c r="AA5" s="154">
        <f>_xlfn.XLOOKUP(B5,Sheet5!G:G,Sheet5!I:I)</f>
        <v>0.56</v>
      </c>
      <c r="AB5" s="155">
        <f>AC5/31</f>
        <v>5.79911111111111</v>
      </c>
      <c r="AC5" s="153">
        <f>S5*AA5</f>
        <v>179.772444444444</v>
      </c>
      <c r="AD5" s="153">
        <f>G5*AC5*1.5</f>
        <v>56595.96096</v>
      </c>
      <c r="AE5" s="156" t="s">
        <v>42</v>
      </c>
      <c r="AF5" s="151" t="s">
        <v>43</v>
      </c>
      <c r="AG5" s="157">
        <f>AC5/4</f>
        <v>44.9431111111111</v>
      </c>
      <c r="AH5" s="157">
        <f t="shared" ref="AH5:AH36" si="1">$Y5/4</f>
        <v>35.3124444444444</v>
      </c>
    </row>
    <row r="6" s="118" customFormat="1" ht="50" customHeight="1" spans="1:34">
      <c r="A6" s="151" t="s">
        <v>44</v>
      </c>
      <c r="B6" s="152" t="s">
        <v>45</v>
      </c>
      <c r="C6" s="152">
        <v>1</v>
      </c>
      <c r="D6" s="152" t="s">
        <v>34</v>
      </c>
      <c r="E6" s="152" t="s">
        <v>35</v>
      </c>
      <c r="F6" s="152" t="s">
        <v>46</v>
      </c>
      <c r="G6" s="152">
        <v>76.15</v>
      </c>
      <c r="H6" s="152">
        <v>2252</v>
      </c>
      <c r="I6" s="151">
        <v>13</v>
      </c>
      <c r="J6" s="151">
        <v>173</v>
      </c>
      <c r="K6" s="151">
        <v>1557</v>
      </c>
      <c r="L6" s="151">
        <v>156679</v>
      </c>
      <c r="M6" s="153">
        <f>(H6-(I6*50))/50</f>
        <v>32.04</v>
      </c>
      <c r="N6" s="153">
        <f>31*(M6+I6)</f>
        <v>1396.24</v>
      </c>
      <c r="O6" s="153">
        <f t="shared" si="0"/>
        <v>106323.676</v>
      </c>
      <c r="P6" s="153">
        <f>(H6-(I6*90))/90</f>
        <v>12.0222222222222</v>
      </c>
      <c r="Q6" s="153">
        <f>31*(P6+I6)</f>
        <v>775.688888888889</v>
      </c>
      <c r="R6" s="153">
        <f>(P6+I6)*31*G6*1.5</f>
        <v>88603.0633333333</v>
      </c>
      <c r="S6" s="153">
        <f>Q6</f>
        <v>775.688888888889</v>
      </c>
      <c r="T6" s="153">
        <f>S6/31</f>
        <v>25.0222222222222</v>
      </c>
      <c r="U6" s="153">
        <f>T6-I6</f>
        <v>12.0222222222222</v>
      </c>
      <c r="V6" s="153">
        <f>R6</f>
        <v>88603.0633333333</v>
      </c>
      <c r="W6" s="154">
        <f>_xlfn.XLOOKUP(B6,Sheet5!G:G,Sheet5!H:H)</f>
        <v>0.48125</v>
      </c>
      <c r="X6" s="155">
        <f>Y6/31</f>
        <v>12.0419444444444</v>
      </c>
      <c r="Y6" s="153">
        <f>S6*W6</f>
        <v>373.300277777778</v>
      </c>
      <c r="Z6" s="153">
        <f>Y6*G6*1.5</f>
        <v>42640.2242291667</v>
      </c>
      <c r="AA6" s="154">
        <f>_xlfn.XLOOKUP(B6,Sheet5!G:G,Sheet5!I:I)</f>
        <v>0.51875</v>
      </c>
      <c r="AB6" s="155">
        <f>AC6/31</f>
        <v>12.9802777777778</v>
      </c>
      <c r="AC6" s="153">
        <f>S6*AA6</f>
        <v>402.388611111111</v>
      </c>
      <c r="AD6" s="153">
        <f>G6*AC6*1.5</f>
        <v>45962.8391041667</v>
      </c>
      <c r="AE6" s="156" t="s">
        <v>47</v>
      </c>
      <c r="AF6" s="151" t="s">
        <v>48</v>
      </c>
      <c r="AG6" s="157">
        <f>AC6/4</f>
        <v>100.597152777778</v>
      </c>
      <c r="AH6" s="157">
        <f t="shared" si="1"/>
        <v>93.3250694444444</v>
      </c>
    </row>
    <row r="7" s="118" customFormat="1" ht="50" customHeight="1" spans="1:34">
      <c r="A7" s="151" t="s">
        <v>49</v>
      </c>
      <c r="B7" s="152" t="s">
        <v>50</v>
      </c>
      <c r="C7" s="152">
        <v>1</v>
      </c>
      <c r="D7" s="152" t="s">
        <v>34</v>
      </c>
      <c r="E7" s="152" t="s">
        <v>51</v>
      </c>
      <c r="F7" s="152" t="s">
        <v>52</v>
      </c>
      <c r="G7" s="152">
        <v>713.37</v>
      </c>
      <c r="H7" s="152">
        <v>171</v>
      </c>
      <c r="I7" s="151">
        <v>1</v>
      </c>
      <c r="J7" s="151">
        <v>171</v>
      </c>
      <c r="K7" s="151">
        <v>115</v>
      </c>
      <c r="L7" s="151">
        <v>107362</v>
      </c>
      <c r="M7" s="153">
        <f>(H7-(I7*50))/50</f>
        <v>2.42</v>
      </c>
      <c r="N7" s="153">
        <f>31*(M7+I7)</f>
        <v>106.02</v>
      </c>
      <c r="O7" s="153">
        <f t="shared" si="0"/>
        <v>75631.4874</v>
      </c>
      <c r="P7" s="153">
        <f>(H7-(I7*90))/90</f>
        <v>0.9</v>
      </c>
      <c r="Q7" s="153">
        <f>31*(P7+I7)</f>
        <v>58.9</v>
      </c>
      <c r="R7" s="153">
        <f>(P7+I7)*31*G7*1.5</f>
        <v>63026.2395</v>
      </c>
      <c r="S7" s="153">
        <f>Q7</f>
        <v>58.9</v>
      </c>
      <c r="T7" s="153">
        <f>S7/31</f>
        <v>1.9</v>
      </c>
      <c r="U7" s="153">
        <f>T7-I7</f>
        <v>0.9</v>
      </c>
      <c r="V7" s="153">
        <f>R7</f>
        <v>63026.2395</v>
      </c>
      <c r="W7" s="154">
        <f>_xlfn.XLOOKUP(B7,Sheet5!G:G,Sheet5!H:H)</f>
        <v>0.166666666666667</v>
      </c>
      <c r="X7" s="155">
        <f>Y7/31</f>
        <v>0.316666666666667</v>
      </c>
      <c r="Y7" s="153">
        <f>S7*W7</f>
        <v>9.81666666666669</v>
      </c>
      <c r="Z7" s="153">
        <f>Y7*G7*1.5</f>
        <v>10504.37325</v>
      </c>
      <c r="AA7" s="154">
        <f>_xlfn.XLOOKUP(B7,Sheet5!G:G,Sheet5!I:I)</f>
        <v>0.833333333333333</v>
      </c>
      <c r="AB7" s="155">
        <f>AC7/31</f>
        <v>1.58333333333333</v>
      </c>
      <c r="AC7" s="153">
        <f>S7*AA7</f>
        <v>49.0833333333333</v>
      </c>
      <c r="AD7" s="153">
        <f>G7*AC7*1.5</f>
        <v>52521.86625</v>
      </c>
      <c r="AE7" s="156" t="s">
        <v>53</v>
      </c>
      <c r="AF7" s="151" t="s">
        <v>54</v>
      </c>
      <c r="AG7" s="157">
        <f>AC7/4</f>
        <v>12.2708333333333</v>
      </c>
      <c r="AH7" s="157">
        <f t="shared" si="1"/>
        <v>2.45416666666667</v>
      </c>
    </row>
    <row r="8" s="118" customFormat="1" ht="50" customHeight="1" spans="1:34">
      <c r="A8" s="151" t="s">
        <v>55</v>
      </c>
      <c r="B8" s="152" t="s">
        <v>56</v>
      </c>
      <c r="C8" s="152">
        <v>1</v>
      </c>
      <c r="D8" s="152" t="s">
        <v>34</v>
      </c>
      <c r="E8" s="152" t="s">
        <v>35</v>
      </c>
      <c r="F8" s="152" t="s">
        <v>57</v>
      </c>
      <c r="G8" s="152">
        <v>213.2736</v>
      </c>
      <c r="H8" s="152">
        <v>1075</v>
      </c>
      <c r="I8" s="151">
        <v>13</v>
      </c>
      <c r="J8" s="151">
        <v>82</v>
      </c>
      <c r="K8" s="151">
        <v>390</v>
      </c>
      <c r="L8" s="151">
        <v>83177</v>
      </c>
      <c r="M8" s="153">
        <f>(H8-(I8*50))/50</f>
        <v>8.5</v>
      </c>
      <c r="N8" s="153">
        <f>31*(M8+I8)</f>
        <v>666.5</v>
      </c>
      <c r="O8" s="153">
        <f>N8*G8</f>
        <v>142146.8544</v>
      </c>
      <c r="P8" s="153">
        <f>(H8-(I8*90))/90</f>
        <v>-1.05555555555556</v>
      </c>
      <c r="Q8" s="153">
        <f>31*(P8+I8)</f>
        <v>370.277777777778</v>
      </c>
      <c r="R8" s="153">
        <f>(P8+I8)*31*G8*1.5</f>
        <v>118455.712</v>
      </c>
      <c r="S8" s="153">
        <f>Q8</f>
        <v>370.277777777778</v>
      </c>
      <c r="T8" s="153">
        <f>S8/31</f>
        <v>11.9444444444444</v>
      </c>
      <c r="U8" s="153">
        <f>T8-I8</f>
        <v>-1.05555555555556</v>
      </c>
      <c r="V8" s="153">
        <f>R8</f>
        <v>118455.712</v>
      </c>
      <c r="W8" s="154">
        <f>_xlfn.XLOOKUP(B8,Sheet5!G:G,Sheet5!H:H)</f>
        <v>0.335443037974684</v>
      </c>
      <c r="X8" s="155">
        <f>Y8/31</f>
        <v>4.00668073136428</v>
      </c>
      <c r="Y8" s="153">
        <f>S8*W8</f>
        <v>124.207102672293</v>
      </c>
      <c r="Z8" s="153">
        <f>Y8*G8*1.5</f>
        <v>39735.1438987342</v>
      </c>
      <c r="AA8" s="154">
        <f>_xlfn.XLOOKUP(B8,Sheet5!G:G,Sheet5!I:I)</f>
        <v>0.664556962025317</v>
      </c>
      <c r="AB8" s="155">
        <f>AC8/31</f>
        <v>7.93776371308018</v>
      </c>
      <c r="AC8" s="153">
        <f>S8*AA8</f>
        <v>246.070675105485</v>
      </c>
      <c r="AD8" s="153">
        <f>G8*AC8*1.5</f>
        <v>78720.5681012659</v>
      </c>
      <c r="AE8" s="156" t="s">
        <v>58</v>
      </c>
      <c r="AF8" s="158"/>
      <c r="AG8" s="157">
        <f>AC8/4</f>
        <v>61.5176687763714</v>
      </c>
      <c r="AH8" s="157">
        <f t="shared" si="1"/>
        <v>31.0517756680732</v>
      </c>
    </row>
    <row r="9" s="118" customFormat="1" ht="50" customHeight="1" spans="1:34">
      <c r="A9" s="151" t="s">
        <v>59</v>
      </c>
      <c r="B9" s="152" t="s">
        <v>60</v>
      </c>
      <c r="C9" s="152">
        <v>1</v>
      </c>
      <c r="D9" s="152" t="s">
        <v>34</v>
      </c>
      <c r="E9" s="152" t="s">
        <v>51</v>
      </c>
      <c r="F9" s="152" t="s">
        <v>61</v>
      </c>
      <c r="G9" s="152">
        <v>163.992</v>
      </c>
      <c r="H9" s="152">
        <v>276</v>
      </c>
      <c r="I9" s="151">
        <v>1</v>
      </c>
      <c r="J9" s="151">
        <v>276</v>
      </c>
      <c r="K9" s="151">
        <v>218</v>
      </c>
      <c r="L9" s="151">
        <v>49772</v>
      </c>
      <c r="M9" s="153">
        <f>(H9-(I9*50))/50</f>
        <v>4.52</v>
      </c>
      <c r="N9" s="153">
        <f>31*(M9+I9)</f>
        <v>171.12</v>
      </c>
      <c r="O9" s="153">
        <f t="shared" si="0"/>
        <v>28062.31104</v>
      </c>
      <c r="P9" s="153">
        <f>(H9-(I9*90))/90</f>
        <v>2.06666666666667</v>
      </c>
      <c r="Q9" s="153">
        <f>31*(P9+I9)</f>
        <v>95.0666666666667</v>
      </c>
      <c r="R9" s="153">
        <f>(P9+I9)*31*G9*1.5</f>
        <v>23385.2592</v>
      </c>
      <c r="S9" s="153">
        <f>Q9</f>
        <v>95.0666666666667</v>
      </c>
      <c r="T9" s="153">
        <f>S9/31</f>
        <v>3.06666666666667</v>
      </c>
      <c r="U9" s="153">
        <f>T9-I9</f>
        <v>2.06666666666667</v>
      </c>
      <c r="V9" s="153">
        <f>R9</f>
        <v>23385.2592</v>
      </c>
      <c r="W9" s="154">
        <f>_xlfn.XLOOKUP(B9,Sheet5!G:G,Sheet5!H:H)</f>
        <v>0.375</v>
      </c>
      <c r="X9" s="155">
        <f>Y9/31</f>
        <v>1.15</v>
      </c>
      <c r="Y9" s="153">
        <f>S9*W9</f>
        <v>35.65</v>
      </c>
      <c r="Z9" s="153">
        <f>Y9*G9*1.5</f>
        <v>8769.4722</v>
      </c>
      <c r="AA9" s="154">
        <f>_xlfn.XLOOKUP(B9,Sheet5!G:G,Sheet5!I:I)</f>
        <v>0.625</v>
      </c>
      <c r="AB9" s="155">
        <f>AC9/31</f>
        <v>1.91666666666667</v>
      </c>
      <c r="AC9" s="153">
        <f>S9*AA9</f>
        <v>59.4166666666667</v>
      </c>
      <c r="AD9" s="153">
        <f>G9*AC9*1.5</f>
        <v>14615.787</v>
      </c>
      <c r="AE9" s="156" t="s">
        <v>62</v>
      </c>
      <c r="AF9" s="151" t="s">
        <v>63</v>
      </c>
      <c r="AG9" s="157">
        <f>AC9/4</f>
        <v>14.8541666666667</v>
      </c>
      <c r="AH9" s="157">
        <f t="shared" si="1"/>
        <v>8.9125</v>
      </c>
    </row>
    <row r="10" s="118" customFormat="1" ht="50" customHeight="1" spans="1:34">
      <c r="A10" s="151" t="s">
        <v>64</v>
      </c>
      <c r="B10" s="152" t="s">
        <v>65</v>
      </c>
      <c r="C10" s="152">
        <v>1</v>
      </c>
      <c r="D10" s="152" t="s">
        <v>34</v>
      </c>
      <c r="E10" s="152" t="s">
        <v>35</v>
      </c>
      <c r="F10" s="152" t="s">
        <v>66</v>
      </c>
      <c r="G10" s="152">
        <v>93.44</v>
      </c>
      <c r="H10" s="152">
        <v>363</v>
      </c>
      <c r="I10" s="151"/>
      <c r="J10" s="151"/>
      <c r="K10" s="151">
        <v>340</v>
      </c>
      <c r="L10" s="151">
        <v>46767</v>
      </c>
      <c r="M10" s="153">
        <f>(H10-(I10*50))/50</f>
        <v>7.26</v>
      </c>
      <c r="N10" s="153">
        <f>31*(M10+I10)</f>
        <v>225.06</v>
      </c>
      <c r="O10" s="153">
        <f>N10*G10</f>
        <v>21029.6064</v>
      </c>
      <c r="P10" s="153">
        <f>(H10-(I10*90))/90</f>
        <v>4.03333333333333</v>
      </c>
      <c r="Q10" s="153">
        <f>31*(P10+I10)</f>
        <v>125.033333333333</v>
      </c>
      <c r="R10" s="153">
        <f>(P10+I10)*31*G10*1.5</f>
        <v>17524.672</v>
      </c>
      <c r="S10" s="153">
        <f>Q10</f>
        <v>125.033333333333</v>
      </c>
      <c r="T10" s="153">
        <f>S10/31</f>
        <v>4.03333333333333</v>
      </c>
      <c r="U10" s="153">
        <f>T10-I10</f>
        <v>4.03333333333333</v>
      </c>
      <c r="V10" s="153">
        <f>R10</f>
        <v>17524.672</v>
      </c>
      <c r="W10" s="154">
        <f>_xlfn.XLOOKUP(B10,Sheet5!G:G,Sheet5!H:H)</f>
        <v>1</v>
      </c>
      <c r="X10" s="155">
        <f>Y10/31</f>
        <v>4.03333333333333</v>
      </c>
      <c r="Y10" s="153">
        <f>S10*W10</f>
        <v>125.033333333333</v>
      </c>
      <c r="Z10" s="153">
        <f>Y10*G10*1.5</f>
        <v>17524.672</v>
      </c>
      <c r="AA10" s="154">
        <f>_xlfn.XLOOKUP(B10,Sheet5!G:G,Sheet5!I:I)</f>
        <v>0</v>
      </c>
      <c r="AB10" s="155">
        <f>AC10/31</f>
        <v>0</v>
      </c>
      <c r="AC10" s="153">
        <f>S10*AA10</f>
        <v>0</v>
      </c>
      <c r="AD10" s="153">
        <f>G10*AC10*1.5</f>
        <v>0</v>
      </c>
      <c r="AE10" s="156" t="s">
        <v>67</v>
      </c>
      <c r="AF10" s="151" t="s">
        <v>68</v>
      </c>
      <c r="AG10" s="157">
        <f>AC10/4</f>
        <v>0</v>
      </c>
      <c r="AH10" s="157">
        <f t="shared" si="1"/>
        <v>31.2583333333333</v>
      </c>
    </row>
    <row r="11" s="118" customFormat="1" ht="50" customHeight="1" spans="1:34">
      <c r="A11" s="151" t="s">
        <v>69</v>
      </c>
      <c r="B11" s="152" t="s">
        <v>70</v>
      </c>
      <c r="C11" s="152">
        <v>1</v>
      </c>
      <c r="D11" s="152" t="s">
        <v>34</v>
      </c>
      <c r="E11" s="152" t="s">
        <v>35</v>
      </c>
      <c r="F11" s="152" t="s">
        <v>41</v>
      </c>
      <c r="G11" s="152">
        <v>276.9564</v>
      </c>
      <c r="H11" s="152">
        <v>197</v>
      </c>
      <c r="I11" s="151">
        <v>1</v>
      </c>
      <c r="J11" s="151">
        <v>197</v>
      </c>
      <c r="K11" s="151">
        <v>126</v>
      </c>
      <c r="L11" s="151">
        <v>44452</v>
      </c>
      <c r="M11" s="153">
        <f>(H11-(I11*50))/50</f>
        <v>2.94</v>
      </c>
      <c r="N11" s="153">
        <f>31*(M11+I11)</f>
        <v>122.14</v>
      </c>
      <c r="O11" s="153">
        <f>N11*G11</f>
        <v>33827.454696</v>
      </c>
      <c r="P11" s="153">
        <f>(H11-(I11*90))/90</f>
        <v>1.18888888888889</v>
      </c>
      <c r="Q11" s="153">
        <f>31*(P11+I11)</f>
        <v>67.8555555555556</v>
      </c>
      <c r="R11" s="153">
        <f>(P11+I11)*31*G11*1.5</f>
        <v>28189.54558</v>
      </c>
      <c r="S11" s="153">
        <f>Q11</f>
        <v>67.8555555555556</v>
      </c>
      <c r="T11" s="153">
        <f>S11/31</f>
        <v>2.18888888888889</v>
      </c>
      <c r="U11" s="153">
        <f>T11-I11</f>
        <v>1.18888888888889</v>
      </c>
      <c r="V11" s="153">
        <f>R11</f>
        <v>28189.54558</v>
      </c>
      <c r="W11" s="154">
        <f>_xlfn.XLOOKUP(B11,Sheet5!G:G,Sheet5!H:H)</f>
        <v>0.521739130434783</v>
      </c>
      <c r="X11" s="155">
        <f>Y11/31</f>
        <v>1.14202898550725</v>
      </c>
      <c r="Y11" s="153">
        <f>S11*W11</f>
        <v>35.4028985507247</v>
      </c>
      <c r="Z11" s="153">
        <f>Y11*G11*1.5</f>
        <v>14707.5889982609</v>
      </c>
      <c r="AA11" s="154">
        <f>_xlfn.XLOOKUP(B11,Sheet5!G:G,Sheet5!I:I)</f>
        <v>0.478260869565217</v>
      </c>
      <c r="AB11" s="155">
        <f>AC11/31</f>
        <v>1.04685990338164</v>
      </c>
      <c r="AC11" s="153">
        <f>S11*AA11</f>
        <v>32.4526570048309</v>
      </c>
      <c r="AD11" s="153">
        <f>G11*AC11*1.5</f>
        <v>13481.9565817391</v>
      </c>
      <c r="AE11" s="156" t="s">
        <v>71</v>
      </c>
      <c r="AF11" s="151" t="s">
        <v>72</v>
      </c>
      <c r="AG11" s="157">
        <f>AC11/4</f>
        <v>8.11316425120772</v>
      </c>
      <c r="AH11" s="157">
        <f t="shared" si="1"/>
        <v>8.85072463768117</v>
      </c>
    </row>
    <row r="12" s="118" customFormat="1" ht="50" customHeight="1" spans="1:34">
      <c r="A12" s="151" t="s">
        <v>73</v>
      </c>
      <c r="B12" s="152" t="s">
        <v>74</v>
      </c>
      <c r="C12" s="152">
        <v>1</v>
      </c>
      <c r="D12" s="152" t="s">
        <v>34</v>
      </c>
      <c r="E12" s="152" t="s">
        <v>51</v>
      </c>
      <c r="F12" s="152" t="s">
        <v>75</v>
      </c>
      <c r="G12" s="152">
        <v>404.3828</v>
      </c>
      <c r="H12" s="152">
        <v>77</v>
      </c>
      <c r="I12" s="151"/>
      <c r="J12" s="151"/>
      <c r="K12" s="151">
        <v>69</v>
      </c>
      <c r="L12" s="151">
        <v>40438</v>
      </c>
      <c r="M12" s="153">
        <f>(H12-(I12*50))/50</f>
        <v>1.54</v>
      </c>
      <c r="N12" s="153">
        <f>31*(M12+I12)</f>
        <v>47.74</v>
      </c>
      <c r="O12" s="153">
        <f>N12*G12</f>
        <v>19305.234872</v>
      </c>
      <c r="P12" s="153">
        <f>(H12-(I12*90))/90</f>
        <v>0.855555555555556</v>
      </c>
      <c r="Q12" s="153">
        <f>31*(P12+I12)</f>
        <v>26.5222222222222</v>
      </c>
      <c r="R12" s="153">
        <f>(P12+I12)*31*G12*1.5</f>
        <v>16087.6957266667</v>
      </c>
      <c r="S12" s="153">
        <f>Q12</f>
        <v>26.5222222222222</v>
      </c>
      <c r="T12" s="153">
        <f>S12/31</f>
        <v>0.855555555555556</v>
      </c>
      <c r="U12" s="153">
        <f>T12-I12</f>
        <v>0.855555555555556</v>
      </c>
      <c r="V12" s="153">
        <f>R12</f>
        <v>16087.6957266667</v>
      </c>
      <c r="W12" s="154">
        <f>_xlfn.XLOOKUP(B12,Sheet5!G:G,Sheet5!H:H)</f>
        <v>0</v>
      </c>
      <c r="X12" s="155">
        <f>Y12/31</f>
        <v>0</v>
      </c>
      <c r="Y12" s="153">
        <f>S12*W12</f>
        <v>0</v>
      </c>
      <c r="Z12" s="153">
        <f>Y12*G12*1.5</f>
        <v>0</v>
      </c>
      <c r="AA12" s="154">
        <f>_xlfn.XLOOKUP(B12,Sheet5!G:G,Sheet5!I:I)</f>
        <v>1</v>
      </c>
      <c r="AB12" s="155">
        <f>AC12/31</f>
        <v>0.855555555555556</v>
      </c>
      <c r="AC12" s="153">
        <f>S12*AA12</f>
        <v>26.5222222222222</v>
      </c>
      <c r="AD12" s="153">
        <f>G12*AC12*1.5</f>
        <v>16087.6957266667</v>
      </c>
      <c r="AE12" s="156" t="s">
        <v>76</v>
      </c>
      <c r="AF12" s="151" t="s">
        <v>77</v>
      </c>
      <c r="AG12" s="157">
        <f>AC12/4</f>
        <v>6.63055555555556</v>
      </c>
      <c r="AH12" s="157">
        <f t="shared" si="1"/>
        <v>0</v>
      </c>
    </row>
    <row r="13" s="118" customFormat="1" ht="50" customHeight="1" spans="1:34">
      <c r="A13" s="151" t="s">
        <v>78</v>
      </c>
      <c r="B13" s="152" t="s">
        <v>79</v>
      </c>
      <c r="C13" s="152">
        <v>1</v>
      </c>
      <c r="D13" s="152" t="s">
        <v>34</v>
      </c>
      <c r="E13" s="152" t="s">
        <v>51</v>
      </c>
      <c r="F13" s="152" t="s">
        <v>80</v>
      </c>
      <c r="G13" s="152">
        <v>123.29</v>
      </c>
      <c r="H13" s="152">
        <v>463</v>
      </c>
      <c r="I13" s="151">
        <v>4</v>
      </c>
      <c r="J13" s="151">
        <v>115</v>
      </c>
      <c r="K13" s="151">
        <v>263</v>
      </c>
      <c r="L13" s="151">
        <v>38775</v>
      </c>
      <c r="M13" s="153">
        <f>(H13-(I13*50))/50</f>
        <v>5.26</v>
      </c>
      <c r="N13" s="153">
        <f>31*(M13+I13)</f>
        <v>287.06</v>
      </c>
      <c r="O13" s="153">
        <f>N13*G13</f>
        <v>35391.6274</v>
      </c>
      <c r="P13" s="153">
        <f>(H13-(I13*90))/90</f>
        <v>1.14444444444444</v>
      </c>
      <c r="Q13" s="153">
        <f>31*(P13+I13)</f>
        <v>159.477777777778</v>
      </c>
      <c r="R13" s="153">
        <f>(P13+I13)*31*G13*1.5</f>
        <v>29493.0228333333</v>
      </c>
      <c r="S13" s="153">
        <f>Q13</f>
        <v>159.477777777778</v>
      </c>
      <c r="T13" s="153">
        <f>S13/31</f>
        <v>5.14444444444444</v>
      </c>
      <c r="U13" s="153">
        <f>T13-I13</f>
        <v>1.14444444444444</v>
      </c>
      <c r="V13" s="153">
        <f>R13</f>
        <v>29493.0228333333</v>
      </c>
      <c r="W13" s="154">
        <v>0.45</v>
      </c>
      <c r="X13" s="155">
        <f>Y13/31</f>
        <v>2.315</v>
      </c>
      <c r="Y13" s="153">
        <f>S13*W13</f>
        <v>71.765</v>
      </c>
      <c r="Z13" s="153">
        <f>Y13*G13*1.5</f>
        <v>13271.860275</v>
      </c>
      <c r="AA13" s="154">
        <v>0.55</v>
      </c>
      <c r="AB13" s="155">
        <f>AC13/31</f>
        <v>2.82944444444444</v>
      </c>
      <c r="AC13" s="153">
        <f>S13*AA13</f>
        <v>87.7127777777778</v>
      </c>
      <c r="AD13" s="153">
        <f>G13*AC13*1.5</f>
        <v>16221.1625583333</v>
      </c>
      <c r="AE13" s="156" t="s">
        <v>81</v>
      </c>
      <c r="AF13" s="151" t="s">
        <v>82</v>
      </c>
      <c r="AG13" s="157">
        <f>AC13/4</f>
        <v>21.9281944444444</v>
      </c>
      <c r="AH13" s="157">
        <f t="shared" si="1"/>
        <v>17.94125</v>
      </c>
    </row>
    <row r="14" s="118" customFormat="1" ht="50" customHeight="1" spans="1:34">
      <c r="A14" s="151" t="s">
        <v>83</v>
      </c>
      <c r="B14" s="152" t="s">
        <v>84</v>
      </c>
      <c r="C14" s="152">
        <v>1</v>
      </c>
      <c r="D14" s="152" t="s">
        <v>34</v>
      </c>
      <c r="E14" s="152" t="s">
        <v>35</v>
      </c>
      <c r="F14" s="152" t="s">
        <v>85</v>
      </c>
      <c r="G14" s="152">
        <v>271.8192</v>
      </c>
      <c r="H14" s="152">
        <v>96</v>
      </c>
      <c r="I14" s="151"/>
      <c r="J14" s="151"/>
      <c r="K14" s="151">
        <v>91</v>
      </c>
      <c r="L14" s="151">
        <v>36560</v>
      </c>
      <c r="M14" s="153">
        <f>(H14-(I14*50))/50</f>
        <v>1.92</v>
      </c>
      <c r="N14" s="153">
        <f>31*(M14+I14)</f>
        <v>59.52</v>
      </c>
      <c r="O14" s="153">
        <f>N14*G14</f>
        <v>16178.678784</v>
      </c>
      <c r="P14" s="153">
        <f>(H14-(I14*90))/90</f>
        <v>1.06666666666667</v>
      </c>
      <c r="Q14" s="153">
        <f>31*(P14+I14)</f>
        <v>33.0666666666667</v>
      </c>
      <c r="R14" s="153">
        <f>(P14+I14)*31*G14*1.5</f>
        <v>13482.23232</v>
      </c>
      <c r="S14" s="153">
        <f>Q14</f>
        <v>33.0666666666667</v>
      </c>
      <c r="T14" s="153">
        <f>S14/31</f>
        <v>1.06666666666667</v>
      </c>
      <c r="U14" s="153">
        <f>T14-I14</f>
        <v>1.06666666666667</v>
      </c>
      <c r="V14" s="153">
        <f>R14</f>
        <v>13482.23232</v>
      </c>
      <c r="W14" s="154">
        <f>_xlfn.XLOOKUP(B14,Sheet5!G:G,Sheet5!H:H)</f>
        <v>0</v>
      </c>
      <c r="X14" s="155">
        <f>Y14/31</f>
        <v>0</v>
      </c>
      <c r="Y14" s="153">
        <f>S14*W14</f>
        <v>0</v>
      </c>
      <c r="Z14" s="153">
        <f>Y14*G14*1.5</f>
        <v>0</v>
      </c>
      <c r="AA14" s="154">
        <f>_xlfn.XLOOKUP(B14,Sheet5!G:G,Sheet5!I:I)</f>
        <v>0</v>
      </c>
      <c r="AB14" s="155">
        <f>AC14/31</f>
        <v>0</v>
      </c>
      <c r="AC14" s="153">
        <f>S14*AA14</f>
        <v>0</v>
      </c>
      <c r="AD14" s="153">
        <f>G14*AC14*1.5</f>
        <v>0</v>
      </c>
      <c r="AE14" s="156" t="s">
        <v>86</v>
      </c>
      <c r="AF14" s="151" t="s">
        <v>72</v>
      </c>
      <c r="AG14" s="157">
        <f>AC14/4</f>
        <v>0</v>
      </c>
      <c r="AH14" s="157">
        <f t="shared" si="1"/>
        <v>0</v>
      </c>
    </row>
    <row r="15" s="118" customFormat="1" ht="50" customHeight="1" spans="1:34">
      <c r="A15" s="151" t="s">
        <v>87</v>
      </c>
      <c r="B15" s="152" t="s">
        <v>88</v>
      </c>
      <c r="C15" s="152">
        <v>1</v>
      </c>
      <c r="D15" s="152" t="s">
        <v>34</v>
      </c>
      <c r="E15" s="152" t="s">
        <v>35</v>
      </c>
      <c r="F15" s="152" t="s">
        <v>41</v>
      </c>
      <c r="G15" s="152">
        <v>232.7064</v>
      </c>
      <c r="H15" s="152">
        <v>207</v>
      </c>
      <c r="I15" s="151">
        <v>1</v>
      </c>
      <c r="J15" s="151">
        <v>207</v>
      </c>
      <c r="K15" s="151">
        <v>111</v>
      </c>
      <c r="L15" s="151">
        <v>29786</v>
      </c>
      <c r="M15" s="153">
        <f>(H15-(I15*50))/50</f>
        <v>3.14</v>
      </c>
      <c r="N15" s="153">
        <f>31*(M15+I15)</f>
        <v>128.34</v>
      </c>
      <c r="O15" s="153">
        <f>N15*G15</f>
        <v>29865.539376</v>
      </c>
      <c r="P15" s="153">
        <f>(H15-(I15*90))/90</f>
        <v>1.3</v>
      </c>
      <c r="Q15" s="153">
        <f>31*(P15+I15)</f>
        <v>71.3</v>
      </c>
      <c r="R15" s="153">
        <f>(P15+I15)*31*G15*1.5</f>
        <v>24887.94948</v>
      </c>
      <c r="S15" s="153">
        <f>Q15</f>
        <v>71.3</v>
      </c>
      <c r="T15" s="153">
        <f>S15/31</f>
        <v>2.3</v>
      </c>
      <c r="U15" s="153">
        <f>T15-I15</f>
        <v>1.3</v>
      </c>
      <c r="V15" s="153">
        <f>R15</f>
        <v>24887.94948</v>
      </c>
      <c r="W15" s="154">
        <f>_xlfn.XLOOKUP(B15,Sheet5!G:G,Sheet5!H:H)</f>
        <v>0.394736842105263</v>
      </c>
      <c r="X15" s="155">
        <f>Y15/31</f>
        <v>0.907894736842105</v>
      </c>
      <c r="Y15" s="153">
        <f>S15*W15</f>
        <v>28.1447368421052</v>
      </c>
      <c r="Z15" s="153">
        <f>Y15*G15*1.5</f>
        <v>9824.19058421052</v>
      </c>
      <c r="AA15" s="154">
        <f>_xlfn.XLOOKUP(B15,Sheet5!G:G,Sheet5!I:I)</f>
        <v>0.605263157894737</v>
      </c>
      <c r="AB15" s="155">
        <f>AC15/31</f>
        <v>1.39210526315789</v>
      </c>
      <c r="AC15" s="153">
        <f>S15*AA15</f>
        <v>43.1552631578947</v>
      </c>
      <c r="AD15" s="153">
        <f>G15*AC15*1.5</f>
        <v>15063.7588957895</v>
      </c>
      <c r="AE15" s="156" t="s">
        <v>89</v>
      </c>
      <c r="AF15" s="151" t="s">
        <v>72</v>
      </c>
      <c r="AG15" s="157">
        <f>AC15/4</f>
        <v>10.7888157894737</v>
      </c>
      <c r="AH15" s="157">
        <f t="shared" si="1"/>
        <v>7.03618421052631</v>
      </c>
    </row>
    <row r="16" s="118" customFormat="1" ht="50" customHeight="1" spans="1:34">
      <c r="A16" s="151" t="s">
        <v>90</v>
      </c>
      <c r="B16" s="152" t="s">
        <v>91</v>
      </c>
      <c r="C16" s="152">
        <v>1</v>
      </c>
      <c r="D16" s="152" t="s">
        <v>34</v>
      </c>
      <c r="E16" s="152" t="s">
        <v>35</v>
      </c>
      <c r="F16" s="152" t="s">
        <v>85</v>
      </c>
      <c r="G16" s="152">
        <v>333.7692</v>
      </c>
      <c r="H16" s="152">
        <v>84</v>
      </c>
      <c r="I16" s="151"/>
      <c r="J16" s="151"/>
      <c r="K16" s="151">
        <v>63</v>
      </c>
      <c r="L16" s="151">
        <v>28704</v>
      </c>
      <c r="M16" s="153">
        <f>(H16-(I16*50))/50</f>
        <v>1.68</v>
      </c>
      <c r="N16" s="153">
        <f>31*(M16+I16)</f>
        <v>52.08</v>
      </c>
      <c r="O16" s="153" t="s">
        <v>92</v>
      </c>
      <c r="P16" s="153">
        <f>(H16-(I16*90))/90</f>
        <v>0.933333333333333</v>
      </c>
      <c r="Q16" s="153">
        <f>31*(P16+I16)</f>
        <v>28.9333333333333</v>
      </c>
      <c r="R16" s="153">
        <f>(P16+I16)*31*G16*1.5</f>
        <v>14485.58328</v>
      </c>
      <c r="S16" s="153">
        <f>Q16</f>
        <v>28.9333333333333</v>
      </c>
      <c r="T16" s="153">
        <f>S16/31</f>
        <v>0.933333333333333</v>
      </c>
      <c r="U16" s="153">
        <f>T16-I16</f>
        <v>0.933333333333333</v>
      </c>
      <c r="V16" s="153">
        <f>R16</f>
        <v>14485.58328</v>
      </c>
      <c r="W16" s="154">
        <f>_xlfn.XLOOKUP(B16,Sheet5!G:G,Sheet5!H:H)</f>
        <v>0.6</v>
      </c>
      <c r="X16" s="155">
        <f>Y16/31</f>
        <v>0.56</v>
      </c>
      <c r="Y16" s="153">
        <f>S16*W16</f>
        <v>17.36</v>
      </c>
      <c r="Z16" s="153">
        <f>Y16*G16*1.5</f>
        <v>8691.349968</v>
      </c>
      <c r="AA16" s="154">
        <f>_xlfn.XLOOKUP(B16,Sheet5!G:G,Sheet5!I:I)</f>
        <v>0.4</v>
      </c>
      <c r="AB16" s="155">
        <f>AC16/31</f>
        <v>0.373333333333333</v>
      </c>
      <c r="AC16" s="153">
        <f>S16*AA16</f>
        <v>11.5733333333333</v>
      </c>
      <c r="AD16" s="153">
        <f>G16*AC16*1.5</f>
        <v>5794.233312</v>
      </c>
      <c r="AE16" s="156" t="s">
        <v>93</v>
      </c>
      <c r="AF16" s="151" t="s">
        <v>72</v>
      </c>
      <c r="AG16" s="157">
        <f>AC16/4</f>
        <v>2.89333333333333</v>
      </c>
      <c r="AH16" s="157">
        <f t="shared" si="1"/>
        <v>4.34</v>
      </c>
    </row>
    <row r="17" s="118" customFormat="1" ht="50" customHeight="1" spans="1:34">
      <c r="A17" s="151" t="s">
        <v>94</v>
      </c>
      <c r="B17" s="152" t="s">
        <v>95</v>
      </c>
      <c r="C17" s="152">
        <v>1</v>
      </c>
      <c r="D17" s="152" t="s">
        <v>34</v>
      </c>
      <c r="E17" s="152" t="s">
        <v>35</v>
      </c>
      <c r="F17" s="152" t="s">
        <v>66</v>
      </c>
      <c r="G17" s="152">
        <v>127.34</v>
      </c>
      <c r="H17" s="152">
        <v>136</v>
      </c>
      <c r="I17" s="151"/>
      <c r="J17" s="151"/>
      <c r="K17" s="151">
        <v>136</v>
      </c>
      <c r="L17" s="151">
        <v>25977</v>
      </c>
      <c r="M17" s="153">
        <f>(H17-(I17*50))/50</f>
        <v>2.72</v>
      </c>
      <c r="N17" s="153">
        <f>31*(M17+I17)</f>
        <v>84.32</v>
      </c>
      <c r="O17" s="153">
        <f>N17*G17</f>
        <v>10737.3088</v>
      </c>
      <c r="P17" s="153">
        <f>(H17-(I17*90))/90</f>
        <v>1.51111111111111</v>
      </c>
      <c r="Q17" s="153">
        <f>31*(P17+I17)</f>
        <v>46.8444444444444</v>
      </c>
      <c r="R17" s="153">
        <f>(P17+I17)*31*G17*1.5</f>
        <v>8947.75733333333</v>
      </c>
      <c r="S17" s="153">
        <f>Q17</f>
        <v>46.8444444444444</v>
      </c>
      <c r="T17" s="153">
        <f>S17/31</f>
        <v>1.51111111111111</v>
      </c>
      <c r="U17" s="153">
        <f>T17-I17</f>
        <v>1.51111111111111</v>
      </c>
      <c r="V17" s="153">
        <f>R17</f>
        <v>8947.75733333333</v>
      </c>
      <c r="W17" s="154">
        <f>_xlfn.XLOOKUP(B17,Sheet5!G:G,Sheet5!H:H)</f>
        <v>0</v>
      </c>
      <c r="X17" s="155">
        <f>Y17/31</f>
        <v>0</v>
      </c>
      <c r="Y17" s="153">
        <f>S17*W17</f>
        <v>0</v>
      </c>
      <c r="Z17" s="153">
        <f>Y17*G17*1.5</f>
        <v>0</v>
      </c>
      <c r="AA17" s="154">
        <f>_xlfn.XLOOKUP(B17,Sheet5!G:G,Sheet5!I:I)</f>
        <v>0</v>
      </c>
      <c r="AB17" s="155">
        <f>AC17/31</f>
        <v>0</v>
      </c>
      <c r="AC17" s="153">
        <f>S17*AA17</f>
        <v>0</v>
      </c>
      <c r="AD17" s="153">
        <f>G17*AC17*1.5</f>
        <v>0</v>
      </c>
      <c r="AE17" s="156" t="s">
        <v>67</v>
      </c>
      <c r="AF17" s="151" t="s">
        <v>68</v>
      </c>
      <c r="AG17" s="157">
        <f>AC17/4</f>
        <v>0</v>
      </c>
      <c r="AH17" s="157">
        <f t="shared" si="1"/>
        <v>0</v>
      </c>
    </row>
    <row r="18" s="118" customFormat="1" ht="50" customHeight="1" spans="1:34">
      <c r="A18" s="151" t="s">
        <v>96</v>
      </c>
      <c r="B18" s="152" t="s">
        <v>97</v>
      </c>
      <c r="C18" s="152">
        <v>1</v>
      </c>
      <c r="D18" s="152" t="s">
        <v>34</v>
      </c>
      <c r="E18" s="152" t="s">
        <v>51</v>
      </c>
      <c r="F18" s="152" t="s">
        <v>61</v>
      </c>
      <c r="G18" s="152">
        <v>39.9772</v>
      </c>
      <c r="H18" s="152">
        <v>806</v>
      </c>
      <c r="I18" s="151">
        <v>6</v>
      </c>
      <c r="J18" s="151">
        <v>134</v>
      </c>
      <c r="K18" s="151">
        <v>493</v>
      </c>
      <c r="L18" s="151">
        <v>24546</v>
      </c>
      <c r="M18" s="153">
        <f>(H18-(I18*50))/50</f>
        <v>10.12</v>
      </c>
      <c r="N18" s="153">
        <f>31*(M18+I18)</f>
        <v>499.72</v>
      </c>
      <c r="O18" s="153">
        <f>N18*G18</f>
        <v>19977.406384</v>
      </c>
      <c r="P18" s="153">
        <f>(H18-(I18*90))/90</f>
        <v>2.95555555555556</v>
      </c>
      <c r="Q18" s="153">
        <f>31*(P18+I18)</f>
        <v>277.622222222222</v>
      </c>
      <c r="R18" s="153">
        <f>(P18+I18)*31*G18*1.5</f>
        <v>16647.8386533333</v>
      </c>
      <c r="S18" s="153">
        <f>Q18</f>
        <v>277.622222222222</v>
      </c>
      <c r="T18" s="153">
        <f>S18/31</f>
        <v>8.95555555555556</v>
      </c>
      <c r="U18" s="153">
        <f>T18-I18</f>
        <v>2.95555555555556</v>
      </c>
      <c r="V18" s="153">
        <f>R18</f>
        <v>16647.8386533333</v>
      </c>
      <c r="W18" s="154">
        <f>_xlfn.XLOOKUP(B18,Sheet5!G:G,Sheet5!H:H)</f>
        <v>0.617283950617284</v>
      </c>
      <c r="X18" s="155">
        <f>Y18/31</f>
        <v>5.5281207133059</v>
      </c>
      <c r="Y18" s="153">
        <f>S18*W18</f>
        <v>171.371742112483</v>
      </c>
      <c r="Z18" s="153">
        <f>Y18*G18*1.5</f>
        <v>10276.4436131687</v>
      </c>
      <c r="AA18" s="154">
        <f>_xlfn.XLOOKUP(B18,Sheet5!G:G,Sheet5!I:I)</f>
        <v>0.382716049382716</v>
      </c>
      <c r="AB18" s="155">
        <f>AC18/31</f>
        <v>3.42743484224966</v>
      </c>
      <c r="AC18" s="153">
        <f>S18*AA18</f>
        <v>106.250480109739</v>
      </c>
      <c r="AD18" s="153">
        <f>G18*AC18*1.5</f>
        <v>6371.39504016461</v>
      </c>
      <c r="AE18" s="156" t="s">
        <v>98</v>
      </c>
      <c r="AF18" s="151" t="s">
        <v>99</v>
      </c>
      <c r="AG18" s="157">
        <f>AC18/4</f>
        <v>26.5626200274348</v>
      </c>
      <c r="AH18" s="157">
        <f t="shared" si="1"/>
        <v>42.8429355281207</v>
      </c>
    </row>
    <row r="19" s="118" customFormat="1" ht="50" customHeight="1" spans="1:34">
      <c r="A19" s="151" t="s">
        <v>100</v>
      </c>
      <c r="B19" s="152" t="s">
        <v>101</v>
      </c>
      <c r="C19" s="152">
        <v>1</v>
      </c>
      <c r="D19" s="152" t="s">
        <v>34</v>
      </c>
      <c r="E19" s="152" t="s">
        <v>51</v>
      </c>
      <c r="F19" s="152" t="s">
        <v>80</v>
      </c>
      <c r="G19" s="152">
        <v>150.11</v>
      </c>
      <c r="H19" s="152">
        <v>116</v>
      </c>
      <c r="I19" s="151"/>
      <c r="J19" s="151"/>
      <c r="K19" s="151">
        <v>110</v>
      </c>
      <c r="L19" s="151">
        <v>24393</v>
      </c>
      <c r="M19" s="153">
        <f>(H19-(I19*50))/50</f>
        <v>2.32</v>
      </c>
      <c r="N19" s="153">
        <f>31*(M19+I19)</f>
        <v>71.92</v>
      </c>
      <c r="O19" s="153">
        <f>N19*G19</f>
        <v>10795.9112</v>
      </c>
      <c r="P19" s="153">
        <f>(H19-(I19*90))/90</f>
        <v>1.28888888888889</v>
      </c>
      <c r="Q19" s="153">
        <f>31*(P19+I19)</f>
        <v>39.9555555555556</v>
      </c>
      <c r="R19" s="153">
        <f>(P19+I19)*31*G19*1.5</f>
        <v>8996.59266666667</v>
      </c>
      <c r="S19" s="153">
        <f>Q19</f>
        <v>39.9555555555556</v>
      </c>
      <c r="T19" s="153">
        <f>S19/31</f>
        <v>1.28888888888889</v>
      </c>
      <c r="U19" s="153">
        <f>T19-I19</f>
        <v>1.28888888888889</v>
      </c>
      <c r="V19" s="153">
        <f>R19</f>
        <v>8996.59266666667</v>
      </c>
      <c r="W19" s="154">
        <f>_xlfn.XLOOKUP(B19,Sheet5!G:G,Sheet5!H:H)</f>
        <v>0</v>
      </c>
      <c r="X19" s="155">
        <f>Y19/31</f>
        <v>0</v>
      </c>
      <c r="Y19" s="153">
        <f>S19*W19</f>
        <v>0</v>
      </c>
      <c r="Z19" s="153">
        <f>Y19*G19*1.5</f>
        <v>0</v>
      </c>
      <c r="AA19" s="154">
        <f>_xlfn.XLOOKUP(B19,Sheet5!G:G,Sheet5!I:I)</f>
        <v>1</v>
      </c>
      <c r="AB19" s="155">
        <f>AC19/31</f>
        <v>1.28888888888889</v>
      </c>
      <c r="AC19" s="153">
        <f>S19*AA19</f>
        <v>39.9555555555556</v>
      </c>
      <c r="AD19" s="153">
        <f>G19*AC19*1.5</f>
        <v>8996.59266666667</v>
      </c>
      <c r="AE19" s="156" t="s">
        <v>102</v>
      </c>
      <c r="AF19" s="151" t="s">
        <v>103</v>
      </c>
      <c r="AG19" s="157">
        <f>AC19/4</f>
        <v>9.98888888888889</v>
      </c>
      <c r="AH19" s="157">
        <f t="shared" si="1"/>
        <v>0</v>
      </c>
    </row>
    <row r="20" s="118" customFormat="1" ht="50" customHeight="1" spans="1:34">
      <c r="A20" s="151" t="s">
        <v>104</v>
      </c>
      <c r="B20" s="152" t="s">
        <v>105</v>
      </c>
      <c r="C20" s="152">
        <v>1</v>
      </c>
      <c r="D20" s="152" t="s">
        <v>34</v>
      </c>
      <c r="E20" s="152" t="s">
        <v>35</v>
      </c>
      <c r="F20" s="152" t="s">
        <v>106</v>
      </c>
      <c r="G20" s="152">
        <v>87.6789</v>
      </c>
      <c r="H20" s="152">
        <v>516</v>
      </c>
      <c r="I20" s="151">
        <v>5</v>
      </c>
      <c r="J20" s="151">
        <v>103</v>
      </c>
      <c r="K20" s="151">
        <v>250</v>
      </c>
      <c r="L20" s="151">
        <v>23542</v>
      </c>
      <c r="M20" s="153">
        <f>(H20-(I20*50))/50</f>
        <v>5.32</v>
      </c>
      <c r="N20" s="153">
        <f>31*(M20+I20)</f>
        <v>319.92</v>
      </c>
      <c r="O20" s="153">
        <f>N20*G20</f>
        <v>28050.233688</v>
      </c>
      <c r="P20" s="153">
        <f>(H20-(I20*90))/90</f>
        <v>0.733333333333333</v>
      </c>
      <c r="Q20" s="153">
        <f>31*(P20+I20)</f>
        <v>177.733333333333</v>
      </c>
      <c r="R20" s="153">
        <f>(P20+I20)*31*G20*1.5</f>
        <v>23375.19474</v>
      </c>
      <c r="S20" s="153">
        <f>Q20</f>
        <v>177.733333333333</v>
      </c>
      <c r="T20" s="153">
        <f>S20/31</f>
        <v>5.73333333333333</v>
      </c>
      <c r="U20" s="153">
        <f>T20-I20</f>
        <v>0.733333333333333</v>
      </c>
      <c r="V20" s="153">
        <f>R20</f>
        <v>23375.19474</v>
      </c>
      <c r="W20" s="154">
        <f>_xlfn.XLOOKUP(B20,Sheet5!G:G,Sheet5!H:H)</f>
        <v>0.884057971014493</v>
      </c>
      <c r="X20" s="155">
        <f>Y20/31</f>
        <v>5.06859903381643</v>
      </c>
      <c r="Y20" s="153">
        <f>S20*W20</f>
        <v>157.126570048309</v>
      </c>
      <c r="Z20" s="153">
        <f>Y20*G20*1.5</f>
        <v>20665.0272339131</v>
      </c>
      <c r="AA20" s="154">
        <f>_xlfn.XLOOKUP(B20,Sheet5!G:G,Sheet5!I:I)</f>
        <v>0.115942028985507</v>
      </c>
      <c r="AB20" s="155">
        <f>AC20/31</f>
        <v>0.664734299516907</v>
      </c>
      <c r="AC20" s="153">
        <f>S20*AA20</f>
        <v>20.6067632850241</v>
      </c>
      <c r="AD20" s="153">
        <f>G20*AC20*1.5</f>
        <v>2710.16750608695</v>
      </c>
      <c r="AE20" s="156" t="s">
        <v>107</v>
      </c>
      <c r="AF20" s="158"/>
      <c r="AG20" s="157">
        <f>AC20/4</f>
        <v>5.15169082125603</v>
      </c>
      <c r="AH20" s="157">
        <f t="shared" si="1"/>
        <v>39.2816425120773</v>
      </c>
    </row>
    <row r="21" s="118" customFormat="1" ht="50" customHeight="1" spans="1:34">
      <c r="A21" s="151" t="s">
        <v>108</v>
      </c>
      <c r="B21" s="152" t="s">
        <v>109</v>
      </c>
      <c r="C21" s="152">
        <v>1</v>
      </c>
      <c r="D21" s="152" t="s">
        <v>34</v>
      </c>
      <c r="E21" s="152" t="s">
        <v>35</v>
      </c>
      <c r="F21" s="152" t="s">
        <v>110</v>
      </c>
      <c r="G21" s="152">
        <v>18.8293</v>
      </c>
      <c r="H21" s="152">
        <v>1260</v>
      </c>
      <c r="I21" s="151">
        <v>7</v>
      </c>
      <c r="J21" s="151">
        <v>180</v>
      </c>
      <c r="K21" s="151">
        <v>887</v>
      </c>
      <c r="L21" s="151">
        <v>22237</v>
      </c>
      <c r="M21" s="153">
        <f>(H21-(I21*50))/50</f>
        <v>18.2</v>
      </c>
      <c r="N21" s="153">
        <f>31*(M21+I21)</f>
        <v>781.2</v>
      </c>
      <c r="O21" s="153">
        <f>N21*G21</f>
        <v>14709.44916</v>
      </c>
      <c r="P21" s="153">
        <f>(H21-(I21*90))/90</f>
        <v>7</v>
      </c>
      <c r="Q21" s="153">
        <f>31*(P21+I21)</f>
        <v>434</v>
      </c>
      <c r="R21" s="153">
        <f>(P21+I21)*31*G21*1.5</f>
        <v>12257.8743</v>
      </c>
      <c r="S21" s="153">
        <f>Q21</f>
        <v>434</v>
      </c>
      <c r="T21" s="153">
        <f>S21/31</f>
        <v>14</v>
      </c>
      <c r="U21" s="153">
        <f>T21-I21</f>
        <v>7</v>
      </c>
      <c r="V21" s="153">
        <f>R21</f>
        <v>12257.8743</v>
      </c>
      <c r="W21" s="154">
        <f>_xlfn.XLOOKUP(B21,Sheet5!G:G,Sheet5!H:H)</f>
        <v>0.415584415584416</v>
      </c>
      <c r="X21" s="155">
        <f>Y21/31</f>
        <v>5.81818181818182</v>
      </c>
      <c r="Y21" s="153">
        <f>S21*W21</f>
        <v>180.363636363637</v>
      </c>
      <c r="Z21" s="153">
        <v>60</v>
      </c>
      <c r="AA21" s="154">
        <f>_xlfn.XLOOKUP(B21,Sheet5!G:G,Sheet5!I:I)</f>
        <v>0.584415584415584</v>
      </c>
      <c r="AB21" s="155">
        <f>AC21/31</f>
        <v>8.18181818181818</v>
      </c>
      <c r="AC21" s="153">
        <f>S21*AA21</f>
        <v>253.636363636363</v>
      </c>
      <c r="AD21" s="153">
        <f>G21*AC21*1.5</f>
        <v>7163.69277272727</v>
      </c>
      <c r="AE21" s="156" t="s">
        <v>111</v>
      </c>
      <c r="AF21" s="151" t="s">
        <v>112</v>
      </c>
      <c r="AG21" s="157">
        <f>AC21/4</f>
        <v>63.4090909090909</v>
      </c>
      <c r="AH21" s="157">
        <f t="shared" si="1"/>
        <v>45.0909090909091</v>
      </c>
    </row>
    <row r="22" s="118" customFormat="1" ht="50" customHeight="1" spans="1:34">
      <c r="A22" s="151" t="s">
        <v>113</v>
      </c>
      <c r="B22" s="152" t="s">
        <v>114</v>
      </c>
      <c r="C22" s="152">
        <v>1</v>
      </c>
      <c r="D22" s="152" t="s">
        <v>34</v>
      </c>
      <c r="E22" s="152" t="s">
        <v>51</v>
      </c>
      <c r="F22" s="152" t="s">
        <v>61</v>
      </c>
      <c r="G22" s="152">
        <v>233.6648</v>
      </c>
      <c r="H22" s="152">
        <v>241</v>
      </c>
      <c r="I22" s="151">
        <v>2</v>
      </c>
      <c r="J22" s="151">
        <v>120</v>
      </c>
      <c r="K22" s="151">
        <v>95</v>
      </c>
      <c r="L22" s="151">
        <v>22198</v>
      </c>
      <c r="M22" s="153">
        <f>(H22-(I22*50))/50</f>
        <v>2.82</v>
      </c>
      <c r="N22" s="153">
        <f>31*(M22+I22)</f>
        <v>149.42</v>
      </c>
      <c r="O22" s="153">
        <f>N22*G22</f>
        <v>34914.194416</v>
      </c>
      <c r="P22" s="153">
        <f>(H22-(I22*90))/90</f>
        <v>0.677777777777778</v>
      </c>
      <c r="Q22" s="153">
        <f>31*(P22+I22)</f>
        <v>83.0111111111111</v>
      </c>
      <c r="R22" s="153">
        <f>(P22+I22)*31*G22*1.5</f>
        <v>29095.1620133333</v>
      </c>
      <c r="S22" s="153">
        <f>Q22</f>
        <v>83.0111111111111</v>
      </c>
      <c r="T22" s="153">
        <f>S22/31</f>
        <v>2.67777777777778</v>
      </c>
      <c r="U22" s="153">
        <f>T22-I22</f>
        <v>0.677777777777778</v>
      </c>
      <c r="V22" s="153">
        <f>R22</f>
        <v>29095.1620133333</v>
      </c>
      <c r="W22" s="154">
        <f>_xlfn.XLOOKUP(B22,Sheet5!G:G,Sheet5!H:H)</f>
        <v>0.384615384615385</v>
      </c>
      <c r="X22" s="155">
        <f>Y22/31</f>
        <v>1.02991452991453</v>
      </c>
      <c r="Y22" s="153">
        <f>S22*W22</f>
        <v>31.9273504273505</v>
      </c>
      <c r="Z22" s="153">
        <f>Y22*G22*1.5</f>
        <v>11190.4469282051</v>
      </c>
      <c r="AA22" s="154">
        <f>_xlfn.XLOOKUP(B22,Sheet5!G:G,Sheet5!I:I)</f>
        <v>0.615384615384615</v>
      </c>
      <c r="AB22" s="155">
        <f>AC22/31</f>
        <v>1.64786324786325</v>
      </c>
      <c r="AC22" s="153">
        <f>S22*AA22</f>
        <v>51.0837606837607</v>
      </c>
      <c r="AD22" s="153">
        <f>G22*AC22*1.5</f>
        <v>17904.7150851282</v>
      </c>
      <c r="AE22" s="156" t="s">
        <v>115</v>
      </c>
      <c r="AF22" s="151" t="s">
        <v>99</v>
      </c>
      <c r="AG22" s="157">
        <f>AC22/4</f>
        <v>12.7709401709402</v>
      </c>
      <c r="AH22" s="157">
        <f t="shared" si="1"/>
        <v>7.98183760683762</v>
      </c>
    </row>
    <row r="23" s="118" customFormat="1" ht="50" customHeight="1" spans="1:34">
      <c r="A23" s="151" t="s">
        <v>116</v>
      </c>
      <c r="B23" s="152" t="s">
        <v>117</v>
      </c>
      <c r="C23" s="152">
        <v>1</v>
      </c>
      <c r="D23" s="152" t="s">
        <v>34</v>
      </c>
      <c r="E23" s="152" t="s">
        <v>35</v>
      </c>
      <c r="F23" s="152" t="s">
        <v>41</v>
      </c>
      <c r="G23" s="152">
        <v>896.77</v>
      </c>
      <c r="H23" s="152">
        <v>33</v>
      </c>
      <c r="I23" s="151"/>
      <c r="J23" s="151"/>
      <c r="K23" s="151">
        <v>20</v>
      </c>
      <c r="L23" s="151">
        <v>21971</v>
      </c>
      <c r="M23" s="153">
        <f>(H23-(I23*50))/50</f>
        <v>0.66</v>
      </c>
      <c r="N23" s="153">
        <f>31*(M23+I23)</f>
        <v>20.46</v>
      </c>
      <c r="O23" s="153">
        <f>N23*G23</f>
        <v>18347.9142</v>
      </c>
      <c r="P23" s="153">
        <f>(H23-(I23*90))/90</f>
        <v>0.366666666666667</v>
      </c>
      <c r="Q23" s="153">
        <f>31*(P23+I23)</f>
        <v>11.3666666666667</v>
      </c>
      <c r="R23" s="153">
        <f>(P23+I23)*31*G23*1.5</f>
        <v>15289.9285</v>
      </c>
      <c r="S23" s="153">
        <f>Q23</f>
        <v>11.3666666666667</v>
      </c>
      <c r="T23" s="153">
        <f>S23/31</f>
        <v>0.366666666666667</v>
      </c>
      <c r="U23" s="153">
        <f>T23-I23</f>
        <v>0.366666666666667</v>
      </c>
      <c r="V23" s="153">
        <f>R23</f>
        <v>15289.9285</v>
      </c>
      <c r="W23" s="154">
        <v>0.5</v>
      </c>
      <c r="X23" s="155">
        <f>Y23/31</f>
        <v>0.183333333333333</v>
      </c>
      <c r="Y23" s="153">
        <f>S23*W23</f>
        <v>5.68333333333333</v>
      </c>
      <c r="Z23" s="153">
        <f>Y23*G23*1.5</f>
        <v>7644.96425</v>
      </c>
      <c r="AA23" s="154">
        <v>0.5</v>
      </c>
      <c r="AB23" s="155">
        <f>AC23/31</f>
        <v>0.183333333333333</v>
      </c>
      <c r="AC23" s="153">
        <f>S23*AA23</f>
        <v>5.68333333333333</v>
      </c>
      <c r="AD23" s="153">
        <f>G23*AC23*1.5</f>
        <v>7644.96425</v>
      </c>
      <c r="AE23" s="156" t="s">
        <v>118</v>
      </c>
      <c r="AF23" s="151" t="s">
        <v>119</v>
      </c>
      <c r="AG23" s="157">
        <f>AC23/4</f>
        <v>1.42083333333333</v>
      </c>
      <c r="AH23" s="157">
        <f t="shared" si="1"/>
        <v>1.42083333333333</v>
      </c>
    </row>
    <row r="24" s="118" customFormat="1" ht="50" customHeight="1" spans="1:34">
      <c r="A24" s="151" t="s">
        <v>120</v>
      </c>
      <c r="B24" s="152" t="s">
        <v>121</v>
      </c>
      <c r="C24" s="152">
        <v>1</v>
      </c>
      <c r="D24" s="152" t="s">
        <v>34</v>
      </c>
      <c r="E24" s="152" t="s">
        <v>35</v>
      </c>
      <c r="F24" s="152" t="s">
        <v>106</v>
      </c>
      <c r="G24" s="152">
        <v>67.2831</v>
      </c>
      <c r="H24" s="152">
        <v>351</v>
      </c>
      <c r="I24" s="151">
        <v>2</v>
      </c>
      <c r="J24" s="151">
        <v>175</v>
      </c>
      <c r="K24" s="151">
        <v>241</v>
      </c>
      <c r="L24" s="151">
        <v>21362</v>
      </c>
      <c r="M24" s="153">
        <f>(H24-(I24*50))/50</f>
        <v>5.02</v>
      </c>
      <c r="N24" s="153">
        <f>31*(M24+I24)</f>
        <v>217.62</v>
      </c>
      <c r="O24" s="153">
        <f>N24*G24</f>
        <v>14642.148222</v>
      </c>
      <c r="P24" s="153">
        <f>(H24-(I24*90))/90</f>
        <v>1.9</v>
      </c>
      <c r="Q24" s="153">
        <f>31*(P24+I24)</f>
        <v>120.9</v>
      </c>
      <c r="R24" s="153">
        <f>(P24+I24)*31*G24*1.5</f>
        <v>12201.790185</v>
      </c>
      <c r="S24" s="153">
        <f>Q24</f>
        <v>120.9</v>
      </c>
      <c r="T24" s="153">
        <f>S24/31</f>
        <v>3.9</v>
      </c>
      <c r="U24" s="153">
        <f>T24-I24</f>
        <v>1.9</v>
      </c>
      <c r="V24" s="153">
        <f>R24</f>
        <v>12201.790185</v>
      </c>
      <c r="W24" s="154">
        <f>_xlfn.XLOOKUP(B24,Sheet5!G:G,Sheet5!H:H)</f>
        <v>0.78125</v>
      </c>
      <c r="X24" s="155">
        <f>Y24/31</f>
        <v>3.046875</v>
      </c>
      <c r="Y24" s="153">
        <f>S24*W24</f>
        <v>94.453125</v>
      </c>
      <c r="Z24" s="153">
        <f>Y24*G24*1.5</f>
        <v>9532.64858203125</v>
      </c>
      <c r="AA24" s="154">
        <f>_xlfn.XLOOKUP(B24,Sheet5!G:G,Sheet5!I:I)</f>
        <v>0.21875</v>
      </c>
      <c r="AB24" s="155">
        <f>AC24/31</f>
        <v>0.853125</v>
      </c>
      <c r="AC24" s="153">
        <f>S24*AA24</f>
        <v>26.446875</v>
      </c>
      <c r="AD24" s="153">
        <f>G24*AC24*1.5</f>
        <v>2669.14160296875</v>
      </c>
      <c r="AE24" s="156" t="s">
        <v>122</v>
      </c>
      <c r="AF24" s="158"/>
      <c r="AG24" s="157">
        <f>AC24/4</f>
        <v>6.61171875</v>
      </c>
      <c r="AH24" s="157">
        <f t="shared" si="1"/>
        <v>23.61328125</v>
      </c>
    </row>
    <row r="25" s="118" customFormat="1" ht="50" customHeight="1" spans="1:34">
      <c r="A25" s="151" t="s">
        <v>123</v>
      </c>
      <c r="B25" s="152" t="s">
        <v>124</v>
      </c>
      <c r="C25" s="152">
        <v>1</v>
      </c>
      <c r="D25" s="152" t="s">
        <v>34</v>
      </c>
      <c r="E25" s="152" t="s">
        <v>35</v>
      </c>
      <c r="F25" s="152" t="s">
        <v>125</v>
      </c>
      <c r="G25" s="152">
        <v>93.9397</v>
      </c>
      <c r="H25" s="152">
        <v>708</v>
      </c>
      <c r="I25" s="151">
        <v>9</v>
      </c>
      <c r="J25" s="151">
        <v>78</v>
      </c>
      <c r="K25" s="151">
        <v>225</v>
      </c>
      <c r="L25" s="151">
        <v>21136</v>
      </c>
      <c r="M25" s="153">
        <f>(H25-(I25*50))/50</f>
        <v>5.16</v>
      </c>
      <c r="N25" s="153">
        <f>31*(M25+I25)</f>
        <v>438.96</v>
      </c>
      <c r="O25" s="153">
        <f>N25*G25</f>
        <v>41235.770712</v>
      </c>
      <c r="P25" s="153">
        <f>(H25-(I25*90))/90</f>
        <v>-1.13333333333333</v>
      </c>
      <c r="Q25" s="153">
        <f>31*(P25+I25)</f>
        <v>243.866666666667</v>
      </c>
      <c r="R25" s="153">
        <f>(P25+I25)*31*G25*1.5</f>
        <v>34363.14226</v>
      </c>
      <c r="S25" s="153">
        <f>Q25</f>
        <v>243.866666666667</v>
      </c>
      <c r="T25" s="153">
        <f>S25/31</f>
        <v>7.86666666666667</v>
      </c>
      <c r="U25" s="153">
        <f>T25-I25</f>
        <v>-1.13333333333333</v>
      </c>
      <c r="V25" s="153">
        <f>R25</f>
        <v>34363.14226</v>
      </c>
      <c r="W25" s="154">
        <f>_xlfn.XLOOKUP(B25,Sheet5!G:G,Sheet5!H:H)</f>
        <v>0.290909090909091</v>
      </c>
      <c r="X25" s="155">
        <f>Y25/31</f>
        <v>2.28848484848485</v>
      </c>
      <c r="Y25" s="153">
        <f>S25*W25</f>
        <v>70.9430303030303</v>
      </c>
      <c r="Z25" s="153">
        <f>Y25*G25*1.5</f>
        <v>9996.55047563637</v>
      </c>
      <c r="AA25" s="154">
        <f>_xlfn.XLOOKUP(B25,Sheet5!G:G,Sheet5!I:I)</f>
        <v>0.709090909090909</v>
      </c>
      <c r="AB25" s="155">
        <f>AC25/31</f>
        <v>5.57818181818182</v>
      </c>
      <c r="AC25" s="153">
        <f>S25*AA25</f>
        <v>172.923636363636</v>
      </c>
      <c r="AD25" s="153">
        <f>G25*AC25*1.5</f>
        <v>24366.5917843636</v>
      </c>
      <c r="AE25" s="156" t="s">
        <v>115</v>
      </c>
      <c r="AF25" s="158"/>
      <c r="AG25" s="157">
        <f>AC25/4</f>
        <v>43.2309090909091</v>
      </c>
      <c r="AH25" s="157">
        <f t="shared" si="1"/>
        <v>17.7357575757576</v>
      </c>
    </row>
    <row r="26" s="118" customFormat="1" ht="50" customHeight="1" spans="1:34">
      <c r="A26" s="151" t="s">
        <v>126</v>
      </c>
      <c r="B26" s="152" t="s">
        <v>127</v>
      </c>
      <c r="C26" s="152">
        <v>1</v>
      </c>
      <c r="D26" s="152" t="s">
        <v>34</v>
      </c>
      <c r="E26" s="152" t="s">
        <v>51</v>
      </c>
      <c r="F26" s="152" t="s">
        <v>128</v>
      </c>
      <c r="G26" s="152">
        <v>203.25</v>
      </c>
      <c r="H26" s="152">
        <v>74</v>
      </c>
      <c r="I26" s="151"/>
      <c r="J26" s="151"/>
      <c r="K26" s="151">
        <v>69</v>
      </c>
      <c r="L26" s="151">
        <v>20630</v>
      </c>
      <c r="M26" s="153">
        <f>(H26-(I26*50))/50</f>
        <v>1.48</v>
      </c>
      <c r="N26" s="153">
        <f>31*(M26+I26)</f>
        <v>45.88</v>
      </c>
      <c r="O26" s="153">
        <f>N26*G26</f>
        <v>9325.11</v>
      </c>
      <c r="P26" s="153">
        <f>(H26-(I26*90))/90</f>
        <v>0.822222222222222</v>
      </c>
      <c r="Q26" s="153">
        <f>31*(P26+I26)</f>
        <v>25.4888888888889</v>
      </c>
      <c r="R26" s="153">
        <f>(P26+I26)*31*G26*1.5</f>
        <v>7770.925</v>
      </c>
      <c r="S26" s="153">
        <f>Q26</f>
        <v>25.4888888888889</v>
      </c>
      <c r="T26" s="153">
        <f>S26/31</f>
        <v>0.822222222222222</v>
      </c>
      <c r="U26" s="153">
        <f>T26-I26</f>
        <v>0.822222222222222</v>
      </c>
      <c r="V26" s="153">
        <f>R26</f>
        <v>7770.925</v>
      </c>
      <c r="W26" s="154">
        <f>_xlfn.XLOOKUP(B26,Sheet5!G:G,Sheet5!H:H)</f>
        <v>0</v>
      </c>
      <c r="X26" s="155">
        <f>Y26/31</f>
        <v>0</v>
      </c>
      <c r="Y26" s="153">
        <f>S26*W26</f>
        <v>0</v>
      </c>
      <c r="Z26" s="153">
        <f>Y26*G26*1.5</f>
        <v>0</v>
      </c>
      <c r="AA26" s="154">
        <f>_xlfn.XLOOKUP(B26,Sheet5!G:G,Sheet5!I:I)</f>
        <v>1</v>
      </c>
      <c r="AB26" s="155">
        <f>AC26/31</f>
        <v>0.822222222222222</v>
      </c>
      <c r="AC26" s="153">
        <f>S26*AA26</f>
        <v>25.4888888888889</v>
      </c>
      <c r="AD26" s="153">
        <f>G26*AC26*1.5</f>
        <v>7770.925</v>
      </c>
      <c r="AE26" s="156" t="s">
        <v>129</v>
      </c>
      <c r="AF26" s="151" t="s">
        <v>130</v>
      </c>
      <c r="AG26" s="157">
        <f>AC26/4</f>
        <v>6.37222222222222</v>
      </c>
      <c r="AH26" s="157">
        <f t="shared" si="1"/>
        <v>0</v>
      </c>
    </row>
    <row r="27" s="118" customFormat="1" ht="50" customHeight="1" spans="1:34">
      <c r="A27" s="151" t="s">
        <v>131</v>
      </c>
      <c r="B27" s="152" t="s">
        <v>132</v>
      </c>
      <c r="C27" s="152">
        <v>1</v>
      </c>
      <c r="D27" s="152" t="s">
        <v>34</v>
      </c>
      <c r="E27" s="152" t="s">
        <v>35</v>
      </c>
      <c r="F27" s="152" t="s">
        <v>106</v>
      </c>
      <c r="G27" s="152">
        <v>43.1968</v>
      </c>
      <c r="H27" s="152">
        <v>1825</v>
      </c>
      <c r="I27" s="151">
        <v>27</v>
      </c>
      <c r="J27" s="151">
        <v>67</v>
      </c>
      <c r="K27" s="151">
        <v>465</v>
      </c>
      <c r="L27" s="151">
        <v>20087</v>
      </c>
      <c r="M27" s="153">
        <f>(H27-(I27*50))/50</f>
        <v>9.5</v>
      </c>
      <c r="N27" s="153">
        <f>31*(M27+I27)</f>
        <v>1131.5</v>
      </c>
      <c r="O27" s="153">
        <f>N27*G27</f>
        <v>48877.1792</v>
      </c>
      <c r="P27" s="153">
        <f>(H27-(I27*90))/90</f>
        <v>-6.72222222222222</v>
      </c>
      <c r="Q27" s="153">
        <f>31*(P27+I27)</f>
        <v>628.611111111111</v>
      </c>
      <c r="R27" s="153">
        <f>(P27+I27)*31*G27*1.5</f>
        <v>40730.9826666667</v>
      </c>
      <c r="S27" s="153">
        <f>Q27</f>
        <v>628.611111111111</v>
      </c>
      <c r="T27" s="153">
        <f>S27/31</f>
        <v>20.2777777777778</v>
      </c>
      <c r="U27" s="153">
        <f>T27-I27</f>
        <v>-6.72222222222222</v>
      </c>
      <c r="V27" s="153">
        <f>R27</f>
        <v>40730.9826666667</v>
      </c>
      <c r="W27" s="154">
        <f>_xlfn.XLOOKUP(B27,Sheet5!G:G,Sheet5!H:H)</f>
        <v>0.715492957746479</v>
      </c>
      <c r="X27" s="155">
        <f>Y27/31</f>
        <v>14.508607198748</v>
      </c>
      <c r="Y27" s="153">
        <f>S27*W27</f>
        <v>449.766823161189</v>
      </c>
      <c r="Z27" s="153">
        <f>Y27*G27*1.5</f>
        <v>29142.7312600939</v>
      </c>
      <c r="AA27" s="154">
        <f>_xlfn.XLOOKUP(B27,Sheet5!G:G,Sheet5!I:I)</f>
        <v>0.284507042253521</v>
      </c>
      <c r="AB27" s="155">
        <f>AC27/31</f>
        <v>5.76917057902973</v>
      </c>
      <c r="AC27" s="153">
        <f>S27*AA27</f>
        <v>178.844287949922</v>
      </c>
      <c r="AD27" s="153">
        <f>G27*AC27*1.5</f>
        <v>11588.2514065728</v>
      </c>
      <c r="AE27" s="156" t="s">
        <v>115</v>
      </c>
      <c r="AF27" s="158"/>
      <c r="AG27" s="157">
        <f>AC27/4</f>
        <v>44.7110719874804</v>
      </c>
      <c r="AH27" s="157">
        <f t="shared" si="1"/>
        <v>112.441705790297</v>
      </c>
    </row>
    <row r="28" s="118" customFormat="1" ht="50" customHeight="1" spans="1:34">
      <c r="A28" s="151" t="s">
        <v>133</v>
      </c>
      <c r="B28" s="152" t="s">
        <v>134</v>
      </c>
      <c r="C28" s="152">
        <v>1</v>
      </c>
      <c r="D28" s="152" t="s">
        <v>34</v>
      </c>
      <c r="E28" s="152" t="s">
        <v>51</v>
      </c>
      <c r="F28" s="152" t="s">
        <v>135</v>
      </c>
      <c r="G28" s="152">
        <v>94.0561</v>
      </c>
      <c r="H28" s="152">
        <v>457</v>
      </c>
      <c r="I28" s="151">
        <v>5</v>
      </c>
      <c r="J28" s="151">
        <v>91</v>
      </c>
      <c r="K28" s="151">
        <v>205</v>
      </c>
      <c r="L28" s="151">
        <v>19470</v>
      </c>
      <c r="M28" s="153">
        <f>(H28-(I28*50))/50</f>
        <v>4.14</v>
      </c>
      <c r="N28" s="153">
        <f>31*(M28+I28)</f>
        <v>283.34</v>
      </c>
      <c r="O28" s="153">
        <f>N28*G28</f>
        <v>26649.855374</v>
      </c>
      <c r="P28" s="153">
        <f>(H28-(I28*90))/90</f>
        <v>0.0777777777777778</v>
      </c>
      <c r="Q28" s="153">
        <f>31*(P28+I28)</f>
        <v>157.411111111111</v>
      </c>
      <c r="R28" s="153">
        <f>(P28+I28)*31*G28*1.5</f>
        <v>22208.2128116667</v>
      </c>
      <c r="S28" s="153">
        <f>Q28</f>
        <v>157.411111111111</v>
      </c>
      <c r="T28" s="153">
        <f>S28/31</f>
        <v>5.07777777777778</v>
      </c>
      <c r="U28" s="153">
        <f>T28-I28</f>
        <v>0.0777777777777775</v>
      </c>
      <c r="V28" s="153">
        <f>R28</f>
        <v>22208.2128116667</v>
      </c>
      <c r="W28" s="154">
        <f>_xlfn.XLOOKUP(B28,Sheet5!G:G,Sheet5!H:H)</f>
        <v>0.431372549019608</v>
      </c>
      <c r="X28" s="155">
        <f>Y28/31</f>
        <v>2.19041394335512</v>
      </c>
      <c r="Y28" s="153">
        <f>S28*W28</f>
        <v>67.9028322440087</v>
      </c>
      <c r="Z28" s="153">
        <f>Y28*G28*1.5</f>
        <v>9580.01336973856</v>
      </c>
      <c r="AA28" s="154">
        <f>_xlfn.XLOOKUP(B28,Sheet5!G:G,Sheet5!I:I)</f>
        <v>0.568627450980392</v>
      </c>
      <c r="AB28" s="155">
        <f>AC28/31</f>
        <v>2.88736383442266</v>
      </c>
      <c r="AC28" s="153">
        <f>S28*AA28</f>
        <v>89.5082788671024</v>
      </c>
      <c r="AD28" s="153">
        <f>G28*AC28*1.5</f>
        <v>12628.1994419281</v>
      </c>
      <c r="AE28" s="156" t="s">
        <v>115</v>
      </c>
      <c r="AF28" s="151" t="s">
        <v>136</v>
      </c>
      <c r="AG28" s="157">
        <f>AC28/4</f>
        <v>22.3770697167756</v>
      </c>
      <c r="AH28" s="157">
        <f t="shared" si="1"/>
        <v>16.9757080610022</v>
      </c>
    </row>
    <row r="29" s="118" customFormat="1" ht="50" customHeight="1" spans="1:34">
      <c r="A29" s="151" t="s">
        <v>137</v>
      </c>
      <c r="B29" s="152" t="s">
        <v>138</v>
      </c>
      <c r="C29" s="152">
        <v>1</v>
      </c>
      <c r="D29" s="152" t="s">
        <v>34</v>
      </c>
      <c r="E29" s="152" t="s">
        <v>35</v>
      </c>
      <c r="F29" s="152" t="s">
        <v>110</v>
      </c>
      <c r="G29" s="152">
        <v>19.7793</v>
      </c>
      <c r="H29" s="152">
        <v>1014</v>
      </c>
      <c r="I29" s="151">
        <v>5</v>
      </c>
      <c r="J29" s="151">
        <v>202</v>
      </c>
      <c r="K29" s="151">
        <v>724</v>
      </c>
      <c r="L29" s="151">
        <v>19186</v>
      </c>
      <c r="M29" s="153">
        <f>(H29-(I29*50))/50</f>
        <v>15.28</v>
      </c>
      <c r="N29" s="153">
        <f>31*(M29+I29)</f>
        <v>628.68</v>
      </c>
      <c r="O29" s="153">
        <f>N29*G29</f>
        <v>12434.850324</v>
      </c>
      <c r="P29" s="153">
        <f>(H29-(I29*90))/90</f>
        <v>6.26666666666667</v>
      </c>
      <c r="Q29" s="153">
        <f>31*(P29+I29)</f>
        <v>349.266666666667</v>
      </c>
      <c r="R29" s="153">
        <f>(P29+I29)*31*G29*1.5</f>
        <v>10362.37527</v>
      </c>
      <c r="S29" s="153">
        <f>Q29</f>
        <v>349.266666666667</v>
      </c>
      <c r="T29" s="153">
        <f>S29/31</f>
        <v>11.2666666666667</v>
      </c>
      <c r="U29" s="153">
        <f>T29-I29</f>
        <v>6.26666666666667</v>
      </c>
      <c r="V29" s="153">
        <f>R29</f>
        <v>10362.37527</v>
      </c>
      <c r="W29" s="154">
        <f>_xlfn.XLOOKUP(B29,Sheet5!G:G,Sheet5!H:H)</f>
        <v>0.583333333333333</v>
      </c>
      <c r="X29" s="155">
        <f>Y29/31</f>
        <v>6.57222222222222</v>
      </c>
      <c r="Y29" s="153">
        <f>S29*W29</f>
        <v>203.738888888889</v>
      </c>
      <c r="Z29" s="153">
        <f>Y29*G29*1.5</f>
        <v>6044.7189075</v>
      </c>
      <c r="AA29" s="154">
        <f>_xlfn.XLOOKUP(B29,Sheet5!G:G,Sheet5!I:I)</f>
        <v>0.416666666666667</v>
      </c>
      <c r="AB29" s="155">
        <f>AC29/31</f>
        <v>4.69444444444445</v>
      </c>
      <c r="AC29" s="153">
        <f>S29*AA29</f>
        <v>145.527777777778</v>
      </c>
      <c r="AD29" s="153">
        <f>G29*AC29*1.5</f>
        <v>4317.6563625</v>
      </c>
      <c r="AE29" s="156" t="s">
        <v>111</v>
      </c>
      <c r="AF29" s="151" t="s">
        <v>112</v>
      </c>
      <c r="AG29" s="157">
        <f>AC29/4</f>
        <v>36.3819444444445</v>
      </c>
      <c r="AH29" s="157">
        <f t="shared" si="1"/>
        <v>50.9347222222222</v>
      </c>
    </row>
    <row r="30" s="118" customFormat="1" ht="50" customHeight="1" spans="1:34">
      <c r="A30" s="151" t="s">
        <v>139</v>
      </c>
      <c r="B30" s="152" t="s">
        <v>140</v>
      </c>
      <c r="C30" s="152">
        <v>1</v>
      </c>
      <c r="D30" s="152" t="s">
        <v>34</v>
      </c>
      <c r="E30" s="152" t="s">
        <v>35</v>
      </c>
      <c r="F30" s="152" t="s">
        <v>141</v>
      </c>
      <c r="G30" s="152">
        <v>38.5262</v>
      </c>
      <c r="H30" s="152">
        <v>1934</v>
      </c>
      <c r="I30" s="151">
        <v>28</v>
      </c>
      <c r="J30" s="151">
        <v>69</v>
      </c>
      <c r="K30" s="151">
        <v>495</v>
      </c>
      <c r="L30" s="151">
        <v>19070</v>
      </c>
      <c r="M30" s="153">
        <f>(H30-(I30*50))/50</f>
        <v>10.68</v>
      </c>
      <c r="N30" s="153">
        <f>31*(M30+I30)</f>
        <v>1199.08</v>
      </c>
      <c r="O30" s="153">
        <f>N30*G30</f>
        <v>46195.995896</v>
      </c>
      <c r="P30" s="153">
        <f>(H30-(I30*90))/90</f>
        <v>-6.51111111111111</v>
      </c>
      <c r="Q30" s="153">
        <f>31*(P30+I30)</f>
        <v>666.155555555555</v>
      </c>
      <c r="R30" s="153">
        <f>(P30+I30)*31*G30*1.5</f>
        <v>38496.6632466667</v>
      </c>
      <c r="S30" s="153">
        <f>Q30</f>
        <v>666.155555555555</v>
      </c>
      <c r="T30" s="153">
        <f>S30/31</f>
        <v>21.4888888888889</v>
      </c>
      <c r="U30" s="153">
        <f>T30-I30</f>
        <v>-6.51111111111111</v>
      </c>
      <c r="V30" s="153">
        <f>R30</f>
        <v>38496.6632466667</v>
      </c>
      <c r="W30" s="154">
        <f>_xlfn.XLOOKUP(B30,Sheet5!G:G,Sheet5!H:H)</f>
        <v>0.39622641509434</v>
      </c>
      <c r="X30" s="155">
        <f>Y30/31</f>
        <v>8.51446540880504</v>
      </c>
      <c r="Y30" s="153">
        <f>S30*W30</f>
        <v>263.948427672956</v>
      </c>
      <c r="Z30" s="153">
        <f>Y30*G30*1.5</f>
        <v>15253.3948713208</v>
      </c>
      <c r="AA30" s="154">
        <f>_xlfn.XLOOKUP(B30,Sheet5!G:G,Sheet5!I:I)</f>
        <v>0.60377358490566</v>
      </c>
      <c r="AB30" s="155">
        <f>AC30/31</f>
        <v>12.9744234800838</v>
      </c>
      <c r="AC30" s="153">
        <f>S30*AA30</f>
        <v>402.207127882599</v>
      </c>
      <c r="AD30" s="153">
        <f>G30*AC30*1.5</f>
        <v>23243.2683753459</v>
      </c>
      <c r="AE30" s="156" t="s">
        <v>115</v>
      </c>
      <c r="AF30" s="158"/>
      <c r="AG30" s="157">
        <f>AC30/4</f>
        <v>100.55178197065</v>
      </c>
      <c r="AH30" s="157">
        <f t="shared" si="1"/>
        <v>65.987106918239</v>
      </c>
    </row>
    <row r="31" s="118" customFormat="1" ht="50" customHeight="1" spans="1:34">
      <c r="A31" s="151" t="s">
        <v>142</v>
      </c>
      <c r="B31" s="152" t="s">
        <v>143</v>
      </c>
      <c r="C31" s="152">
        <v>1</v>
      </c>
      <c r="D31" s="152" t="s">
        <v>34</v>
      </c>
      <c r="E31" s="152" t="s">
        <v>35</v>
      </c>
      <c r="F31" s="152" t="s">
        <v>144</v>
      </c>
      <c r="G31" s="152">
        <v>98.3411</v>
      </c>
      <c r="H31" s="152">
        <v>120</v>
      </c>
      <c r="I31" s="151"/>
      <c r="J31" s="151"/>
      <c r="K31" s="151">
        <v>120</v>
      </c>
      <c r="L31" s="151">
        <v>17701</v>
      </c>
      <c r="M31" s="153">
        <f>(H31-(I31*50))/50</f>
        <v>2.4</v>
      </c>
      <c r="N31" s="153">
        <f>31*(M31+I31)</f>
        <v>74.4</v>
      </c>
      <c r="O31" s="153">
        <f>N31*G31</f>
        <v>7316.57784</v>
      </c>
      <c r="P31" s="153">
        <f>(H31-(I31*90))/90</f>
        <v>1.33333333333333</v>
      </c>
      <c r="Q31" s="153">
        <f>31*(P31+I31)</f>
        <v>41.3333333333333</v>
      </c>
      <c r="R31" s="153">
        <f>(P31+I31)*31*G31*1.5</f>
        <v>6097.1482</v>
      </c>
      <c r="S31" s="153">
        <f>Q31</f>
        <v>41.3333333333333</v>
      </c>
      <c r="T31" s="153">
        <f>S31/31</f>
        <v>1.33333333333333</v>
      </c>
      <c r="U31" s="153">
        <f>T31-I31</f>
        <v>1.33333333333333</v>
      </c>
      <c r="V31" s="153">
        <f>R31</f>
        <v>6097.1482</v>
      </c>
      <c r="W31" s="154">
        <v>0.5</v>
      </c>
      <c r="X31" s="155">
        <f>Y31/31</f>
        <v>0.666666666666667</v>
      </c>
      <c r="Y31" s="153">
        <f>S31*W31</f>
        <v>20.6666666666667</v>
      </c>
      <c r="Z31" s="153">
        <f>Y31*G31*1.5</f>
        <v>3048.5741</v>
      </c>
      <c r="AA31" s="154">
        <v>0.5</v>
      </c>
      <c r="AB31" s="155">
        <f>AC31/31</f>
        <v>0.666666666666667</v>
      </c>
      <c r="AC31" s="153">
        <f>S31*AA31</f>
        <v>20.6666666666667</v>
      </c>
      <c r="AD31" s="153">
        <f>G31*AC31*1.5</f>
        <v>3048.5741</v>
      </c>
      <c r="AE31" s="156" t="s">
        <v>145</v>
      </c>
      <c r="AF31" s="151" t="s">
        <v>146</v>
      </c>
      <c r="AG31" s="157">
        <f>AC31/4</f>
        <v>5.16666666666667</v>
      </c>
      <c r="AH31" s="157">
        <f t="shared" si="1"/>
        <v>5.16666666666667</v>
      </c>
    </row>
    <row r="32" s="118" customFormat="1" ht="50" customHeight="1" spans="1:34">
      <c r="A32" s="151" t="s">
        <v>147</v>
      </c>
      <c r="B32" s="152" t="s">
        <v>148</v>
      </c>
      <c r="C32" s="152">
        <v>1</v>
      </c>
      <c r="D32" s="152" t="s">
        <v>34</v>
      </c>
      <c r="E32" s="152" t="s">
        <v>35</v>
      </c>
      <c r="F32" s="152" t="s">
        <v>106</v>
      </c>
      <c r="G32" s="152">
        <v>33.6968</v>
      </c>
      <c r="H32" s="152">
        <v>1821</v>
      </c>
      <c r="I32" s="151">
        <v>26</v>
      </c>
      <c r="J32" s="151">
        <v>70</v>
      </c>
      <c r="K32" s="151">
        <v>508</v>
      </c>
      <c r="L32" s="151">
        <v>17118</v>
      </c>
      <c r="M32" s="153">
        <f>(H32-(I32*50))/50</f>
        <v>10.42</v>
      </c>
      <c r="N32" s="153">
        <f>31*(M32+I32)</f>
        <v>1129.02</v>
      </c>
      <c r="O32" s="153">
        <f>N32*G32</f>
        <v>38044.361136</v>
      </c>
      <c r="P32" s="153">
        <f>(H32-(I32*90))/90</f>
        <v>-5.76666666666667</v>
      </c>
      <c r="Q32" s="153">
        <f>31*(P32+I32)</f>
        <v>627.233333333333</v>
      </c>
      <c r="R32" s="153">
        <f>(P32+I32)*31*G32*1.5</f>
        <v>31703.63428</v>
      </c>
      <c r="S32" s="153">
        <f>Q32</f>
        <v>627.233333333333</v>
      </c>
      <c r="T32" s="153">
        <f>S32/31</f>
        <v>20.2333333333333</v>
      </c>
      <c r="U32" s="153">
        <f>T32-I32</f>
        <v>-5.76666666666667</v>
      </c>
      <c r="V32" s="153">
        <f>R32</f>
        <v>31703.63428</v>
      </c>
      <c r="W32" s="154">
        <f>_xlfn.XLOOKUP(B32,Sheet5!G:G,Sheet5!H:H)</f>
        <v>0.698305084745763</v>
      </c>
      <c r="X32" s="155">
        <f>Y32/31</f>
        <v>14.1290395480226</v>
      </c>
      <c r="Y32" s="153">
        <f>S32*W32</f>
        <v>438.000225988701</v>
      </c>
      <c r="Z32" s="153">
        <f>Y32*G32*1.5</f>
        <v>22138.8090226441</v>
      </c>
      <c r="AA32" s="154">
        <f>_xlfn.XLOOKUP(B32,Sheet5!G:G,Sheet5!I:I)</f>
        <v>0.301694915254237</v>
      </c>
      <c r="AB32" s="155">
        <f>AC32/31</f>
        <v>6.10429378531073</v>
      </c>
      <c r="AC32" s="153">
        <f>S32*AA32</f>
        <v>189.233107344633</v>
      </c>
      <c r="AD32" s="153">
        <f>G32*AC32*1.5</f>
        <v>9564.82525735592</v>
      </c>
      <c r="AE32" s="156" t="s">
        <v>115</v>
      </c>
      <c r="AF32" s="158"/>
      <c r="AG32" s="157">
        <f>AC32/4</f>
        <v>47.3082768361581</v>
      </c>
      <c r="AH32" s="157">
        <f t="shared" si="1"/>
        <v>109.500056497175</v>
      </c>
    </row>
    <row r="33" s="118" customFormat="1" ht="50" customHeight="1" spans="1:34">
      <c r="A33" s="151" t="s">
        <v>149</v>
      </c>
      <c r="B33" s="152" t="s">
        <v>150</v>
      </c>
      <c r="C33" s="152">
        <v>1</v>
      </c>
      <c r="D33" s="152" t="s">
        <v>34</v>
      </c>
      <c r="E33" s="152" t="s">
        <v>35</v>
      </c>
      <c r="F33" s="152" t="s">
        <v>151</v>
      </c>
      <c r="G33" s="152">
        <v>215.7607</v>
      </c>
      <c r="H33" s="152">
        <v>53</v>
      </c>
      <c r="I33" s="151"/>
      <c r="J33" s="151"/>
      <c r="K33" s="151">
        <v>50</v>
      </c>
      <c r="L33" s="151">
        <v>15858</v>
      </c>
      <c r="M33" s="153">
        <f>(H33-(I33*50))/50</f>
        <v>1.06</v>
      </c>
      <c r="N33" s="153">
        <f>31*(M33+I33)</f>
        <v>32.86</v>
      </c>
      <c r="O33" s="153">
        <f>N33*G33</f>
        <v>7089.896602</v>
      </c>
      <c r="P33" s="153">
        <f>(H33-(I33*90))/90</f>
        <v>0.588888888888889</v>
      </c>
      <c r="Q33" s="153">
        <f>31*(P33+I33)</f>
        <v>18.2555555555556</v>
      </c>
      <c r="R33" s="153">
        <f>(P33+I33)*31*G33*1.5</f>
        <v>5908.24716833333</v>
      </c>
      <c r="S33" s="153">
        <f>Q33</f>
        <v>18.2555555555556</v>
      </c>
      <c r="T33" s="153">
        <f>S33/31</f>
        <v>0.588888888888889</v>
      </c>
      <c r="U33" s="153">
        <f>T33-I33</f>
        <v>0.588888888888889</v>
      </c>
      <c r="V33" s="153">
        <f>R33</f>
        <v>5908.24716833333</v>
      </c>
      <c r="W33" s="154">
        <f>_xlfn.XLOOKUP(B33,Sheet5!G:G,Sheet5!H:H)</f>
        <v>0</v>
      </c>
      <c r="X33" s="155">
        <f>Y33/31</f>
        <v>0</v>
      </c>
      <c r="Y33" s="153">
        <f>S33*W33</f>
        <v>0</v>
      </c>
      <c r="Z33" s="153">
        <f>Y33*G33*1.5</f>
        <v>0</v>
      </c>
      <c r="AA33" s="154">
        <f>_xlfn.XLOOKUP(B33,Sheet5!G:G,Sheet5!I:I)</f>
        <v>0</v>
      </c>
      <c r="AB33" s="155">
        <f>AC33/31</f>
        <v>0</v>
      </c>
      <c r="AC33" s="153">
        <f>S33*AA33</f>
        <v>0</v>
      </c>
      <c r="AD33" s="153">
        <f>G33*AC33*1.5</f>
        <v>0</v>
      </c>
      <c r="AE33" s="156" t="s">
        <v>152</v>
      </c>
      <c r="AF33" s="151" t="s">
        <v>153</v>
      </c>
      <c r="AG33" s="157">
        <f>AC33/4</f>
        <v>0</v>
      </c>
      <c r="AH33" s="157">
        <f t="shared" si="1"/>
        <v>0</v>
      </c>
    </row>
    <row r="34" s="118" customFormat="1" ht="50" customHeight="1" spans="1:34">
      <c r="A34" s="151" t="s">
        <v>154</v>
      </c>
      <c r="B34" s="152" t="s">
        <v>155</v>
      </c>
      <c r="C34" s="152">
        <v>1</v>
      </c>
      <c r="D34" s="152" t="s">
        <v>34</v>
      </c>
      <c r="E34" s="152" t="s">
        <v>35</v>
      </c>
      <c r="F34" s="152" t="s">
        <v>156</v>
      </c>
      <c r="G34" s="152">
        <v>177.0938</v>
      </c>
      <c r="H34" s="152">
        <v>88</v>
      </c>
      <c r="I34" s="151"/>
      <c r="J34" s="151"/>
      <c r="K34" s="151">
        <v>65</v>
      </c>
      <c r="L34" s="151">
        <v>15584</v>
      </c>
      <c r="M34" s="153">
        <f>(H34-(I34*50))/50</f>
        <v>1.76</v>
      </c>
      <c r="N34" s="153">
        <f>31*(M34+I34)</f>
        <v>54.56</v>
      </c>
      <c r="O34" s="153">
        <f>N34*G34</f>
        <v>9662.237728</v>
      </c>
      <c r="P34" s="153">
        <f>(H34-(I34*90))/90</f>
        <v>0.977777777777778</v>
      </c>
      <c r="Q34" s="153">
        <f>31*(P34+I34)</f>
        <v>30.3111111111111</v>
      </c>
      <c r="R34" s="153">
        <f>(P34+I34)*31*G34*1.5</f>
        <v>8051.86477333333</v>
      </c>
      <c r="S34" s="153">
        <f>Q34</f>
        <v>30.3111111111111</v>
      </c>
      <c r="T34" s="153">
        <f>S34/31</f>
        <v>0.977777777777778</v>
      </c>
      <c r="U34" s="153">
        <f>T34-I34</f>
        <v>0.977777777777778</v>
      </c>
      <c r="V34" s="153">
        <f>R34</f>
        <v>8051.86477333333</v>
      </c>
      <c r="W34" s="154">
        <v>0.6</v>
      </c>
      <c r="X34" s="155">
        <f>Y34/31</f>
        <v>0.586666666666667</v>
      </c>
      <c r="Y34" s="153">
        <f>S34*W34</f>
        <v>18.1866666666667</v>
      </c>
      <c r="Z34" s="153">
        <f>Y34*G34*1.5</f>
        <v>4831.118864</v>
      </c>
      <c r="AA34" s="154">
        <v>0.4</v>
      </c>
      <c r="AB34" s="155">
        <f>AC34/31</f>
        <v>0.391111111111111</v>
      </c>
      <c r="AC34" s="153">
        <f>S34*AA34</f>
        <v>12.1244444444444</v>
      </c>
      <c r="AD34" s="153">
        <f>G34*AC34*1.5</f>
        <v>3220.74590933333</v>
      </c>
      <c r="AE34" s="156" t="s">
        <v>157</v>
      </c>
      <c r="AF34" s="158"/>
      <c r="AG34" s="157">
        <f>AC34/4</f>
        <v>3.03111111111111</v>
      </c>
      <c r="AH34" s="157">
        <f t="shared" si="1"/>
        <v>4.54666666666667</v>
      </c>
    </row>
    <row r="35" s="118" customFormat="1" ht="50" customHeight="1" spans="1:34">
      <c r="A35" s="151" t="s">
        <v>158</v>
      </c>
      <c r="B35" s="152" t="s">
        <v>159</v>
      </c>
      <c r="C35" s="152">
        <v>1</v>
      </c>
      <c r="D35" s="152" t="s">
        <v>34</v>
      </c>
      <c r="E35" s="152" t="s">
        <v>35</v>
      </c>
      <c r="F35" s="152" t="s">
        <v>160</v>
      </c>
      <c r="G35" s="152">
        <v>74.8418</v>
      </c>
      <c r="H35" s="152">
        <v>383</v>
      </c>
      <c r="I35" s="151">
        <v>3</v>
      </c>
      <c r="J35" s="151">
        <v>127</v>
      </c>
      <c r="K35" s="151">
        <v>189</v>
      </c>
      <c r="L35" s="151">
        <v>15417</v>
      </c>
      <c r="M35" s="153">
        <f>(H35-(I35*50))/50</f>
        <v>4.66</v>
      </c>
      <c r="N35" s="153">
        <f>31*(M35+I35)</f>
        <v>237.46</v>
      </c>
      <c r="O35" s="153">
        <f>N35*G35</f>
        <v>17771.933828</v>
      </c>
      <c r="P35" s="153">
        <f>(H35-(I35*90))/90</f>
        <v>1.25555555555556</v>
      </c>
      <c r="Q35" s="153">
        <f>31*(P35+I35)</f>
        <v>131.922222222222</v>
      </c>
      <c r="R35" s="153">
        <f>(P35+I35)*31*G35*1.5</f>
        <v>14809.9448566667</v>
      </c>
      <c r="S35" s="153">
        <f>Q35</f>
        <v>131.922222222222</v>
      </c>
      <c r="T35" s="153">
        <f>S35/31</f>
        <v>4.25555555555556</v>
      </c>
      <c r="U35" s="153">
        <f>T35-I35</f>
        <v>1.25555555555556</v>
      </c>
      <c r="V35" s="153">
        <f>R35</f>
        <v>14809.9448566667</v>
      </c>
      <c r="W35" s="154">
        <f>_xlfn.XLOOKUP(B35,Sheet5!G:G,Sheet5!H:H)</f>
        <v>0.652173913043478</v>
      </c>
      <c r="X35" s="155">
        <f>Y35/31</f>
        <v>2.77536231884058</v>
      </c>
      <c r="Y35" s="153">
        <f>S35*W35</f>
        <v>86.0362318840579</v>
      </c>
      <c r="Z35" s="153">
        <f>Y35*G35*1.5</f>
        <v>9658.65968913043</v>
      </c>
      <c r="AA35" s="154">
        <f>_xlfn.XLOOKUP(B35,Sheet5!G:G,Sheet5!I:I)</f>
        <v>0.347826086956522</v>
      </c>
      <c r="AB35" s="155">
        <f>AC35/31</f>
        <v>1.48019323671498</v>
      </c>
      <c r="AC35" s="153">
        <f>S35*AA35</f>
        <v>45.8859903381643</v>
      </c>
      <c r="AD35" s="153">
        <f>G35*AC35*1.5</f>
        <v>5151.28516753624</v>
      </c>
      <c r="AE35" s="156" t="s">
        <v>161</v>
      </c>
      <c r="AF35" s="151" t="s">
        <v>162</v>
      </c>
      <c r="AG35" s="157">
        <f>AC35/4</f>
        <v>11.4714975845411</v>
      </c>
      <c r="AH35" s="157">
        <f t="shared" si="1"/>
        <v>21.5090579710145</v>
      </c>
    </row>
    <row r="36" s="118" customFormat="1" ht="50" customHeight="1" spans="1:34">
      <c r="A36" s="151" t="s">
        <v>163</v>
      </c>
      <c r="B36" s="152" t="s">
        <v>164</v>
      </c>
      <c r="C36" s="152">
        <v>1</v>
      </c>
      <c r="D36" s="152" t="s">
        <v>34</v>
      </c>
      <c r="E36" s="152" t="s">
        <v>51</v>
      </c>
      <c r="F36" s="152" t="s">
        <v>165</v>
      </c>
      <c r="G36" s="152">
        <v>89.55</v>
      </c>
      <c r="H36" s="152">
        <v>143</v>
      </c>
      <c r="I36" s="151"/>
      <c r="J36" s="151"/>
      <c r="K36" s="151">
        <v>120</v>
      </c>
      <c r="L36" s="151">
        <v>15268</v>
      </c>
      <c r="M36" s="153">
        <f>(H36-(I36*50))/50</f>
        <v>2.86</v>
      </c>
      <c r="N36" s="153">
        <f>31*(M36+I36)</f>
        <v>88.66</v>
      </c>
      <c r="O36" s="153">
        <f>N36*G36</f>
        <v>7939.503</v>
      </c>
      <c r="P36" s="153">
        <f>(H36-(I36*90))/90</f>
        <v>1.58888888888889</v>
      </c>
      <c r="Q36" s="153">
        <f>31*(P36+I36)</f>
        <v>49.2555555555556</v>
      </c>
      <c r="R36" s="153">
        <f>(P36+I36)*31*G36*1.5</f>
        <v>6616.2525</v>
      </c>
      <c r="S36" s="153">
        <f>Q36</f>
        <v>49.2555555555556</v>
      </c>
      <c r="T36" s="153">
        <f>S36/31</f>
        <v>1.58888888888889</v>
      </c>
      <c r="U36" s="153">
        <f>T36-I36</f>
        <v>1.58888888888889</v>
      </c>
      <c r="V36" s="153">
        <f>R36</f>
        <v>6616.2525</v>
      </c>
      <c r="W36" s="154">
        <f>_xlfn.XLOOKUP(B36,Sheet5!G:G,Sheet5!H:H)</f>
        <v>1</v>
      </c>
      <c r="X36" s="155">
        <f>Y36/31</f>
        <v>1.58888888888889</v>
      </c>
      <c r="Y36" s="153">
        <f>S36*W36</f>
        <v>49.2555555555556</v>
      </c>
      <c r="Z36" s="153">
        <f>Y36*G36*1.5</f>
        <v>6616.2525</v>
      </c>
      <c r="AA36" s="154">
        <f>_xlfn.XLOOKUP(B36,Sheet5!G:G,Sheet5!I:I)</f>
        <v>0</v>
      </c>
      <c r="AB36" s="155">
        <f>AC36/31</f>
        <v>0</v>
      </c>
      <c r="AC36" s="153">
        <f>S36*AA36</f>
        <v>0</v>
      </c>
      <c r="AD36" s="153">
        <f>G36*AC36*1.5</f>
        <v>0</v>
      </c>
      <c r="AE36" s="156" t="s">
        <v>130</v>
      </c>
      <c r="AF36" s="158"/>
      <c r="AG36" s="157">
        <f>AC36/4</f>
        <v>0</v>
      </c>
      <c r="AH36" s="157">
        <f t="shared" si="1"/>
        <v>12.3138888888889</v>
      </c>
    </row>
    <row r="37" s="118" customFormat="1" ht="50" customHeight="1" spans="1:34">
      <c r="A37" s="151" t="s">
        <v>166</v>
      </c>
      <c r="B37" s="152" t="s">
        <v>167</v>
      </c>
      <c r="C37" s="152">
        <v>1</v>
      </c>
      <c r="D37" s="152" t="s">
        <v>34</v>
      </c>
      <c r="E37" s="152" t="s">
        <v>51</v>
      </c>
      <c r="F37" s="152" t="s">
        <v>80</v>
      </c>
      <c r="G37" s="152">
        <v>135.44</v>
      </c>
      <c r="H37" s="152">
        <v>107</v>
      </c>
      <c r="I37" s="151"/>
      <c r="J37" s="151"/>
      <c r="K37" s="151">
        <v>81</v>
      </c>
      <c r="L37" s="151">
        <v>15034</v>
      </c>
      <c r="M37" s="153">
        <f>(H37-(I37*50))/50</f>
        <v>2.14</v>
      </c>
      <c r="N37" s="153">
        <f>31*(M37+I37)</f>
        <v>66.34</v>
      </c>
      <c r="O37" s="153">
        <f>N37*G37</f>
        <v>8985.0896</v>
      </c>
      <c r="P37" s="153">
        <f>(H37-(I37*90))/90</f>
        <v>1.18888888888889</v>
      </c>
      <c r="Q37" s="153">
        <f>31*(P37+I37)</f>
        <v>36.8555555555556</v>
      </c>
      <c r="R37" s="153">
        <f>(P37+I37)*31*G37*1.5</f>
        <v>7487.57466666667</v>
      </c>
      <c r="S37" s="153">
        <f>Q37</f>
        <v>36.8555555555556</v>
      </c>
      <c r="T37" s="153">
        <f>S37/31</f>
        <v>1.18888888888889</v>
      </c>
      <c r="U37" s="153">
        <f>T37-I37</f>
        <v>1.18888888888889</v>
      </c>
      <c r="V37" s="153">
        <f>R37</f>
        <v>7487.57466666667</v>
      </c>
      <c r="W37" s="154">
        <f>_xlfn.XLOOKUP(B37,Sheet5!G:G,Sheet5!H:H)</f>
        <v>0.5</v>
      </c>
      <c r="X37" s="155">
        <f>Y37/31</f>
        <v>0.594444444444444</v>
      </c>
      <c r="Y37" s="153">
        <f>S37*W37</f>
        <v>18.4277777777778</v>
      </c>
      <c r="Z37" s="153">
        <f>Y37*G37*1.5</f>
        <v>3743.78733333333</v>
      </c>
      <c r="AA37" s="154">
        <f>_xlfn.XLOOKUP(B37,Sheet5!G:G,Sheet5!I:I)</f>
        <v>0.5</v>
      </c>
      <c r="AB37" s="155">
        <f>AC37/31</f>
        <v>0.594444444444444</v>
      </c>
      <c r="AC37" s="153">
        <f>S37*AA37</f>
        <v>18.4277777777778</v>
      </c>
      <c r="AD37" s="153">
        <f>G37*AC37*1.5</f>
        <v>3743.78733333333</v>
      </c>
      <c r="AE37" s="156" t="s">
        <v>168</v>
      </c>
      <c r="AF37" s="151" t="s">
        <v>103</v>
      </c>
      <c r="AG37" s="157">
        <f>AC37/4</f>
        <v>4.60694444444444</v>
      </c>
      <c r="AH37" s="157">
        <f t="shared" ref="AH37:AH68" si="2">$Y37/4</f>
        <v>4.60694444444444</v>
      </c>
    </row>
    <row r="38" s="118" customFormat="1" ht="50" customHeight="1" spans="1:34">
      <c r="A38" s="151" t="s">
        <v>169</v>
      </c>
      <c r="B38" s="152" t="s">
        <v>170</v>
      </c>
      <c r="C38" s="152">
        <v>1</v>
      </c>
      <c r="D38" s="152" t="s">
        <v>34</v>
      </c>
      <c r="E38" s="152" t="s">
        <v>35</v>
      </c>
      <c r="F38" s="152" t="s">
        <v>171</v>
      </c>
      <c r="G38" s="152">
        <v>49.17</v>
      </c>
      <c r="H38" s="152">
        <v>209</v>
      </c>
      <c r="I38" s="151"/>
      <c r="J38" s="151"/>
      <c r="K38" s="151">
        <v>201</v>
      </c>
      <c r="L38" s="151">
        <v>14653</v>
      </c>
      <c r="M38" s="153">
        <f>(H38-(I38*50))/50</f>
        <v>4.18</v>
      </c>
      <c r="N38" s="153">
        <f>31*(M38+I38)</f>
        <v>129.58</v>
      </c>
      <c r="O38" s="153">
        <f>N38*G38</f>
        <v>6371.4486</v>
      </c>
      <c r="P38" s="153">
        <f>(H38-(I38*90))/90</f>
        <v>2.32222222222222</v>
      </c>
      <c r="Q38" s="153">
        <f>31*(P38+I38)</f>
        <v>71.9888888888889</v>
      </c>
      <c r="R38" s="153">
        <f>(P38+I38)*31*G38*1.5</f>
        <v>5309.5405</v>
      </c>
      <c r="S38" s="153">
        <f>Q38</f>
        <v>71.9888888888889</v>
      </c>
      <c r="T38" s="153">
        <f>S38/31</f>
        <v>2.32222222222222</v>
      </c>
      <c r="U38" s="153">
        <f>T38-I38</f>
        <v>2.32222222222222</v>
      </c>
      <c r="V38" s="153">
        <f>R38</f>
        <v>5309.5405</v>
      </c>
      <c r="W38" s="154">
        <f>_xlfn.XLOOKUP(B38,Sheet5!G:G,Sheet5!H:H)</f>
        <v>0.4</v>
      </c>
      <c r="X38" s="155">
        <f>Y38/31</f>
        <v>0.928888888888889</v>
      </c>
      <c r="Y38" s="153">
        <f>S38*W38</f>
        <v>28.7955555555556</v>
      </c>
      <c r="Z38" s="153">
        <f>Y38*G38*1.5</f>
        <v>2123.8162</v>
      </c>
      <c r="AA38" s="154">
        <f>_xlfn.XLOOKUP(B38,Sheet5!G:G,Sheet5!I:I)</f>
        <v>0.6</v>
      </c>
      <c r="AB38" s="155">
        <f>AC38/31</f>
        <v>1.39333333333333</v>
      </c>
      <c r="AC38" s="153">
        <f>S38*AA38</f>
        <v>43.1933333333333</v>
      </c>
      <c r="AD38" s="153">
        <f>G38*AC38*1.5</f>
        <v>3185.7243</v>
      </c>
      <c r="AE38" s="156" t="s">
        <v>172</v>
      </c>
      <c r="AF38" s="151" t="s">
        <v>173</v>
      </c>
      <c r="AG38" s="157">
        <f>AC38/4</f>
        <v>10.7983333333333</v>
      </c>
      <c r="AH38" s="157">
        <f t="shared" si="2"/>
        <v>7.19888888888889</v>
      </c>
    </row>
    <row r="39" s="118" customFormat="1" ht="50" customHeight="1" spans="1:34">
      <c r="A39" s="151" t="s">
        <v>174</v>
      </c>
      <c r="B39" s="152" t="s">
        <v>175</v>
      </c>
      <c r="C39" s="152">
        <v>1</v>
      </c>
      <c r="D39" s="152" t="s">
        <v>34</v>
      </c>
      <c r="E39" s="152" t="s">
        <v>35</v>
      </c>
      <c r="F39" s="152" t="s">
        <v>41</v>
      </c>
      <c r="G39" s="152">
        <v>124.73</v>
      </c>
      <c r="H39" s="152">
        <v>362</v>
      </c>
      <c r="I39" s="151">
        <v>4</v>
      </c>
      <c r="J39" s="151">
        <v>90</v>
      </c>
      <c r="K39" s="151">
        <v>117</v>
      </c>
      <c r="L39" s="151">
        <v>14593</v>
      </c>
      <c r="M39" s="153">
        <f>(H39-(I39*50))/50</f>
        <v>3.24</v>
      </c>
      <c r="N39" s="153">
        <f>31*(M39+I39)</f>
        <v>224.44</v>
      </c>
      <c r="O39" s="153">
        <f>N39*G39</f>
        <v>27994.4012</v>
      </c>
      <c r="P39" s="153">
        <f>(H39-(I39*90))/90</f>
        <v>0.0222222222222222</v>
      </c>
      <c r="Q39" s="153">
        <f>31*(P39+I39)</f>
        <v>124.688888888889</v>
      </c>
      <c r="R39" s="153">
        <f>(P39+I39)*31*G39*1.5</f>
        <v>23328.6676666667</v>
      </c>
      <c r="S39" s="153">
        <f>Q39</f>
        <v>124.688888888889</v>
      </c>
      <c r="T39" s="153">
        <f>S39/31</f>
        <v>4.02222222222222</v>
      </c>
      <c r="U39" s="153">
        <f>T39-I39</f>
        <v>0.0222222222222221</v>
      </c>
      <c r="V39" s="153">
        <f>R39</f>
        <v>23328.6676666667</v>
      </c>
      <c r="W39" s="154">
        <f>_xlfn.XLOOKUP(B39,Sheet5!G:G,Sheet5!H:H)</f>
        <v>0.5</v>
      </c>
      <c r="X39" s="155">
        <f>Y39/31</f>
        <v>2.01111111111111</v>
      </c>
      <c r="Y39" s="153">
        <f>S39*W39</f>
        <v>62.3444444444444</v>
      </c>
      <c r="Z39" s="153">
        <v>50</v>
      </c>
      <c r="AA39" s="154">
        <f>_xlfn.XLOOKUP(B39,Sheet5!G:G,Sheet5!I:I)</f>
        <v>0.5</v>
      </c>
      <c r="AB39" s="155">
        <f>AC39/31</f>
        <v>2.01111111111111</v>
      </c>
      <c r="AC39" s="153">
        <f>S39*AA39</f>
        <v>62.3444444444444</v>
      </c>
      <c r="AD39" s="153">
        <f>G39*AC39*1.5</f>
        <v>11664.3338333333</v>
      </c>
      <c r="AE39" s="156" t="s">
        <v>115</v>
      </c>
      <c r="AF39" s="158"/>
      <c r="AG39" s="157">
        <f>AC39/4</f>
        <v>15.5861111111111</v>
      </c>
      <c r="AH39" s="157">
        <f t="shared" si="2"/>
        <v>15.5861111111111</v>
      </c>
    </row>
    <row r="40" s="118" customFormat="1" ht="50" customHeight="1" spans="1:34">
      <c r="A40" s="151" t="s">
        <v>176</v>
      </c>
      <c r="B40" s="152" t="s">
        <v>177</v>
      </c>
      <c r="C40" s="152">
        <v>1</v>
      </c>
      <c r="D40" s="152" t="s">
        <v>34</v>
      </c>
      <c r="E40" s="152" t="s">
        <v>35</v>
      </c>
      <c r="F40" s="152" t="s">
        <v>106</v>
      </c>
      <c r="G40" s="152">
        <v>78.7257</v>
      </c>
      <c r="H40" s="152">
        <v>849</v>
      </c>
      <c r="I40" s="151">
        <v>13</v>
      </c>
      <c r="J40" s="151">
        <v>65</v>
      </c>
      <c r="K40" s="151">
        <v>181</v>
      </c>
      <c r="L40" s="151">
        <v>14249</v>
      </c>
      <c r="M40" s="153">
        <f>(H40-(I40*50))/50</f>
        <v>3.98</v>
      </c>
      <c r="N40" s="153">
        <f>31*(M40+I40)</f>
        <v>526.38</v>
      </c>
      <c r="O40" s="153">
        <f>N40*G40</f>
        <v>41439.633966</v>
      </c>
      <c r="P40" s="153">
        <f>(H40-(I40*90))/90</f>
        <v>-3.56666666666667</v>
      </c>
      <c r="Q40" s="153">
        <f>31*(P40+I40)</f>
        <v>292.433333333333</v>
      </c>
      <c r="R40" s="153">
        <f>(P40+I40)*31*G40*1.5</f>
        <v>34533.028305</v>
      </c>
      <c r="S40" s="153">
        <f>Q40</f>
        <v>292.433333333333</v>
      </c>
      <c r="T40" s="153">
        <f>S40/31</f>
        <v>9.43333333333333</v>
      </c>
      <c r="U40" s="153">
        <f>T40-I40</f>
        <v>-3.56666666666667</v>
      </c>
      <c r="V40" s="153">
        <f>R40</f>
        <v>34533.028305</v>
      </c>
      <c r="W40" s="154">
        <f>_xlfn.XLOOKUP(B40,Sheet5!G:G,Sheet5!H:H)</f>
        <v>0.864516129032258</v>
      </c>
      <c r="X40" s="155">
        <f>Y40/31</f>
        <v>8.1552688172043</v>
      </c>
      <c r="Y40" s="153">
        <f>S40*W40</f>
        <v>252.813333333333</v>
      </c>
      <c r="Z40" s="153">
        <f>Y40*G40*1.5</f>
        <v>29854.359954</v>
      </c>
      <c r="AA40" s="154">
        <f>_xlfn.XLOOKUP(B40,Sheet5!G:G,Sheet5!I:I)</f>
        <v>0.135483870967742</v>
      </c>
      <c r="AB40" s="155">
        <f>AC40/31</f>
        <v>1.27806451612903</v>
      </c>
      <c r="AC40" s="153">
        <f>S40*AA40</f>
        <v>39.62</v>
      </c>
      <c r="AD40" s="153">
        <f>G40*AC40*1.5</f>
        <v>4678.668351</v>
      </c>
      <c r="AE40" s="156" t="s">
        <v>115</v>
      </c>
      <c r="AF40" s="158"/>
      <c r="AG40" s="157">
        <f>AC40/4</f>
        <v>9.905</v>
      </c>
      <c r="AH40" s="157">
        <f t="shared" si="2"/>
        <v>63.2033333333333</v>
      </c>
    </row>
    <row r="41" s="118" customFormat="1" ht="50" customHeight="1" spans="1:34">
      <c r="A41" s="151" t="s">
        <v>178</v>
      </c>
      <c r="B41" s="152" t="s">
        <v>179</v>
      </c>
      <c r="C41" s="152">
        <v>1</v>
      </c>
      <c r="D41" s="152" t="s">
        <v>34</v>
      </c>
      <c r="E41" s="152" t="s">
        <v>51</v>
      </c>
      <c r="F41" s="152" t="s">
        <v>180</v>
      </c>
      <c r="G41" s="152">
        <v>152.62</v>
      </c>
      <c r="H41" s="152">
        <v>65</v>
      </c>
      <c r="I41" s="151"/>
      <c r="J41" s="151"/>
      <c r="K41" s="151">
        <v>57</v>
      </c>
      <c r="L41" s="151">
        <v>12515</v>
      </c>
      <c r="M41" s="153">
        <f>(H41-(I41*50))/50</f>
        <v>1.3</v>
      </c>
      <c r="N41" s="153">
        <f>31*(M41+I41)</f>
        <v>40.3</v>
      </c>
      <c r="O41" s="153">
        <f>N41*G41</f>
        <v>6150.586</v>
      </c>
      <c r="P41" s="153">
        <f>(H41-(I41*90))/90</f>
        <v>0.722222222222222</v>
      </c>
      <c r="Q41" s="153">
        <f>31*(P41+I41)</f>
        <v>22.3888888888889</v>
      </c>
      <c r="R41" s="153">
        <f>(P41+I41)*31*G41*1.5</f>
        <v>5125.48833333333</v>
      </c>
      <c r="S41" s="153">
        <f>Q41</f>
        <v>22.3888888888889</v>
      </c>
      <c r="T41" s="153">
        <f>S41/31</f>
        <v>0.722222222222222</v>
      </c>
      <c r="U41" s="153">
        <f>T41-I41</f>
        <v>0.722222222222222</v>
      </c>
      <c r="V41" s="153">
        <f>R41</f>
        <v>5125.48833333333</v>
      </c>
      <c r="W41" s="154">
        <f>_xlfn.XLOOKUP(B41,Sheet5!G:G,Sheet5!H:H)</f>
        <v>0</v>
      </c>
      <c r="X41" s="155">
        <f>Y41/31</f>
        <v>0</v>
      </c>
      <c r="Y41" s="153">
        <f>S41*W41</f>
        <v>0</v>
      </c>
      <c r="Z41" s="153">
        <f>Y41*G41*1.5</f>
        <v>0</v>
      </c>
      <c r="AA41" s="154">
        <f>_xlfn.XLOOKUP(B41,Sheet5!G:G,Sheet5!I:I)</f>
        <v>1</v>
      </c>
      <c r="AB41" s="155">
        <f>AC41/31</f>
        <v>0.722222222222222</v>
      </c>
      <c r="AC41" s="153">
        <f>S41*AA41</f>
        <v>22.3888888888889</v>
      </c>
      <c r="AD41" s="153">
        <f>G41*AC41*1.5</f>
        <v>5125.48833333333</v>
      </c>
      <c r="AE41" s="156" t="s">
        <v>181</v>
      </c>
      <c r="AF41" s="151" t="s">
        <v>182</v>
      </c>
      <c r="AG41" s="157">
        <f>AC41/4</f>
        <v>5.59722222222222</v>
      </c>
      <c r="AH41" s="157">
        <f t="shared" si="2"/>
        <v>0</v>
      </c>
    </row>
    <row r="42" s="118" customFormat="1" ht="50" customHeight="1" spans="1:34">
      <c r="A42" s="151" t="s">
        <v>183</v>
      </c>
      <c r="B42" s="152" t="s">
        <v>184</v>
      </c>
      <c r="C42" s="152">
        <v>1</v>
      </c>
      <c r="D42" s="152" t="s">
        <v>34</v>
      </c>
      <c r="E42" s="152" t="s">
        <v>51</v>
      </c>
      <c r="F42" s="152" t="s">
        <v>185</v>
      </c>
      <c r="G42" s="152">
        <v>62.9613</v>
      </c>
      <c r="H42" s="152">
        <v>1651</v>
      </c>
      <c r="I42" s="151">
        <v>29</v>
      </c>
      <c r="J42" s="151">
        <v>56</v>
      </c>
      <c r="K42" s="151">
        <v>198</v>
      </c>
      <c r="L42" s="151">
        <v>12466</v>
      </c>
      <c r="M42" s="153">
        <f>(H42-(I42*50))/50</f>
        <v>4.02</v>
      </c>
      <c r="N42" s="153">
        <f>31*(M42+I42)</f>
        <v>1023.62</v>
      </c>
      <c r="O42" s="153">
        <f>N42*G42</f>
        <v>64448.445906</v>
      </c>
      <c r="P42" s="153">
        <f>(H42-(I42*90))/90</f>
        <v>-10.6555555555556</v>
      </c>
      <c r="Q42" s="153">
        <f>31*(P42+I42)</f>
        <v>568.677777777778</v>
      </c>
      <c r="R42" s="153">
        <f>(P42+I42)*31*G42*1.5</f>
        <v>53707.038255</v>
      </c>
      <c r="S42" s="153">
        <f>Q42</f>
        <v>568.677777777778</v>
      </c>
      <c r="T42" s="153">
        <f>S42/31</f>
        <v>18.3444444444444</v>
      </c>
      <c r="U42" s="153">
        <f>T42-I42</f>
        <v>-10.6555555555556</v>
      </c>
      <c r="V42" s="153">
        <f>R42</f>
        <v>53707.038255</v>
      </c>
      <c r="W42" s="154">
        <f>_xlfn.XLOOKUP(B42,Sheet5!G:G,Sheet5!H:H)</f>
        <v>0.353293413173653</v>
      </c>
      <c r="X42" s="155">
        <f>Y42/31</f>
        <v>6.48097139055223</v>
      </c>
      <c r="Y42" s="153">
        <f>S42*W42</f>
        <v>200.910113107119</v>
      </c>
      <c r="Z42" s="153">
        <f>Y42*G42*1.5</f>
        <v>18974.3428565569</v>
      </c>
      <c r="AA42" s="154">
        <f>_xlfn.XLOOKUP(B42,Sheet5!G:G,Sheet5!I:I)</f>
        <v>0.646706586826347</v>
      </c>
      <c r="AB42" s="155">
        <f>AC42/31</f>
        <v>11.8634730538922</v>
      </c>
      <c r="AC42" s="153">
        <f>S42*AA42</f>
        <v>367.767664670659</v>
      </c>
      <c r="AD42" s="153">
        <f>G42*AC42*1.5</f>
        <v>34732.6953984431</v>
      </c>
      <c r="AE42" s="156" t="s">
        <v>115</v>
      </c>
      <c r="AF42" s="158"/>
      <c r="AG42" s="157">
        <f>AC42/4</f>
        <v>91.9419161676646</v>
      </c>
      <c r="AH42" s="157">
        <f t="shared" si="2"/>
        <v>50.2275282767798</v>
      </c>
    </row>
    <row r="43" s="118" customFormat="1" ht="50" customHeight="1" spans="1:34">
      <c r="A43" s="151" t="s">
        <v>186</v>
      </c>
      <c r="B43" s="152" t="s">
        <v>187</v>
      </c>
      <c r="C43" s="152">
        <v>1</v>
      </c>
      <c r="D43" s="152" t="s">
        <v>34</v>
      </c>
      <c r="E43" s="152" t="s">
        <v>35</v>
      </c>
      <c r="F43" s="152" t="s">
        <v>125</v>
      </c>
      <c r="G43" s="152">
        <v>74.736</v>
      </c>
      <c r="H43" s="152">
        <v>322</v>
      </c>
      <c r="I43" s="151">
        <v>3</v>
      </c>
      <c r="J43" s="151">
        <v>107</v>
      </c>
      <c r="K43" s="151">
        <v>153</v>
      </c>
      <c r="L43" s="151">
        <v>12107</v>
      </c>
      <c r="M43" s="153">
        <f>(H43-(I43*50))/50</f>
        <v>3.44</v>
      </c>
      <c r="N43" s="153">
        <f>31*(M43+I43)</f>
        <v>199.64</v>
      </c>
      <c r="O43" s="153">
        <f>N43*G43</f>
        <v>14920.29504</v>
      </c>
      <c r="P43" s="153">
        <f>(H43-(I43*90))/90</f>
        <v>0.577777777777778</v>
      </c>
      <c r="Q43" s="153">
        <f>31*(P43+I43)</f>
        <v>110.911111111111</v>
      </c>
      <c r="R43" s="153">
        <f>(P43+I43)*31*G43*1.5</f>
        <v>12433.5792</v>
      </c>
      <c r="S43" s="153">
        <f>Q43</f>
        <v>110.911111111111</v>
      </c>
      <c r="T43" s="153">
        <f>S43/31</f>
        <v>3.57777777777778</v>
      </c>
      <c r="U43" s="153">
        <f>T43-I43</f>
        <v>0.577777777777778</v>
      </c>
      <c r="V43" s="153">
        <f>R43</f>
        <v>12433.5792</v>
      </c>
      <c r="W43" s="154">
        <f>_xlfn.XLOOKUP(B43,Sheet5!G:G,Sheet5!H:H)</f>
        <v>0.315789473684211</v>
      </c>
      <c r="X43" s="155">
        <f>Y43/31</f>
        <v>1.12982456140351</v>
      </c>
      <c r="Y43" s="153">
        <f>S43*W43</f>
        <v>35.0245614035088</v>
      </c>
      <c r="Z43" s="153">
        <f>Y43*G43*1.5</f>
        <v>3926.39343157895</v>
      </c>
      <c r="AA43" s="154">
        <f>_xlfn.XLOOKUP(B43,Sheet5!G:G,Sheet5!I:I)</f>
        <v>0.684210526315789</v>
      </c>
      <c r="AB43" s="155">
        <f>AC43/31</f>
        <v>2.44795321637427</v>
      </c>
      <c r="AC43" s="153">
        <f>S43*AA43</f>
        <v>75.8865497076023</v>
      </c>
      <c r="AD43" s="153">
        <f>G43*AC43*1.5</f>
        <v>8507.18576842105</v>
      </c>
      <c r="AE43" s="156" t="s">
        <v>115</v>
      </c>
      <c r="AF43" s="158"/>
      <c r="AG43" s="157">
        <f>AC43/4</f>
        <v>18.9716374269006</v>
      </c>
      <c r="AH43" s="157">
        <f t="shared" si="2"/>
        <v>8.7561403508772</v>
      </c>
    </row>
    <row r="44" s="118" customFormat="1" ht="50" customHeight="1" spans="1:34">
      <c r="A44" s="151" t="s">
        <v>188</v>
      </c>
      <c r="B44" s="152" t="s">
        <v>189</v>
      </c>
      <c r="C44" s="152">
        <v>1</v>
      </c>
      <c r="D44" s="152" t="s">
        <v>34</v>
      </c>
      <c r="E44" s="152" t="s">
        <v>35</v>
      </c>
      <c r="F44" s="152" t="s">
        <v>160</v>
      </c>
      <c r="G44" s="152">
        <v>93.6425</v>
      </c>
      <c r="H44" s="152">
        <v>396</v>
      </c>
      <c r="I44" s="151">
        <v>5</v>
      </c>
      <c r="J44" s="151">
        <v>79</v>
      </c>
      <c r="K44" s="151">
        <v>121</v>
      </c>
      <c r="L44" s="151">
        <v>11331</v>
      </c>
      <c r="M44" s="153">
        <f>(H44-(I44*50))/50</f>
        <v>2.92</v>
      </c>
      <c r="N44" s="153">
        <f>31*(M44+I44)</f>
        <v>245.52</v>
      </c>
      <c r="O44" s="153">
        <f>N44*G44</f>
        <v>22991.1066</v>
      </c>
      <c r="P44" s="153">
        <f>(H44-(I44*90))/90</f>
        <v>-0.6</v>
      </c>
      <c r="Q44" s="153">
        <f>31*(P44+I44)</f>
        <v>136.4</v>
      </c>
      <c r="R44" s="153">
        <f>(P44+I44)*31*G44*1.5</f>
        <v>19159.2555</v>
      </c>
      <c r="S44" s="153">
        <f>Q44</f>
        <v>136.4</v>
      </c>
      <c r="T44" s="153">
        <f>S44/31</f>
        <v>4.4</v>
      </c>
      <c r="U44" s="153">
        <f>T44-I44</f>
        <v>-0.6</v>
      </c>
      <c r="V44" s="153">
        <f>R44</f>
        <v>19159.2555</v>
      </c>
      <c r="W44" s="154">
        <f>_xlfn.XLOOKUP(B44,Sheet5!G:G,Sheet5!H:H)</f>
        <v>0.861538461538461</v>
      </c>
      <c r="X44" s="155">
        <f>Y44/31</f>
        <v>3.79076923076923</v>
      </c>
      <c r="Y44" s="153">
        <f>S44*W44</f>
        <v>117.513846153846</v>
      </c>
      <c r="Z44" s="153">
        <f>Y44*G44*1.5</f>
        <v>16506.4355076923</v>
      </c>
      <c r="AA44" s="154">
        <f>_xlfn.XLOOKUP(B44,Sheet5!G:G,Sheet5!I:I)</f>
        <v>0.138461538461538</v>
      </c>
      <c r="AB44" s="155">
        <f>AC44/31</f>
        <v>0.609230769230767</v>
      </c>
      <c r="AC44" s="153">
        <f>S44*AA44</f>
        <v>18.8861538461538</v>
      </c>
      <c r="AD44" s="153">
        <f>G44*AC44*1.5</f>
        <v>2652.81999230768</v>
      </c>
      <c r="AE44" s="156" t="s">
        <v>115</v>
      </c>
      <c r="AF44" s="158"/>
      <c r="AG44" s="157">
        <f>AC44/4</f>
        <v>4.72153846153845</v>
      </c>
      <c r="AH44" s="157">
        <f t="shared" si="2"/>
        <v>29.3784615384615</v>
      </c>
    </row>
    <row r="45" s="118" customFormat="1" ht="50" customHeight="1" spans="1:34">
      <c r="A45" s="151" t="s">
        <v>190</v>
      </c>
      <c r="B45" s="152" t="s">
        <v>191</v>
      </c>
      <c r="C45" s="152">
        <v>1</v>
      </c>
      <c r="D45" s="152" t="s">
        <v>34</v>
      </c>
      <c r="E45" s="152" t="s">
        <v>35</v>
      </c>
      <c r="F45" s="152" t="s">
        <v>192</v>
      </c>
      <c r="G45" s="152">
        <v>124.39</v>
      </c>
      <c r="H45" s="152">
        <v>88</v>
      </c>
      <c r="I45" s="151"/>
      <c r="J45" s="151"/>
      <c r="K45" s="151">
        <v>65</v>
      </c>
      <c r="L45" s="151">
        <v>10946</v>
      </c>
      <c r="M45" s="153">
        <f>(H45-(I45*50))/50</f>
        <v>1.76</v>
      </c>
      <c r="N45" s="153">
        <f>31*(M45+I45)</f>
        <v>54.56</v>
      </c>
      <c r="O45" s="153">
        <f>N45*G45</f>
        <v>6786.7184</v>
      </c>
      <c r="P45" s="153">
        <f>(H45-(I45*90))/90</f>
        <v>0.977777777777778</v>
      </c>
      <c r="Q45" s="153">
        <f>31*(P45+I45)</f>
        <v>30.3111111111111</v>
      </c>
      <c r="R45" s="153">
        <f>(P45+I45)*31*G45*1.5</f>
        <v>5655.59866666667</v>
      </c>
      <c r="S45" s="153">
        <f>Q45</f>
        <v>30.3111111111111</v>
      </c>
      <c r="T45" s="153">
        <f>S45/31</f>
        <v>0.977777777777778</v>
      </c>
      <c r="U45" s="153">
        <f>T45-I45</f>
        <v>0.977777777777778</v>
      </c>
      <c r="V45" s="153">
        <f>R45</f>
        <v>5655.59866666667</v>
      </c>
      <c r="W45" s="154">
        <f>_xlfn.XLOOKUP(B45,Sheet5!G:G,Sheet5!H:H)</f>
        <v>0.888888888888889</v>
      </c>
      <c r="X45" s="155">
        <f>Y45/31</f>
        <v>0.869135802469136</v>
      </c>
      <c r="Y45" s="153">
        <f>S45*W45</f>
        <v>26.9432098765432</v>
      </c>
      <c r="Z45" s="153">
        <f>Y45*G45*1.5</f>
        <v>5027.19881481481</v>
      </c>
      <c r="AA45" s="154">
        <f>_xlfn.XLOOKUP(B45,Sheet5!G:G,Sheet5!I:I)</f>
        <v>0.111111111111111</v>
      </c>
      <c r="AB45" s="155">
        <f>AC45/31</f>
        <v>0.108641975308642</v>
      </c>
      <c r="AC45" s="153">
        <f>S45*AA45</f>
        <v>3.3679012345679</v>
      </c>
      <c r="AD45" s="153">
        <f>G45*AC45*1.5</f>
        <v>628.399851851851</v>
      </c>
      <c r="AE45" s="156" t="s">
        <v>130</v>
      </c>
      <c r="AF45" s="158"/>
      <c r="AG45" s="157">
        <f>AC45/4</f>
        <v>0.841975308641974</v>
      </c>
      <c r="AH45" s="157">
        <f t="shared" si="2"/>
        <v>6.7358024691358</v>
      </c>
    </row>
    <row r="46" s="118" customFormat="1" ht="50" customHeight="1" spans="1:34">
      <c r="A46" s="151" t="s">
        <v>193</v>
      </c>
      <c r="B46" s="152" t="s">
        <v>194</v>
      </c>
      <c r="C46" s="152">
        <v>1</v>
      </c>
      <c r="D46" s="152" t="s">
        <v>34</v>
      </c>
      <c r="E46" s="152" t="s">
        <v>51</v>
      </c>
      <c r="F46" s="152" t="s">
        <v>195</v>
      </c>
      <c r="G46" s="152">
        <v>24.9136</v>
      </c>
      <c r="H46" s="152">
        <v>1016</v>
      </c>
      <c r="I46" s="151">
        <v>12</v>
      </c>
      <c r="J46" s="151">
        <v>84</v>
      </c>
      <c r="K46" s="151">
        <v>400</v>
      </c>
      <c r="L46" s="151">
        <v>9965</v>
      </c>
      <c r="M46" s="153">
        <f>(H46-(I46*50))/50</f>
        <v>8.32</v>
      </c>
      <c r="N46" s="153">
        <f>31*(M46+I46)</f>
        <v>629.92</v>
      </c>
      <c r="O46" s="153">
        <f>N46*G46</f>
        <v>15693.574912</v>
      </c>
      <c r="P46" s="153">
        <f>(H46-(I46*90))/90</f>
        <v>-0.711111111111111</v>
      </c>
      <c r="Q46" s="153">
        <f>31*(P46+I46)</f>
        <v>349.955555555556</v>
      </c>
      <c r="R46" s="153">
        <f>(P46+I46)*31*G46*1.5</f>
        <v>13077.9790933333</v>
      </c>
      <c r="S46" s="153">
        <f>Q46</f>
        <v>349.955555555556</v>
      </c>
      <c r="T46" s="153">
        <f>S46/31</f>
        <v>11.2888888888889</v>
      </c>
      <c r="U46" s="153">
        <f>T46-I46</f>
        <v>-0.71111111111111</v>
      </c>
      <c r="V46" s="153">
        <f>R46</f>
        <v>13077.9790933333</v>
      </c>
      <c r="W46" s="154">
        <f>_xlfn.XLOOKUP(B46,Sheet5!G:G,Sheet5!H:H)</f>
        <v>0.293478260869565</v>
      </c>
      <c r="X46" s="155">
        <f>Y46/31</f>
        <v>3.31304347826087</v>
      </c>
      <c r="Y46" s="153">
        <f>S46*W46</f>
        <v>102.704347826087</v>
      </c>
      <c r="Z46" s="153">
        <f>Y46*G46*1.5</f>
        <v>3838.10256</v>
      </c>
      <c r="AA46" s="154">
        <f>_xlfn.XLOOKUP(B46,Sheet5!G:G,Sheet5!I:I)</f>
        <v>0.706521739130435</v>
      </c>
      <c r="AB46" s="155">
        <f>AC46/31</f>
        <v>7.97584541062802</v>
      </c>
      <c r="AC46" s="153">
        <f>S46*AA46</f>
        <v>247.251207729469</v>
      </c>
      <c r="AD46" s="153">
        <f>G46*AC46*1.5</f>
        <v>9239.87653333334</v>
      </c>
      <c r="AE46" s="159"/>
      <c r="AF46" s="158"/>
      <c r="AG46" s="157">
        <f>AC46/4</f>
        <v>61.8128019323672</v>
      </c>
      <c r="AH46" s="157">
        <f t="shared" si="2"/>
        <v>25.6760869565217</v>
      </c>
    </row>
    <row r="47" s="118" customFormat="1" ht="50" customHeight="1" spans="1:34">
      <c r="A47" s="151" t="s">
        <v>196</v>
      </c>
      <c r="B47" s="152" t="s">
        <v>197</v>
      </c>
      <c r="C47" s="152">
        <v>1</v>
      </c>
      <c r="D47" s="152" t="s">
        <v>34</v>
      </c>
      <c r="E47" s="152" t="s">
        <v>51</v>
      </c>
      <c r="F47" s="152" t="s">
        <v>80</v>
      </c>
      <c r="G47" s="152">
        <v>125.34</v>
      </c>
      <c r="H47" s="152">
        <v>56</v>
      </c>
      <c r="I47" s="151"/>
      <c r="J47" s="151"/>
      <c r="K47" s="151">
        <v>53</v>
      </c>
      <c r="L47" s="151">
        <v>9777</v>
      </c>
      <c r="M47" s="153">
        <f>(H47-(I47*50))/50</f>
        <v>1.12</v>
      </c>
      <c r="N47" s="153">
        <f>31*(M47+I47)</f>
        <v>34.72</v>
      </c>
      <c r="O47" s="153">
        <f>N47*G47</f>
        <v>4351.8048</v>
      </c>
      <c r="P47" s="153">
        <f>(H47-(I47*90))/90</f>
        <v>0.622222222222222</v>
      </c>
      <c r="Q47" s="153">
        <f>31*(P47+I47)</f>
        <v>19.2888888888889</v>
      </c>
      <c r="R47" s="153">
        <f>(P47+I47)*31*G47*1.5</f>
        <v>3626.504</v>
      </c>
      <c r="S47" s="153">
        <f>Q47</f>
        <v>19.2888888888889</v>
      </c>
      <c r="T47" s="153">
        <f>S47/31</f>
        <v>0.622222222222222</v>
      </c>
      <c r="U47" s="153">
        <f>T47-I47</f>
        <v>0.622222222222222</v>
      </c>
      <c r="V47" s="153">
        <f>R47</f>
        <v>3626.504</v>
      </c>
      <c r="W47" s="154">
        <v>1</v>
      </c>
      <c r="X47" s="155">
        <f>Y47/31</f>
        <v>0.622222222222222</v>
      </c>
      <c r="Y47" s="153">
        <f>S47*W47</f>
        <v>19.2888888888889</v>
      </c>
      <c r="Z47" s="153">
        <f>Y47*G47*1.5</f>
        <v>3626.504</v>
      </c>
      <c r="AA47" s="154">
        <f>_xlfn.XLOOKUP(B47,Sheet5!G:G,Sheet5!I:I)</f>
        <v>0</v>
      </c>
      <c r="AB47" s="155">
        <f>AC47/31</f>
        <v>0</v>
      </c>
      <c r="AC47" s="153">
        <f>S47*AA47</f>
        <v>0</v>
      </c>
      <c r="AD47" s="153">
        <f>G47*AC47*1.5</f>
        <v>0</v>
      </c>
      <c r="AE47" s="156" t="s">
        <v>130</v>
      </c>
      <c r="AF47" s="158"/>
      <c r="AG47" s="157">
        <f>AC47/4</f>
        <v>0</v>
      </c>
      <c r="AH47" s="157">
        <f t="shared" si="2"/>
        <v>4.82222222222222</v>
      </c>
    </row>
    <row r="48" s="118" customFormat="1" ht="50" customHeight="1" spans="1:34">
      <c r="A48" s="151" t="s">
        <v>198</v>
      </c>
      <c r="B48" s="152" t="s">
        <v>199</v>
      </c>
      <c r="C48" s="152">
        <v>1</v>
      </c>
      <c r="D48" s="152" t="s">
        <v>34</v>
      </c>
      <c r="E48" s="152" t="s">
        <v>35</v>
      </c>
      <c r="F48" s="152" t="s">
        <v>200</v>
      </c>
      <c r="G48" s="152">
        <v>31.76</v>
      </c>
      <c r="H48" s="152">
        <v>355</v>
      </c>
      <c r="I48" s="151">
        <v>2</v>
      </c>
      <c r="J48" s="151">
        <v>177</v>
      </c>
      <c r="K48" s="151">
        <v>235</v>
      </c>
      <c r="L48" s="151">
        <v>9671</v>
      </c>
      <c r="M48" s="153">
        <f>(H48-(I48*50))/50</f>
        <v>5.1</v>
      </c>
      <c r="N48" s="153">
        <f>31*(M48+I48)</f>
        <v>220.1</v>
      </c>
      <c r="O48" s="153">
        <f>N48*G48</f>
        <v>6990.376</v>
      </c>
      <c r="P48" s="153">
        <f>(H48-(I48*90))/90</f>
        <v>1.94444444444444</v>
      </c>
      <c r="Q48" s="153">
        <f>31*(P48+I48)</f>
        <v>122.277777777778</v>
      </c>
      <c r="R48" s="153">
        <f>(P48+I48)*31*G48*1.5</f>
        <v>5825.31333333333</v>
      </c>
      <c r="S48" s="153">
        <f>Q48</f>
        <v>122.277777777778</v>
      </c>
      <c r="T48" s="153">
        <f>S48/31</f>
        <v>3.94444444444444</v>
      </c>
      <c r="U48" s="153">
        <f>T48-I48</f>
        <v>1.94444444444444</v>
      </c>
      <c r="V48" s="153">
        <f>R48</f>
        <v>5825.31333333333</v>
      </c>
      <c r="W48" s="154">
        <f>_xlfn.XLOOKUP(B48,Sheet5!G:G,Sheet5!H:H)</f>
        <v>1</v>
      </c>
      <c r="X48" s="155">
        <f>Y48/31</f>
        <v>3.94444444444444</v>
      </c>
      <c r="Y48" s="153">
        <f>S48*W48</f>
        <v>122.277777777778</v>
      </c>
      <c r="Z48" s="153">
        <f>Y48*G48*1.5</f>
        <v>5825.31333333333</v>
      </c>
      <c r="AA48" s="154">
        <f>_xlfn.XLOOKUP(B48,Sheet5!G:G,Sheet5!I:I)</f>
        <v>0</v>
      </c>
      <c r="AB48" s="155">
        <f>AC48/31</f>
        <v>0</v>
      </c>
      <c r="AC48" s="153">
        <f>S48*AA48</f>
        <v>0</v>
      </c>
      <c r="AD48" s="153">
        <f>G48*AC48*1.5</f>
        <v>0</v>
      </c>
      <c r="AE48" s="156" t="s">
        <v>130</v>
      </c>
      <c r="AF48" s="151" t="s">
        <v>130</v>
      </c>
      <c r="AG48" s="157">
        <f>AC48/4</f>
        <v>0</v>
      </c>
      <c r="AH48" s="157">
        <f t="shared" si="2"/>
        <v>30.5694444444444</v>
      </c>
    </row>
    <row r="49" s="118" customFormat="1" ht="50" customHeight="1" spans="1:34">
      <c r="A49" s="151" t="s">
        <v>201</v>
      </c>
      <c r="B49" s="152" t="s">
        <v>202</v>
      </c>
      <c r="C49" s="152">
        <v>1</v>
      </c>
      <c r="D49" s="152" t="s">
        <v>34</v>
      </c>
      <c r="E49" s="152" t="s">
        <v>51</v>
      </c>
      <c r="F49" s="152" t="s">
        <v>203</v>
      </c>
      <c r="G49" s="152">
        <v>83.6943</v>
      </c>
      <c r="H49" s="152">
        <v>94</v>
      </c>
      <c r="I49" s="151"/>
      <c r="J49" s="151"/>
      <c r="K49" s="151">
        <v>78</v>
      </c>
      <c r="L49" s="151">
        <v>9248</v>
      </c>
      <c r="M49" s="153">
        <f>(H49-(I49*50))/50</f>
        <v>1.88</v>
      </c>
      <c r="N49" s="153">
        <f>31*(M49+I49)</f>
        <v>58.28</v>
      </c>
      <c r="O49" s="153">
        <f>N49*G49</f>
        <v>4877.703804</v>
      </c>
      <c r="P49" s="153">
        <f>(H49-(I49*90))/90</f>
        <v>1.04444444444444</v>
      </c>
      <c r="Q49" s="153">
        <f>31*(P49+I49)</f>
        <v>32.3777777777778</v>
      </c>
      <c r="R49" s="153">
        <f>(P49+I49)*31*G49*1.5</f>
        <v>4064.75317</v>
      </c>
      <c r="S49" s="153">
        <f>Q49</f>
        <v>32.3777777777778</v>
      </c>
      <c r="T49" s="153">
        <f>S49/31</f>
        <v>1.04444444444444</v>
      </c>
      <c r="U49" s="153">
        <f>T49-I49</f>
        <v>1.04444444444444</v>
      </c>
      <c r="V49" s="153">
        <f>R49</f>
        <v>4064.75317</v>
      </c>
      <c r="W49" s="154">
        <v>0.7</v>
      </c>
      <c r="X49" s="155">
        <f>Y49/31</f>
        <v>0.731111111111111</v>
      </c>
      <c r="Y49" s="153">
        <f>S49*W49</f>
        <v>22.6644444444444</v>
      </c>
      <c r="Z49" s="153">
        <f>Y49*G49*1.5</f>
        <v>2845.327219</v>
      </c>
      <c r="AA49" s="154">
        <v>0.3</v>
      </c>
      <c r="AB49" s="155">
        <f>AC49/31</f>
        <v>0.313333333333333</v>
      </c>
      <c r="AC49" s="153">
        <f>S49*AA49</f>
        <v>9.71333333333333</v>
      </c>
      <c r="AD49" s="153">
        <f>G49*AC49*1.5</f>
        <v>1219.425951</v>
      </c>
      <c r="AE49" s="156" t="s">
        <v>204</v>
      </c>
      <c r="AF49" s="151" t="s">
        <v>205</v>
      </c>
      <c r="AG49" s="157">
        <f>AC49/4</f>
        <v>2.42833333333333</v>
      </c>
      <c r="AH49" s="157">
        <f t="shared" si="2"/>
        <v>5.66611111111111</v>
      </c>
    </row>
    <row r="50" s="118" customFormat="1" ht="50" customHeight="1" spans="1:34">
      <c r="A50" s="151" t="s">
        <v>206</v>
      </c>
      <c r="B50" s="152" t="s">
        <v>207</v>
      </c>
      <c r="C50" s="152">
        <v>1</v>
      </c>
      <c r="D50" s="152" t="s">
        <v>34</v>
      </c>
      <c r="E50" s="152" t="s">
        <v>35</v>
      </c>
      <c r="F50" s="152" t="s">
        <v>41</v>
      </c>
      <c r="G50" s="152">
        <v>667.5613</v>
      </c>
      <c r="H50" s="152">
        <v>23</v>
      </c>
      <c r="I50" s="151"/>
      <c r="J50" s="151"/>
      <c r="K50" s="151">
        <v>12</v>
      </c>
      <c r="L50" s="151">
        <v>9012</v>
      </c>
      <c r="M50" s="153">
        <f>(H50-(I50*50))/50</f>
        <v>0.46</v>
      </c>
      <c r="N50" s="153">
        <f>31*(M50+I50)</f>
        <v>14.26</v>
      </c>
      <c r="O50" s="153">
        <f>N50*G50</f>
        <v>9519.424138</v>
      </c>
      <c r="P50" s="153">
        <f>(H50-(I50*90))/90</f>
        <v>0.255555555555556</v>
      </c>
      <c r="Q50" s="153">
        <f>31*(P50+I50)</f>
        <v>7.92222222222222</v>
      </c>
      <c r="R50" s="153">
        <f>(P50+I50)*31*G50*1.5</f>
        <v>7932.85344833333</v>
      </c>
      <c r="S50" s="153">
        <f>Q50</f>
        <v>7.92222222222222</v>
      </c>
      <c r="T50" s="153">
        <f>S50/31</f>
        <v>0.255555555555556</v>
      </c>
      <c r="U50" s="153">
        <f>T50-I50</f>
        <v>0.255555555555556</v>
      </c>
      <c r="V50" s="153">
        <f>R50</f>
        <v>7932.85344833333</v>
      </c>
      <c r="W50" s="154">
        <v>0.5</v>
      </c>
      <c r="X50" s="155">
        <f>Y50/31</f>
        <v>0.127777777777778</v>
      </c>
      <c r="Y50" s="153">
        <f>S50*W50</f>
        <v>3.96111111111111</v>
      </c>
      <c r="Z50" s="153">
        <f>Y50*G50*1.5</f>
        <v>3966.42672416667</v>
      </c>
      <c r="AA50" s="154">
        <v>0.5</v>
      </c>
      <c r="AB50" s="155">
        <f>AC50/31</f>
        <v>0.127777777777778</v>
      </c>
      <c r="AC50" s="153">
        <f>S50*AA50</f>
        <v>3.96111111111111</v>
      </c>
      <c r="AD50" s="153">
        <f>G50*AC50*1.5</f>
        <v>3966.42672416667</v>
      </c>
      <c r="AE50" s="156" t="s">
        <v>208</v>
      </c>
      <c r="AF50" s="158"/>
      <c r="AG50" s="157">
        <f>AC50/4</f>
        <v>0.990277777777778</v>
      </c>
      <c r="AH50" s="157">
        <f t="shared" si="2"/>
        <v>0.990277777777778</v>
      </c>
    </row>
    <row r="51" s="118" customFormat="1" ht="50" customHeight="1" spans="1:34">
      <c r="A51" s="151" t="s">
        <v>209</v>
      </c>
      <c r="B51" s="152" t="s">
        <v>210</v>
      </c>
      <c r="C51" s="152">
        <v>1</v>
      </c>
      <c r="D51" s="152" t="s">
        <v>34</v>
      </c>
      <c r="E51" s="152" t="s">
        <v>51</v>
      </c>
      <c r="F51" s="152" t="s">
        <v>211</v>
      </c>
      <c r="G51" s="152">
        <v>79.73</v>
      </c>
      <c r="H51" s="152">
        <v>78</v>
      </c>
      <c r="I51" s="151"/>
      <c r="J51" s="151"/>
      <c r="K51" s="151">
        <v>75</v>
      </c>
      <c r="L51" s="151">
        <v>8850</v>
      </c>
      <c r="M51" s="153">
        <f>(H51-(I51*50))/50</f>
        <v>1.56</v>
      </c>
      <c r="N51" s="153">
        <f>31*(M51+I51)</f>
        <v>48.36</v>
      </c>
      <c r="O51" s="153">
        <f>N51*G51</f>
        <v>3855.7428</v>
      </c>
      <c r="P51" s="153">
        <f>(H51-(I51*90))/90</f>
        <v>0.866666666666667</v>
      </c>
      <c r="Q51" s="153">
        <f>31*(P51+I51)</f>
        <v>26.8666666666667</v>
      </c>
      <c r="R51" s="153">
        <f>(P51+I51)*31*G51*1.5</f>
        <v>3213.119</v>
      </c>
      <c r="S51" s="153">
        <f>Q51</f>
        <v>26.8666666666667</v>
      </c>
      <c r="T51" s="153">
        <f>S51/31</f>
        <v>0.866666666666667</v>
      </c>
      <c r="U51" s="153">
        <f>T51-I51</f>
        <v>0.866666666666667</v>
      </c>
      <c r="V51" s="153">
        <f>R51</f>
        <v>3213.119</v>
      </c>
      <c r="W51" s="154">
        <f>_xlfn.XLOOKUP(B51,Sheet5!G:G,Sheet5!H:H)</f>
        <v>0</v>
      </c>
      <c r="X51" s="155">
        <f>Y51/31</f>
        <v>0</v>
      </c>
      <c r="Y51" s="153">
        <f>S51*W51</f>
        <v>0</v>
      </c>
      <c r="Z51" s="153">
        <f>Y51*G51*1.5</f>
        <v>0</v>
      </c>
      <c r="AA51" s="154">
        <f>_xlfn.XLOOKUP(B51,Sheet5!G:G,Sheet5!I:I)</f>
        <v>0</v>
      </c>
      <c r="AB51" s="155">
        <f>AC51/31</f>
        <v>0</v>
      </c>
      <c r="AC51" s="153">
        <f>S51*AA51</f>
        <v>0</v>
      </c>
      <c r="AD51" s="153">
        <f>G51*AC51*1.5</f>
        <v>0</v>
      </c>
      <c r="AE51" s="156" t="s">
        <v>212</v>
      </c>
      <c r="AF51" s="158"/>
      <c r="AG51" s="157">
        <f>AC51/4</f>
        <v>0</v>
      </c>
      <c r="AH51" s="157">
        <f t="shared" si="2"/>
        <v>0</v>
      </c>
    </row>
    <row r="52" s="118" customFormat="1" ht="50" customHeight="1" spans="1:34">
      <c r="A52" s="151" t="s">
        <v>213</v>
      </c>
      <c r="B52" s="152" t="s">
        <v>214</v>
      </c>
      <c r="C52" s="152">
        <v>1</v>
      </c>
      <c r="D52" s="152" t="s">
        <v>34</v>
      </c>
      <c r="E52" s="152" t="s">
        <v>51</v>
      </c>
      <c r="F52" s="152" t="s">
        <v>80</v>
      </c>
      <c r="G52" s="152">
        <v>99.81</v>
      </c>
      <c r="H52" s="152">
        <v>379</v>
      </c>
      <c r="I52" s="151">
        <v>5</v>
      </c>
      <c r="J52" s="151">
        <v>75</v>
      </c>
      <c r="K52" s="151">
        <v>84</v>
      </c>
      <c r="L52" s="151">
        <v>8384</v>
      </c>
      <c r="M52" s="153">
        <f>(H52-(I52*50))/50</f>
        <v>2.58</v>
      </c>
      <c r="N52" s="153">
        <f>31*(M52+I52)</f>
        <v>234.98</v>
      </c>
      <c r="O52" s="153">
        <f>N52*G52</f>
        <v>23453.3538</v>
      </c>
      <c r="P52" s="153">
        <f>(H52-(I52*90))/90</f>
        <v>-0.788888888888889</v>
      </c>
      <c r="Q52" s="153">
        <f>31*(P52+I52)</f>
        <v>130.544444444444</v>
      </c>
      <c r="R52" s="153">
        <f>(P52+I52)*31*G52*1.5</f>
        <v>19544.4615</v>
      </c>
      <c r="S52" s="153">
        <f>Q52</f>
        <v>130.544444444444</v>
      </c>
      <c r="T52" s="153">
        <f>S52/31</f>
        <v>4.21111111111111</v>
      </c>
      <c r="U52" s="153">
        <f>T52-I52</f>
        <v>-0.788888888888889</v>
      </c>
      <c r="V52" s="153">
        <f>R52</f>
        <v>19544.4615</v>
      </c>
      <c r="W52" s="154">
        <f>_xlfn.XLOOKUP(B52,Sheet5!G:G,Sheet5!H:H)</f>
        <v>0.75</v>
      </c>
      <c r="X52" s="155">
        <f>Y52/31</f>
        <v>3.15833333333333</v>
      </c>
      <c r="Y52" s="153">
        <f>S52*W52</f>
        <v>97.9083333333333</v>
      </c>
      <c r="Z52" s="153">
        <f>Y52*G52*1.5</f>
        <v>14658.346125</v>
      </c>
      <c r="AA52" s="154">
        <f>_xlfn.XLOOKUP(B52,Sheet5!G:G,Sheet5!I:I)</f>
        <v>0.25</v>
      </c>
      <c r="AB52" s="155">
        <f>AC52/31</f>
        <v>1.05277777777778</v>
      </c>
      <c r="AC52" s="153">
        <f>S52*AA52</f>
        <v>32.6361111111111</v>
      </c>
      <c r="AD52" s="153">
        <f>G52*AC52*1.5</f>
        <v>4886.115375</v>
      </c>
      <c r="AE52" s="156" t="s">
        <v>115</v>
      </c>
      <c r="AF52" s="158"/>
      <c r="AG52" s="157">
        <f>AC52/4</f>
        <v>8.15902777777778</v>
      </c>
      <c r="AH52" s="157">
        <f t="shared" si="2"/>
        <v>24.4770833333333</v>
      </c>
    </row>
    <row r="53" s="118" customFormat="1" ht="50" customHeight="1" spans="1:34">
      <c r="A53" s="151" t="s">
        <v>215</v>
      </c>
      <c r="B53" s="152" t="s">
        <v>216</v>
      </c>
      <c r="C53" s="152">
        <v>1</v>
      </c>
      <c r="D53" s="152" t="s">
        <v>34</v>
      </c>
      <c r="E53" s="152" t="s">
        <v>35</v>
      </c>
      <c r="F53" s="152" t="s">
        <v>57</v>
      </c>
      <c r="G53" s="152">
        <v>405.03</v>
      </c>
      <c r="H53" s="152">
        <v>46</v>
      </c>
      <c r="I53" s="151"/>
      <c r="J53" s="151"/>
      <c r="K53" s="151">
        <v>20</v>
      </c>
      <c r="L53" s="151">
        <v>8101</v>
      </c>
      <c r="M53" s="153">
        <f>(H53-(I53*50))/50</f>
        <v>0.92</v>
      </c>
      <c r="N53" s="153">
        <f>31*(M53+I53)</f>
        <v>28.52</v>
      </c>
      <c r="O53" s="153">
        <f>N53*G53</f>
        <v>11551.4556</v>
      </c>
      <c r="P53" s="153">
        <f>(H53-(I53*90))/90</f>
        <v>0.511111111111111</v>
      </c>
      <c r="Q53" s="153">
        <f>31*(P53+I53)</f>
        <v>15.8444444444444</v>
      </c>
      <c r="R53" s="153">
        <f>(P53+I53)*31*G53*1.5</f>
        <v>9626.213</v>
      </c>
      <c r="S53" s="153">
        <f>Q53</f>
        <v>15.8444444444444</v>
      </c>
      <c r="T53" s="153">
        <f>S53/31</f>
        <v>0.511111111111111</v>
      </c>
      <c r="U53" s="153">
        <f>T53-I53</f>
        <v>0.511111111111111</v>
      </c>
      <c r="V53" s="153">
        <f>R53</f>
        <v>9626.213</v>
      </c>
      <c r="W53" s="154">
        <f>_xlfn.XLOOKUP(B53,Sheet5!G:G,Sheet5!H:H)</f>
        <v>0</v>
      </c>
      <c r="X53" s="155">
        <f>Y53/31</f>
        <v>0</v>
      </c>
      <c r="Y53" s="153">
        <f>S53*W53</f>
        <v>0</v>
      </c>
      <c r="Z53" s="153">
        <f>Y53*G53*1.5</f>
        <v>0</v>
      </c>
      <c r="AA53" s="154">
        <f>_xlfn.XLOOKUP(B53,Sheet5!G:G,Sheet5!I:I)</f>
        <v>1</v>
      </c>
      <c r="AB53" s="155">
        <f>AC53/31</f>
        <v>0.511111111111111</v>
      </c>
      <c r="AC53" s="153">
        <f>S53*AA53</f>
        <v>15.8444444444444</v>
      </c>
      <c r="AD53" s="153">
        <f>G53*AC53*1.5</f>
        <v>9626.213</v>
      </c>
      <c r="AE53" s="156" t="s">
        <v>115</v>
      </c>
      <c r="AF53" s="158"/>
      <c r="AG53" s="157">
        <f>AC53/4</f>
        <v>3.96111111111111</v>
      </c>
      <c r="AH53" s="157">
        <f t="shared" si="2"/>
        <v>0</v>
      </c>
    </row>
    <row r="54" s="118" customFormat="1" ht="50" customHeight="1" spans="1:34">
      <c r="A54" s="151" t="s">
        <v>217</v>
      </c>
      <c r="B54" s="152" t="s">
        <v>218</v>
      </c>
      <c r="C54" s="152">
        <v>1</v>
      </c>
      <c r="D54" s="152" t="s">
        <v>34</v>
      </c>
      <c r="E54" s="152" t="s">
        <v>35</v>
      </c>
      <c r="F54" s="152" t="s">
        <v>219</v>
      </c>
      <c r="G54" s="152">
        <v>94.4512</v>
      </c>
      <c r="H54" s="152">
        <v>60</v>
      </c>
      <c r="I54" s="151"/>
      <c r="J54" s="151"/>
      <c r="K54" s="151">
        <v>57</v>
      </c>
      <c r="L54" s="151">
        <v>7934</v>
      </c>
      <c r="M54" s="153">
        <f>(H54-(I54*50))/50</f>
        <v>1.2</v>
      </c>
      <c r="N54" s="153">
        <f>31*(M54+I54)</f>
        <v>37.2</v>
      </c>
      <c r="O54" s="153">
        <f>N54*G54</f>
        <v>3513.58464</v>
      </c>
      <c r="P54" s="153">
        <f>(H54-(I54*90))/90</f>
        <v>0.666666666666667</v>
      </c>
      <c r="Q54" s="153">
        <f>31*(P54+I54)</f>
        <v>20.6666666666667</v>
      </c>
      <c r="R54" s="153">
        <f>(P54+I54)*31*G54*1.5</f>
        <v>2927.9872</v>
      </c>
      <c r="S54" s="153">
        <f>Q54</f>
        <v>20.6666666666667</v>
      </c>
      <c r="T54" s="153">
        <f>S54/31</f>
        <v>0.666666666666667</v>
      </c>
      <c r="U54" s="153">
        <f>T54-I54</f>
        <v>0.666666666666667</v>
      </c>
      <c r="V54" s="153">
        <f>R54</f>
        <v>2927.9872</v>
      </c>
      <c r="W54" s="154">
        <f>_xlfn.XLOOKUP(B54,Sheet5!G:G,Sheet5!H:H)</f>
        <v>1</v>
      </c>
      <c r="X54" s="155">
        <f>Y54/31</f>
        <v>0.666666666666667</v>
      </c>
      <c r="Y54" s="153">
        <f>S54*W54</f>
        <v>20.6666666666667</v>
      </c>
      <c r="Z54" s="153">
        <f>Y54*G54*1.5</f>
        <v>2927.9872</v>
      </c>
      <c r="AA54" s="154">
        <f>_xlfn.XLOOKUP(B54,Sheet5!G:G,Sheet5!I:I)</f>
        <v>0</v>
      </c>
      <c r="AB54" s="155">
        <f>AC54/31</f>
        <v>0</v>
      </c>
      <c r="AC54" s="153">
        <f>S54*AA54</f>
        <v>0</v>
      </c>
      <c r="AD54" s="153">
        <f>G54*AC54*1.5</f>
        <v>0</v>
      </c>
      <c r="AE54" s="156" t="s">
        <v>130</v>
      </c>
      <c r="AF54" s="158"/>
      <c r="AG54" s="157">
        <f>AC54/4</f>
        <v>0</v>
      </c>
      <c r="AH54" s="157">
        <f t="shared" si="2"/>
        <v>5.16666666666667</v>
      </c>
    </row>
    <row r="55" s="118" customFormat="1" ht="50" customHeight="1" spans="1:34">
      <c r="A55" s="151" t="s">
        <v>220</v>
      </c>
      <c r="B55" s="152" t="s">
        <v>221</v>
      </c>
      <c r="C55" s="152">
        <v>1</v>
      </c>
      <c r="D55" s="152" t="s">
        <v>34</v>
      </c>
      <c r="E55" s="152" t="s">
        <v>51</v>
      </c>
      <c r="F55" s="152" t="s">
        <v>222</v>
      </c>
      <c r="G55" s="152">
        <v>17.5315</v>
      </c>
      <c r="H55" s="152">
        <v>441</v>
      </c>
      <c r="I55" s="151">
        <v>2</v>
      </c>
      <c r="J55" s="151">
        <v>220</v>
      </c>
      <c r="K55" s="151">
        <v>328</v>
      </c>
      <c r="L55" s="151">
        <v>7828</v>
      </c>
      <c r="M55" s="153">
        <f>(H55-(I55*50))/50</f>
        <v>6.82</v>
      </c>
      <c r="N55" s="153">
        <f>31*(M55+I55)</f>
        <v>273.42</v>
      </c>
      <c r="O55" s="153">
        <f>N55*G55</f>
        <v>4793.46273</v>
      </c>
      <c r="P55" s="153">
        <f>(H55-(I55*90))/90</f>
        <v>2.9</v>
      </c>
      <c r="Q55" s="153">
        <f>31*(P55+I55)</f>
        <v>151.9</v>
      </c>
      <c r="R55" s="153">
        <f>(P55+I55)*31*G55*1.5</f>
        <v>3994.552275</v>
      </c>
      <c r="S55" s="153">
        <f>Q55</f>
        <v>151.9</v>
      </c>
      <c r="T55" s="153">
        <f>S55/31</f>
        <v>4.9</v>
      </c>
      <c r="U55" s="153">
        <f>T55-I55</f>
        <v>2.9</v>
      </c>
      <c r="V55" s="153">
        <f>R55</f>
        <v>3994.552275</v>
      </c>
      <c r="W55" s="154">
        <f>_xlfn.XLOOKUP(B55,Sheet5!G:G,Sheet5!H:H)</f>
        <v>0.882352941176471</v>
      </c>
      <c r="X55" s="155">
        <f>Y55/31</f>
        <v>4.32352941176471</v>
      </c>
      <c r="Y55" s="153">
        <f>S55*W55</f>
        <v>134.029411764706</v>
      </c>
      <c r="Z55" s="153">
        <f>Y55*G55*1.5</f>
        <v>3524.60494852941</v>
      </c>
      <c r="AA55" s="154">
        <f>_xlfn.XLOOKUP(B55,Sheet5!G:G,Sheet5!I:I)</f>
        <v>0.117647058823529</v>
      </c>
      <c r="AB55" s="155">
        <f>AC55/31</f>
        <v>0.576470588235292</v>
      </c>
      <c r="AC55" s="153">
        <f>S55*AA55</f>
        <v>17.8705882352941</v>
      </c>
      <c r="AD55" s="153">
        <f>G55*AC55*1.5</f>
        <v>469.947326470587</v>
      </c>
      <c r="AE55" s="156" t="s">
        <v>115</v>
      </c>
      <c r="AF55" s="151" t="s">
        <v>136</v>
      </c>
      <c r="AG55" s="157">
        <f>AC55/4</f>
        <v>4.46764705882351</v>
      </c>
      <c r="AH55" s="157">
        <f t="shared" si="2"/>
        <v>33.5073529411765</v>
      </c>
    </row>
    <row r="56" s="118" customFormat="1" ht="50" customHeight="1" spans="1:34">
      <c r="A56" s="151" t="s">
        <v>223</v>
      </c>
      <c r="B56" s="152" t="s">
        <v>224</v>
      </c>
      <c r="C56" s="152">
        <v>1</v>
      </c>
      <c r="D56" s="152" t="s">
        <v>34</v>
      </c>
      <c r="E56" s="152" t="s">
        <v>35</v>
      </c>
      <c r="F56" s="152" t="s">
        <v>66</v>
      </c>
      <c r="G56" s="152">
        <v>109.41</v>
      </c>
      <c r="H56" s="152">
        <v>47</v>
      </c>
      <c r="I56" s="151"/>
      <c r="J56" s="151"/>
      <c r="K56" s="151">
        <v>47</v>
      </c>
      <c r="L56" s="151">
        <v>7713</v>
      </c>
      <c r="M56" s="153">
        <f>(H56-(I56*50))/50</f>
        <v>0.94</v>
      </c>
      <c r="N56" s="153">
        <f>31*(M56+I56)</f>
        <v>29.14</v>
      </c>
      <c r="O56" s="153">
        <f>N56*G56</f>
        <v>3188.2074</v>
      </c>
      <c r="P56" s="153">
        <f>(H56-(I56*90))/90</f>
        <v>0.522222222222222</v>
      </c>
      <c r="Q56" s="153">
        <f>31*(P56+I56)</f>
        <v>16.1888888888889</v>
      </c>
      <c r="R56" s="153">
        <f>(P56+I56)*31*G56*1.5</f>
        <v>2656.8395</v>
      </c>
      <c r="S56" s="153">
        <f>Q56</f>
        <v>16.1888888888889</v>
      </c>
      <c r="T56" s="153">
        <f>S56/31</f>
        <v>0.522222222222222</v>
      </c>
      <c r="U56" s="153">
        <f>T56-I56</f>
        <v>0.522222222222222</v>
      </c>
      <c r="V56" s="153">
        <f>R56</f>
        <v>2656.8395</v>
      </c>
      <c r="W56" s="154">
        <v>1</v>
      </c>
      <c r="X56" s="155">
        <f>Y56/31</f>
        <v>0.522222222222222</v>
      </c>
      <c r="Y56" s="153">
        <f>S56*W56</f>
        <v>16.1888888888889</v>
      </c>
      <c r="Z56" s="153">
        <f>Y56*G56*1.5</f>
        <v>2656.8395</v>
      </c>
      <c r="AA56" s="154">
        <f>_xlfn.XLOOKUP(B56,Sheet5!G:G,Sheet5!I:I)</f>
        <v>0</v>
      </c>
      <c r="AB56" s="155">
        <f>AC56/31</f>
        <v>0</v>
      </c>
      <c r="AC56" s="153">
        <f>S56*AA56</f>
        <v>0</v>
      </c>
      <c r="AD56" s="153">
        <f>G56*AC56*1.5</f>
        <v>0</v>
      </c>
      <c r="AE56" s="156" t="s">
        <v>225</v>
      </c>
      <c r="AF56" s="151" t="s">
        <v>68</v>
      </c>
      <c r="AG56" s="157">
        <f>AC56/4</f>
        <v>0</v>
      </c>
      <c r="AH56" s="157">
        <f t="shared" si="2"/>
        <v>4.04722222222222</v>
      </c>
    </row>
    <row r="57" s="118" customFormat="1" ht="50" customHeight="1" spans="1:34">
      <c r="A57" s="151" t="s">
        <v>226</v>
      </c>
      <c r="B57" s="152" t="s">
        <v>227</v>
      </c>
      <c r="C57" s="152">
        <v>1</v>
      </c>
      <c r="D57" s="152" t="s">
        <v>34</v>
      </c>
      <c r="E57" s="152" t="s">
        <v>51</v>
      </c>
      <c r="F57" s="152" t="s">
        <v>195</v>
      </c>
      <c r="G57" s="152">
        <v>100.1499</v>
      </c>
      <c r="H57" s="152">
        <v>116</v>
      </c>
      <c r="I57" s="151">
        <v>1</v>
      </c>
      <c r="J57" s="151">
        <v>116</v>
      </c>
      <c r="K57" s="151">
        <v>65</v>
      </c>
      <c r="L57" s="151">
        <v>7712</v>
      </c>
      <c r="M57" s="153">
        <f>(H57-(I57*50))/50</f>
        <v>1.32</v>
      </c>
      <c r="N57" s="153">
        <f>31*(M57+I57)</f>
        <v>71.92</v>
      </c>
      <c r="O57" s="153">
        <f>N57*G57</f>
        <v>7202.780808</v>
      </c>
      <c r="P57" s="153">
        <f>(H57-(I57*90))/90</f>
        <v>0.288888888888889</v>
      </c>
      <c r="Q57" s="153">
        <f>31*(P57+I57)</f>
        <v>39.9555555555555</v>
      </c>
      <c r="R57" s="153">
        <f>(P57+I57)*31*G57*1.5</f>
        <v>6002.31734</v>
      </c>
      <c r="S57" s="153">
        <f>Q57</f>
        <v>39.9555555555555</v>
      </c>
      <c r="T57" s="153">
        <f>S57/31</f>
        <v>1.28888888888889</v>
      </c>
      <c r="U57" s="153">
        <f>T57-I57</f>
        <v>0.288888888888889</v>
      </c>
      <c r="V57" s="153">
        <f>R57</f>
        <v>6002.31734</v>
      </c>
      <c r="W57" s="154">
        <f>_xlfn.XLOOKUP(B57,Sheet5!G:G,Sheet5!H:H)</f>
        <v>0</v>
      </c>
      <c r="X57" s="155">
        <f>Y57/31</f>
        <v>0</v>
      </c>
      <c r="Y57" s="153">
        <f>S57*W57</f>
        <v>0</v>
      </c>
      <c r="Z57" s="153">
        <f>Y57*G57*1.5</f>
        <v>0</v>
      </c>
      <c r="AA57" s="154">
        <f>_xlfn.XLOOKUP(B57,Sheet5!G:G,Sheet5!I:I)</f>
        <v>1</v>
      </c>
      <c r="AB57" s="155">
        <f>AC57/31</f>
        <v>1.28888888888889</v>
      </c>
      <c r="AC57" s="153">
        <f>S57*AA57</f>
        <v>39.9555555555555</v>
      </c>
      <c r="AD57" s="153">
        <f>G57*AC57*1.5</f>
        <v>6002.31734</v>
      </c>
      <c r="AE57" s="156" t="s">
        <v>115</v>
      </c>
      <c r="AF57" s="158"/>
      <c r="AG57" s="157">
        <f>AC57/4</f>
        <v>9.98888888888889</v>
      </c>
      <c r="AH57" s="157">
        <f t="shared" si="2"/>
        <v>0</v>
      </c>
    </row>
    <row r="58" s="118" customFormat="1" ht="50" customHeight="1" spans="1:34">
      <c r="A58" s="151" t="s">
        <v>228</v>
      </c>
      <c r="B58" s="152" t="s">
        <v>229</v>
      </c>
      <c r="C58" s="152">
        <v>1</v>
      </c>
      <c r="D58" s="152" t="s">
        <v>34</v>
      </c>
      <c r="E58" s="152" t="s">
        <v>51</v>
      </c>
      <c r="F58" s="152" t="s">
        <v>180</v>
      </c>
      <c r="G58" s="152">
        <v>80.27</v>
      </c>
      <c r="H58" s="152">
        <v>68</v>
      </c>
      <c r="I58" s="151"/>
      <c r="J58" s="151"/>
      <c r="K58" s="151">
        <v>65</v>
      </c>
      <c r="L58" s="151">
        <v>7706</v>
      </c>
      <c r="M58" s="153">
        <f>(H58-(I58*50))/50</f>
        <v>1.36</v>
      </c>
      <c r="N58" s="153">
        <f>31*(M58+I58)</f>
        <v>42.16</v>
      </c>
      <c r="O58" s="153">
        <f>N58*G58</f>
        <v>3384.1832</v>
      </c>
      <c r="P58" s="153">
        <f>(H58-(I58*90))/90</f>
        <v>0.755555555555556</v>
      </c>
      <c r="Q58" s="153">
        <f>31*(P58+I58)</f>
        <v>23.4222222222222</v>
      </c>
      <c r="R58" s="153">
        <f>(P58+I58)*31*G58*1.5</f>
        <v>2820.15266666667</v>
      </c>
      <c r="S58" s="153">
        <f>Q58</f>
        <v>23.4222222222222</v>
      </c>
      <c r="T58" s="153">
        <f>S58/31</f>
        <v>0.755555555555556</v>
      </c>
      <c r="U58" s="153">
        <f>T58-I58</f>
        <v>0.755555555555556</v>
      </c>
      <c r="V58" s="153">
        <f>R58</f>
        <v>2820.15266666667</v>
      </c>
      <c r="W58" s="154">
        <f>_xlfn.XLOOKUP(B58,Sheet5!G:G,Sheet5!H:H)</f>
        <v>0</v>
      </c>
      <c r="X58" s="155">
        <f>Y58/31</f>
        <v>0</v>
      </c>
      <c r="Y58" s="153">
        <f>S58*W58</f>
        <v>0</v>
      </c>
      <c r="Z58" s="153">
        <f>Y58*G58*1.5</f>
        <v>0</v>
      </c>
      <c r="AA58" s="154">
        <f>_xlfn.XLOOKUP(B58,Sheet5!G:G,Sheet5!I:I)</f>
        <v>1</v>
      </c>
      <c r="AB58" s="155">
        <f>AC58/31</f>
        <v>0.755555555555556</v>
      </c>
      <c r="AC58" s="153">
        <f>S58*AA58</f>
        <v>23.4222222222222</v>
      </c>
      <c r="AD58" s="153">
        <f>G58*AC58*1.5</f>
        <v>2820.15266666667</v>
      </c>
      <c r="AE58" s="156" t="s">
        <v>181</v>
      </c>
      <c r="AF58" s="158"/>
      <c r="AG58" s="157">
        <f>AC58/4</f>
        <v>5.85555555555556</v>
      </c>
      <c r="AH58" s="157">
        <f t="shared" si="2"/>
        <v>0</v>
      </c>
    </row>
    <row r="59" s="118" customFormat="1" ht="50" customHeight="1" spans="1:34">
      <c r="A59" s="151" t="s">
        <v>230</v>
      </c>
      <c r="B59" s="152" t="s">
        <v>231</v>
      </c>
      <c r="C59" s="152">
        <v>1</v>
      </c>
      <c r="D59" s="152" t="s">
        <v>34</v>
      </c>
      <c r="E59" s="152" t="s">
        <v>35</v>
      </c>
      <c r="F59" s="152" t="s">
        <v>156</v>
      </c>
      <c r="G59" s="152">
        <v>127.61</v>
      </c>
      <c r="H59" s="152">
        <v>58</v>
      </c>
      <c r="I59" s="151"/>
      <c r="J59" s="151"/>
      <c r="K59" s="151">
        <v>43</v>
      </c>
      <c r="L59" s="151">
        <v>7465</v>
      </c>
      <c r="M59" s="153">
        <f>(H59-(I59*50))/50</f>
        <v>1.16</v>
      </c>
      <c r="N59" s="153">
        <f>31*(M59+I59)</f>
        <v>35.96</v>
      </c>
      <c r="O59" s="153">
        <f>N59*G59</f>
        <v>4588.8556</v>
      </c>
      <c r="P59" s="153">
        <f>(H59-(I59*90))/90</f>
        <v>0.644444444444444</v>
      </c>
      <c r="Q59" s="153">
        <f>31*(P59+I59)</f>
        <v>19.9777777777778</v>
      </c>
      <c r="R59" s="153">
        <f>(P59+I59)*31*G59*1.5</f>
        <v>3824.04633333333</v>
      </c>
      <c r="S59" s="153">
        <f>Q59</f>
        <v>19.9777777777778</v>
      </c>
      <c r="T59" s="153">
        <f>S59/31</f>
        <v>0.644444444444444</v>
      </c>
      <c r="U59" s="153">
        <f>T59-I59</f>
        <v>0.644444444444444</v>
      </c>
      <c r="V59" s="153">
        <f>R59</f>
        <v>3824.04633333333</v>
      </c>
      <c r="W59" s="154">
        <f>_xlfn.XLOOKUP(B59,Sheet5!G:G,Sheet5!H:H)</f>
        <v>1</v>
      </c>
      <c r="X59" s="155">
        <f>Y59/31</f>
        <v>0.644444444444444</v>
      </c>
      <c r="Y59" s="153">
        <f>S59*W59</f>
        <v>19.9777777777778</v>
      </c>
      <c r="Z59" s="153">
        <f>Y59*G59*1.5</f>
        <v>3824.04633333333</v>
      </c>
      <c r="AA59" s="154">
        <f>_xlfn.XLOOKUP(B59,Sheet5!G:G,Sheet5!I:I)</f>
        <v>0</v>
      </c>
      <c r="AB59" s="155">
        <f>AC59/31</f>
        <v>0</v>
      </c>
      <c r="AC59" s="153">
        <f>S59*AA59</f>
        <v>0</v>
      </c>
      <c r="AD59" s="153">
        <f>G59*AC59*1.5</f>
        <v>0</v>
      </c>
      <c r="AE59" s="156" t="s">
        <v>130</v>
      </c>
      <c r="AF59" s="158"/>
      <c r="AG59" s="157">
        <f>AC59/4</f>
        <v>0</v>
      </c>
      <c r="AH59" s="157">
        <f t="shared" si="2"/>
        <v>4.99444444444444</v>
      </c>
    </row>
    <row r="60" s="118" customFormat="1" ht="50" customHeight="1" spans="1:34">
      <c r="A60" s="151" t="s">
        <v>232</v>
      </c>
      <c r="B60" s="152" t="s">
        <v>233</v>
      </c>
      <c r="C60" s="152">
        <v>1</v>
      </c>
      <c r="D60" s="152" t="s">
        <v>34</v>
      </c>
      <c r="E60" s="152" t="s">
        <v>51</v>
      </c>
      <c r="F60" s="152" t="s">
        <v>234</v>
      </c>
      <c r="G60" s="152">
        <v>171.7044</v>
      </c>
      <c r="H60" s="152">
        <v>45</v>
      </c>
      <c r="I60" s="151"/>
      <c r="J60" s="151"/>
      <c r="K60" s="151">
        <v>32</v>
      </c>
      <c r="L60" s="151">
        <v>7297</v>
      </c>
      <c r="M60" s="153">
        <f>(H60-(I60*50))/50</f>
        <v>0.9</v>
      </c>
      <c r="N60" s="153">
        <f>31*(M60+I60)</f>
        <v>27.9</v>
      </c>
      <c r="O60" s="153">
        <f>N60*G60</f>
        <v>4790.55276</v>
      </c>
      <c r="P60" s="153">
        <f>(H60-(I60*90))/90</f>
        <v>0.5</v>
      </c>
      <c r="Q60" s="153">
        <f>31*(P60+I60)</f>
        <v>15.5</v>
      </c>
      <c r="R60" s="153">
        <f>(P60+I60)*31*G60*1.5</f>
        <v>3992.1273</v>
      </c>
      <c r="S60" s="153">
        <f>Q60</f>
        <v>15.5</v>
      </c>
      <c r="T60" s="153">
        <f>S60/31</f>
        <v>0.5</v>
      </c>
      <c r="U60" s="153">
        <f>T60-I60</f>
        <v>0.5</v>
      </c>
      <c r="V60" s="153">
        <f>R60</f>
        <v>3992.1273</v>
      </c>
      <c r="W60" s="154">
        <f>_xlfn.XLOOKUP(B60,Sheet5!G:G,Sheet5!H:H)</f>
        <v>0.25</v>
      </c>
      <c r="X60" s="155">
        <f>Y60/31</f>
        <v>0.125</v>
      </c>
      <c r="Y60" s="153">
        <f>S60*W60</f>
        <v>3.875</v>
      </c>
      <c r="Z60" s="153">
        <f>Y60*G60*1.5</f>
        <v>998.031825</v>
      </c>
      <c r="AA60" s="154">
        <f>_xlfn.XLOOKUP(B60,Sheet5!G:G,Sheet5!I:I)</f>
        <v>0.75</v>
      </c>
      <c r="AB60" s="155">
        <f>AC60/31</f>
        <v>0.375</v>
      </c>
      <c r="AC60" s="153">
        <f>S60*AA60</f>
        <v>11.625</v>
      </c>
      <c r="AD60" s="153">
        <f>G60*AC60*1.5</f>
        <v>2994.095475</v>
      </c>
      <c r="AE60" s="156" t="s">
        <v>235</v>
      </c>
      <c r="AF60" s="151" t="s">
        <v>236</v>
      </c>
      <c r="AG60" s="157">
        <f>AC60/4</f>
        <v>2.90625</v>
      </c>
      <c r="AH60" s="157">
        <f t="shared" si="2"/>
        <v>0.96875</v>
      </c>
    </row>
    <row r="61" s="118" customFormat="1" ht="50" customHeight="1" spans="1:34">
      <c r="A61" s="151" t="s">
        <v>237</v>
      </c>
      <c r="B61" s="152" t="s">
        <v>238</v>
      </c>
      <c r="C61" s="152">
        <v>1</v>
      </c>
      <c r="D61" s="152" t="s">
        <v>34</v>
      </c>
      <c r="E61" s="152" t="s">
        <v>51</v>
      </c>
      <c r="F61" s="152" t="s">
        <v>239</v>
      </c>
      <c r="G61" s="152">
        <v>75.23</v>
      </c>
      <c r="H61" s="152">
        <v>76</v>
      </c>
      <c r="I61" s="151"/>
      <c r="J61" s="151"/>
      <c r="K61" s="151">
        <v>65</v>
      </c>
      <c r="L61" s="151">
        <v>6996</v>
      </c>
      <c r="M61" s="153">
        <f>(H61-(I61*50))/50</f>
        <v>1.52</v>
      </c>
      <c r="N61" s="153">
        <f>31*(M61+I61)</f>
        <v>47.12</v>
      </c>
      <c r="O61" s="153">
        <f>N61*G61</f>
        <v>3544.8376</v>
      </c>
      <c r="P61" s="153">
        <f>(H61-(I61*90))/90</f>
        <v>0.844444444444444</v>
      </c>
      <c r="Q61" s="153">
        <f>31*(P61+I61)</f>
        <v>26.1777777777778</v>
      </c>
      <c r="R61" s="153">
        <f>(P61+I61)*31*G61*1.5</f>
        <v>2954.03133333333</v>
      </c>
      <c r="S61" s="153">
        <f>Q61</f>
        <v>26.1777777777778</v>
      </c>
      <c r="T61" s="153">
        <f>S61/31</f>
        <v>0.844444444444444</v>
      </c>
      <c r="U61" s="153">
        <f>T61-I61</f>
        <v>0.844444444444444</v>
      </c>
      <c r="V61" s="153">
        <f>R61</f>
        <v>2954.03133333333</v>
      </c>
      <c r="W61" s="154">
        <f>_xlfn.XLOOKUP(B61,Sheet5!G:G,Sheet5!H:H)</f>
        <v>0.333333333333333</v>
      </c>
      <c r="X61" s="155">
        <f>Y61/31</f>
        <v>0.281481481481481</v>
      </c>
      <c r="Y61" s="153">
        <f>S61*W61</f>
        <v>8.72592592592592</v>
      </c>
      <c r="Z61" s="153">
        <f>Y61*G61*1.5</f>
        <v>984.67711111111</v>
      </c>
      <c r="AA61" s="154">
        <f>_xlfn.XLOOKUP(B61,Sheet5!G:G,Sheet5!I:I)</f>
        <v>0.666666666666667</v>
      </c>
      <c r="AB61" s="155">
        <f>AC61/31</f>
        <v>0.562962962962963</v>
      </c>
      <c r="AC61" s="153">
        <f>S61*AA61</f>
        <v>17.4518518518519</v>
      </c>
      <c r="AD61" s="153">
        <f>G61*AC61*1.5</f>
        <v>1969.35422222222</v>
      </c>
      <c r="AE61" s="156" t="s">
        <v>240</v>
      </c>
      <c r="AF61" s="158"/>
      <c r="AG61" s="157">
        <f>AC61/4</f>
        <v>4.36296296296296</v>
      </c>
      <c r="AH61" s="157">
        <f t="shared" si="2"/>
        <v>2.18148148148148</v>
      </c>
    </row>
    <row r="62" s="118" customFormat="1" ht="50" customHeight="1" spans="1:34">
      <c r="A62" s="151" t="s">
        <v>241</v>
      </c>
      <c r="B62" s="152" t="s">
        <v>242</v>
      </c>
      <c r="C62" s="152">
        <v>1</v>
      </c>
      <c r="D62" s="152" t="s">
        <v>34</v>
      </c>
      <c r="E62" s="152" t="s">
        <v>51</v>
      </c>
      <c r="F62" s="152" t="s">
        <v>243</v>
      </c>
      <c r="G62" s="152">
        <v>44.32</v>
      </c>
      <c r="H62" s="152">
        <v>107</v>
      </c>
      <c r="I62" s="151"/>
      <c r="J62" s="151"/>
      <c r="K62" s="151">
        <v>102</v>
      </c>
      <c r="L62" s="151">
        <v>6692</v>
      </c>
      <c r="M62" s="153">
        <f>(H62-(I62*50))/50</f>
        <v>2.14</v>
      </c>
      <c r="N62" s="153">
        <f>31*(M62+I62)</f>
        <v>66.34</v>
      </c>
      <c r="O62" s="153">
        <f>N62*G62</f>
        <v>2940.1888</v>
      </c>
      <c r="P62" s="153">
        <f>(H62-(I62*90))/90</f>
        <v>1.18888888888889</v>
      </c>
      <c r="Q62" s="153">
        <f>31*(P62+I62)</f>
        <v>36.8555555555556</v>
      </c>
      <c r="R62" s="153">
        <f>(P62+I62)*31*G62*1.5</f>
        <v>2450.15733333333</v>
      </c>
      <c r="S62" s="153">
        <f>Q62</f>
        <v>36.8555555555556</v>
      </c>
      <c r="T62" s="153">
        <f>S62/31</f>
        <v>1.18888888888889</v>
      </c>
      <c r="U62" s="153">
        <f>T62-I62</f>
        <v>1.18888888888889</v>
      </c>
      <c r="V62" s="153">
        <f>R62</f>
        <v>2450.15733333333</v>
      </c>
      <c r="W62" s="154">
        <f>_xlfn.XLOOKUP(B62,Sheet5!G:G,Sheet5!H:H)</f>
        <v>0</v>
      </c>
      <c r="X62" s="155">
        <f>Y62/31</f>
        <v>0</v>
      </c>
      <c r="Y62" s="153">
        <f>S62*W62</f>
        <v>0</v>
      </c>
      <c r="Z62" s="153">
        <f>Y62*G62*1.5</f>
        <v>0</v>
      </c>
      <c r="AA62" s="154">
        <f>_xlfn.XLOOKUP(B62,Sheet5!G:G,Sheet5!I:I)</f>
        <v>1</v>
      </c>
      <c r="AB62" s="155">
        <f>AC62/31</f>
        <v>1.18888888888889</v>
      </c>
      <c r="AC62" s="153">
        <f>S62*AA62</f>
        <v>36.8555555555556</v>
      </c>
      <c r="AD62" s="153">
        <f>G62*AC62*1.5</f>
        <v>2450.15733333333</v>
      </c>
      <c r="AE62" s="156" t="s">
        <v>130</v>
      </c>
      <c r="AF62" s="151" t="s">
        <v>130</v>
      </c>
      <c r="AG62" s="157">
        <f>AC62/4</f>
        <v>9.21388888888889</v>
      </c>
      <c r="AH62" s="157">
        <f t="shared" si="2"/>
        <v>0</v>
      </c>
    </row>
    <row r="63" s="118" customFormat="1" ht="50" customHeight="1" spans="1:34">
      <c r="A63" s="151" t="s">
        <v>244</v>
      </c>
      <c r="B63" s="152" t="s">
        <v>245</v>
      </c>
      <c r="C63" s="152">
        <v>1</v>
      </c>
      <c r="D63" s="152" t="s">
        <v>34</v>
      </c>
      <c r="E63" s="152" t="s">
        <v>51</v>
      </c>
      <c r="F63" s="152" t="s">
        <v>80</v>
      </c>
      <c r="G63" s="152">
        <v>7.5</v>
      </c>
      <c r="H63" s="152">
        <v>1293</v>
      </c>
      <c r="I63" s="151">
        <v>11</v>
      </c>
      <c r="J63" s="151">
        <v>117</v>
      </c>
      <c r="K63" s="151">
        <v>737</v>
      </c>
      <c r="L63" s="151">
        <v>6623</v>
      </c>
      <c r="M63" s="153">
        <f>(H63-(I63*50))/50</f>
        <v>14.86</v>
      </c>
      <c r="N63" s="153">
        <f>31*(M63+I63)</f>
        <v>801.66</v>
      </c>
      <c r="O63" s="153">
        <f>N63*G63</f>
        <v>6012.45</v>
      </c>
      <c r="P63" s="153">
        <f>(H63-(I63*90))/90</f>
        <v>3.36666666666667</v>
      </c>
      <c r="Q63" s="153">
        <f>31*(P63+I63)</f>
        <v>445.366666666667</v>
      </c>
      <c r="R63" s="153">
        <f>(P63+I63)*31*G63*1.5</f>
        <v>5010.375</v>
      </c>
      <c r="S63" s="153">
        <f>Q63</f>
        <v>445.366666666667</v>
      </c>
      <c r="T63" s="153">
        <f>S63/31</f>
        <v>14.3666666666667</v>
      </c>
      <c r="U63" s="153">
        <f>T63-I63</f>
        <v>3.36666666666667</v>
      </c>
      <c r="V63" s="153">
        <f>R63</f>
        <v>5010.375</v>
      </c>
      <c r="W63" s="154">
        <f>_xlfn.XLOOKUP(B63,Sheet5!G:G,Sheet5!H:H)</f>
        <v>0.534246575342466</v>
      </c>
      <c r="X63" s="155">
        <f>Y63/31</f>
        <v>7.67534246575343</v>
      </c>
      <c r="Y63" s="153">
        <f>S63*W63</f>
        <v>237.935616438356</v>
      </c>
      <c r="Z63" s="153">
        <f>Y63*G63*1.5</f>
        <v>2676.77568493151</v>
      </c>
      <c r="AA63" s="154">
        <f>_xlfn.XLOOKUP(B63,Sheet5!G:G,Sheet5!I:I)</f>
        <v>0.465753424657534</v>
      </c>
      <c r="AB63" s="155">
        <f>AC63/31</f>
        <v>6.69132420091324</v>
      </c>
      <c r="AC63" s="153">
        <f>S63*AA63</f>
        <v>207.43105022831</v>
      </c>
      <c r="AD63" s="153">
        <f>G63*AC63*1.5</f>
        <v>2333.59931506849</v>
      </c>
      <c r="AE63" s="156" t="s">
        <v>246</v>
      </c>
      <c r="AF63" s="151" t="s">
        <v>247</v>
      </c>
      <c r="AG63" s="157">
        <f>AC63/4</f>
        <v>51.8577625570776</v>
      </c>
      <c r="AH63" s="157">
        <f t="shared" si="2"/>
        <v>59.4839041095891</v>
      </c>
    </row>
    <row r="64" s="118" customFormat="1" ht="50" customHeight="1" spans="1:34">
      <c r="A64" s="151" t="s">
        <v>248</v>
      </c>
      <c r="B64" s="152" t="s">
        <v>249</v>
      </c>
      <c r="C64" s="152">
        <v>1</v>
      </c>
      <c r="D64" s="152" t="s">
        <v>34</v>
      </c>
      <c r="E64" s="152" t="s">
        <v>35</v>
      </c>
      <c r="F64" s="152" t="s">
        <v>250</v>
      </c>
      <c r="G64" s="152">
        <v>49.5922</v>
      </c>
      <c r="H64" s="152">
        <v>1467</v>
      </c>
      <c r="I64" s="151">
        <v>26</v>
      </c>
      <c r="J64" s="151">
        <v>56</v>
      </c>
      <c r="K64" s="151">
        <v>132</v>
      </c>
      <c r="L64" s="151">
        <v>6546</v>
      </c>
      <c r="M64" s="153">
        <f>(H64-(I64*50))/50</f>
        <v>3.34</v>
      </c>
      <c r="N64" s="153">
        <f>31*(M64+I64)</f>
        <v>909.54</v>
      </c>
      <c r="O64" s="153">
        <f>N64*G64</f>
        <v>45106.089588</v>
      </c>
      <c r="P64" s="153">
        <f>(H64-(I64*90))/90</f>
        <v>-9.7</v>
      </c>
      <c r="Q64" s="153">
        <f>31*(P64+I64)</f>
        <v>505.3</v>
      </c>
      <c r="R64" s="153">
        <f>(P64+I64)*31*G64*1.5</f>
        <v>37588.40799</v>
      </c>
      <c r="S64" s="153">
        <f>Q64</f>
        <v>505.3</v>
      </c>
      <c r="T64" s="153">
        <f>S64/31</f>
        <v>16.3</v>
      </c>
      <c r="U64" s="153">
        <f>T64-I64</f>
        <v>-9.7</v>
      </c>
      <c r="V64" s="153">
        <f>R64</f>
        <v>37588.40799</v>
      </c>
      <c r="W64" s="154">
        <f>_xlfn.XLOOKUP(B64,Sheet5!G:G,Sheet5!H:H)</f>
        <v>0.627627627627628</v>
      </c>
      <c r="X64" s="155">
        <f>Y64/31</f>
        <v>10.2303303303303</v>
      </c>
      <c r="Y64" s="153">
        <f>S64*W64</f>
        <v>317.14024024024</v>
      </c>
      <c r="Z64" s="153">
        <f>Y64*G64*1.5</f>
        <v>23591.5233330631</v>
      </c>
      <c r="AA64" s="154">
        <f>_xlfn.XLOOKUP(B64,Sheet5!G:G,Sheet5!I:I)</f>
        <v>0.372372372372372</v>
      </c>
      <c r="AB64" s="155">
        <f>AC64/31</f>
        <v>6.06966966966966</v>
      </c>
      <c r="AC64" s="153">
        <f>S64*AA64</f>
        <v>188.15975975976</v>
      </c>
      <c r="AD64" s="153">
        <f>G64*AC64*1.5</f>
        <v>13996.8846569369</v>
      </c>
      <c r="AE64" s="156" t="s">
        <v>115</v>
      </c>
      <c r="AF64" s="158"/>
      <c r="AG64" s="157">
        <f>AC64/4</f>
        <v>47.0399399399399</v>
      </c>
      <c r="AH64" s="157">
        <f t="shared" si="2"/>
        <v>79.2850600600601</v>
      </c>
    </row>
    <row r="65" s="118" customFormat="1" ht="50" customHeight="1" spans="1:34">
      <c r="A65" s="151" t="s">
        <v>251</v>
      </c>
      <c r="B65" s="152" t="s">
        <v>252</v>
      </c>
      <c r="C65" s="152">
        <v>1</v>
      </c>
      <c r="D65" s="152" t="s">
        <v>34</v>
      </c>
      <c r="E65" s="152" t="s">
        <v>35</v>
      </c>
      <c r="F65" s="152" t="s">
        <v>160</v>
      </c>
      <c r="G65" s="152">
        <v>149.1686</v>
      </c>
      <c r="H65" s="152">
        <v>36</v>
      </c>
      <c r="I65" s="151"/>
      <c r="J65" s="151"/>
      <c r="K65" s="151">
        <v>30</v>
      </c>
      <c r="L65" s="151">
        <v>6340</v>
      </c>
      <c r="M65" s="153">
        <f>(H65-(I65*50))/50</f>
        <v>0.72</v>
      </c>
      <c r="N65" s="153">
        <f>31*(M65+I65)</f>
        <v>22.32</v>
      </c>
      <c r="O65" s="153">
        <f>N65*G65</f>
        <v>3329.443152</v>
      </c>
      <c r="P65" s="153">
        <f>(H65-(I65*90))/90</f>
        <v>0.4</v>
      </c>
      <c r="Q65" s="153">
        <f>31*(P65+I65)</f>
        <v>12.4</v>
      </c>
      <c r="R65" s="153">
        <f>(P65+I65)*31*G65*1.5</f>
        <v>2774.53596</v>
      </c>
      <c r="S65" s="153">
        <f>Q65</f>
        <v>12.4</v>
      </c>
      <c r="T65" s="153">
        <f>S65/31</f>
        <v>0.4</v>
      </c>
      <c r="U65" s="153">
        <f>T65-I65</f>
        <v>0.4</v>
      </c>
      <c r="V65" s="153">
        <f>R65</f>
        <v>2774.53596</v>
      </c>
      <c r="W65" s="154">
        <f>_xlfn.XLOOKUP(B65,Sheet5!G:G,Sheet5!H:H)</f>
        <v>0</v>
      </c>
      <c r="X65" s="155">
        <f>Y65/31</f>
        <v>0</v>
      </c>
      <c r="Y65" s="153">
        <f>S65*W65</f>
        <v>0</v>
      </c>
      <c r="Z65" s="153">
        <f>Y65*G65*1.5</f>
        <v>0</v>
      </c>
      <c r="AA65" s="154">
        <f>_xlfn.XLOOKUP(B65,Sheet5!G:G,Sheet5!I:I)</f>
        <v>1</v>
      </c>
      <c r="AB65" s="155">
        <f>AC65/31</f>
        <v>0.4</v>
      </c>
      <c r="AC65" s="153">
        <f>S65*AA65</f>
        <v>12.4</v>
      </c>
      <c r="AD65" s="153">
        <f>G65*AC65*1.5</f>
        <v>2774.53596</v>
      </c>
      <c r="AE65" s="156" t="s">
        <v>253</v>
      </c>
      <c r="AF65" s="158"/>
      <c r="AG65" s="157">
        <f>AC65/4</f>
        <v>3.1</v>
      </c>
      <c r="AH65" s="157">
        <f t="shared" si="2"/>
        <v>0</v>
      </c>
    </row>
    <row r="66" s="118" customFormat="1" ht="50" customHeight="1" spans="1:34">
      <c r="A66" s="151" t="s">
        <v>254</v>
      </c>
      <c r="B66" s="152" t="s">
        <v>255</v>
      </c>
      <c r="C66" s="152">
        <v>1</v>
      </c>
      <c r="D66" s="152" t="s">
        <v>34</v>
      </c>
      <c r="E66" s="152" t="s">
        <v>51</v>
      </c>
      <c r="F66" s="152" t="s">
        <v>203</v>
      </c>
      <c r="G66" s="152">
        <v>79.16</v>
      </c>
      <c r="H66" s="152">
        <v>50</v>
      </c>
      <c r="I66" s="151"/>
      <c r="J66" s="151"/>
      <c r="K66" s="151">
        <v>50</v>
      </c>
      <c r="L66" s="151">
        <v>5937</v>
      </c>
      <c r="M66" s="153">
        <f>(H66-(I66*50))/50</f>
        <v>1</v>
      </c>
      <c r="N66" s="153">
        <f>31*(M66+I66)</f>
        <v>31</v>
      </c>
      <c r="O66" s="153">
        <f>N66*G66</f>
        <v>2453.96</v>
      </c>
      <c r="P66" s="153">
        <f>(H66-(I66*90))/90</f>
        <v>0.555555555555556</v>
      </c>
      <c r="Q66" s="153">
        <f>31*(P66+I66)</f>
        <v>17.2222222222222</v>
      </c>
      <c r="R66" s="153">
        <f>(P66+I66)*31*G66*1.5</f>
        <v>2044.96666666667</v>
      </c>
      <c r="S66" s="153">
        <f>Q66</f>
        <v>17.2222222222222</v>
      </c>
      <c r="T66" s="153">
        <f>S66/31</f>
        <v>0.555555555555556</v>
      </c>
      <c r="U66" s="153">
        <f>T66-I66</f>
        <v>0.555555555555556</v>
      </c>
      <c r="V66" s="153">
        <f>R66</f>
        <v>2044.96666666667</v>
      </c>
      <c r="W66" s="154">
        <f>_xlfn.XLOOKUP(B66,Sheet5!G:G,Sheet5!H:H)</f>
        <v>0</v>
      </c>
      <c r="X66" s="155">
        <f>Y66/31</f>
        <v>0</v>
      </c>
      <c r="Y66" s="153">
        <f>S66*W66</f>
        <v>0</v>
      </c>
      <c r="Z66" s="153">
        <f>Y66*G66*1.5</f>
        <v>0</v>
      </c>
      <c r="AA66" s="154">
        <f>_xlfn.XLOOKUP(B66,Sheet5!G:G,Sheet5!I:I)</f>
        <v>0</v>
      </c>
      <c r="AB66" s="155">
        <f>AC66/31</f>
        <v>0</v>
      </c>
      <c r="AC66" s="153">
        <f>S66*AA66</f>
        <v>0</v>
      </c>
      <c r="AD66" s="153">
        <f>G66*AC66*1.5</f>
        <v>0</v>
      </c>
      <c r="AE66" s="156" t="s">
        <v>130</v>
      </c>
      <c r="AF66" s="151" t="s">
        <v>256</v>
      </c>
      <c r="AG66" s="157">
        <f>AC66/4</f>
        <v>0</v>
      </c>
      <c r="AH66" s="157">
        <f t="shared" si="2"/>
        <v>0</v>
      </c>
    </row>
    <row r="67" s="118" customFormat="1" ht="50" customHeight="1" spans="1:34">
      <c r="A67" s="151" t="s">
        <v>257</v>
      </c>
      <c r="B67" s="152" t="s">
        <v>258</v>
      </c>
      <c r="C67" s="152">
        <v>1</v>
      </c>
      <c r="D67" s="152" t="s">
        <v>34</v>
      </c>
      <c r="E67" s="152" t="s">
        <v>35</v>
      </c>
      <c r="F67" s="152" t="s">
        <v>259</v>
      </c>
      <c r="G67" s="152">
        <v>59.66</v>
      </c>
      <c r="H67" s="152">
        <v>89</v>
      </c>
      <c r="I67" s="151"/>
      <c r="J67" s="151"/>
      <c r="K67" s="151">
        <v>71</v>
      </c>
      <c r="L67" s="151">
        <v>5906</v>
      </c>
      <c r="M67" s="153">
        <f>(H67-(I67*50))/50</f>
        <v>1.78</v>
      </c>
      <c r="N67" s="153">
        <f>31*(M67+I67)</f>
        <v>55.18</v>
      </c>
      <c r="O67" s="153">
        <f>N67*G67</f>
        <v>3292.0388</v>
      </c>
      <c r="P67" s="153">
        <f>(H67-(I67*90))/90</f>
        <v>0.988888888888889</v>
      </c>
      <c r="Q67" s="153">
        <f>31*(P67+I67)</f>
        <v>30.6555555555556</v>
      </c>
      <c r="R67" s="153">
        <f>(P67+I67)*31*G67*1.5</f>
        <v>2743.36566666667</v>
      </c>
      <c r="S67" s="153">
        <f>Q67</f>
        <v>30.6555555555556</v>
      </c>
      <c r="T67" s="153">
        <f>S67/31</f>
        <v>0.988888888888889</v>
      </c>
      <c r="U67" s="153">
        <f>T67-I67</f>
        <v>0.988888888888889</v>
      </c>
      <c r="V67" s="153">
        <f>R67</f>
        <v>2743.36566666667</v>
      </c>
      <c r="W67" s="154">
        <f>_xlfn.XLOOKUP(B67,Sheet5!G:G,Sheet5!H:H)</f>
        <v>1</v>
      </c>
      <c r="X67" s="155">
        <f>Y67/31</f>
        <v>0.988888888888889</v>
      </c>
      <c r="Y67" s="153">
        <f>S67*W67</f>
        <v>30.6555555555556</v>
      </c>
      <c r="Z67" s="153">
        <f>Y67*G67*1.5</f>
        <v>2743.36566666667</v>
      </c>
      <c r="AA67" s="154">
        <f>_xlfn.XLOOKUP(B67,Sheet5!G:G,Sheet5!I:I)</f>
        <v>0</v>
      </c>
      <c r="AB67" s="155">
        <f>AC67/31</f>
        <v>0</v>
      </c>
      <c r="AC67" s="153">
        <f>S67*AA67</f>
        <v>0</v>
      </c>
      <c r="AD67" s="153">
        <f>G67*AC67*1.5</f>
        <v>0</v>
      </c>
      <c r="AE67" s="156" t="s">
        <v>130</v>
      </c>
      <c r="AF67" s="151" t="s">
        <v>136</v>
      </c>
      <c r="AG67" s="157">
        <f>AC67/4</f>
        <v>0</v>
      </c>
      <c r="AH67" s="157">
        <f t="shared" si="2"/>
        <v>7.66388888888889</v>
      </c>
    </row>
    <row r="68" s="118" customFormat="1" ht="50" customHeight="1" spans="1:34">
      <c r="A68" s="151" t="s">
        <v>260</v>
      </c>
      <c r="B68" s="152" t="s">
        <v>261</v>
      </c>
      <c r="C68" s="152">
        <v>1</v>
      </c>
      <c r="D68" s="152" t="s">
        <v>34</v>
      </c>
      <c r="E68" s="152" t="s">
        <v>51</v>
      </c>
      <c r="F68" s="152" t="s">
        <v>80</v>
      </c>
      <c r="G68" s="152">
        <v>18.4521</v>
      </c>
      <c r="H68" s="152">
        <v>1110</v>
      </c>
      <c r="I68" s="151">
        <v>16</v>
      </c>
      <c r="J68" s="151">
        <v>69</v>
      </c>
      <c r="K68" s="151">
        <v>293</v>
      </c>
      <c r="L68" s="151">
        <v>5406</v>
      </c>
      <c r="M68" s="153">
        <f>(H68-(I68*50))/50</f>
        <v>6.2</v>
      </c>
      <c r="N68" s="153">
        <f>31*(M68+I68)</f>
        <v>688.2</v>
      </c>
      <c r="O68" s="153">
        <f>N68*G68</f>
        <v>12698.73522</v>
      </c>
      <c r="P68" s="153">
        <f>(H68-(I68*90))/90</f>
        <v>-3.66666666666667</v>
      </c>
      <c r="Q68" s="153">
        <f>31*(P68+I68)</f>
        <v>382.333333333333</v>
      </c>
      <c r="R68" s="153">
        <f>(P68+I68)*31*G68*1.5</f>
        <v>10582.27935</v>
      </c>
      <c r="S68" s="153">
        <f>Q68</f>
        <v>382.333333333333</v>
      </c>
      <c r="T68" s="153">
        <f>S68/31</f>
        <v>12.3333333333333</v>
      </c>
      <c r="U68" s="153">
        <f>T68-I68</f>
        <v>-3.66666666666667</v>
      </c>
      <c r="V68" s="153">
        <f>R68</f>
        <v>10582.27935</v>
      </c>
      <c r="W68" s="154">
        <f>_xlfn.XLOOKUP(B68,Sheet5!G:G,Sheet5!H:H)</f>
        <v>0.16289592760181</v>
      </c>
      <c r="X68" s="155">
        <f>Y68/31</f>
        <v>2.00904977375566</v>
      </c>
      <c r="Y68" s="153">
        <f>S68*W68</f>
        <v>62.2805429864254</v>
      </c>
      <c r="Z68" s="153">
        <f>Y68*G68*1.5</f>
        <v>1723.81021085973</v>
      </c>
      <c r="AA68" s="154">
        <f>_xlfn.XLOOKUP(B68,Sheet5!G:G,Sheet5!I:I)</f>
        <v>0.83710407239819</v>
      </c>
      <c r="AB68" s="155">
        <f>AC68/31</f>
        <v>10.3242835595777</v>
      </c>
      <c r="AC68" s="153">
        <f>S68*AA68</f>
        <v>320.052790346908</v>
      </c>
      <c r="AD68" s="153">
        <f>G68*AC68*1.5</f>
        <v>8858.46913914027</v>
      </c>
      <c r="AE68" s="156" t="s">
        <v>115</v>
      </c>
      <c r="AF68" s="158"/>
      <c r="AG68" s="157">
        <f>AC68/4</f>
        <v>80.013197586727</v>
      </c>
      <c r="AH68" s="157">
        <f t="shared" si="2"/>
        <v>15.5701357466063</v>
      </c>
    </row>
    <row r="69" s="118" customFormat="1" ht="50" customHeight="1" spans="1:34">
      <c r="A69" s="151" t="s">
        <v>262</v>
      </c>
      <c r="B69" s="152" t="s">
        <v>263</v>
      </c>
      <c r="C69" s="152">
        <v>1</v>
      </c>
      <c r="D69" s="152" t="s">
        <v>34</v>
      </c>
      <c r="E69" s="152" t="s">
        <v>35</v>
      </c>
      <c r="F69" s="152" t="s">
        <v>264</v>
      </c>
      <c r="G69" s="152">
        <v>32.8534</v>
      </c>
      <c r="H69" s="152">
        <v>109</v>
      </c>
      <c r="I69" s="151"/>
      <c r="J69" s="151"/>
      <c r="K69" s="151">
        <v>104</v>
      </c>
      <c r="L69" s="151">
        <v>5059</v>
      </c>
      <c r="M69" s="153">
        <f>(H69-(I69*50))/50</f>
        <v>2.18</v>
      </c>
      <c r="N69" s="153">
        <f>31*(M69+I69)</f>
        <v>67.58</v>
      </c>
      <c r="O69" s="153">
        <f>N69*G69</f>
        <v>2220.232772</v>
      </c>
      <c r="P69" s="153">
        <f>(H69-(I69*90))/90</f>
        <v>1.21111111111111</v>
      </c>
      <c r="Q69" s="153">
        <f>31*(P69+I69)</f>
        <v>37.5444444444444</v>
      </c>
      <c r="R69" s="153">
        <f>(P69+I69)*31*G69*1.5</f>
        <v>1850.19397666667</v>
      </c>
      <c r="S69" s="153">
        <f>Q69</f>
        <v>37.5444444444444</v>
      </c>
      <c r="T69" s="153">
        <f>S69/31</f>
        <v>1.21111111111111</v>
      </c>
      <c r="U69" s="153">
        <f>T69-I69</f>
        <v>1.21111111111111</v>
      </c>
      <c r="V69" s="153">
        <f>R69</f>
        <v>1850.19397666667</v>
      </c>
      <c r="W69" s="154">
        <f>_xlfn.XLOOKUP(B69,Sheet5!G:G,Sheet5!H:H)</f>
        <v>0</v>
      </c>
      <c r="X69" s="155">
        <f>Y69/31</f>
        <v>0</v>
      </c>
      <c r="Y69" s="153">
        <f>S69*W69</f>
        <v>0</v>
      </c>
      <c r="Z69" s="153">
        <f>Y69*G69*1.5</f>
        <v>0</v>
      </c>
      <c r="AA69" s="154">
        <f>_xlfn.XLOOKUP(B69,Sheet5!G:G,Sheet5!I:I)</f>
        <v>1</v>
      </c>
      <c r="AB69" s="155">
        <f>AC69/31</f>
        <v>1.21111111111111</v>
      </c>
      <c r="AC69" s="153">
        <f>S69*AA69</f>
        <v>37.5444444444444</v>
      </c>
      <c r="AD69" s="153">
        <f>G69*AC69*1.5</f>
        <v>1850.19397666667</v>
      </c>
      <c r="AE69" s="156" t="s">
        <v>265</v>
      </c>
      <c r="AF69" s="158"/>
      <c r="AG69" s="157">
        <f>AC69/4</f>
        <v>9.38611111111111</v>
      </c>
      <c r="AH69" s="157">
        <f t="shared" ref="AH69:AH100" si="3">$Y69/4</f>
        <v>0</v>
      </c>
    </row>
    <row r="70" s="118" customFormat="1" ht="50" customHeight="1" spans="1:34">
      <c r="A70" s="151" t="s">
        <v>266</v>
      </c>
      <c r="B70" s="152" t="s">
        <v>267</v>
      </c>
      <c r="C70" s="152">
        <v>1</v>
      </c>
      <c r="D70" s="152" t="s">
        <v>34</v>
      </c>
      <c r="E70" s="152" t="s">
        <v>35</v>
      </c>
      <c r="F70" s="152" t="s">
        <v>250</v>
      </c>
      <c r="G70" s="152">
        <v>161.6481</v>
      </c>
      <c r="H70" s="152">
        <v>27</v>
      </c>
      <c r="I70" s="151"/>
      <c r="J70" s="151"/>
      <c r="K70" s="151">
        <v>22</v>
      </c>
      <c r="L70" s="151">
        <v>5011</v>
      </c>
      <c r="M70" s="153">
        <f>(H70-(I70*50))/50</f>
        <v>0.54</v>
      </c>
      <c r="N70" s="153">
        <f>31*(M70+I70)</f>
        <v>16.74</v>
      </c>
      <c r="O70" s="153">
        <f>N70*G70</f>
        <v>2705.989194</v>
      </c>
      <c r="P70" s="153">
        <f>(H70-(I70*90))/90</f>
        <v>0.3</v>
      </c>
      <c r="Q70" s="153">
        <f>31*(P70+I70)</f>
        <v>9.3</v>
      </c>
      <c r="R70" s="153">
        <f>(P70+I70)*31*G70*1.5</f>
        <v>2254.990995</v>
      </c>
      <c r="S70" s="153">
        <f>Q70</f>
        <v>9.3</v>
      </c>
      <c r="T70" s="153">
        <f>S70/31</f>
        <v>0.3</v>
      </c>
      <c r="U70" s="153">
        <f>T70-I70</f>
        <v>0.3</v>
      </c>
      <c r="V70" s="153">
        <f>R70</f>
        <v>2254.990995</v>
      </c>
      <c r="W70" s="154">
        <v>0.5</v>
      </c>
      <c r="X70" s="155">
        <f>Y70/31</f>
        <v>0.15</v>
      </c>
      <c r="Y70" s="153">
        <f>S70*W70</f>
        <v>4.65</v>
      </c>
      <c r="Z70" s="153">
        <f>Y70*G70*1.5</f>
        <v>1127.4954975</v>
      </c>
      <c r="AA70" s="154">
        <v>0.5</v>
      </c>
      <c r="AB70" s="155">
        <f>AC70/31</f>
        <v>0.15</v>
      </c>
      <c r="AC70" s="153">
        <f>S70*AA70</f>
        <v>4.65</v>
      </c>
      <c r="AD70" s="153">
        <f>G70*AC70*1.5</f>
        <v>1127.4954975</v>
      </c>
      <c r="AE70" s="156" t="s">
        <v>268</v>
      </c>
      <c r="AF70" s="158"/>
      <c r="AG70" s="157">
        <f>AC70/4</f>
        <v>1.1625</v>
      </c>
      <c r="AH70" s="157">
        <f t="shared" si="3"/>
        <v>1.1625</v>
      </c>
    </row>
    <row r="71" s="118" customFormat="1" ht="50" customHeight="1" spans="1:34">
      <c r="A71" s="151" t="s">
        <v>269</v>
      </c>
      <c r="B71" s="152" t="s">
        <v>270</v>
      </c>
      <c r="C71" s="152">
        <v>1</v>
      </c>
      <c r="D71" s="152" t="s">
        <v>34</v>
      </c>
      <c r="E71" s="152" t="s">
        <v>35</v>
      </c>
      <c r="F71" s="152" t="s">
        <v>110</v>
      </c>
      <c r="G71" s="152">
        <v>23.3068</v>
      </c>
      <c r="H71" s="152">
        <v>148</v>
      </c>
      <c r="I71" s="151"/>
      <c r="J71" s="151"/>
      <c r="K71" s="151">
        <v>142</v>
      </c>
      <c r="L71" s="151">
        <v>4906</v>
      </c>
      <c r="M71" s="153">
        <f>(H71-(I71*50))/50</f>
        <v>2.96</v>
      </c>
      <c r="N71" s="153">
        <f>31*(M71+I71)</f>
        <v>91.76</v>
      </c>
      <c r="O71" s="153">
        <f>N71*G71</f>
        <v>2138.631968</v>
      </c>
      <c r="P71" s="153">
        <f>(H71-(I71*90))/90</f>
        <v>1.64444444444444</v>
      </c>
      <c r="Q71" s="153">
        <f>31*(P71+I71)</f>
        <v>50.9777777777778</v>
      </c>
      <c r="R71" s="153">
        <f>(P71+I71)*31*G71*1.5</f>
        <v>1782.19330666667</v>
      </c>
      <c r="S71" s="153">
        <f>Q71</f>
        <v>50.9777777777778</v>
      </c>
      <c r="T71" s="153">
        <f>S71/31</f>
        <v>1.64444444444444</v>
      </c>
      <c r="U71" s="153">
        <f>T71-I71</f>
        <v>1.64444444444444</v>
      </c>
      <c r="V71" s="153">
        <f>R71</f>
        <v>1782.19330666667</v>
      </c>
      <c r="W71" s="154">
        <f>_xlfn.XLOOKUP(B71,Sheet5!G:G,Sheet5!H:H)</f>
        <v>0</v>
      </c>
      <c r="X71" s="155">
        <f>Y71/31</f>
        <v>0</v>
      </c>
      <c r="Y71" s="153">
        <f>S71*W71</f>
        <v>0</v>
      </c>
      <c r="Z71" s="153">
        <f>Y71*G71*1.5</f>
        <v>0</v>
      </c>
      <c r="AA71" s="154">
        <f>_xlfn.XLOOKUP(B71,Sheet5!G:G,Sheet5!I:I)</f>
        <v>1</v>
      </c>
      <c r="AB71" s="155">
        <f>AC71/31</f>
        <v>1.64444444444444</v>
      </c>
      <c r="AC71" s="153">
        <f>S71*AA71</f>
        <v>50.9777777777778</v>
      </c>
      <c r="AD71" s="153">
        <f>G71*AC71*1.5</f>
        <v>1782.19330666667</v>
      </c>
      <c r="AE71" s="156" t="s">
        <v>111</v>
      </c>
      <c r="AF71" s="151" t="s">
        <v>112</v>
      </c>
      <c r="AG71" s="157">
        <f>AC71/4</f>
        <v>12.7444444444444</v>
      </c>
      <c r="AH71" s="157">
        <f t="shared" si="3"/>
        <v>0</v>
      </c>
    </row>
    <row r="72" s="118" customFormat="1" ht="50" customHeight="1" spans="1:34">
      <c r="A72" s="151" t="s">
        <v>271</v>
      </c>
      <c r="B72" s="152" t="s">
        <v>272</v>
      </c>
      <c r="C72" s="152">
        <v>1</v>
      </c>
      <c r="D72" s="152" t="s">
        <v>34</v>
      </c>
      <c r="E72" s="152" t="s">
        <v>35</v>
      </c>
      <c r="F72" s="152" t="s">
        <v>259</v>
      </c>
      <c r="G72" s="152">
        <v>33.12</v>
      </c>
      <c r="H72" s="152">
        <v>99</v>
      </c>
      <c r="I72" s="151"/>
      <c r="J72" s="151"/>
      <c r="K72" s="151">
        <v>98</v>
      </c>
      <c r="L72" s="151">
        <v>4852</v>
      </c>
      <c r="M72" s="153">
        <f>(H72-(I72*50))/50</f>
        <v>1.98</v>
      </c>
      <c r="N72" s="153">
        <f>31*(M72+I72)</f>
        <v>61.38</v>
      </c>
      <c r="O72" s="153">
        <f>N72*G72</f>
        <v>2032.9056</v>
      </c>
      <c r="P72" s="153">
        <f>(H72-(I72*90))/90</f>
        <v>1.1</v>
      </c>
      <c r="Q72" s="153">
        <f>31*(P72+I72)</f>
        <v>34.1</v>
      </c>
      <c r="R72" s="153">
        <f>(P72+I72)*31*G72*1.5</f>
        <v>1694.088</v>
      </c>
      <c r="S72" s="153">
        <f>Q72</f>
        <v>34.1</v>
      </c>
      <c r="T72" s="153">
        <f>S72/31</f>
        <v>1.1</v>
      </c>
      <c r="U72" s="153">
        <f>T72-I72</f>
        <v>1.1</v>
      </c>
      <c r="V72" s="153">
        <f>R72</f>
        <v>1694.088</v>
      </c>
      <c r="W72" s="154">
        <f>_xlfn.XLOOKUP(B72,Sheet5!G:G,Sheet5!H:H)</f>
        <v>1</v>
      </c>
      <c r="X72" s="155">
        <f>Y72/31</f>
        <v>1.1</v>
      </c>
      <c r="Y72" s="153">
        <f>S72*W72</f>
        <v>34.1</v>
      </c>
      <c r="Z72" s="153">
        <f>Y72*G72*1.5</f>
        <v>1694.088</v>
      </c>
      <c r="AA72" s="154">
        <f>_xlfn.XLOOKUP(B72,Sheet5!G:G,Sheet5!I:I)</f>
        <v>0</v>
      </c>
      <c r="AB72" s="155">
        <f>AC72/31</f>
        <v>0</v>
      </c>
      <c r="AC72" s="153">
        <f>S72*AA72</f>
        <v>0</v>
      </c>
      <c r="AD72" s="153">
        <f>G72*AC72*1.5</f>
        <v>0</v>
      </c>
      <c r="AE72" s="156" t="s">
        <v>130</v>
      </c>
      <c r="AF72" s="151" t="s">
        <v>273</v>
      </c>
      <c r="AG72" s="157">
        <f>AC72/4</f>
        <v>0</v>
      </c>
      <c r="AH72" s="157">
        <f t="shared" si="3"/>
        <v>8.525</v>
      </c>
    </row>
    <row r="73" s="118" customFormat="1" ht="50" customHeight="1" spans="1:34">
      <c r="A73" s="151" t="s">
        <v>274</v>
      </c>
      <c r="B73" s="152" t="s">
        <v>275</v>
      </c>
      <c r="C73" s="152">
        <v>1</v>
      </c>
      <c r="D73" s="152" t="s">
        <v>34</v>
      </c>
      <c r="E73" s="152" t="s">
        <v>35</v>
      </c>
      <c r="F73" s="152" t="s">
        <v>110</v>
      </c>
      <c r="G73" s="152">
        <v>24.6968</v>
      </c>
      <c r="H73" s="152">
        <v>533</v>
      </c>
      <c r="I73" s="151">
        <v>6</v>
      </c>
      <c r="J73" s="151">
        <v>88</v>
      </c>
      <c r="K73" s="151">
        <v>185</v>
      </c>
      <c r="L73" s="151">
        <v>4569</v>
      </c>
      <c r="M73" s="153">
        <f>(H73-(I73*50))/50</f>
        <v>4.66</v>
      </c>
      <c r="N73" s="153">
        <f>31*(M73+I73)</f>
        <v>330.46</v>
      </c>
      <c r="O73" s="153">
        <f>N73*G73</f>
        <v>8161.304528</v>
      </c>
      <c r="P73" s="153">
        <f>(H73-(I73*90))/90</f>
        <v>-0.0777777777777778</v>
      </c>
      <c r="Q73" s="153">
        <f>31*(P73+I73)</f>
        <v>183.588888888889</v>
      </c>
      <c r="R73" s="153">
        <f>(P73+I73)*31*G73*1.5</f>
        <v>6801.08710666667</v>
      </c>
      <c r="S73" s="153">
        <f>Q73</f>
        <v>183.588888888889</v>
      </c>
      <c r="T73" s="153">
        <f>S73/31</f>
        <v>5.92222222222222</v>
      </c>
      <c r="U73" s="153">
        <f>T73-I73</f>
        <v>-0.0777777777777775</v>
      </c>
      <c r="V73" s="153">
        <f>R73</f>
        <v>6801.08710666667</v>
      </c>
      <c r="W73" s="154">
        <f>_xlfn.XLOOKUP(B73,Sheet5!G:G,Sheet5!H:H)</f>
        <v>0.147368421052632</v>
      </c>
      <c r="X73" s="155">
        <f>Y73/31</f>
        <v>0.872748538011698</v>
      </c>
      <c r="Y73" s="153">
        <f>S73*W73</f>
        <v>27.0552046783627</v>
      </c>
      <c r="Z73" s="153">
        <f>Y73*G73*1.5</f>
        <v>1002.26546835088</v>
      </c>
      <c r="AA73" s="154">
        <f>_xlfn.XLOOKUP(B73,Sheet5!G:G,Sheet5!I:I)</f>
        <v>0.852631578947368</v>
      </c>
      <c r="AB73" s="155">
        <f>AC73/31</f>
        <v>5.04947368421052</v>
      </c>
      <c r="AC73" s="153">
        <f>S73*AA73</f>
        <v>156.533684210526</v>
      </c>
      <c r="AD73" s="153">
        <f>G73*AC73*1.5</f>
        <v>5798.82163831579</v>
      </c>
      <c r="AE73" s="156" t="s">
        <v>111</v>
      </c>
      <c r="AF73" s="151" t="s">
        <v>112</v>
      </c>
      <c r="AG73" s="157">
        <f>AC73/4</f>
        <v>39.1334210526316</v>
      </c>
      <c r="AH73" s="157">
        <f t="shared" si="3"/>
        <v>6.76380116959066</v>
      </c>
    </row>
    <row r="74" s="118" customFormat="1" ht="50" customHeight="1" spans="1:34">
      <c r="A74" s="151" t="s">
        <v>276</v>
      </c>
      <c r="B74" s="152" t="s">
        <v>277</v>
      </c>
      <c r="C74" s="152">
        <v>1</v>
      </c>
      <c r="D74" s="152" t="s">
        <v>34</v>
      </c>
      <c r="E74" s="152" t="s">
        <v>51</v>
      </c>
      <c r="F74" s="152" t="s">
        <v>239</v>
      </c>
      <c r="G74" s="152">
        <v>98.31</v>
      </c>
      <c r="H74" s="152">
        <v>37</v>
      </c>
      <c r="I74" s="151"/>
      <c r="J74" s="151"/>
      <c r="K74" s="151">
        <v>32</v>
      </c>
      <c r="L74" s="151">
        <v>4522</v>
      </c>
      <c r="M74" s="153">
        <f>(H74-(I74*50))/50</f>
        <v>0.74</v>
      </c>
      <c r="N74" s="153">
        <f>31*(M74+I74)</f>
        <v>22.94</v>
      </c>
      <c r="O74" s="153">
        <f>N74*G74</f>
        <v>2255.2314</v>
      </c>
      <c r="P74" s="153">
        <f>(H74-(I74*90))/90</f>
        <v>0.411111111111111</v>
      </c>
      <c r="Q74" s="153">
        <f>31*(P74+I74)</f>
        <v>12.7444444444444</v>
      </c>
      <c r="R74" s="153">
        <f>(P74+I74)*31*G74*1.5</f>
        <v>1879.3595</v>
      </c>
      <c r="S74" s="153">
        <f>Q74</f>
        <v>12.7444444444444</v>
      </c>
      <c r="T74" s="153">
        <f>S74/31</f>
        <v>0.411111111111111</v>
      </c>
      <c r="U74" s="153">
        <f>T74-I74</f>
        <v>0.411111111111111</v>
      </c>
      <c r="V74" s="153">
        <f>R74</f>
        <v>1879.3595</v>
      </c>
      <c r="W74" s="154">
        <f>_xlfn.XLOOKUP(B74,Sheet5!G:G,Sheet5!H:H)</f>
        <v>0</v>
      </c>
      <c r="X74" s="155">
        <f>Y74/31</f>
        <v>0</v>
      </c>
      <c r="Y74" s="153">
        <f>S74*W74</f>
        <v>0</v>
      </c>
      <c r="Z74" s="153">
        <f>Y74*G74*1.5</f>
        <v>0</v>
      </c>
      <c r="AA74" s="154">
        <f>_xlfn.XLOOKUP(B74,Sheet5!G:G,Sheet5!I:I)</f>
        <v>1</v>
      </c>
      <c r="AB74" s="155">
        <f>AC74/31</f>
        <v>0.411111111111111</v>
      </c>
      <c r="AC74" s="153">
        <f>S74*AA74</f>
        <v>12.7444444444444</v>
      </c>
      <c r="AD74" s="153">
        <f>G74*AC74*1.5</f>
        <v>1879.3595</v>
      </c>
      <c r="AE74" s="156" t="s">
        <v>278</v>
      </c>
      <c r="AF74" s="158"/>
      <c r="AG74" s="157">
        <f>AC74/4</f>
        <v>3.18611111111111</v>
      </c>
      <c r="AH74" s="157">
        <f t="shared" si="3"/>
        <v>0</v>
      </c>
    </row>
    <row r="75" s="118" customFormat="1" ht="50" customHeight="1" spans="1:34">
      <c r="A75" s="151" t="s">
        <v>279</v>
      </c>
      <c r="B75" s="152" t="s">
        <v>280</v>
      </c>
      <c r="C75" s="152">
        <v>1</v>
      </c>
      <c r="D75" s="152" t="s">
        <v>34</v>
      </c>
      <c r="E75" s="152" t="s">
        <v>35</v>
      </c>
      <c r="F75" s="152" t="s">
        <v>259</v>
      </c>
      <c r="G75" s="152">
        <v>28.7</v>
      </c>
      <c r="H75" s="152">
        <v>100</v>
      </c>
      <c r="I75" s="151"/>
      <c r="J75" s="151"/>
      <c r="K75" s="151">
        <v>100</v>
      </c>
      <c r="L75" s="151">
        <v>4305</v>
      </c>
      <c r="M75" s="153">
        <f>(H75-(I75*50))/50</f>
        <v>2</v>
      </c>
      <c r="N75" s="153">
        <f>31*(M75+I75)</f>
        <v>62</v>
      </c>
      <c r="O75" s="153">
        <f>N75*G75</f>
        <v>1779.4</v>
      </c>
      <c r="P75" s="153">
        <f>(H75-(I75*90))/90</f>
        <v>1.11111111111111</v>
      </c>
      <c r="Q75" s="153">
        <f>31*(P75+I75)</f>
        <v>34.4444444444444</v>
      </c>
      <c r="R75" s="153">
        <f>(P75+I75)*31*G75*1.5</f>
        <v>1482.83333333333</v>
      </c>
      <c r="S75" s="153">
        <f>Q75</f>
        <v>34.4444444444444</v>
      </c>
      <c r="T75" s="153">
        <f>S75/31</f>
        <v>1.11111111111111</v>
      </c>
      <c r="U75" s="153">
        <f>T75-I75</f>
        <v>1.11111111111111</v>
      </c>
      <c r="V75" s="153">
        <f>R75</f>
        <v>1482.83333333333</v>
      </c>
      <c r="W75" s="154">
        <f>_xlfn.XLOOKUP(B75,Sheet5!G:G,Sheet5!H:H)</f>
        <v>0</v>
      </c>
      <c r="X75" s="155">
        <f>Y75/31</f>
        <v>0</v>
      </c>
      <c r="Y75" s="153">
        <f>S75*W75</f>
        <v>0</v>
      </c>
      <c r="Z75" s="153">
        <f>Y75*G75*1.5</f>
        <v>0</v>
      </c>
      <c r="AA75" s="154">
        <f>_xlfn.XLOOKUP(B75,Sheet5!G:G,Sheet5!I:I)</f>
        <v>0</v>
      </c>
      <c r="AB75" s="155">
        <f>AC75/31</f>
        <v>0</v>
      </c>
      <c r="AC75" s="153">
        <f>S75*AA75</f>
        <v>0</v>
      </c>
      <c r="AD75" s="153">
        <f>G75*AC75*1.5</f>
        <v>0</v>
      </c>
      <c r="AE75" s="156" t="s">
        <v>130</v>
      </c>
      <c r="AF75" s="151" t="s">
        <v>273</v>
      </c>
      <c r="AG75" s="157">
        <f>AC75/4</f>
        <v>0</v>
      </c>
      <c r="AH75" s="157">
        <f t="shared" si="3"/>
        <v>0</v>
      </c>
    </row>
    <row r="76" s="118" customFormat="1" ht="50" customHeight="1" spans="1:34">
      <c r="A76" s="151" t="s">
        <v>281</v>
      </c>
      <c r="B76" s="152" t="s">
        <v>282</v>
      </c>
      <c r="C76" s="152">
        <v>1</v>
      </c>
      <c r="D76" s="152" t="s">
        <v>34</v>
      </c>
      <c r="E76" s="152" t="s">
        <v>51</v>
      </c>
      <c r="F76" s="152" t="s">
        <v>283</v>
      </c>
      <c r="G76" s="152">
        <v>90.64</v>
      </c>
      <c r="H76" s="152">
        <v>100</v>
      </c>
      <c r="I76" s="151">
        <v>1</v>
      </c>
      <c r="J76" s="151">
        <v>100</v>
      </c>
      <c r="K76" s="151">
        <v>45</v>
      </c>
      <c r="L76" s="151">
        <v>4124</v>
      </c>
      <c r="M76" s="153">
        <f>(H76-(I76*50))/50</f>
        <v>1</v>
      </c>
      <c r="N76" s="153">
        <f>31*(M76+I76)</f>
        <v>62</v>
      </c>
      <c r="O76" s="153">
        <f>N76*G76</f>
        <v>5619.68</v>
      </c>
      <c r="P76" s="153">
        <f>(H76-(I76*90))/90</f>
        <v>0.111111111111111</v>
      </c>
      <c r="Q76" s="153">
        <f>31*(P76+I76)</f>
        <v>34.4444444444444</v>
      </c>
      <c r="R76" s="153">
        <f>(P76+I76)*31*G76*1.5</f>
        <v>4683.06666666667</v>
      </c>
      <c r="S76" s="153">
        <f>Q76</f>
        <v>34.4444444444444</v>
      </c>
      <c r="T76" s="153">
        <f>S76/31</f>
        <v>1.11111111111111</v>
      </c>
      <c r="U76" s="153">
        <f>T76-I76</f>
        <v>0.111111111111111</v>
      </c>
      <c r="V76" s="153">
        <f>R76</f>
        <v>4683.06666666667</v>
      </c>
      <c r="W76" s="154">
        <f>_xlfn.XLOOKUP(B76,Sheet5!G:G,Sheet5!H:H)</f>
        <v>0.375</v>
      </c>
      <c r="X76" s="155">
        <f>Y76/31</f>
        <v>0.416666666666667</v>
      </c>
      <c r="Y76" s="153">
        <f>S76*W76</f>
        <v>12.9166666666667</v>
      </c>
      <c r="Z76" s="153">
        <f>Y76*G76*1.5</f>
        <v>1756.15</v>
      </c>
      <c r="AA76" s="154">
        <f>_xlfn.XLOOKUP(B76,Sheet5!G:G,Sheet5!I:I)</f>
        <v>0.625</v>
      </c>
      <c r="AB76" s="155">
        <f>AC76/31</f>
        <v>0.694444444444444</v>
      </c>
      <c r="AC76" s="153">
        <f>S76*AA76</f>
        <v>21.5277777777778</v>
      </c>
      <c r="AD76" s="153">
        <f>G76*AC76*1.5</f>
        <v>2926.91666666667</v>
      </c>
      <c r="AE76" s="159"/>
      <c r="AF76" s="158"/>
      <c r="AG76" s="157">
        <f>AC76/4</f>
        <v>5.38194444444444</v>
      </c>
      <c r="AH76" s="157">
        <f t="shared" si="3"/>
        <v>3.22916666666667</v>
      </c>
    </row>
    <row r="77" s="118" customFormat="1" ht="50" customHeight="1" spans="1:34">
      <c r="A77" s="151" t="s">
        <v>284</v>
      </c>
      <c r="B77" s="152" t="s">
        <v>285</v>
      </c>
      <c r="C77" s="152">
        <v>1</v>
      </c>
      <c r="D77" s="152" t="s">
        <v>34</v>
      </c>
      <c r="E77" s="152" t="s">
        <v>51</v>
      </c>
      <c r="F77" s="152" t="s">
        <v>286</v>
      </c>
      <c r="G77" s="152">
        <v>19.49</v>
      </c>
      <c r="H77" s="152">
        <v>283</v>
      </c>
      <c r="I77" s="151">
        <v>2</v>
      </c>
      <c r="J77" s="151">
        <v>141</v>
      </c>
      <c r="K77" s="151">
        <v>168</v>
      </c>
      <c r="L77" s="151">
        <v>4015</v>
      </c>
      <c r="M77" s="153">
        <f>(H77-(I77*50))/50</f>
        <v>3.66</v>
      </c>
      <c r="N77" s="153">
        <f>31*(M77+I77)</f>
        <v>175.46</v>
      </c>
      <c r="O77" s="153">
        <f>N77*G77</f>
        <v>3419.7154</v>
      </c>
      <c r="P77" s="153">
        <f>(H77-(I77*90))/90</f>
        <v>1.14444444444444</v>
      </c>
      <c r="Q77" s="153">
        <f>31*(P77+I77)</f>
        <v>97.4777777777778</v>
      </c>
      <c r="R77" s="153">
        <f>(P77+I77)*31*G77*1.5</f>
        <v>2849.76283333333</v>
      </c>
      <c r="S77" s="153">
        <f>Q77</f>
        <v>97.4777777777778</v>
      </c>
      <c r="T77" s="153">
        <f>S77/31</f>
        <v>3.14444444444444</v>
      </c>
      <c r="U77" s="153">
        <f>T77-I77</f>
        <v>1.14444444444444</v>
      </c>
      <c r="V77" s="153">
        <f>R77</f>
        <v>2849.76283333333</v>
      </c>
      <c r="W77" s="154">
        <f>_xlfn.XLOOKUP(B77,Sheet5!G:G,Sheet5!H:H)</f>
        <v>0.625</v>
      </c>
      <c r="X77" s="155">
        <f>Y77/31</f>
        <v>1.96527777777778</v>
      </c>
      <c r="Y77" s="153">
        <f>S77*W77</f>
        <v>60.9236111111111</v>
      </c>
      <c r="Z77" s="153">
        <f>Y77*G77*1.5</f>
        <v>1781.10177083333</v>
      </c>
      <c r="AA77" s="154">
        <f>_xlfn.XLOOKUP(B77,Sheet5!G:G,Sheet5!I:I)</f>
        <v>0.375</v>
      </c>
      <c r="AB77" s="155">
        <f>AC77/31</f>
        <v>1.17916666666667</v>
      </c>
      <c r="AC77" s="153">
        <f>S77*AA77</f>
        <v>36.5541666666667</v>
      </c>
      <c r="AD77" s="153">
        <f>G77*AC77*1.5</f>
        <v>1068.6610625</v>
      </c>
      <c r="AE77" s="159"/>
      <c r="AF77" s="158"/>
      <c r="AG77" s="157">
        <f>AC77/4</f>
        <v>9.13854166666667</v>
      </c>
      <c r="AH77" s="157">
        <f t="shared" si="3"/>
        <v>15.2309027777778</v>
      </c>
    </row>
    <row r="78" s="118" customFormat="1" ht="50" customHeight="1" spans="1:34">
      <c r="A78" s="151" t="s">
        <v>287</v>
      </c>
      <c r="B78" s="152" t="s">
        <v>288</v>
      </c>
      <c r="C78" s="152">
        <v>1</v>
      </c>
      <c r="D78" s="152" t="s">
        <v>34</v>
      </c>
      <c r="E78" s="152" t="s">
        <v>51</v>
      </c>
      <c r="F78" s="152" t="s">
        <v>283</v>
      </c>
      <c r="G78" s="152">
        <v>99.9308</v>
      </c>
      <c r="H78" s="152">
        <v>237</v>
      </c>
      <c r="I78" s="151">
        <v>3</v>
      </c>
      <c r="J78" s="151">
        <v>79</v>
      </c>
      <c r="K78" s="151">
        <v>40</v>
      </c>
      <c r="L78" s="151">
        <v>3997</v>
      </c>
      <c r="M78" s="153">
        <f>(H78-(I78*50))/50</f>
        <v>1.74</v>
      </c>
      <c r="N78" s="153">
        <f>31*(M78+I78)</f>
        <v>146.94</v>
      </c>
      <c r="O78" s="153">
        <f>N78*G78</f>
        <v>14683.831752</v>
      </c>
      <c r="P78" s="153">
        <f>(H78-(I78*90))/90</f>
        <v>-0.366666666666667</v>
      </c>
      <c r="Q78" s="153">
        <f>31*(P78+I78)</f>
        <v>81.6333333333333</v>
      </c>
      <c r="R78" s="153">
        <f>(P78+I78)*31*G78*1.5</f>
        <v>12236.52646</v>
      </c>
      <c r="S78" s="153">
        <f>Q78</f>
        <v>81.6333333333333</v>
      </c>
      <c r="T78" s="153">
        <f>S78/31</f>
        <v>2.63333333333333</v>
      </c>
      <c r="U78" s="153">
        <f>T78-I78</f>
        <v>-0.366666666666667</v>
      </c>
      <c r="V78" s="153">
        <f>R78</f>
        <v>12236.52646</v>
      </c>
      <c r="W78" s="154">
        <f>_xlfn.XLOOKUP(B78,Sheet5!G:G,Sheet5!H:H)</f>
        <v>0.318181818181818</v>
      </c>
      <c r="X78" s="155">
        <f>Y78/31</f>
        <v>0.837878787878787</v>
      </c>
      <c r="Y78" s="153">
        <f>S78*W78</f>
        <v>25.9742424242424</v>
      </c>
      <c r="Z78" s="153">
        <f>Y78*G78*1.5</f>
        <v>3893.44023727273</v>
      </c>
      <c r="AA78" s="154">
        <f>_xlfn.XLOOKUP(B78,Sheet5!G:G,Sheet5!I:I)</f>
        <v>0.681818181818182</v>
      </c>
      <c r="AB78" s="155">
        <f>AC78/31</f>
        <v>1.79545454545455</v>
      </c>
      <c r="AC78" s="153">
        <f>S78*AA78</f>
        <v>55.6590909090909</v>
      </c>
      <c r="AD78" s="153">
        <f>G78*AC78*1.5</f>
        <v>8343.08622272727</v>
      </c>
      <c r="AE78" s="156" t="s">
        <v>115</v>
      </c>
      <c r="AF78" s="158"/>
      <c r="AG78" s="157">
        <f>AC78/4</f>
        <v>13.9147727272727</v>
      </c>
      <c r="AH78" s="157">
        <f t="shared" si="3"/>
        <v>6.4935606060606</v>
      </c>
    </row>
    <row r="79" s="118" customFormat="1" ht="50" customHeight="1" spans="1:34">
      <c r="A79" s="151" t="s">
        <v>289</v>
      </c>
      <c r="B79" s="152" t="s">
        <v>290</v>
      </c>
      <c r="C79" s="152">
        <v>1</v>
      </c>
      <c r="D79" s="152" t="s">
        <v>34</v>
      </c>
      <c r="E79" s="152" t="s">
        <v>35</v>
      </c>
      <c r="F79" s="152" t="s">
        <v>171</v>
      </c>
      <c r="G79" s="152">
        <v>46.18</v>
      </c>
      <c r="H79" s="152">
        <v>59</v>
      </c>
      <c r="I79" s="151"/>
      <c r="J79" s="151"/>
      <c r="K79" s="151">
        <v>58</v>
      </c>
      <c r="L79" s="151">
        <v>3995</v>
      </c>
      <c r="M79" s="153">
        <f>(H79-(I79*50))/50</f>
        <v>1.18</v>
      </c>
      <c r="N79" s="153">
        <f>31*(M79+I79)</f>
        <v>36.58</v>
      </c>
      <c r="O79" s="153">
        <f>N79*G79</f>
        <v>1689.2644</v>
      </c>
      <c r="P79" s="153">
        <f>(H79-(I79*90))/90</f>
        <v>0.655555555555556</v>
      </c>
      <c r="Q79" s="153">
        <f>31*(P79+I79)</f>
        <v>20.3222222222222</v>
      </c>
      <c r="R79" s="153">
        <f>(P79+I79)*31*G79*1.5</f>
        <v>1407.72033333333</v>
      </c>
      <c r="S79" s="153">
        <f>Q79</f>
        <v>20.3222222222222</v>
      </c>
      <c r="T79" s="153">
        <f>S79/31</f>
        <v>0.655555555555556</v>
      </c>
      <c r="U79" s="153">
        <f>T79-I79</f>
        <v>0.655555555555556</v>
      </c>
      <c r="V79" s="153">
        <f>R79</f>
        <v>1407.72033333333</v>
      </c>
      <c r="W79" s="154">
        <f>_xlfn.XLOOKUP(B79,Sheet5!G:G,Sheet5!H:H)</f>
        <v>1</v>
      </c>
      <c r="X79" s="155">
        <f>Y79/31</f>
        <v>0.655555555555556</v>
      </c>
      <c r="Y79" s="153">
        <f>S79*W79</f>
        <v>20.3222222222222</v>
      </c>
      <c r="Z79" s="153">
        <f>Y79*G79*1.5</f>
        <v>1407.72033333333</v>
      </c>
      <c r="AA79" s="154">
        <f>_xlfn.XLOOKUP(B79,Sheet5!G:G,Sheet5!I:I)</f>
        <v>0</v>
      </c>
      <c r="AB79" s="155">
        <f>AC79/31</f>
        <v>0</v>
      </c>
      <c r="AC79" s="153">
        <f>S79*AA79</f>
        <v>0</v>
      </c>
      <c r="AD79" s="153">
        <f>G79*AC79*1.5</f>
        <v>0</v>
      </c>
      <c r="AE79" s="156" t="s">
        <v>130</v>
      </c>
      <c r="AF79" s="151" t="s">
        <v>173</v>
      </c>
      <c r="AG79" s="157">
        <f>AC79/4</f>
        <v>0</v>
      </c>
      <c r="AH79" s="157">
        <f t="shared" si="3"/>
        <v>5.08055555555556</v>
      </c>
    </row>
    <row r="80" s="118" customFormat="1" ht="50" customHeight="1" spans="1:34">
      <c r="A80" s="151" t="s">
        <v>291</v>
      </c>
      <c r="B80" s="152" t="s">
        <v>292</v>
      </c>
      <c r="C80" s="152">
        <v>1</v>
      </c>
      <c r="D80" s="152" t="s">
        <v>34</v>
      </c>
      <c r="E80" s="152" t="s">
        <v>51</v>
      </c>
      <c r="F80" s="152" t="s">
        <v>180</v>
      </c>
      <c r="G80" s="152">
        <v>110.29</v>
      </c>
      <c r="H80" s="152">
        <v>34</v>
      </c>
      <c r="I80" s="151"/>
      <c r="J80" s="151"/>
      <c r="K80" s="151">
        <v>26</v>
      </c>
      <c r="L80" s="151">
        <v>3915</v>
      </c>
      <c r="M80" s="153">
        <f>(H80-(I80*50))/50</f>
        <v>0.68</v>
      </c>
      <c r="N80" s="153">
        <f>31*(M80+I80)</f>
        <v>21.08</v>
      </c>
      <c r="O80" s="153">
        <f>N80*G80</f>
        <v>2324.9132</v>
      </c>
      <c r="P80" s="153">
        <f>(H80-(I80*90))/90</f>
        <v>0.377777777777778</v>
      </c>
      <c r="Q80" s="153">
        <f>31*(P80+I80)</f>
        <v>11.7111111111111</v>
      </c>
      <c r="R80" s="153">
        <f>(P80+I80)*31*G80*1.5</f>
        <v>1937.42766666667</v>
      </c>
      <c r="S80" s="153">
        <f>Q80</f>
        <v>11.7111111111111</v>
      </c>
      <c r="T80" s="153">
        <f>S80/31</f>
        <v>0.377777777777778</v>
      </c>
      <c r="U80" s="153">
        <f>T80-I80</f>
        <v>0.377777777777778</v>
      </c>
      <c r="V80" s="153">
        <f>R80</f>
        <v>1937.42766666667</v>
      </c>
      <c r="W80" s="154">
        <f>_xlfn.XLOOKUP(B80,Sheet5!G:G,Sheet5!H:H)</f>
        <v>0</v>
      </c>
      <c r="X80" s="155">
        <f>Y80/31</f>
        <v>0</v>
      </c>
      <c r="Y80" s="153">
        <f>S80*W80</f>
        <v>0</v>
      </c>
      <c r="Z80" s="153">
        <f>Y80*G80*1.5</f>
        <v>0</v>
      </c>
      <c r="AA80" s="154">
        <f>_xlfn.XLOOKUP(B80,Sheet5!G:G,Sheet5!I:I)</f>
        <v>1</v>
      </c>
      <c r="AB80" s="155">
        <f>AC80/31</f>
        <v>0.377777777777778</v>
      </c>
      <c r="AC80" s="153">
        <f>S80*AA80</f>
        <v>11.7111111111111</v>
      </c>
      <c r="AD80" s="153">
        <f>G80*AC80*1.5</f>
        <v>1937.42766666667</v>
      </c>
      <c r="AE80" s="156" t="s">
        <v>293</v>
      </c>
      <c r="AF80" s="158"/>
      <c r="AG80" s="157">
        <f>AC80/4</f>
        <v>2.92777777777778</v>
      </c>
      <c r="AH80" s="157">
        <f t="shared" si="3"/>
        <v>0</v>
      </c>
    </row>
    <row r="81" s="118" customFormat="1" ht="50" customHeight="1" spans="1:34">
      <c r="A81" s="151" t="s">
        <v>294</v>
      </c>
      <c r="B81" s="152" t="s">
        <v>295</v>
      </c>
      <c r="C81" s="152">
        <v>1</v>
      </c>
      <c r="D81" s="152" t="s">
        <v>34</v>
      </c>
      <c r="E81" s="152" t="s">
        <v>35</v>
      </c>
      <c r="F81" s="152" t="s">
        <v>219</v>
      </c>
      <c r="G81" s="152">
        <v>37.334</v>
      </c>
      <c r="H81" s="152">
        <v>150</v>
      </c>
      <c r="I81" s="151">
        <v>1</v>
      </c>
      <c r="J81" s="151">
        <v>150</v>
      </c>
      <c r="K81" s="151">
        <v>84</v>
      </c>
      <c r="L81" s="151">
        <v>3715</v>
      </c>
      <c r="M81" s="153">
        <f>(H81-(I81*50))/50</f>
        <v>2</v>
      </c>
      <c r="N81" s="153">
        <f>31*(M81+I81)</f>
        <v>93</v>
      </c>
      <c r="O81" s="153">
        <f>N81*G81</f>
        <v>3472.062</v>
      </c>
      <c r="P81" s="153">
        <f>(H81-(I81*90))/90</f>
        <v>0.666666666666667</v>
      </c>
      <c r="Q81" s="153">
        <f>31*(P81+I81)</f>
        <v>51.6666666666667</v>
      </c>
      <c r="R81" s="153">
        <f>(P81+I81)*31*G81*1.5</f>
        <v>2893.385</v>
      </c>
      <c r="S81" s="153">
        <f>Q81</f>
        <v>51.6666666666667</v>
      </c>
      <c r="T81" s="153">
        <f>S81/31</f>
        <v>1.66666666666667</v>
      </c>
      <c r="U81" s="153">
        <f>T81-I81</f>
        <v>0.666666666666667</v>
      </c>
      <c r="V81" s="153">
        <f>R81</f>
        <v>2893.385</v>
      </c>
      <c r="W81" s="154">
        <f>_xlfn.XLOOKUP(B81,Sheet5!G:G,Sheet5!H:H)</f>
        <v>0.619047619047619</v>
      </c>
      <c r="X81" s="155">
        <f>Y81/31</f>
        <v>1.03174603174603</v>
      </c>
      <c r="Y81" s="153">
        <f>S81*W81</f>
        <v>31.984126984127</v>
      </c>
      <c r="Z81" s="153">
        <f>Y81*G81*1.5</f>
        <v>1791.14309523809</v>
      </c>
      <c r="AA81" s="154">
        <f>_xlfn.XLOOKUP(B81,Sheet5!G:G,Sheet5!I:I)</f>
        <v>0.380952380952381</v>
      </c>
      <c r="AB81" s="155">
        <f>AC81/31</f>
        <v>0.634920634920635</v>
      </c>
      <c r="AC81" s="153">
        <f>S81*AA81</f>
        <v>19.6825396825397</v>
      </c>
      <c r="AD81" s="153">
        <f>G81*AC81*1.5</f>
        <v>1102.2419047619</v>
      </c>
      <c r="AE81" s="159"/>
      <c r="AF81" s="158"/>
      <c r="AG81" s="157">
        <f>AC81/4</f>
        <v>4.92063492063492</v>
      </c>
      <c r="AH81" s="157">
        <f t="shared" si="3"/>
        <v>7.99603174603174</v>
      </c>
    </row>
    <row r="82" s="118" customFormat="1" ht="50" customHeight="1" spans="1:34">
      <c r="A82" s="151" t="s">
        <v>296</v>
      </c>
      <c r="B82" s="152" t="s">
        <v>297</v>
      </c>
      <c r="C82" s="152">
        <v>1</v>
      </c>
      <c r="D82" s="152" t="s">
        <v>34</v>
      </c>
      <c r="E82" s="152" t="s">
        <v>35</v>
      </c>
      <c r="F82" s="152" t="s">
        <v>298</v>
      </c>
      <c r="G82" s="152">
        <v>352.5688</v>
      </c>
      <c r="H82" s="152">
        <v>11</v>
      </c>
      <c r="I82" s="151"/>
      <c r="J82" s="151"/>
      <c r="K82" s="151">
        <v>8</v>
      </c>
      <c r="L82" s="151">
        <v>3702</v>
      </c>
      <c r="M82" s="153">
        <f>(H82-(I82*50))/50</f>
        <v>0.22</v>
      </c>
      <c r="N82" s="153">
        <f>31*(M82+I82)</f>
        <v>6.82</v>
      </c>
      <c r="O82" s="153">
        <f>N82*G82</f>
        <v>2404.519216</v>
      </c>
      <c r="P82" s="153">
        <f>(H82-(I82*90))/90</f>
        <v>0.122222222222222</v>
      </c>
      <c r="Q82" s="153">
        <f>31*(P82+I82)</f>
        <v>3.78888888888889</v>
      </c>
      <c r="R82" s="153">
        <f>(P82+I82)*31*G82*1.5</f>
        <v>2003.76601333333</v>
      </c>
      <c r="S82" s="153">
        <f>Q82</f>
        <v>3.78888888888889</v>
      </c>
      <c r="T82" s="153">
        <f>S82/31</f>
        <v>0.122222222222222</v>
      </c>
      <c r="U82" s="153">
        <f>T82-I82</f>
        <v>0.122222222222222</v>
      </c>
      <c r="V82" s="153">
        <f>R82</f>
        <v>2003.76601333333</v>
      </c>
      <c r="W82" s="154">
        <f>_xlfn.XLOOKUP(B82,Sheet5!G:G,Sheet5!H:H)</f>
        <v>1</v>
      </c>
      <c r="X82" s="155">
        <f>Y82/31</f>
        <v>0.122222222222222</v>
      </c>
      <c r="Y82" s="153">
        <f>S82*W82</f>
        <v>3.78888888888889</v>
      </c>
      <c r="Z82" s="153">
        <f>Y82*G82*1.5</f>
        <v>2003.76601333333</v>
      </c>
      <c r="AA82" s="154">
        <f>_xlfn.XLOOKUP(B82,Sheet5!G:G,Sheet5!I:I)</f>
        <v>0</v>
      </c>
      <c r="AB82" s="155">
        <f>AC82/31</f>
        <v>0</v>
      </c>
      <c r="AC82" s="153">
        <f>S82*AA82</f>
        <v>0</v>
      </c>
      <c r="AD82" s="153">
        <f>G82*AC82*1.5</f>
        <v>0</v>
      </c>
      <c r="AE82" s="156" t="s">
        <v>299</v>
      </c>
      <c r="AF82" s="158"/>
      <c r="AG82" s="157">
        <f>AC82/4</f>
        <v>0</v>
      </c>
      <c r="AH82" s="157">
        <f t="shared" si="3"/>
        <v>0.947222222222222</v>
      </c>
    </row>
    <row r="83" s="118" customFormat="1" ht="50" customHeight="1" spans="1:34">
      <c r="A83" s="151" t="s">
        <v>300</v>
      </c>
      <c r="B83" s="152" t="s">
        <v>301</v>
      </c>
      <c r="C83" s="152">
        <v>1</v>
      </c>
      <c r="D83" s="152" t="s">
        <v>34</v>
      </c>
      <c r="E83" s="152" t="s">
        <v>35</v>
      </c>
      <c r="F83" s="152" t="s">
        <v>259</v>
      </c>
      <c r="G83" s="152">
        <v>91.27</v>
      </c>
      <c r="H83" s="152">
        <v>33</v>
      </c>
      <c r="I83" s="151"/>
      <c r="J83" s="151"/>
      <c r="K83" s="151">
        <v>28</v>
      </c>
      <c r="L83" s="151">
        <v>3651</v>
      </c>
      <c r="M83" s="153">
        <f>(H83-(I83*50))/50</f>
        <v>0.66</v>
      </c>
      <c r="N83" s="153">
        <f>31*(M83+I83)</f>
        <v>20.46</v>
      </c>
      <c r="O83" s="153">
        <f>N83*G83</f>
        <v>1867.3842</v>
      </c>
      <c r="P83" s="153">
        <f>(H83-(I83*90))/90</f>
        <v>0.366666666666667</v>
      </c>
      <c r="Q83" s="153">
        <f>31*(P83+I83)</f>
        <v>11.3666666666667</v>
      </c>
      <c r="R83" s="153">
        <f>(P83+I83)*31*G83*1.5</f>
        <v>1556.1535</v>
      </c>
      <c r="S83" s="153">
        <f>Q83</f>
        <v>11.3666666666667</v>
      </c>
      <c r="T83" s="153">
        <f>S83/31</f>
        <v>0.366666666666667</v>
      </c>
      <c r="U83" s="153">
        <f>T83-I83</f>
        <v>0.366666666666667</v>
      </c>
      <c r="V83" s="153">
        <f>R83</f>
        <v>1556.1535</v>
      </c>
      <c r="W83" s="154">
        <f>_xlfn.XLOOKUP(B83,Sheet5!G:G,Sheet5!H:H)</f>
        <v>1</v>
      </c>
      <c r="X83" s="155">
        <f>Y83/31</f>
        <v>0.366666666666667</v>
      </c>
      <c r="Y83" s="153">
        <f>S83*W83</f>
        <v>11.3666666666667</v>
      </c>
      <c r="Z83" s="153">
        <f>Y83*G83*1.5</f>
        <v>1556.1535</v>
      </c>
      <c r="AA83" s="154">
        <f>_xlfn.XLOOKUP(B83,Sheet5!G:G,Sheet5!I:I)</f>
        <v>0</v>
      </c>
      <c r="AB83" s="155">
        <f>AC83/31</f>
        <v>0</v>
      </c>
      <c r="AC83" s="153">
        <f>S83*AA83</f>
        <v>0</v>
      </c>
      <c r="AD83" s="153">
        <f>G83*AC83*1.5</f>
        <v>0</v>
      </c>
      <c r="AE83" s="156" t="s">
        <v>130</v>
      </c>
      <c r="AF83" s="151" t="s">
        <v>136</v>
      </c>
      <c r="AG83" s="157">
        <f>AC83/4</f>
        <v>0</v>
      </c>
      <c r="AH83" s="157">
        <f t="shared" si="3"/>
        <v>2.84166666666667</v>
      </c>
    </row>
    <row r="84" s="118" customFormat="1" ht="50" customHeight="1" spans="1:34">
      <c r="A84" s="151" t="s">
        <v>302</v>
      </c>
      <c r="B84" s="152" t="s">
        <v>303</v>
      </c>
      <c r="C84" s="152">
        <v>1</v>
      </c>
      <c r="D84" s="152" t="s">
        <v>34</v>
      </c>
      <c r="E84" s="152" t="s">
        <v>51</v>
      </c>
      <c r="F84" s="152" t="s">
        <v>283</v>
      </c>
      <c r="G84" s="152">
        <v>99.4908</v>
      </c>
      <c r="H84" s="152">
        <v>92</v>
      </c>
      <c r="I84" s="151">
        <v>1</v>
      </c>
      <c r="J84" s="151">
        <v>92</v>
      </c>
      <c r="K84" s="151">
        <v>36</v>
      </c>
      <c r="L84" s="151">
        <v>3582</v>
      </c>
      <c r="M84" s="153">
        <f>(H84-(I84*50))/50</f>
        <v>0.84</v>
      </c>
      <c r="N84" s="153">
        <f>31*(M84+I84)</f>
        <v>57.04</v>
      </c>
      <c r="O84" s="153">
        <f>N84*G84</f>
        <v>5674.955232</v>
      </c>
      <c r="P84" s="153">
        <f>(H84-(I84*90))/90</f>
        <v>0.0222222222222222</v>
      </c>
      <c r="Q84" s="153">
        <f>31*(P84+I84)</f>
        <v>31.6888888888889</v>
      </c>
      <c r="R84" s="153">
        <f>(P84+I84)*31*G84*1.5</f>
        <v>4729.12936</v>
      </c>
      <c r="S84" s="153">
        <f>Q84</f>
        <v>31.6888888888889</v>
      </c>
      <c r="T84" s="153">
        <f>S84/31</f>
        <v>1.02222222222222</v>
      </c>
      <c r="U84" s="153">
        <f>T84-I84</f>
        <v>0.0222222222222221</v>
      </c>
      <c r="V84" s="153">
        <f>R84</f>
        <v>4729.12936</v>
      </c>
      <c r="W84" s="154">
        <f>_xlfn.XLOOKUP(B84,Sheet5!G:G,Sheet5!H:H)</f>
        <v>0.0909090909090909</v>
      </c>
      <c r="X84" s="155">
        <f>Y84/31</f>
        <v>0.0929292929292929</v>
      </c>
      <c r="Y84" s="153">
        <f>S84*W84</f>
        <v>2.88080808080808</v>
      </c>
      <c r="Z84" s="153">
        <f>Y84*G84*1.5</f>
        <v>429.920850909091</v>
      </c>
      <c r="AA84" s="154">
        <f>_xlfn.XLOOKUP(B84,Sheet5!G:G,Sheet5!I:I)</f>
        <v>0.909090909090909</v>
      </c>
      <c r="AB84" s="155">
        <f>AC84/31</f>
        <v>0.929292929292929</v>
      </c>
      <c r="AC84" s="153">
        <f>S84*AA84</f>
        <v>28.8080808080808</v>
      </c>
      <c r="AD84" s="153">
        <f>G84*AC84*1.5</f>
        <v>4299.20850909091</v>
      </c>
      <c r="AE84" s="159"/>
      <c r="AF84" s="158"/>
      <c r="AG84" s="157">
        <f>AC84/4</f>
        <v>7.2020202020202</v>
      </c>
      <c r="AH84" s="157">
        <f t="shared" si="3"/>
        <v>0.72020202020202</v>
      </c>
    </row>
    <row r="85" s="118" customFormat="1" ht="50" customHeight="1" spans="1:34">
      <c r="A85" s="151" t="s">
        <v>304</v>
      </c>
      <c r="B85" s="152" t="s">
        <v>305</v>
      </c>
      <c r="C85" s="152">
        <v>1</v>
      </c>
      <c r="D85" s="152" t="s">
        <v>34</v>
      </c>
      <c r="E85" s="152" t="s">
        <v>35</v>
      </c>
      <c r="F85" s="152" t="s">
        <v>306</v>
      </c>
      <c r="G85" s="152">
        <v>70.61</v>
      </c>
      <c r="H85" s="152">
        <v>35</v>
      </c>
      <c r="I85" s="151"/>
      <c r="J85" s="151"/>
      <c r="K85" s="151">
        <v>34</v>
      </c>
      <c r="L85" s="151">
        <v>3566</v>
      </c>
      <c r="M85" s="153">
        <f>(H85-(I85*50))/50</f>
        <v>0.7</v>
      </c>
      <c r="N85" s="153">
        <f>31*(M85+I85)</f>
        <v>21.7</v>
      </c>
      <c r="O85" s="153">
        <f>N85*G85</f>
        <v>1532.237</v>
      </c>
      <c r="P85" s="153">
        <f>(H85-(I85*90))/90</f>
        <v>0.388888888888889</v>
      </c>
      <c r="Q85" s="153">
        <f>31*(P85+I85)</f>
        <v>12.0555555555556</v>
      </c>
      <c r="R85" s="153">
        <f>(P85+I85)*31*G85*1.5</f>
        <v>1276.86416666667</v>
      </c>
      <c r="S85" s="153">
        <f>Q85</f>
        <v>12.0555555555556</v>
      </c>
      <c r="T85" s="153">
        <f>S85/31</f>
        <v>0.388888888888889</v>
      </c>
      <c r="U85" s="153">
        <f>T85-I85</f>
        <v>0.388888888888889</v>
      </c>
      <c r="V85" s="153">
        <f>R85</f>
        <v>1276.86416666667</v>
      </c>
      <c r="W85" s="154">
        <f>_xlfn.XLOOKUP(B85,Sheet5!G:G,Sheet5!H:H)</f>
        <v>0</v>
      </c>
      <c r="X85" s="155">
        <f>Y85/31</f>
        <v>0</v>
      </c>
      <c r="Y85" s="153">
        <f>S85*W85</f>
        <v>0</v>
      </c>
      <c r="Z85" s="153">
        <f>Y85*G85*1.5</f>
        <v>0</v>
      </c>
      <c r="AA85" s="154">
        <f>_xlfn.XLOOKUP(B85,Sheet5!G:G,Sheet5!I:I)</f>
        <v>1</v>
      </c>
      <c r="AB85" s="155">
        <f>AC85/31</f>
        <v>0.388888888888889</v>
      </c>
      <c r="AC85" s="153">
        <f>S85*AA85</f>
        <v>12.0555555555556</v>
      </c>
      <c r="AD85" s="153">
        <f>G85*AC85*1.5</f>
        <v>1276.86416666667</v>
      </c>
      <c r="AE85" s="159"/>
      <c r="AF85" s="158"/>
      <c r="AG85" s="157">
        <f>AC85/4</f>
        <v>3.01388888888889</v>
      </c>
      <c r="AH85" s="157">
        <f t="shared" si="3"/>
        <v>0</v>
      </c>
    </row>
    <row r="86" s="118" customFormat="1" ht="50" customHeight="1" spans="1:34">
      <c r="A86" s="151" t="s">
        <v>307</v>
      </c>
      <c r="B86" s="152" t="s">
        <v>308</v>
      </c>
      <c r="C86" s="152">
        <v>1</v>
      </c>
      <c r="D86" s="152" t="s">
        <v>34</v>
      </c>
      <c r="E86" s="152" t="s">
        <v>51</v>
      </c>
      <c r="F86" s="152" t="s">
        <v>309</v>
      </c>
      <c r="G86" s="152">
        <v>16.07</v>
      </c>
      <c r="H86" s="152">
        <v>221</v>
      </c>
      <c r="I86" s="151">
        <v>1</v>
      </c>
      <c r="J86" s="151">
        <v>221</v>
      </c>
      <c r="K86" s="151">
        <v>161</v>
      </c>
      <c r="L86" s="151">
        <v>3495</v>
      </c>
      <c r="M86" s="153">
        <f>(H86-(I86*50))/50</f>
        <v>3.42</v>
      </c>
      <c r="N86" s="153">
        <f>31*(M86+I86)</f>
        <v>137.02</v>
      </c>
      <c r="O86" s="153">
        <f>N86*G86</f>
        <v>2201.9114</v>
      </c>
      <c r="P86" s="153">
        <f>(H86-(I86*90))/90</f>
        <v>1.45555555555556</v>
      </c>
      <c r="Q86" s="153">
        <f>31*(P86+I86)</f>
        <v>76.1222222222222</v>
      </c>
      <c r="R86" s="153">
        <f>(P86+I86)*31*G86*1.5</f>
        <v>1834.92616666667</v>
      </c>
      <c r="S86" s="153">
        <f>Q86</f>
        <v>76.1222222222222</v>
      </c>
      <c r="T86" s="153">
        <f>S86/31</f>
        <v>2.45555555555556</v>
      </c>
      <c r="U86" s="153">
        <f>T86-I86</f>
        <v>1.45555555555556</v>
      </c>
      <c r="V86" s="153">
        <f>R86</f>
        <v>1834.92616666667</v>
      </c>
      <c r="W86" s="154">
        <f>_xlfn.XLOOKUP(B86,Sheet5!G:G,Sheet5!H:H)</f>
        <v>0.388888888888889</v>
      </c>
      <c r="X86" s="155">
        <f>Y86/31</f>
        <v>0.954938271604939</v>
      </c>
      <c r="Y86" s="153">
        <f>S86*W86</f>
        <v>29.6030864197531</v>
      </c>
      <c r="Z86" s="153">
        <f>Y86*G86*1.5</f>
        <v>713.582398148149</v>
      </c>
      <c r="AA86" s="154">
        <f>_xlfn.XLOOKUP(B86,Sheet5!G:G,Sheet5!I:I)</f>
        <v>0.611111111111111</v>
      </c>
      <c r="AB86" s="155">
        <f>AC86/31</f>
        <v>1.50061728395062</v>
      </c>
      <c r="AC86" s="153">
        <f>S86*AA86</f>
        <v>46.5191358024691</v>
      </c>
      <c r="AD86" s="153">
        <f>G86*AC86*1.5</f>
        <v>1121.34376851852</v>
      </c>
      <c r="AE86" s="156" t="s">
        <v>310</v>
      </c>
      <c r="AF86" s="158"/>
      <c r="AG86" s="157">
        <f>AC86/4</f>
        <v>11.6297839506173</v>
      </c>
      <c r="AH86" s="157">
        <f t="shared" si="3"/>
        <v>7.40077160493828</v>
      </c>
    </row>
    <row r="87" s="118" customFormat="1" ht="50" customHeight="1" spans="1:34">
      <c r="A87" s="151" t="s">
        <v>311</v>
      </c>
      <c r="B87" s="152" t="s">
        <v>312</v>
      </c>
      <c r="C87" s="152">
        <v>1</v>
      </c>
      <c r="D87" s="152" t="s">
        <v>34</v>
      </c>
      <c r="E87" s="152" t="s">
        <v>51</v>
      </c>
      <c r="F87" s="152" t="s">
        <v>313</v>
      </c>
      <c r="G87" s="152">
        <v>40.43</v>
      </c>
      <c r="H87" s="152">
        <v>288</v>
      </c>
      <c r="I87" s="151">
        <v>4</v>
      </c>
      <c r="J87" s="151">
        <v>72</v>
      </c>
      <c r="K87" s="151">
        <v>85</v>
      </c>
      <c r="L87" s="151">
        <v>3437</v>
      </c>
      <c r="M87" s="153">
        <f>(H87-(I87*50))/50</f>
        <v>1.76</v>
      </c>
      <c r="N87" s="153">
        <f>31*(M87+I87)</f>
        <v>178.56</v>
      </c>
      <c r="O87" s="153">
        <f>N87*G87</f>
        <v>7219.1808</v>
      </c>
      <c r="P87" s="153">
        <f>(H87-(I87*90))/90</f>
        <v>-0.8</v>
      </c>
      <c r="Q87" s="153">
        <f>31*(P87+I87)</f>
        <v>99.2</v>
      </c>
      <c r="R87" s="153">
        <f>(P87+I87)*31*G87*1.5</f>
        <v>6015.984</v>
      </c>
      <c r="S87" s="153">
        <f>Q87</f>
        <v>99.2</v>
      </c>
      <c r="T87" s="153">
        <f>S87/31</f>
        <v>3.2</v>
      </c>
      <c r="U87" s="153">
        <f>T87-I87</f>
        <v>-0.8</v>
      </c>
      <c r="V87" s="153">
        <f>R87</f>
        <v>6015.984</v>
      </c>
      <c r="W87" s="154">
        <f>_xlfn.XLOOKUP(B87,Sheet5!G:G,Sheet5!H:H)</f>
        <v>0.7</v>
      </c>
      <c r="X87" s="155">
        <f>Y87/31</f>
        <v>2.24</v>
      </c>
      <c r="Y87" s="153">
        <f>S87*W87</f>
        <v>69.44</v>
      </c>
      <c r="Z87" s="153">
        <f>Y87*G87*1.5</f>
        <v>4211.1888</v>
      </c>
      <c r="AA87" s="154">
        <f>_xlfn.XLOOKUP(B87,Sheet5!G:G,Sheet5!I:I)</f>
        <v>0.3</v>
      </c>
      <c r="AB87" s="155">
        <f>AC87/31</f>
        <v>0.96</v>
      </c>
      <c r="AC87" s="153">
        <f>S87*AA87</f>
        <v>29.76</v>
      </c>
      <c r="AD87" s="153">
        <f>G87*AC87*1.5</f>
        <v>1804.7952</v>
      </c>
      <c r="AE87" s="156" t="s">
        <v>115</v>
      </c>
      <c r="AF87" s="158"/>
      <c r="AG87" s="157">
        <f>AC87/4</f>
        <v>7.44</v>
      </c>
      <c r="AH87" s="157">
        <f t="shared" si="3"/>
        <v>17.36</v>
      </c>
    </row>
    <row r="88" s="118" customFormat="1" ht="50" customHeight="1" spans="1:34">
      <c r="A88" s="151" t="s">
        <v>314</v>
      </c>
      <c r="B88" s="152" t="s">
        <v>315</v>
      </c>
      <c r="C88" s="152">
        <v>1</v>
      </c>
      <c r="D88" s="152" t="s">
        <v>34</v>
      </c>
      <c r="E88" s="152" t="s">
        <v>51</v>
      </c>
      <c r="F88" s="152" t="s">
        <v>316</v>
      </c>
      <c r="G88" s="152">
        <v>102.36</v>
      </c>
      <c r="H88" s="152">
        <v>47</v>
      </c>
      <c r="I88" s="151"/>
      <c r="J88" s="151"/>
      <c r="K88" s="151">
        <v>27</v>
      </c>
      <c r="L88" s="151">
        <v>3327</v>
      </c>
      <c r="M88" s="153">
        <f>(H88-(I88*50))/50</f>
        <v>0.94</v>
      </c>
      <c r="N88" s="153">
        <f>31*(M88+I88)</f>
        <v>29.14</v>
      </c>
      <c r="O88" s="153">
        <f>N88*G88</f>
        <v>2982.7704</v>
      </c>
      <c r="P88" s="153">
        <f>(H88-(I88*90))/90</f>
        <v>0.522222222222222</v>
      </c>
      <c r="Q88" s="153">
        <f>31*(P88+I88)</f>
        <v>16.1888888888889</v>
      </c>
      <c r="R88" s="153">
        <f>(P88+I88)*31*G88*1.5</f>
        <v>2485.642</v>
      </c>
      <c r="S88" s="153">
        <f>Q88</f>
        <v>16.1888888888889</v>
      </c>
      <c r="T88" s="153">
        <f>S88/31</f>
        <v>0.522222222222222</v>
      </c>
      <c r="U88" s="153">
        <f>T88-I88</f>
        <v>0.522222222222222</v>
      </c>
      <c r="V88" s="153">
        <f>R88</f>
        <v>2485.642</v>
      </c>
      <c r="W88" s="154">
        <f>_xlfn.XLOOKUP(B88,Sheet5!G:G,Sheet5!H:H)</f>
        <v>0.714285714285714</v>
      </c>
      <c r="X88" s="155">
        <f>Y88/31</f>
        <v>0.373015873015873</v>
      </c>
      <c r="Y88" s="153">
        <f>S88*W88</f>
        <v>11.5634920634921</v>
      </c>
      <c r="Z88" s="153">
        <f>Y88*G88*1.5</f>
        <v>1775.45857142857</v>
      </c>
      <c r="AA88" s="154">
        <f>_xlfn.XLOOKUP(B88,Sheet5!G:G,Sheet5!I:I)</f>
        <v>0.285714285714286</v>
      </c>
      <c r="AB88" s="155">
        <f>AC88/31</f>
        <v>0.149206349206349</v>
      </c>
      <c r="AC88" s="153">
        <f>S88*AA88</f>
        <v>4.62539682539683</v>
      </c>
      <c r="AD88" s="153">
        <f>G88*AC88*1.5</f>
        <v>710.183428571429</v>
      </c>
      <c r="AE88" s="156" t="s">
        <v>317</v>
      </c>
      <c r="AF88" s="158"/>
      <c r="AG88" s="157">
        <f>AC88/4</f>
        <v>1.15634920634921</v>
      </c>
      <c r="AH88" s="157">
        <f t="shared" si="3"/>
        <v>2.89087301587301</v>
      </c>
    </row>
    <row r="89" s="118" customFormat="1" ht="50" customHeight="1" spans="1:34">
      <c r="A89" s="151" t="s">
        <v>318</v>
      </c>
      <c r="B89" s="152" t="s">
        <v>319</v>
      </c>
      <c r="C89" s="152">
        <v>1</v>
      </c>
      <c r="D89" s="152" t="s">
        <v>34</v>
      </c>
      <c r="E89" s="152" t="s">
        <v>51</v>
      </c>
      <c r="F89" s="152" t="s">
        <v>320</v>
      </c>
      <c r="G89" s="152">
        <v>157.1</v>
      </c>
      <c r="H89" s="152">
        <v>56</v>
      </c>
      <c r="I89" s="151"/>
      <c r="J89" s="151"/>
      <c r="K89" s="151">
        <v>21</v>
      </c>
      <c r="L89" s="151">
        <v>3299</v>
      </c>
      <c r="M89" s="153">
        <f>(H89-(I89*50))/50</f>
        <v>1.12</v>
      </c>
      <c r="N89" s="153">
        <f>31*(M89+I89)</f>
        <v>34.72</v>
      </c>
      <c r="O89" s="153">
        <f>N89*G89</f>
        <v>5454.512</v>
      </c>
      <c r="P89" s="153">
        <f>(H89-(I89*90))/90</f>
        <v>0.622222222222222</v>
      </c>
      <c r="Q89" s="153">
        <f>31*(P89+I89)</f>
        <v>19.2888888888889</v>
      </c>
      <c r="R89" s="153">
        <f>(P89+I89)*31*G89*1.5</f>
        <v>4545.42666666667</v>
      </c>
      <c r="S89" s="153">
        <f>Q89</f>
        <v>19.2888888888889</v>
      </c>
      <c r="T89" s="153">
        <f>S89/31</f>
        <v>0.622222222222222</v>
      </c>
      <c r="U89" s="153">
        <f>T89-I89</f>
        <v>0.622222222222222</v>
      </c>
      <c r="V89" s="153">
        <f>R89</f>
        <v>4545.42666666667</v>
      </c>
      <c r="W89" s="154">
        <f>_xlfn.XLOOKUP(B89,Sheet5!G:G,Sheet5!H:H)</f>
        <v>0.4</v>
      </c>
      <c r="X89" s="155">
        <f>Y89/31</f>
        <v>0.248888888888889</v>
      </c>
      <c r="Y89" s="153">
        <f>S89*W89</f>
        <v>7.71555555555556</v>
      </c>
      <c r="Z89" s="153">
        <f>Y89*G89*1.5</f>
        <v>1818.17066666667</v>
      </c>
      <c r="AA89" s="154">
        <f>_xlfn.XLOOKUP(B89,Sheet5!G:G,Sheet5!I:I)</f>
        <v>0.6</v>
      </c>
      <c r="AB89" s="155">
        <f>AC89/31</f>
        <v>0.373333333333333</v>
      </c>
      <c r="AC89" s="153">
        <f>S89*AA89</f>
        <v>11.5733333333333</v>
      </c>
      <c r="AD89" s="153">
        <f>G89*AC89*1.5</f>
        <v>2727.256</v>
      </c>
      <c r="AE89" s="156" t="s">
        <v>321</v>
      </c>
      <c r="AF89" s="158"/>
      <c r="AG89" s="157">
        <f>AC89/4</f>
        <v>2.89333333333333</v>
      </c>
      <c r="AH89" s="157">
        <f t="shared" si="3"/>
        <v>1.92888888888889</v>
      </c>
    </row>
    <row r="90" s="118" customFormat="1" ht="50" customHeight="1" spans="1:34">
      <c r="A90" s="151" t="s">
        <v>322</v>
      </c>
      <c r="B90" s="152" t="s">
        <v>323</v>
      </c>
      <c r="C90" s="152">
        <v>1</v>
      </c>
      <c r="D90" s="152" t="s">
        <v>34</v>
      </c>
      <c r="E90" s="152" t="s">
        <v>35</v>
      </c>
      <c r="F90" s="152" t="s">
        <v>324</v>
      </c>
      <c r="G90" s="152">
        <v>115.7374</v>
      </c>
      <c r="H90" s="152">
        <v>51</v>
      </c>
      <c r="I90" s="151"/>
      <c r="J90" s="151"/>
      <c r="K90" s="151">
        <v>25</v>
      </c>
      <c r="L90" s="151">
        <v>3125</v>
      </c>
      <c r="M90" s="153">
        <f>(H90-(I90*50))/50</f>
        <v>1.02</v>
      </c>
      <c r="N90" s="153">
        <f>31*(M90+I90)</f>
        <v>31.62</v>
      </c>
      <c r="O90" s="153">
        <f>N90*G90</f>
        <v>3659.616588</v>
      </c>
      <c r="P90" s="153">
        <f>(H90-(I90*90))/90</f>
        <v>0.566666666666667</v>
      </c>
      <c r="Q90" s="153">
        <f>31*(P90+I90)</f>
        <v>17.5666666666667</v>
      </c>
      <c r="R90" s="153">
        <f>(P90+I90)*31*G90*1.5</f>
        <v>3049.68049</v>
      </c>
      <c r="S90" s="153">
        <f>Q90</f>
        <v>17.5666666666667</v>
      </c>
      <c r="T90" s="153">
        <f>S90/31</f>
        <v>0.566666666666667</v>
      </c>
      <c r="U90" s="153">
        <f>T90-I90</f>
        <v>0.566666666666667</v>
      </c>
      <c r="V90" s="153">
        <f>R90</f>
        <v>3049.68049</v>
      </c>
      <c r="W90" s="154">
        <f>_xlfn.XLOOKUP(B90,Sheet5!G:G,Sheet5!H:H)</f>
        <v>1</v>
      </c>
      <c r="X90" s="155">
        <f>Y90/31</f>
        <v>0.566666666666667</v>
      </c>
      <c r="Y90" s="153">
        <f>S90*W90</f>
        <v>17.5666666666667</v>
      </c>
      <c r="Z90" s="153">
        <f>Y90*G90*1.5</f>
        <v>3049.68049</v>
      </c>
      <c r="AA90" s="154">
        <f>_xlfn.XLOOKUP(B90,Sheet5!G:G,Sheet5!I:I)</f>
        <v>0</v>
      </c>
      <c r="AB90" s="155">
        <f>AC90/31</f>
        <v>0</v>
      </c>
      <c r="AC90" s="153">
        <f>S90*AA90</f>
        <v>0</v>
      </c>
      <c r="AD90" s="153">
        <f>G90*AC90*1.5</f>
        <v>0</v>
      </c>
      <c r="AE90" s="156" t="s">
        <v>115</v>
      </c>
      <c r="AF90" s="158"/>
      <c r="AG90" s="157">
        <f>AC90/4</f>
        <v>0</v>
      </c>
      <c r="AH90" s="157">
        <f t="shared" si="3"/>
        <v>4.39166666666667</v>
      </c>
    </row>
    <row r="91" s="118" customFormat="1" ht="50" customHeight="1" spans="1:34">
      <c r="A91" s="151" t="s">
        <v>325</v>
      </c>
      <c r="B91" s="152" t="s">
        <v>326</v>
      </c>
      <c r="C91" s="152">
        <v>1</v>
      </c>
      <c r="D91" s="152" t="s">
        <v>34</v>
      </c>
      <c r="E91" s="152" t="s">
        <v>35</v>
      </c>
      <c r="F91" s="152" t="s">
        <v>327</v>
      </c>
      <c r="G91" s="152">
        <v>7.4719</v>
      </c>
      <c r="H91" s="152">
        <v>289</v>
      </c>
      <c r="I91" s="151"/>
      <c r="J91" s="151"/>
      <c r="K91" s="151">
        <v>279</v>
      </c>
      <c r="L91" s="151">
        <v>3097</v>
      </c>
      <c r="M91" s="153">
        <f>(H91-(I91*50))/50</f>
        <v>5.78</v>
      </c>
      <c r="N91" s="153">
        <f>31*(M91+I91)</f>
        <v>179.18</v>
      </c>
      <c r="O91" s="153">
        <f>N91*G91</f>
        <v>1338.815042</v>
      </c>
      <c r="P91" s="153">
        <f>(H91-(I91*90))/90</f>
        <v>3.21111111111111</v>
      </c>
      <c r="Q91" s="153">
        <f>31*(P91+I91)</f>
        <v>99.5444444444445</v>
      </c>
      <c r="R91" s="153">
        <f>(P91+I91)*31*G91*1.5</f>
        <v>1115.67920166667</v>
      </c>
      <c r="S91" s="153">
        <f>Q91</f>
        <v>99.5444444444445</v>
      </c>
      <c r="T91" s="153">
        <f>S91/31</f>
        <v>3.21111111111111</v>
      </c>
      <c r="U91" s="153">
        <f>T91-I91</f>
        <v>3.21111111111111</v>
      </c>
      <c r="V91" s="153">
        <f>R91</f>
        <v>1115.67920166667</v>
      </c>
      <c r="W91" s="154">
        <f>_xlfn.XLOOKUP(B91,Sheet5!G:G,Sheet5!H:H)</f>
        <v>0</v>
      </c>
      <c r="X91" s="155">
        <f>Y91/31</f>
        <v>0</v>
      </c>
      <c r="Y91" s="153">
        <f>S91*W91</f>
        <v>0</v>
      </c>
      <c r="Z91" s="153">
        <f>Y91*G91*1.5</f>
        <v>0</v>
      </c>
      <c r="AA91" s="154">
        <f>_xlfn.XLOOKUP(B91,Sheet5!G:G,Sheet5!I:I)</f>
        <v>1</v>
      </c>
      <c r="AB91" s="155">
        <f>AC91/31</f>
        <v>3.21111111111111</v>
      </c>
      <c r="AC91" s="153">
        <f>S91*AA91</f>
        <v>99.5444444444445</v>
      </c>
      <c r="AD91" s="153">
        <f>G91*AC91*1.5</f>
        <v>1115.67920166667</v>
      </c>
      <c r="AE91" s="156" t="s">
        <v>130</v>
      </c>
      <c r="AF91" s="151" t="s">
        <v>328</v>
      </c>
      <c r="AG91" s="157">
        <f>AC91/4</f>
        <v>24.8861111111111</v>
      </c>
      <c r="AH91" s="157">
        <f t="shared" si="3"/>
        <v>0</v>
      </c>
    </row>
    <row r="92" s="118" customFormat="1" ht="50" customHeight="1" spans="1:34">
      <c r="A92" s="151" t="s">
        <v>329</v>
      </c>
      <c r="B92" s="152" t="s">
        <v>330</v>
      </c>
      <c r="C92" s="152">
        <v>1</v>
      </c>
      <c r="D92" s="152" t="s">
        <v>34</v>
      </c>
      <c r="E92" s="152" t="s">
        <v>35</v>
      </c>
      <c r="F92" s="152" t="s">
        <v>171</v>
      </c>
      <c r="G92" s="152">
        <v>42.85</v>
      </c>
      <c r="H92" s="152">
        <v>47</v>
      </c>
      <c r="I92" s="151"/>
      <c r="J92" s="151"/>
      <c r="K92" s="151">
        <v>47</v>
      </c>
      <c r="L92" s="151">
        <v>3021</v>
      </c>
      <c r="M92" s="153">
        <f>(H92-(I92*50))/50</f>
        <v>0.94</v>
      </c>
      <c r="N92" s="153">
        <f>31*(M92+I92)</f>
        <v>29.14</v>
      </c>
      <c r="O92" s="153">
        <f>N92*G92</f>
        <v>1248.649</v>
      </c>
      <c r="P92" s="153">
        <f>(H92-(I92*90))/90</f>
        <v>0.522222222222222</v>
      </c>
      <c r="Q92" s="153">
        <f>31*(P92+I92)</f>
        <v>16.1888888888889</v>
      </c>
      <c r="R92" s="153">
        <f>(P92+I92)*31*G92*1.5</f>
        <v>1040.54083333333</v>
      </c>
      <c r="S92" s="153">
        <f>Q92</f>
        <v>16.1888888888889</v>
      </c>
      <c r="T92" s="153">
        <f>S92/31</f>
        <v>0.522222222222222</v>
      </c>
      <c r="U92" s="153">
        <f>T92-I92</f>
        <v>0.522222222222222</v>
      </c>
      <c r="V92" s="153">
        <f>R92</f>
        <v>1040.54083333333</v>
      </c>
      <c r="W92" s="154">
        <f>_xlfn.XLOOKUP(B92,Sheet5!G:G,Sheet5!H:H)</f>
        <v>0</v>
      </c>
      <c r="X92" s="155">
        <f>Y92/31</f>
        <v>0</v>
      </c>
      <c r="Y92" s="153">
        <f>S92*W92</f>
        <v>0</v>
      </c>
      <c r="Z92" s="153">
        <f>Y92*G92*1.5</f>
        <v>0</v>
      </c>
      <c r="AA92" s="154">
        <f>_xlfn.XLOOKUP(B92,Sheet5!G:G,Sheet5!I:I)</f>
        <v>0</v>
      </c>
      <c r="AB92" s="155">
        <f>AC92/31</f>
        <v>0</v>
      </c>
      <c r="AC92" s="153">
        <f>S92*AA92</f>
        <v>0</v>
      </c>
      <c r="AD92" s="153">
        <f>G92*AC92*1.5</f>
        <v>0</v>
      </c>
      <c r="AE92" s="156" t="s">
        <v>130</v>
      </c>
      <c r="AF92" s="151" t="s">
        <v>173</v>
      </c>
      <c r="AG92" s="157">
        <f>AC92/4</f>
        <v>0</v>
      </c>
      <c r="AH92" s="157">
        <f t="shared" si="3"/>
        <v>0</v>
      </c>
    </row>
    <row r="93" s="118" customFormat="1" ht="50" customHeight="1" spans="1:34">
      <c r="A93" s="151" t="s">
        <v>331</v>
      </c>
      <c r="B93" s="152" t="s">
        <v>332</v>
      </c>
      <c r="C93" s="152">
        <v>1</v>
      </c>
      <c r="D93" s="152" t="s">
        <v>34</v>
      </c>
      <c r="E93" s="152" t="s">
        <v>35</v>
      </c>
      <c r="F93" s="152" t="s">
        <v>110</v>
      </c>
      <c r="G93" s="152">
        <v>16.3066</v>
      </c>
      <c r="H93" s="152">
        <v>148</v>
      </c>
      <c r="I93" s="151"/>
      <c r="J93" s="151"/>
      <c r="K93" s="151">
        <v>127</v>
      </c>
      <c r="L93" s="151">
        <v>2968</v>
      </c>
      <c r="M93" s="153">
        <f>(H93-(I93*50))/50</f>
        <v>2.96</v>
      </c>
      <c r="N93" s="153">
        <f>31*(M93+I93)</f>
        <v>91.76</v>
      </c>
      <c r="O93" s="153">
        <f>N93*G93</f>
        <v>1496.293616</v>
      </c>
      <c r="P93" s="153">
        <f>(H93-(I93*90))/90</f>
        <v>1.64444444444444</v>
      </c>
      <c r="Q93" s="153">
        <f>31*(P93+I93)</f>
        <v>50.9777777777778</v>
      </c>
      <c r="R93" s="153">
        <f>(P93+I93)*31*G93*1.5</f>
        <v>1246.91134666667</v>
      </c>
      <c r="S93" s="153">
        <f>Q93</f>
        <v>50.9777777777778</v>
      </c>
      <c r="T93" s="153">
        <f>S93/31</f>
        <v>1.64444444444444</v>
      </c>
      <c r="U93" s="153">
        <f>T93-I93</f>
        <v>1.64444444444444</v>
      </c>
      <c r="V93" s="153">
        <f>R93</f>
        <v>1246.91134666667</v>
      </c>
      <c r="W93" s="154">
        <f>_xlfn.XLOOKUP(B93,Sheet5!G:G,Sheet5!H:H)</f>
        <v>0</v>
      </c>
      <c r="X93" s="155">
        <f>Y93/31</f>
        <v>0</v>
      </c>
      <c r="Y93" s="153">
        <f>S93*W93</f>
        <v>0</v>
      </c>
      <c r="Z93" s="153">
        <f>Y93*G93*1.5</f>
        <v>0</v>
      </c>
      <c r="AA93" s="154">
        <f>_xlfn.XLOOKUP(B93,Sheet5!G:G,Sheet5!I:I)</f>
        <v>1</v>
      </c>
      <c r="AB93" s="155">
        <f>AC93/31</f>
        <v>1.64444444444444</v>
      </c>
      <c r="AC93" s="153">
        <f>S93*AA93</f>
        <v>50.9777777777778</v>
      </c>
      <c r="AD93" s="153">
        <f>G93*AC93*1.5</f>
        <v>1246.91134666667</v>
      </c>
      <c r="AE93" s="156" t="s">
        <v>111</v>
      </c>
      <c r="AF93" s="151" t="s">
        <v>112</v>
      </c>
      <c r="AG93" s="157">
        <f>AC93/4</f>
        <v>12.7444444444444</v>
      </c>
      <c r="AH93" s="157">
        <f t="shared" si="3"/>
        <v>0</v>
      </c>
    </row>
    <row r="94" s="118" customFormat="1" ht="50" customHeight="1" spans="1:34">
      <c r="A94" s="151" t="s">
        <v>333</v>
      </c>
      <c r="B94" s="152" t="s">
        <v>334</v>
      </c>
      <c r="C94" s="152">
        <v>1</v>
      </c>
      <c r="D94" s="152" t="s">
        <v>34</v>
      </c>
      <c r="E94" s="152" t="s">
        <v>35</v>
      </c>
      <c r="F94" s="152" t="s">
        <v>335</v>
      </c>
      <c r="G94" s="152">
        <v>32.3712</v>
      </c>
      <c r="H94" s="152">
        <v>78</v>
      </c>
      <c r="I94" s="151"/>
      <c r="J94" s="151"/>
      <c r="K94" s="151">
        <v>63</v>
      </c>
      <c r="L94" s="151">
        <v>2865</v>
      </c>
      <c r="M94" s="153">
        <f>(H94-(I94*50))/50</f>
        <v>1.56</v>
      </c>
      <c r="N94" s="153">
        <f>31*(M94+I94)</f>
        <v>48.36</v>
      </c>
      <c r="O94" s="153">
        <f>N94*G94</f>
        <v>1565.471232</v>
      </c>
      <c r="P94" s="153">
        <f>(H94-(I94*90))/90</f>
        <v>0.866666666666667</v>
      </c>
      <c r="Q94" s="153">
        <f>31*(P94+I94)</f>
        <v>26.8666666666667</v>
      </c>
      <c r="R94" s="153">
        <f>(P94+I94)*31*G94*1.5</f>
        <v>1304.55936</v>
      </c>
      <c r="S94" s="153">
        <f>Q94</f>
        <v>26.8666666666667</v>
      </c>
      <c r="T94" s="153">
        <f>S94/31</f>
        <v>0.866666666666667</v>
      </c>
      <c r="U94" s="153">
        <f>T94-I94</f>
        <v>0.866666666666667</v>
      </c>
      <c r="V94" s="153">
        <f>R94</f>
        <v>1304.55936</v>
      </c>
      <c r="W94" s="154">
        <v>0.6</v>
      </c>
      <c r="X94" s="155">
        <f>Y94/31</f>
        <v>0.52</v>
      </c>
      <c r="Y94" s="153">
        <f>S94*W94</f>
        <v>16.12</v>
      </c>
      <c r="Z94" s="153">
        <f>Y94*G94*1.5</f>
        <v>782.735616</v>
      </c>
      <c r="AA94" s="154">
        <v>0.4</v>
      </c>
      <c r="AB94" s="155">
        <f>AC94/31</f>
        <v>0.346666666666667</v>
      </c>
      <c r="AC94" s="153">
        <f>S94*AA94</f>
        <v>10.7466666666667</v>
      </c>
      <c r="AD94" s="153">
        <f>G94*AC94*1.5</f>
        <v>521.823744</v>
      </c>
      <c r="AE94" s="159"/>
      <c r="AF94" s="158"/>
      <c r="AG94" s="157">
        <f>AC94/4</f>
        <v>2.68666666666667</v>
      </c>
      <c r="AH94" s="157">
        <f t="shared" si="3"/>
        <v>4.03</v>
      </c>
    </row>
    <row r="95" s="118" customFormat="1" ht="50" customHeight="1" spans="1:34">
      <c r="A95" s="151" t="s">
        <v>336</v>
      </c>
      <c r="B95" s="152" t="s">
        <v>337</v>
      </c>
      <c r="C95" s="152">
        <v>1</v>
      </c>
      <c r="D95" s="152" t="s">
        <v>34</v>
      </c>
      <c r="E95" s="152" t="s">
        <v>35</v>
      </c>
      <c r="F95" s="152" t="s">
        <v>338</v>
      </c>
      <c r="G95" s="152">
        <v>22.8026</v>
      </c>
      <c r="H95" s="152">
        <v>244</v>
      </c>
      <c r="I95" s="151">
        <v>2</v>
      </c>
      <c r="J95" s="151">
        <v>122</v>
      </c>
      <c r="K95" s="151">
        <v>116</v>
      </c>
      <c r="L95" s="151">
        <v>2793</v>
      </c>
      <c r="M95" s="153">
        <f>(H95-(I95*50))/50</f>
        <v>2.88</v>
      </c>
      <c r="N95" s="153">
        <f>31*(M95+I95)</f>
        <v>151.28</v>
      </c>
      <c r="O95" s="153">
        <f>N95*G95</f>
        <v>3449.577328</v>
      </c>
      <c r="P95" s="153">
        <f>(H95-(I95*90))/90</f>
        <v>0.711111111111111</v>
      </c>
      <c r="Q95" s="153">
        <f>31*(P95+I95)</f>
        <v>84.0444444444445</v>
      </c>
      <c r="R95" s="153">
        <f>(P95+I95)*31*G95*1.5</f>
        <v>2874.64777333333</v>
      </c>
      <c r="S95" s="153">
        <f>Q95</f>
        <v>84.0444444444445</v>
      </c>
      <c r="T95" s="153">
        <f>S95/31</f>
        <v>2.71111111111111</v>
      </c>
      <c r="U95" s="153">
        <f>T95-I95</f>
        <v>0.711111111111111</v>
      </c>
      <c r="V95" s="153">
        <f>R95</f>
        <v>2874.64777333333</v>
      </c>
      <c r="W95" s="154">
        <f>_xlfn.XLOOKUP(B95,Sheet5!G:G,Sheet5!H:H)</f>
        <v>0.666666666666667</v>
      </c>
      <c r="X95" s="155">
        <f>Y95/31</f>
        <v>1.80740740740741</v>
      </c>
      <c r="Y95" s="153">
        <f>S95*W95</f>
        <v>56.0296296296297</v>
      </c>
      <c r="Z95" s="153">
        <f>Y95*G95*1.5</f>
        <v>1916.43184888889</v>
      </c>
      <c r="AA95" s="154">
        <f>_xlfn.XLOOKUP(B95,Sheet5!G:G,Sheet5!I:I)</f>
        <v>0.333333333333333</v>
      </c>
      <c r="AB95" s="155">
        <f>AC95/31</f>
        <v>0.903703703703703</v>
      </c>
      <c r="AC95" s="153">
        <f>S95*AA95</f>
        <v>28.0148148148148</v>
      </c>
      <c r="AD95" s="153">
        <f>G95*AC95*1.5</f>
        <v>958.215924444444</v>
      </c>
      <c r="AE95" s="159"/>
      <c r="AF95" s="158"/>
      <c r="AG95" s="157">
        <f>AC95/4</f>
        <v>7.0037037037037</v>
      </c>
      <c r="AH95" s="157">
        <f t="shared" si="3"/>
        <v>14.0074074074074</v>
      </c>
    </row>
    <row r="96" s="118" customFormat="1" ht="50" customHeight="1" spans="1:34">
      <c r="A96" s="151" t="s">
        <v>339</v>
      </c>
      <c r="B96" s="152" t="s">
        <v>340</v>
      </c>
      <c r="C96" s="152">
        <v>1</v>
      </c>
      <c r="D96" s="152" t="s">
        <v>34</v>
      </c>
      <c r="E96" s="152" t="s">
        <v>35</v>
      </c>
      <c r="F96" s="152" t="s">
        <v>259</v>
      </c>
      <c r="G96" s="152">
        <v>19.02</v>
      </c>
      <c r="H96" s="152">
        <v>99</v>
      </c>
      <c r="I96" s="151"/>
      <c r="J96" s="151"/>
      <c r="K96" s="151">
        <v>98</v>
      </c>
      <c r="L96" s="151">
        <v>2786</v>
      </c>
      <c r="M96" s="153">
        <f>(H96-(I96*50))/50</f>
        <v>1.98</v>
      </c>
      <c r="N96" s="153">
        <f>31*(M96+I96)</f>
        <v>61.38</v>
      </c>
      <c r="O96" s="153">
        <f>N96*G96</f>
        <v>1167.4476</v>
      </c>
      <c r="P96" s="153">
        <f>(H96-(I96*90))/90</f>
        <v>1.1</v>
      </c>
      <c r="Q96" s="153">
        <f>31*(P96+I96)</f>
        <v>34.1</v>
      </c>
      <c r="R96" s="153">
        <f>(P96+I96)*31*G96*1.5</f>
        <v>972.873</v>
      </c>
      <c r="S96" s="153">
        <f>Q96</f>
        <v>34.1</v>
      </c>
      <c r="T96" s="153">
        <f>S96/31</f>
        <v>1.1</v>
      </c>
      <c r="U96" s="153">
        <f>T96-I96</f>
        <v>1.1</v>
      </c>
      <c r="V96" s="153">
        <f>R96</f>
        <v>972.873</v>
      </c>
      <c r="W96" s="154">
        <f>_xlfn.XLOOKUP(B96,Sheet5!G:G,Sheet5!H:H)</f>
        <v>1</v>
      </c>
      <c r="X96" s="155">
        <f>Y96/31</f>
        <v>1.1</v>
      </c>
      <c r="Y96" s="153">
        <f>S96*W96</f>
        <v>34.1</v>
      </c>
      <c r="Z96" s="153">
        <f>Y96*G96*1.5</f>
        <v>972.873</v>
      </c>
      <c r="AA96" s="154">
        <f>_xlfn.XLOOKUP(B96,Sheet5!G:G,Sheet5!I:I)</f>
        <v>0</v>
      </c>
      <c r="AB96" s="155">
        <f>AC96/31</f>
        <v>0</v>
      </c>
      <c r="AC96" s="153">
        <f>S96*AA96</f>
        <v>0</v>
      </c>
      <c r="AD96" s="153">
        <f>G96*AC96*1.5</f>
        <v>0</v>
      </c>
      <c r="AE96" s="156" t="s">
        <v>130</v>
      </c>
      <c r="AF96" s="151" t="s">
        <v>273</v>
      </c>
      <c r="AG96" s="157">
        <f>AC96/4</f>
        <v>0</v>
      </c>
      <c r="AH96" s="157">
        <f t="shared" si="3"/>
        <v>8.525</v>
      </c>
    </row>
    <row r="97" s="118" customFormat="1" ht="50" customHeight="1" spans="1:34">
      <c r="A97" s="151" t="s">
        <v>341</v>
      </c>
      <c r="B97" s="152" t="s">
        <v>342</v>
      </c>
      <c r="C97" s="152">
        <v>1</v>
      </c>
      <c r="D97" s="152" t="s">
        <v>34</v>
      </c>
      <c r="E97" s="152" t="s">
        <v>35</v>
      </c>
      <c r="F97" s="152" t="s">
        <v>343</v>
      </c>
      <c r="G97" s="152">
        <v>41.3641</v>
      </c>
      <c r="H97" s="152">
        <v>285</v>
      </c>
      <c r="I97" s="151">
        <v>4</v>
      </c>
      <c r="J97" s="151">
        <v>71</v>
      </c>
      <c r="K97" s="151">
        <v>64</v>
      </c>
      <c r="L97" s="151">
        <v>2647</v>
      </c>
      <c r="M97" s="153">
        <f>(H97-(I97*50))/50</f>
        <v>1.7</v>
      </c>
      <c r="N97" s="153">
        <f>31*(M97+I97)</f>
        <v>176.7</v>
      </c>
      <c r="O97" s="153">
        <f>N97*G97</f>
        <v>7309.03647</v>
      </c>
      <c r="P97" s="153">
        <f>(H97-(I97*90))/90</f>
        <v>-0.833333333333333</v>
      </c>
      <c r="Q97" s="153">
        <f>31*(P97+I97)</f>
        <v>98.1666666666667</v>
      </c>
      <c r="R97" s="153">
        <f>(P97+I97)*31*G97*1.5</f>
        <v>6090.863725</v>
      </c>
      <c r="S97" s="153">
        <f>Q97</f>
        <v>98.1666666666667</v>
      </c>
      <c r="T97" s="153">
        <f>S97/31</f>
        <v>3.16666666666667</v>
      </c>
      <c r="U97" s="153">
        <f>T97-I97</f>
        <v>-0.833333333333333</v>
      </c>
      <c r="V97" s="153">
        <f>R97</f>
        <v>6090.863725</v>
      </c>
      <c r="W97" s="154">
        <f>_xlfn.XLOOKUP(B97,Sheet5!G:G,Sheet5!H:H)</f>
        <v>0.135416666666667</v>
      </c>
      <c r="X97" s="155">
        <f>Y97/31</f>
        <v>0.428819444444445</v>
      </c>
      <c r="Y97" s="153">
        <f>S97*W97</f>
        <v>13.2934027777778</v>
      </c>
      <c r="Z97" s="153">
        <f>Y97*G97*1.5</f>
        <v>824.804462760419</v>
      </c>
      <c r="AA97" s="154">
        <f>_xlfn.XLOOKUP(B97,Sheet5!G:G,Sheet5!I:I)</f>
        <v>0.864583333333333</v>
      </c>
      <c r="AB97" s="155">
        <f>AC97/31</f>
        <v>2.73784722222222</v>
      </c>
      <c r="AC97" s="153">
        <f>S97*AA97</f>
        <v>84.8732638888889</v>
      </c>
      <c r="AD97" s="153">
        <f>G97*AC97*1.5</f>
        <v>5266.05926223958</v>
      </c>
      <c r="AE97" s="156" t="s">
        <v>115</v>
      </c>
      <c r="AF97" s="158"/>
      <c r="AG97" s="157">
        <f>AC97/4</f>
        <v>21.2183159722222</v>
      </c>
      <c r="AH97" s="157">
        <f t="shared" si="3"/>
        <v>3.32335069444445</v>
      </c>
    </row>
    <row r="98" s="118" customFormat="1" ht="50" customHeight="1" spans="1:34">
      <c r="A98" s="151" t="s">
        <v>344</v>
      </c>
      <c r="B98" s="152" t="s">
        <v>345</v>
      </c>
      <c r="C98" s="152">
        <v>1</v>
      </c>
      <c r="D98" s="152" t="s">
        <v>34</v>
      </c>
      <c r="E98" s="152" t="s">
        <v>35</v>
      </c>
      <c r="F98" s="152" t="s">
        <v>306</v>
      </c>
      <c r="G98" s="152">
        <v>57.5</v>
      </c>
      <c r="H98" s="152">
        <v>32</v>
      </c>
      <c r="I98" s="151"/>
      <c r="J98" s="151"/>
      <c r="K98" s="151">
        <v>31</v>
      </c>
      <c r="L98" s="151">
        <v>2645</v>
      </c>
      <c r="M98" s="153">
        <f>(H98-(I98*50))/50</f>
        <v>0.64</v>
      </c>
      <c r="N98" s="153">
        <f>31*(M98+I98)</f>
        <v>19.84</v>
      </c>
      <c r="O98" s="153">
        <f>N98*G98</f>
        <v>1140.8</v>
      </c>
      <c r="P98" s="153">
        <f>(H98-(I98*90))/90</f>
        <v>0.355555555555556</v>
      </c>
      <c r="Q98" s="153">
        <f>31*(P98+I98)</f>
        <v>11.0222222222222</v>
      </c>
      <c r="R98" s="153">
        <f>(P98+I98)*31*G98*1.5</f>
        <v>950.666666666667</v>
      </c>
      <c r="S98" s="153">
        <f>Q98</f>
        <v>11.0222222222222</v>
      </c>
      <c r="T98" s="153">
        <f>S98/31</f>
        <v>0.355555555555556</v>
      </c>
      <c r="U98" s="153">
        <f>T98-I98</f>
        <v>0.355555555555556</v>
      </c>
      <c r="V98" s="153">
        <f>R98</f>
        <v>950.666666666667</v>
      </c>
      <c r="W98" s="154">
        <f>_xlfn.XLOOKUP(B98,Sheet5!G:G,Sheet5!H:H)</f>
        <v>0</v>
      </c>
      <c r="X98" s="155">
        <f>Y98/31</f>
        <v>0</v>
      </c>
      <c r="Y98" s="153">
        <f>S98*W98</f>
        <v>0</v>
      </c>
      <c r="Z98" s="153">
        <f>Y98*G98*1.5</f>
        <v>0</v>
      </c>
      <c r="AA98" s="154">
        <f>_xlfn.XLOOKUP(B98,Sheet5!G:G,Sheet5!I:I)</f>
        <v>0</v>
      </c>
      <c r="AB98" s="155">
        <f>AC98/31</f>
        <v>0</v>
      </c>
      <c r="AC98" s="153">
        <f>S98*AA98</f>
        <v>0</v>
      </c>
      <c r="AD98" s="153">
        <f>G98*AC98*1.5</f>
        <v>0</v>
      </c>
      <c r="AE98" s="159"/>
      <c r="AF98" s="158"/>
      <c r="AG98" s="157">
        <f>AC98/4</f>
        <v>0</v>
      </c>
      <c r="AH98" s="157">
        <f t="shared" si="3"/>
        <v>0</v>
      </c>
    </row>
    <row r="99" s="118" customFormat="1" ht="50" customHeight="1" spans="1:34">
      <c r="A99" s="151" t="s">
        <v>346</v>
      </c>
      <c r="B99" s="152" t="s">
        <v>347</v>
      </c>
      <c r="C99" s="152">
        <v>1</v>
      </c>
      <c r="D99" s="152" t="s">
        <v>34</v>
      </c>
      <c r="E99" s="152" t="s">
        <v>35</v>
      </c>
      <c r="F99" s="152" t="s">
        <v>156</v>
      </c>
      <c r="G99" s="152">
        <v>170.3434</v>
      </c>
      <c r="H99" s="152">
        <v>23</v>
      </c>
      <c r="I99" s="151"/>
      <c r="J99" s="151"/>
      <c r="K99" s="151">
        <v>13</v>
      </c>
      <c r="L99" s="151">
        <v>2640</v>
      </c>
      <c r="M99" s="153">
        <f>(H99-(I99*50))/50</f>
        <v>0.46</v>
      </c>
      <c r="N99" s="153">
        <f>31*(M99+I99)</f>
        <v>14.26</v>
      </c>
      <c r="O99" s="153">
        <f>N99*G99</f>
        <v>2429.096884</v>
      </c>
      <c r="P99" s="153">
        <f>(H99-(I99*90))/90</f>
        <v>0.255555555555556</v>
      </c>
      <c r="Q99" s="153">
        <f>31*(P99+I99)</f>
        <v>7.92222222222222</v>
      </c>
      <c r="R99" s="153">
        <f>(P99+I99)*31*G99*1.5</f>
        <v>2024.24740333333</v>
      </c>
      <c r="S99" s="153">
        <f>Q99</f>
        <v>7.92222222222222</v>
      </c>
      <c r="T99" s="153">
        <f>S99/31</f>
        <v>0.255555555555556</v>
      </c>
      <c r="U99" s="153">
        <f>T99-I99</f>
        <v>0.255555555555556</v>
      </c>
      <c r="V99" s="153">
        <f>R99</f>
        <v>2024.24740333333</v>
      </c>
      <c r="W99" s="154">
        <f>_xlfn.XLOOKUP(B99,Sheet5!G:G,Sheet5!H:H)</f>
        <v>0.5</v>
      </c>
      <c r="X99" s="155">
        <f>Y99/31</f>
        <v>0.127777777777778</v>
      </c>
      <c r="Y99" s="153">
        <f>S99*W99</f>
        <v>3.96111111111111</v>
      </c>
      <c r="Z99" s="153">
        <f>Y99*G99*1.5</f>
        <v>1012.12370166667</v>
      </c>
      <c r="AA99" s="154">
        <f>_xlfn.XLOOKUP(B99,Sheet5!G:G,Sheet5!I:I)</f>
        <v>0.5</v>
      </c>
      <c r="AB99" s="155">
        <f>AC99/31</f>
        <v>0.127777777777778</v>
      </c>
      <c r="AC99" s="153">
        <f>S99*AA99</f>
        <v>3.96111111111111</v>
      </c>
      <c r="AD99" s="153">
        <f>G99*AC99*1.5</f>
        <v>1012.12370166667</v>
      </c>
      <c r="AE99" s="159"/>
      <c r="AF99" s="158"/>
      <c r="AG99" s="157">
        <f>AC99/4</f>
        <v>0.990277777777778</v>
      </c>
      <c r="AH99" s="157">
        <f t="shared" si="3"/>
        <v>0.990277777777778</v>
      </c>
    </row>
    <row r="100" s="118" customFormat="1" ht="50" customHeight="1" spans="1:34">
      <c r="A100" s="151" t="s">
        <v>348</v>
      </c>
      <c r="B100" s="152" t="s">
        <v>349</v>
      </c>
      <c r="C100" s="152">
        <v>1</v>
      </c>
      <c r="D100" s="152" t="s">
        <v>34</v>
      </c>
      <c r="E100" s="152" t="s">
        <v>51</v>
      </c>
      <c r="F100" s="152" t="s">
        <v>195</v>
      </c>
      <c r="G100" s="152">
        <v>94.09</v>
      </c>
      <c r="H100" s="152">
        <v>101</v>
      </c>
      <c r="I100" s="151">
        <v>1</v>
      </c>
      <c r="J100" s="151">
        <v>101</v>
      </c>
      <c r="K100" s="151">
        <v>28</v>
      </c>
      <c r="L100" s="151">
        <v>2635</v>
      </c>
      <c r="M100" s="153">
        <f>(H100-(I100*50))/50</f>
        <v>1.02</v>
      </c>
      <c r="N100" s="153">
        <f>31*(M100+I100)</f>
        <v>62.62</v>
      </c>
      <c r="O100" s="153">
        <f>N100*G100</f>
        <v>5891.9158</v>
      </c>
      <c r="P100" s="153">
        <f>(H100-(I100*90))/90</f>
        <v>0.122222222222222</v>
      </c>
      <c r="Q100" s="153">
        <f>31*(P100+I100)</f>
        <v>34.7888888888889</v>
      </c>
      <c r="R100" s="153">
        <f>(P100+I100)*31*G100*1.5</f>
        <v>4909.92983333333</v>
      </c>
      <c r="S100" s="153">
        <f>Q100</f>
        <v>34.7888888888889</v>
      </c>
      <c r="T100" s="153">
        <f>S100/31</f>
        <v>1.12222222222222</v>
      </c>
      <c r="U100" s="153">
        <f>T100-I100</f>
        <v>0.122222222222222</v>
      </c>
      <c r="V100" s="153">
        <f>R100</f>
        <v>4909.92983333333</v>
      </c>
      <c r="W100" s="154">
        <f>_xlfn.XLOOKUP(B100,Sheet5!G:G,Sheet5!H:H)</f>
        <v>0.0666666666666667</v>
      </c>
      <c r="X100" s="155">
        <f>Y100/31</f>
        <v>0.0748148148148148</v>
      </c>
      <c r="Y100" s="153">
        <f>S100*W100</f>
        <v>2.31925925925926</v>
      </c>
      <c r="Z100" s="153">
        <f>Y100*G100*1.5</f>
        <v>327.328655555556</v>
      </c>
      <c r="AA100" s="154">
        <f>_xlfn.XLOOKUP(B100,Sheet5!G:G,Sheet5!I:I)</f>
        <v>0.933333333333333</v>
      </c>
      <c r="AB100" s="155">
        <f>AC100/31</f>
        <v>1.04740740740741</v>
      </c>
      <c r="AC100" s="153">
        <f>S100*AA100</f>
        <v>32.4696296296296</v>
      </c>
      <c r="AD100" s="153">
        <f>G100*AC100*1.5</f>
        <v>4582.60117777778</v>
      </c>
      <c r="AE100" s="156" t="s">
        <v>115</v>
      </c>
      <c r="AF100" s="158"/>
      <c r="AG100" s="157">
        <f>AC100/4</f>
        <v>8.11740740740741</v>
      </c>
      <c r="AH100" s="157">
        <f t="shared" si="3"/>
        <v>0.579814814814815</v>
      </c>
    </row>
    <row r="101" s="118" customFormat="1" ht="50" customHeight="1" spans="1:34">
      <c r="A101" s="151" t="s">
        <v>350</v>
      </c>
      <c r="B101" s="152" t="s">
        <v>351</v>
      </c>
      <c r="C101" s="152">
        <v>1</v>
      </c>
      <c r="D101" s="152" t="s">
        <v>34</v>
      </c>
      <c r="E101" s="152" t="s">
        <v>35</v>
      </c>
      <c r="F101" s="152" t="s">
        <v>264</v>
      </c>
      <c r="G101" s="152">
        <v>28.1342</v>
      </c>
      <c r="H101" s="152">
        <v>81</v>
      </c>
      <c r="I101" s="151"/>
      <c r="J101" s="151"/>
      <c r="K101" s="151">
        <v>66</v>
      </c>
      <c r="L101" s="151">
        <v>2616</v>
      </c>
      <c r="M101" s="153">
        <f>(H101-(I101*50))/50</f>
        <v>1.62</v>
      </c>
      <c r="N101" s="153">
        <f>31*(M101+I101)</f>
        <v>50.22</v>
      </c>
      <c r="O101" s="153">
        <f>N101*G101</f>
        <v>1412.899524</v>
      </c>
      <c r="P101" s="153">
        <f>(H101-(I101*90))/90</f>
        <v>0.9</v>
      </c>
      <c r="Q101" s="153">
        <f>31*(P101+I101)</f>
        <v>27.9</v>
      </c>
      <c r="R101" s="153">
        <f>(P101+I101)*31*G101*1.5</f>
        <v>1177.41627</v>
      </c>
      <c r="S101" s="153">
        <f>Q101</f>
        <v>27.9</v>
      </c>
      <c r="T101" s="153">
        <f>S101/31</f>
        <v>0.9</v>
      </c>
      <c r="U101" s="153">
        <f>T101-I101</f>
        <v>0.9</v>
      </c>
      <c r="V101" s="153">
        <f>R101</f>
        <v>1177.41627</v>
      </c>
      <c r="W101" s="154">
        <f>_xlfn.XLOOKUP(B101,Sheet5!G:G,Sheet5!H:H)</f>
        <v>1</v>
      </c>
      <c r="X101" s="155">
        <f>Y101/31</f>
        <v>0.9</v>
      </c>
      <c r="Y101" s="153">
        <f>S101*W101</f>
        <v>27.9</v>
      </c>
      <c r="Z101" s="153">
        <f>Y101*G101*1.5</f>
        <v>1177.41627</v>
      </c>
      <c r="AA101" s="154">
        <f>_xlfn.XLOOKUP(B101,Sheet5!G:G,Sheet5!I:I)</f>
        <v>0</v>
      </c>
      <c r="AB101" s="155">
        <f>AC101/31</f>
        <v>0</v>
      </c>
      <c r="AC101" s="153">
        <f>S101*AA101</f>
        <v>0</v>
      </c>
      <c r="AD101" s="153">
        <f>G101*AC101*1.5</f>
        <v>0</v>
      </c>
      <c r="AE101" s="159"/>
      <c r="AF101" s="158"/>
      <c r="AG101" s="157">
        <f>AC101/4</f>
        <v>0</v>
      </c>
      <c r="AH101" s="157">
        <f t="shared" ref="AH101:AH132" si="4">$Y101/4</f>
        <v>6.975</v>
      </c>
    </row>
    <row r="102" s="118" customFormat="1" ht="50" customHeight="1" spans="1:34">
      <c r="A102" s="151" t="s">
        <v>352</v>
      </c>
      <c r="B102" s="152" t="s">
        <v>353</v>
      </c>
      <c r="C102" s="152">
        <v>1</v>
      </c>
      <c r="D102" s="152" t="s">
        <v>34</v>
      </c>
      <c r="E102" s="152" t="s">
        <v>35</v>
      </c>
      <c r="F102" s="152" t="s">
        <v>354</v>
      </c>
      <c r="G102" s="152">
        <v>86.63</v>
      </c>
      <c r="H102" s="152">
        <v>20</v>
      </c>
      <c r="I102" s="151"/>
      <c r="J102" s="151"/>
      <c r="K102" s="151">
        <v>20</v>
      </c>
      <c r="L102" s="151">
        <v>2599</v>
      </c>
      <c r="M102" s="153">
        <f>(H102-(I102*50))/50</f>
        <v>0.4</v>
      </c>
      <c r="N102" s="153">
        <f>31*(M102+I102)</f>
        <v>12.4</v>
      </c>
      <c r="O102" s="153">
        <f>N102*G102</f>
        <v>1074.212</v>
      </c>
      <c r="P102" s="153">
        <f>(H102-(I102*90))/90</f>
        <v>0.222222222222222</v>
      </c>
      <c r="Q102" s="153">
        <f>31*(P102+I102)</f>
        <v>6.88888888888889</v>
      </c>
      <c r="R102" s="153">
        <f>(P102+I102)*31*G102*1.5</f>
        <v>895.176666666667</v>
      </c>
      <c r="S102" s="153">
        <f>Q102</f>
        <v>6.88888888888889</v>
      </c>
      <c r="T102" s="153">
        <f>S102/31</f>
        <v>0.222222222222222</v>
      </c>
      <c r="U102" s="153">
        <f>T102-I102</f>
        <v>0.222222222222222</v>
      </c>
      <c r="V102" s="153">
        <f>R102</f>
        <v>895.176666666667</v>
      </c>
      <c r="W102" s="154">
        <f>_xlfn.XLOOKUP(B102,Sheet5!G:G,Sheet5!H:H)</f>
        <v>0</v>
      </c>
      <c r="X102" s="155">
        <f>Y102/31</f>
        <v>0</v>
      </c>
      <c r="Y102" s="153">
        <f>S102*W102</f>
        <v>0</v>
      </c>
      <c r="Z102" s="153">
        <f>Y102*G102*1.5</f>
        <v>0</v>
      </c>
      <c r="AA102" s="154">
        <f>_xlfn.XLOOKUP(B102,Sheet5!G:G,Sheet5!I:I)</f>
        <v>0</v>
      </c>
      <c r="AB102" s="155">
        <f>AC102/31</f>
        <v>0</v>
      </c>
      <c r="AC102" s="153">
        <f>S102*AA102</f>
        <v>0</v>
      </c>
      <c r="AD102" s="153">
        <f>G102*AC102*1.5</f>
        <v>0</v>
      </c>
      <c r="AE102" s="159"/>
      <c r="AF102" s="158"/>
      <c r="AG102" s="157">
        <f>AC102/4</f>
        <v>0</v>
      </c>
      <c r="AH102" s="157">
        <f t="shared" si="4"/>
        <v>0</v>
      </c>
    </row>
    <row r="103" s="118" customFormat="1" ht="50" customHeight="1" spans="1:34">
      <c r="A103" s="151" t="s">
        <v>355</v>
      </c>
      <c r="B103" s="152" t="s">
        <v>356</v>
      </c>
      <c r="C103" s="152">
        <v>1</v>
      </c>
      <c r="D103" s="152" t="s">
        <v>34</v>
      </c>
      <c r="E103" s="152" t="s">
        <v>51</v>
      </c>
      <c r="F103" s="152" t="s">
        <v>357</v>
      </c>
      <c r="G103" s="152">
        <v>115.92</v>
      </c>
      <c r="H103" s="152">
        <v>16</v>
      </c>
      <c r="I103" s="151"/>
      <c r="J103" s="151"/>
      <c r="K103" s="151">
        <v>15</v>
      </c>
      <c r="L103" s="151">
        <v>2550</v>
      </c>
      <c r="M103" s="153">
        <f>(H103-(I103*50))/50</f>
        <v>0.32</v>
      </c>
      <c r="N103" s="153">
        <f>31*(M103+I103)</f>
        <v>9.92</v>
      </c>
      <c r="O103" s="153">
        <f>N103*G103</f>
        <v>1149.9264</v>
      </c>
      <c r="P103" s="153">
        <f>(H103-(I103*90))/90</f>
        <v>0.177777777777778</v>
      </c>
      <c r="Q103" s="153">
        <f>31*(P103+I103)</f>
        <v>5.51111111111111</v>
      </c>
      <c r="R103" s="153">
        <f>(P103+I103)*31*G103*1.5</f>
        <v>958.272</v>
      </c>
      <c r="S103" s="153">
        <f>Q103</f>
        <v>5.51111111111111</v>
      </c>
      <c r="T103" s="153">
        <f>S103/31</f>
        <v>0.177777777777778</v>
      </c>
      <c r="U103" s="153">
        <f>T103-I103</f>
        <v>0.177777777777778</v>
      </c>
      <c r="V103" s="153">
        <f>R103</f>
        <v>958.272</v>
      </c>
      <c r="W103" s="154">
        <f>_xlfn.XLOOKUP(B103,Sheet5!G:G,Sheet5!H:H)</f>
        <v>0</v>
      </c>
      <c r="X103" s="155">
        <f>Y103/31</f>
        <v>0</v>
      </c>
      <c r="Y103" s="153">
        <f>S103*W103</f>
        <v>0</v>
      </c>
      <c r="Z103" s="153">
        <f>Y103*G103*1.5</f>
        <v>0</v>
      </c>
      <c r="AA103" s="154">
        <f>_xlfn.XLOOKUP(B103,Sheet5!G:G,Sheet5!I:I)</f>
        <v>1</v>
      </c>
      <c r="AB103" s="155">
        <f>AC103/31</f>
        <v>0.177777777777778</v>
      </c>
      <c r="AC103" s="153">
        <f>S103*AA103</f>
        <v>5.51111111111111</v>
      </c>
      <c r="AD103" s="153">
        <f>G103*AC103*1.5</f>
        <v>958.272</v>
      </c>
      <c r="AE103" s="159"/>
      <c r="AF103" s="158"/>
      <c r="AG103" s="157">
        <f>AC103/4</f>
        <v>1.37777777777778</v>
      </c>
      <c r="AH103" s="157">
        <f t="shared" si="4"/>
        <v>0</v>
      </c>
    </row>
    <row r="104" s="118" customFormat="1" ht="50" customHeight="1" spans="1:34">
      <c r="A104" s="151" t="s">
        <v>358</v>
      </c>
      <c r="B104" s="152" t="s">
        <v>359</v>
      </c>
      <c r="C104" s="152">
        <v>1</v>
      </c>
      <c r="D104" s="152" t="s">
        <v>34</v>
      </c>
      <c r="E104" s="152" t="s">
        <v>51</v>
      </c>
      <c r="F104" s="152" t="s">
        <v>203</v>
      </c>
      <c r="G104" s="152">
        <v>193.62</v>
      </c>
      <c r="H104" s="152">
        <v>41</v>
      </c>
      <c r="I104" s="151"/>
      <c r="J104" s="151"/>
      <c r="K104" s="151">
        <v>13</v>
      </c>
      <c r="L104" s="151">
        <v>2517</v>
      </c>
      <c r="M104" s="153">
        <f>(H104-(I104*50))/50</f>
        <v>0.82</v>
      </c>
      <c r="N104" s="153">
        <f>31*(M104+I104)</f>
        <v>25.42</v>
      </c>
      <c r="O104" s="153">
        <f>N104*G104</f>
        <v>4921.8204</v>
      </c>
      <c r="P104" s="153">
        <f>(H104-(I104*90))/90</f>
        <v>0.455555555555556</v>
      </c>
      <c r="Q104" s="153">
        <f>31*(P104+I104)</f>
        <v>14.1222222222222</v>
      </c>
      <c r="R104" s="153">
        <f>(P104+I104)*31*G104*1.5</f>
        <v>4101.517</v>
      </c>
      <c r="S104" s="153">
        <f>Q104</f>
        <v>14.1222222222222</v>
      </c>
      <c r="T104" s="153">
        <f>S104/31</f>
        <v>0.455555555555556</v>
      </c>
      <c r="U104" s="153">
        <f>T104-I104</f>
        <v>0.455555555555556</v>
      </c>
      <c r="V104" s="153">
        <f>R104</f>
        <v>4101.517</v>
      </c>
      <c r="W104" s="154">
        <f>_xlfn.XLOOKUP(B104,Sheet5!G:G,Sheet5!H:H)</f>
        <v>0.666666666666667</v>
      </c>
      <c r="X104" s="155">
        <f>Y104/31</f>
        <v>0.303703703703704</v>
      </c>
      <c r="Y104" s="153">
        <f>S104*W104</f>
        <v>9.41481481481482</v>
      </c>
      <c r="Z104" s="153">
        <f>Y104*G104*1.5</f>
        <v>2734.34466666667</v>
      </c>
      <c r="AA104" s="154">
        <f>_xlfn.XLOOKUP(B104,Sheet5!G:G,Sheet5!I:I)</f>
        <v>0.333333333333333</v>
      </c>
      <c r="AB104" s="155">
        <f>AC104/31</f>
        <v>0.151851851851852</v>
      </c>
      <c r="AC104" s="153">
        <f>S104*AA104</f>
        <v>4.7074074074074</v>
      </c>
      <c r="AD104" s="153">
        <f>G104*AC104*1.5</f>
        <v>1367.17233333333</v>
      </c>
      <c r="AE104" s="159"/>
      <c r="AF104" s="158"/>
      <c r="AG104" s="157">
        <f>AC104/4</f>
        <v>1.17685185185185</v>
      </c>
      <c r="AH104" s="157">
        <f t="shared" si="4"/>
        <v>2.3537037037037</v>
      </c>
    </row>
    <row r="105" s="118" customFormat="1" ht="50" customHeight="1" spans="1:34">
      <c r="A105" s="151" t="s">
        <v>360</v>
      </c>
      <c r="B105" s="152" t="s">
        <v>361</v>
      </c>
      <c r="C105" s="152">
        <v>1</v>
      </c>
      <c r="D105" s="152" t="s">
        <v>34</v>
      </c>
      <c r="E105" s="152" t="s">
        <v>35</v>
      </c>
      <c r="F105" s="152" t="s">
        <v>362</v>
      </c>
      <c r="G105" s="152">
        <v>4.47</v>
      </c>
      <c r="H105" s="152">
        <v>382</v>
      </c>
      <c r="I105" s="151"/>
      <c r="J105" s="151"/>
      <c r="K105" s="151">
        <v>369</v>
      </c>
      <c r="L105" s="151">
        <v>2450</v>
      </c>
      <c r="M105" s="153">
        <f>(H105-(I105*50))/50</f>
        <v>7.64</v>
      </c>
      <c r="N105" s="153">
        <f>31*(M105+I105)</f>
        <v>236.84</v>
      </c>
      <c r="O105" s="153">
        <f>N105*G105</f>
        <v>1058.6748</v>
      </c>
      <c r="P105" s="153">
        <f>(H105-(I105*90))/90</f>
        <v>4.24444444444444</v>
      </c>
      <c r="Q105" s="153">
        <f>31*(P105+I105)</f>
        <v>131.577777777778</v>
      </c>
      <c r="R105" s="153">
        <f>(P105+I105)*31*G105*1.5</f>
        <v>882.229</v>
      </c>
      <c r="S105" s="153">
        <f>Q105</f>
        <v>131.577777777778</v>
      </c>
      <c r="T105" s="153">
        <f>S105/31</f>
        <v>4.24444444444444</v>
      </c>
      <c r="U105" s="153">
        <f>T105-I105</f>
        <v>4.24444444444444</v>
      </c>
      <c r="V105" s="153">
        <f>R105</f>
        <v>882.229</v>
      </c>
      <c r="W105" s="154">
        <f>_xlfn.XLOOKUP(B105,Sheet5!G:G,Sheet5!H:H)</f>
        <v>1</v>
      </c>
      <c r="X105" s="155">
        <f>Y105/31</f>
        <v>4.24444444444444</v>
      </c>
      <c r="Y105" s="153">
        <f>S105*W105</f>
        <v>131.577777777778</v>
      </c>
      <c r="Z105" s="153">
        <f>Y105*G105*1.5</f>
        <v>882.229</v>
      </c>
      <c r="AA105" s="154">
        <f>_xlfn.XLOOKUP(B105,Sheet5!G:G,Sheet5!I:I)</f>
        <v>0</v>
      </c>
      <c r="AB105" s="155">
        <f>AC105/31</f>
        <v>0</v>
      </c>
      <c r="AC105" s="153">
        <f>S105*AA105</f>
        <v>0</v>
      </c>
      <c r="AD105" s="153">
        <f>G105*AC105*1.5</f>
        <v>0</v>
      </c>
      <c r="AE105" s="159"/>
      <c r="AF105" s="158"/>
      <c r="AG105" s="157">
        <f>AC105/4</f>
        <v>0</v>
      </c>
      <c r="AH105" s="157">
        <f t="shared" si="4"/>
        <v>32.8944444444444</v>
      </c>
    </row>
    <row r="106" s="118" customFormat="1" ht="50" customHeight="1" spans="1:34">
      <c r="A106" s="151" t="s">
        <v>363</v>
      </c>
      <c r="B106" s="152" t="s">
        <v>364</v>
      </c>
      <c r="C106" s="152">
        <v>1</v>
      </c>
      <c r="D106" s="152" t="s">
        <v>34</v>
      </c>
      <c r="E106" s="152" t="s">
        <v>35</v>
      </c>
      <c r="F106" s="152" t="s">
        <v>365</v>
      </c>
      <c r="G106" s="152">
        <v>49.3702</v>
      </c>
      <c r="H106" s="152">
        <v>37</v>
      </c>
      <c r="I106" s="151"/>
      <c r="J106" s="151"/>
      <c r="K106" s="151">
        <v>34</v>
      </c>
      <c r="L106" s="151">
        <v>2444</v>
      </c>
      <c r="M106" s="153">
        <f>(H106-(I106*50))/50</f>
        <v>0.74</v>
      </c>
      <c r="N106" s="153">
        <f>31*(M106+I106)</f>
        <v>22.94</v>
      </c>
      <c r="O106" s="153">
        <f>N106*G106</f>
        <v>1132.552388</v>
      </c>
      <c r="P106" s="153">
        <f>(H106-(I106*90))/90</f>
        <v>0.411111111111111</v>
      </c>
      <c r="Q106" s="153">
        <f>31*(P106+I106)</f>
        <v>12.7444444444444</v>
      </c>
      <c r="R106" s="153">
        <f>(P106+I106)*31*G106*1.5</f>
        <v>943.793656666667</v>
      </c>
      <c r="S106" s="153">
        <f>Q106</f>
        <v>12.7444444444444</v>
      </c>
      <c r="T106" s="153">
        <f>S106/31</f>
        <v>0.411111111111111</v>
      </c>
      <c r="U106" s="153">
        <f>T106-I106</f>
        <v>0.411111111111111</v>
      </c>
      <c r="V106" s="153">
        <f>R106</f>
        <v>943.793656666667</v>
      </c>
      <c r="W106" s="154">
        <f>_xlfn.XLOOKUP(B106,Sheet5!G:G,Sheet5!H:H)</f>
        <v>1</v>
      </c>
      <c r="X106" s="155">
        <f>Y106/31</f>
        <v>0.411111111111111</v>
      </c>
      <c r="Y106" s="153">
        <f>S106*W106</f>
        <v>12.7444444444444</v>
      </c>
      <c r="Z106" s="153">
        <f>Y106*G106*1.5</f>
        <v>943.793656666667</v>
      </c>
      <c r="AA106" s="154">
        <f>_xlfn.XLOOKUP(B106,Sheet5!G:G,Sheet5!I:I)</f>
        <v>0</v>
      </c>
      <c r="AB106" s="155">
        <f>AC106/31</f>
        <v>0</v>
      </c>
      <c r="AC106" s="153">
        <f>S106*AA106</f>
        <v>0</v>
      </c>
      <c r="AD106" s="153">
        <f>G106*AC106*1.5</f>
        <v>0</v>
      </c>
      <c r="AE106" s="159"/>
      <c r="AF106" s="158"/>
      <c r="AG106" s="157">
        <f>AC106/4</f>
        <v>0</v>
      </c>
      <c r="AH106" s="157">
        <f t="shared" si="4"/>
        <v>3.18611111111111</v>
      </c>
    </row>
    <row r="107" s="118" customFormat="1" ht="50" customHeight="1" spans="1:34">
      <c r="A107" s="151" t="s">
        <v>366</v>
      </c>
      <c r="B107" s="152" t="s">
        <v>367</v>
      </c>
      <c r="C107" s="152">
        <v>1</v>
      </c>
      <c r="D107" s="152" t="s">
        <v>34</v>
      </c>
      <c r="E107" s="152" t="s">
        <v>35</v>
      </c>
      <c r="F107" s="152" t="s">
        <v>338</v>
      </c>
      <c r="G107" s="152">
        <v>6.7279</v>
      </c>
      <c r="H107" s="152">
        <v>470</v>
      </c>
      <c r="I107" s="151">
        <v>3</v>
      </c>
      <c r="J107" s="151">
        <v>156</v>
      </c>
      <c r="K107" s="151">
        <v>285</v>
      </c>
      <c r="L107" s="151">
        <v>2378</v>
      </c>
      <c r="M107" s="153">
        <f>(H107-(I107*50))/50</f>
        <v>6.4</v>
      </c>
      <c r="N107" s="153">
        <f>31*(M107+I107)</f>
        <v>291.4</v>
      </c>
      <c r="O107" s="153">
        <f>N107*G107</f>
        <v>1960.51006</v>
      </c>
      <c r="P107" s="153">
        <f>(H107-(I107*90))/90</f>
        <v>2.22222222222222</v>
      </c>
      <c r="Q107" s="153">
        <f>31*(P107+I107)</f>
        <v>161.888888888889</v>
      </c>
      <c r="R107" s="153">
        <f>(P107+I107)*31*G107*1.5</f>
        <v>1633.75838333333</v>
      </c>
      <c r="S107" s="153">
        <f>Q107</f>
        <v>161.888888888889</v>
      </c>
      <c r="T107" s="153">
        <f>S107/31</f>
        <v>5.22222222222222</v>
      </c>
      <c r="U107" s="153">
        <f>T107-I107</f>
        <v>2.22222222222222</v>
      </c>
      <c r="V107" s="153">
        <f>R107</f>
        <v>1633.75838333333</v>
      </c>
      <c r="W107" s="154">
        <f>_xlfn.XLOOKUP(B107,Sheet5!G:G,Sheet5!H:H)</f>
        <v>0.296296296296296</v>
      </c>
      <c r="X107" s="155">
        <f>Y107/31</f>
        <v>1.54732510288066</v>
      </c>
      <c r="Y107" s="153">
        <f>S107*W107</f>
        <v>47.9670781893004</v>
      </c>
      <c r="Z107" s="153">
        <f>Y107*G107*1.5</f>
        <v>484.076558024691</v>
      </c>
      <c r="AA107" s="154">
        <f>_xlfn.XLOOKUP(B107,Sheet5!G:G,Sheet5!I:I)</f>
        <v>0.703703703703704</v>
      </c>
      <c r="AB107" s="155">
        <f>AC107/31</f>
        <v>3.67489711934157</v>
      </c>
      <c r="AC107" s="153">
        <f>S107*AA107</f>
        <v>113.921810699589</v>
      </c>
      <c r="AD107" s="153">
        <f>G107*AC107*1.5</f>
        <v>1149.68182530864</v>
      </c>
      <c r="AE107" s="159"/>
      <c r="AF107" s="158"/>
      <c r="AG107" s="157">
        <f>AC107/4</f>
        <v>28.4804526748971</v>
      </c>
      <c r="AH107" s="157">
        <f t="shared" si="4"/>
        <v>11.9917695473251</v>
      </c>
    </row>
    <row r="108" s="118" customFormat="1" ht="50" customHeight="1" spans="1:34">
      <c r="A108" s="151" t="s">
        <v>368</v>
      </c>
      <c r="B108" s="152" t="s">
        <v>369</v>
      </c>
      <c r="C108" s="152">
        <v>1</v>
      </c>
      <c r="D108" s="152" t="s">
        <v>34</v>
      </c>
      <c r="E108" s="152" t="s">
        <v>51</v>
      </c>
      <c r="F108" s="152" t="s">
        <v>180</v>
      </c>
      <c r="G108" s="152">
        <v>102.79</v>
      </c>
      <c r="H108" s="152">
        <v>29</v>
      </c>
      <c r="I108" s="151"/>
      <c r="J108" s="151"/>
      <c r="K108" s="151">
        <v>18</v>
      </c>
      <c r="L108" s="151">
        <v>2313</v>
      </c>
      <c r="M108" s="153">
        <f>(H108-(I108*50))/50</f>
        <v>0.58</v>
      </c>
      <c r="N108" s="153">
        <f>31*(M108+I108)</f>
        <v>17.98</v>
      </c>
      <c r="O108" s="153">
        <f>N108*G108</f>
        <v>1848.1642</v>
      </c>
      <c r="P108" s="153">
        <f>(H108-(I108*90))/90</f>
        <v>0.322222222222222</v>
      </c>
      <c r="Q108" s="153">
        <f>31*(P108+I108)</f>
        <v>9.98888888888889</v>
      </c>
      <c r="R108" s="153">
        <f>(P108+I108)*31*G108*1.5</f>
        <v>1540.13683333333</v>
      </c>
      <c r="S108" s="153">
        <f>Q108</f>
        <v>9.98888888888889</v>
      </c>
      <c r="T108" s="153">
        <f>S108/31</f>
        <v>0.322222222222222</v>
      </c>
      <c r="U108" s="153">
        <f>T108-I108</f>
        <v>0.322222222222222</v>
      </c>
      <c r="V108" s="153">
        <f>R108</f>
        <v>1540.13683333333</v>
      </c>
      <c r="W108" s="154">
        <f>_xlfn.XLOOKUP(B108,Sheet5!G:G,Sheet5!H:H)</f>
        <v>0</v>
      </c>
      <c r="X108" s="155">
        <f>Y108/31</f>
        <v>0</v>
      </c>
      <c r="Y108" s="153">
        <f>S108*W108</f>
        <v>0</v>
      </c>
      <c r="Z108" s="153">
        <f>Y108*G108*1.5</f>
        <v>0</v>
      </c>
      <c r="AA108" s="154">
        <f>_xlfn.XLOOKUP(B108,Sheet5!G:G,Sheet5!I:I)</f>
        <v>1</v>
      </c>
      <c r="AB108" s="155">
        <f>AC108/31</f>
        <v>0.322222222222222</v>
      </c>
      <c r="AC108" s="153">
        <f>S108*AA108</f>
        <v>9.98888888888889</v>
      </c>
      <c r="AD108" s="153">
        <f>G108*AC108*1.5</f>
        <v>1540.13683333333</v>
      </c>
      <c r="AE108" s="156" t="s">
        <v>293</v>
      </c>
      <c r="AF108" s="158"/>
      <c r="AG108" s="157">
        <f>AC108/4</f>
        <v>2.49722222222222</v>
      </c>
      <c r="AH108" s="157">
        <f t="shared" si="4"/>
        <v>0</v>
      </c>
    </row>
    <row r="109" s="118" customFormat="1" ht="50" customHeight="1" spans="1:34">
      <c r="A109" s="151" t="s">
        <v>370</v>
      </c>
      <c r="B109" s="152" t="s">
        <v>371</v>
      </c>
      <c r="C109" s="152">
        <v>1</v>
      </c>
      <c r="D109" s="152" t="s">
        <v>34</v>
      </c>
      <c r="E109" s="152" t="s">
        <v>35</v>
      </c>
      <c r="F109" s="152" t="s">
        <v>372</v>
      </c>
      <c r="G109" s="152">
        <v>66.1338</v>
      </c>
      <c r="H109" s="152">
        <v>29</v>
      </c>
      <c r="I109" s="151"/>
      <c r="J109" s="151"/>
      <c r="K109" s="151">
        <v>24</v>
      </c>
      <c r="L109" s="151">
        <v>2249</v>
      </c>
      <c r="M109" s="153">
        <f>(H109-(I109*50))/50</f>
        <v>0.58</v>
      </c>
      <c r="N109" s="153">
        <f>31*(M109+I109)</f>
        <v>17.98</v>
      </c>
      <c r="O109" s="153">
        <f>N109*G109</f>
        <v>1189.085724</v>
      </c>
      <c r="P109" s="153">
        <f>(H109-(I109*90))/90</f>
        <v>0.322222222222222</v>
      </c>
      <c r="Q109" s="153">
        <f>31*(P109+I109)</f>
        <v>9.98888888888889</v>
      </c>
      <c r="R109" s="153">
        <f>(P109+I109)*31*G109*1.5</f>
        <v>990.90477</v>
      </c>
      <c r="S109" s="153">
        <f>Q109</f>
        <v>9.98888888888889</v>
      </c>
      <c r="T109" s="153">
        <f>S109/31</f>
        <v>0.322222222222222</v>
      </c>
      <c r="U109" s="153">
        <f>T109-I109</f>
        <v>0.322222222222222</v>
      </c>
      <c r="V109" s="153">
        <f>R109</f>
        <v>990.90477</v>
      </c>
      <c r="W109" s="154">
        <f>_xlfn.XLOOKUP(B109,Sheet5!G:G,Sheet5!H:H)</f>
        <v>0.5</v>
      </c>
      <c r="X109" s="155">
        <f>Y109/31</f>
        <v>0.161111111111111</v>
      </c>
      <c r="Y109" s="153">
        <f>S109*W109</f>
        <v>4.99444444444444</v>
      </c>
      <c r="Z109" s="153">
        <f>Y109*G109*1.5</f>
        <v>495.452385</v>
      </c>
      <c r="AA109" s="154">
        <f>_xlfn.XLOOKUP(B109,Sheet5!G:G,Sheet5!I:I)</f>
        <v>0.5</v>
      </c>
      <c r="AB109" s="155">
        <v>50</v>
      </c>
      <c r="AC109" s="153">
        <f>S109*AA109</f>
        <v>4.99444444444444</v>
      </c>
      <c r="AD109" s="153">
        <f>G109*AC109*1.5</f>
        <v>495.452385</v>
      </c>
      <c r="AE109" s="159"/>
      <c r="AF109" s="158"/>
      <c r="AG109" s="157">
        <f>AC109/4</f>
        <v>1.24861111111111</v>
      </c>
      <c r="AH109" s="157">
        <f t="shared" si="4"/>
        <v>1.24861111111111</v>
      </c>
    </row>
    <row r="110" s="118" customFormat="1" ht="50" customHeight="1" spans="1:34">
      <c r="A110" s="151" t="s">
        <v>373</v>
      </c>
      <c r="B110" s="152" t="s">
        <v>374</v>
      </c>
      <c r="C110" s="152">
        <v>1</v>
      </c>
      <c r="D110" s="152" t="s">
        <v>34</v>
      </c>
      <c r="E110" s="152" t="s">
        <v>51</v>
      </c>
      <c r="F110" s="152" t="s">
        <v>211</v>
      </c>
      <c r="G110" s="152">
        <v>36.17</v>
      </c>
      <c r="H110" s="152">
        <v>47</v>
      </c>
      <c r="I110" s="151"/>
      <c r="J110" s="151"/>
      <c r="K110" s="151">
        <v>42</v>
      </c>
      <c r="L110" s="151">
        <v>2206</v>
      </c>
      <c r="M110" s="153">
        <f>(H110-(I110*50))/50</f>
        <v>0.94</v>
      </c>
      <c r="N110" s="153">
        <f>31*(M110+I110)</f>
        <v>29.14</v>
      </c>
      <c r="O110" s="153">
        <f>N110*G110</f>
        <v>1053.9938</v>
      </c>
      <c r="P110" s="153">
        <f>(H110-(I110*90))/90</f>
        <v>0.522222222222222</v>
      </c>
      <c r="Q110" s="153">
        <f>31*(P110+I110)</f>
        <v>16.1888888888889</v>
      </c>
      <c r="R110" s="153">
        <f>(P110+I110)*31*G110*1.5</f>
        <v>878.328166666667</v>
      </c>
      <c r="S110" s="153">
        <f>Q110</f>
        <v>16.1888888888889</v>
      </c>
      <c r="T110" s="153">
        <f>S110/31</f>
        <v>0.522222222222222</v>
      </c>
      <c r="U110" s="153">
        <f>T110-I110</f>
        <v>0.522222222222222</v>
      </c>
      <c r="V110" s="153">
        <f>R110</f>
        <v>878.328166666667</v>
      </c>
      <c r="W110" s="154">
        <f>_xlfn.XLOOKUP(B110,Sheet5!G:G,Sheet5!H:H)</f>
        <v>1</v>
      </c>
      <c r="X110" s="155">
        <f>Y110/31</f>
        <v>0.522222222222222</v>
      </c>
      <c r="Y110" s="153">
        <f>S110*W110</f>
        <v>16.1888888888889</v>
      </c>
      <c r="Z110" s="153">
        <f>Y110*G110*1.5</f>
        <v>878.328166666667</v>
      </c>
      <c r="AA110" s="154">
        <f>_xlfn.XLOOKUP(B110,Sheet5!G:G,Sheet5!I:I)</f>
        <v>0</v>
      </c>
      <c r="AB110" s="155">
        <f>AC110/31</f>
        <v>0</v>
      </c>
      <c r="AC110" s="153">
        <f>S110*AA110</f>
        <v>0</v>
      </c>
      <c r="AD110" s="153">
        <f>G110*AC110*1.5</f>
        <v>0</v>
      </c>
      <c r="AE110" s="159"/>
      <c r="AF110" s="158"/>
      <c r="AG110" s="157">
        <f>AC110/4</f>
        <v>0</v>
      </c>
      <c r="AH110" s="157">
        <f t="shared" si="4"/>
        <v>4.04722222222222</v>
      </c>
    </row>
    <row r="111" s="118" customFormat="1" ht="50" customHeight="1" spans="1:34">
      <c r="A111" s="151" t="s">
        <v>375</v>
      </c>
      <c r="B111" s="152" t="s">
        <v>376</v>
      </c>
      <c r="C111" s="152">
        <v>1</v>
      </c>
      <c r="D111" s="152" t="s">
        <v>34</v>
      </c>
      <c r="E111" s="152" t="s">
        <v>35</v>
      </c>
      <c r="F111" s="152" t="s">
        <v>377</v>
      </c>
      <c r="G111" s="152">
        <v>22.23</v>
      </c>
      <c r="H111" s="152">
        <v>65</v>
      </c>
      <c r="I111" s="151"/>
      <c r="J111" s="151"/>
      <c r="K111" s="151">
        <v>65</v>
      </c>
      <c r="L111" s="151">
        <v>2167</v>
      </c>
      <c r="M111" s="153">
        <f>(H111-(I111*50))/50</f>
        <v>1.3</v>
      </c>
      <c r="N111" s="153">
        <f>31*(M111+I111)</f>
        <v>40.3</v>
      </c>
      <c r="O111" s="153">
        <f>N111*G111</f>
        <v>895.869</v>
      </c>
      <c r="P111" s="153">
        <f>(H111-(I111*90))/90</f>
        <v>0.722222222222222</v>
      </c>
      <c r="Q111" s="153">
        <f>31*(P111+I111)</f>
        <v>22.3888888888889</v>
      </c>
      <c r="R111" s="153">
        <f>(P111+I111)*31*G111*1.5</f>
        <v>746.5575</v>
      </c>
      <c r="S111" s="153">
        <f>Q111</f>
        <v>22.3888888888889</v>
      </c>
      <c r="T111" s="153">
        <f>S111/31</f>
        <v>0.722222222222222</v>
      </c>
      <c r="U111" s="153">
        <f>T111-I111</f>
        <v>0.722222222222222</v>
      </c>
      <c r="V111" s="153">
        <f>R111</f>
        <v>746.5575</v>
      </c>
      <c r="W111" s="154">
        <f>_xlfn.XLOOKUP(B111,Sheet5!G:G,Sheet5!H:H)</f>
        <v>0</v>
      </c>
      <c r="X111" s="155">
        <f>Y111/31</f>
        <v>0</v>
      </c>
      <c r="Y111" s="153">
        <f>S111*W111</f>
        <v>0</v>
      </c>
      <c r="Z111" s="153">
        <f>Y111*G111*1.5</f>
        <v>0</v>
      </c>
      <c r="AA111" s="154">
        <f>_xlfn.XLOOKUP(B111,Sheet5!G:G,Sheet5!I:I)</f>
        <v>0</v>
      </c>
      <c r="AB111" s="155">
        <f>AC111/31</f>
        <v>0</v>
      </c>
      <c r="AC111" s="153">
        <f>S111*AA111</f>
        <v>0</v>
      </c>
      <c r="AD111" s="153">
        <f>G111*AC111*1.5</f>
        <v>0</v>
      </c>
      <c r="AE111" s="159"/>
      <c r="AF111" s="158"/>
      <c r="AG111" s="157">
        <f>AC111/4</f>
        <v>0</v>
      </c>
      <c r="AH111" s="157">
        <f t="shared" si="4"/>
        <v>0</v>
      </c>
    </row>
    <row r="112" s="118" customFormat="1" ht="50" customHeight="1" spans="1:34">
      <c r="A112" s="151" t="s">
        <v>378</v>
      </c>
      <c r="B112" s="152" t="s">
        <v>379</v>
      </c>
      <c r="C112" s="152">
        <v>1</v>
      </c>
      <c r="D112" s="152" t="s">
        <v>34</v>
      </c>
      <c r="E112" s="152" t="s">
        <v>51</v>
      </c>
      <c r="F112" s="152" t="s">
        <v>380</v>
      </c>
      <c r="G112" s="152">
        <v>14.19</v>
      </c>
      <c r="H112" s="152">
        <v>356</v>
      </c>
      <c r="I112" s="151">
        <v>4</v>
      </c>
      <c r="J112" s="151">
        <v>89</v>
      </c>
      <c r="K112" s="151">
        <v>150</v>
      </c>
      <c r="L112" s="151">
        <v>2129</v>
      </c>
      <c r="M112" s="153">
        <f>(H112-(I112*50))/50</f>
        <v>3.12</v>
      </c>
      <c r="N112" s="153">
        <f>31*(M112+I112)</f>
        <v>220.72</v>
      </c>
      <c r="O112" s="153">
        <f>N112*G112</f>
        <v>3132.0168</v>
      </c>
      <c r="P112" s="153">
        <f>(H112-(I112*90))/90</f>
        <v>-0.0444444444444444</v>
      </c>
      <c r="Q112" s="153">
        <f>31*(P112+I112)</f>
        <v>122.622222222222</v>
      </c>
      <c r="R112" s="153">
        <f>(P112+I112)*31*G112*1.5</f>
        <v>2610.014</v>
      </c>
      <c r="S112" s="153">
        <f>Q112</f>
        <v>122.622222222222</v>
      </c>
      <c r="T112" s="153">
        <f>S112/31</f>
        <v>3.95555555555556</v>
      </c>
      <c r="U112" s="153">
        <f>T112-I112</f>
        <v>-0.0444444444444438</v>
      </c>
      <c r="V112" s="153">
        <f>R112</f>
        <v>2610.014</v>
      </c>
      <c r="W112" s="154">
        <f>_xlfn.XLOOKUP(B112,Sheet5!G:G,Sheet5!H:H)</f>
        <v>0.705882352941176</v>
      </c>
      <c r="X112" s="155">
        <f>Y112/31</f>
        <v>2.7921568627451</v>
      </c>
      <c r="Y112" s="153">
        <f>S112*W112</f>
        <v>86.556862745098</v>
      </c>
      <c r="Z112" s="153">
        <f>Y112*G112*1.5</f>
        <v>1842.36282352941</v>
      </c>
      <c r="AA112" s="154">
        <f>_xlfn.XLOOKUP(B112,Sheet5!G:G,Sheet5!I:I)</f>
        <v>0.294117647058823</v>
      </c>
      <c r="AB112" s="155">
        <f>AC112/31</f>
        <v>1.16339869281046</v>
      </c>
      <c r="AC112" s="153">
        <f>S112*AA112</f>
        <v>36.0653594771241</v>
      </c>
      <c r="AD112" s="153">
        <f>G112*AC112*1.5</f>
        <v>767.651176470587</v>
      </c>
      <c r="AE112" s="159"/>
      <c r="AF112" s="158"/>
      <c r="AG112" s="157">
        <f>AC112/4</f>
        <v>9.01633986928103</v>
      </c>
      <c r="AH112" s="157">
        <f t="shared" si="4"/>
        <v>21.6392156862745</v>
      </c>
    </row>
    <row r="113" s="118" customFormat="1" ht="50" customHeight="1" spans="1:34">
      <c r="A113" s="151" t="s">
        <v>381</v>
      </c>
      <c r="B113" s="152" t="s">
        <v>382</v>
      </c>
      <c r="C113" s="152">
        <v>1</v>
      </c>
      <c r="D113" s="152" t="s">
        <v>34</v>
      </c>
      <c r="E113" s="152" t="s">
        <v>35</v>
      </c>
      <c r="F113" s="152" t="s">
        <v>110</v>
      </c>
      <c r="G113" s="152">
        <v>17.6966</v>
      </c>
      <c r="H113" s="152">
        <v>298</v>
      </c>
      <c r="I113" s="151">
        <v>3</v>
      </c>
      <c r="J113" s="151">
        <v>99</v>
      </c>
      <c r="K113" s="151">
        <v>120</v>
      </c>
      <c r="L113" s="151">
        <v>2124</v>
      </c>
      <c r="M113" s="153">
        <f>(H113-(I113*50))/50</f>
        <v>2.96</v>
      </c>
      <c r="N113" s="153">
        <f>31*(M113+I113)</f>
        <v>184.76</v>
      </c>
      <c r="O113" s="153">
        <f>N113*G113</f>
        <v>3269.623816</v>
      </c>
      <c r="P113" s="153">
        <f>(H113-(I113*90))/90</f>
        <v>0.311111111111111</v>
      </c>
      <c r="Q113" s="153">
        <f>31*(P113+I113)</f>
        <v>102.644444444444</v>
      </c>
      <c r="R113" s="153">
        <f>(P113+I113)*31*G113*1.5</f>
        <v>2724.68651333333</v>
      </c>
      <c r="S113" s="153">
        <f>Q113</f>
        <v>102.644444444444</v>
      </c>
      <c r="T113" s="153">
        <f>S113/31</f>
        <v>3.31111111111111</v>
      </c>
      <c r="U113" s="153">
        <f>T113-I113</f>
        <v>0.311111111111111</v>
      </c>
      <c r="V113" s="153">
        <f>R113</f>
        <v>2724.68651333333</v>
      </c>
      <c r="W113" s="154">
        <f>_xlfn.XLOOKUP(B113,Sheet5!G:G,Sheet5!H:H)</f>
        <v>0.433962264150943</v>
      </c>
      <c r="X113" s="155">
        <f>Y113/31</f>
        <v>1.43689727463312</v>
      </c>
      <c r="Y113" s="153">
        <f>S113*W113</f>
        <v>44.5438155136268</v>
      </c>
      <c r="Z113" s="153">
        <f>Y113*G113*1.5</f>
        <v>1182.41112842767</v>
      </c>
      <c r="AA113" s="154">
        <f>_xlfn.XLOOKUP(B113,Sheet5!G:G,Sheet5!I:I)</f>
        <v>0.566037735849057</v>
      </c>
      <c r="AB113" s="155">
        <f>AC113/31</f>
        <v>1.87421383647799</v>
      </c>
      <c r="AC113" s="153">
        <f>S113*AA113</f>
        <v>58.1006289308176</v>
      </c>
      <c r="AD113" s="153">
        <f>G113*AC113*1.5</f>
        <v>1542.27538490566</v>
      </c>
      <c r="AE113" s="156" t="s">
        <v>111</v>
      </c>
      <c r="AF113" s="151" t="s">
        <v>112</v>
      </c>
      <c r="AG113" s="157">
        <f>AC113/4</f>
        <v>14.5251572327044</v>
      </c>
      <c r="AH113" s="157">
        <f t="shared" si="4"/>
        <v>11.1359538784067</v>
      </c>
    </row>
    <row r="114" s="118" customFormat="1" ht="50" customHeight="1" spans="1:34">
      <c r="A114" s="151" t="s">
        <v>383</v>
      </c>
      <c r="B114" s="152" t="s">
        <v>384</v>
      </c>
      <c r="C114" s="152">
        <v>1</v>
      </c>
      <c r="D114" s="152" t="s">
        <v>34</v>
      </c>
      <c r="E114" s="152" t="s">
        <v>51</v>
      </c>
      <c r="F114" s="152" t="s">
        <v>309</v>
      </c>
      <c r="G114" s="152">
        <v>17.3</v>
      </c>
      <c r="H114" s="152">
        <v>125</v>
      </c>
      <c r="I114" s="151"/>
      <c r="J114" s="151"/>
      <c r="K114" s="151">
        <v>90</v>
      </c>
      <c r="L114" s="151">
        <v>2093</v>
      </c>
      <c r="M114" s="153">
        <f>(H114-(I114*50))/50</f>
        <v>2.5</v>
      </c>
      <c r="N114" s="153">
        <f>31*(M114+I114)</f>
        <v>77.5</v>
      </c>
      <c r="O114" s="153">
        <f>N114*G114</f>
        <v>1340.75</v>
      </c>
      <c r="P114" s="153">
        <f>(H114-(I114*90))/90</f>
        <v>1.38888888888889</v>
      </c>
      <c r="Q114" s="153">
        <f>31*(P114+I114)</f>
        <v>43.0555555555556</v>
      </c>
      <c r="R114" s="153">
        <f>(P114+I114)*31*G114*1.5</f>
        <v>1117.29166666667</v>
      </c>
      <c r="S114" s="153">
        <f>Q114</f>
        <v>43.0555555555556</v>
      </c>
      <c r="T114" s="153">
        <f>S114/31</f>
        <v>1.38888888888889</v>
      </c>
      <c r="U114" s="153">
        <f>T114-I114</f>
        <v>1.38888888888889</v>
      </c>
      <c r="V114" s="153">
        <f>R114</f>
        <v>1117.29166666667</v>
      </c>
      <c r="W114" s="154">
        <f>_xlfn.XLOOKUP(B114,Sheet5!G:G,Sheet5!H:H)</f>
        <v>0.9</v>
      </c>
      <c r="X114" s="155">
        <f>Y114/31</f>
        <v>1.25</v>
      </c>
      <c r="Y114" s="153">
        <f>S114*W114</f>
        <v>38.75</v>
      </c>
      <c r="Z114" s="153">
        <f>Y114*G114*1.5</f>
        <v>1005.5625</v>
      </c>
      <c r="AA114" s="154">
        <f>_xlfn.XLOOKUP(B114,Sheet5!G:G,Sheet5!I:I)</f>
        <v>0.1</v>
      </c>
      <c r="AB114" s="155">
        <f>AC114/31</f>
        <v>0.138888888888889</v>
      </c>
      <c r="AC114" s="153">
        <f>S114*AA114</f>
        <v>4.30555555555556</v>
      </c>
      <c r="AD114" s="153">
        <f>G114*AC114*1.5</f>
        <v>111.729166666667</v>
      </c>
      <c r="AE114" s="159"/>
      <c r="AF114" s="158"/>
      <c r="AG114" s="157">
        <f>AC114/4</f>
        <v>1.07638888888889</v>
      </c>
      <c r="AH114" s="157">
        <f t="shared" si="4"/>
        <v>9.6875</v>
      </c>
    </row>
    <row r="115" s="118" customFormat="1" ht="50" customHeight="1" spans="1:34">
      <c r="A115" s="151" t="s">
        <v>385</v>
      </c>
      <c r="B115" s="152" t="s">
        <v>386</v>
      </c>
      <c r="C115" s="152">
        <v>1</v>
      </c>
      <c r="D115" s="152" t="s">
        <v>34</v>
      </c>
      <c r="E115" s="152" t="s">
        <v>35</v>
      </c>
      <c r="F115" s="152" t="s">
        <v>110</v>
      </c>
      <c r="G115" s="152">
        <v>16.3066</v>
      </c>
      <c r="H115" s="152">
        <v>159</v>
      </c>
      <c r="I115" s="151">
        <v>1</v>
      </c>
      <c r="J115" s="151">
        <v>159</v>
      </c>
      <c r="K115" s="151">
        <v>101</v>
      </c>
      <c r="L115" s="151">
        <v>2087</v>
      </c>
      <c r="M115" s="153">
        <f>(H115-(I115*50))/50</f>
        <v>2.18</v>
      </c>
      <c r="N115" s="153">
        <f>31*(M115+I115)</f>
        <v>98.58</v>
      </c>
      <c r="O115" s="153">
        <f>N115*G115</f>
        <v>1607.504628</v>
      </c>
      <c r="P115" s="153">
        <f>(H115-(I115*90))/90</f>
        <v>0.766666666666667</v>
      </c>
      <c r="Q115" s="153">
        <f>31*(P115+I115)</f>
        <v>54.7666666666667</v>
      </c>
      <c r="R115" s="153">
        <f>(P115+I115)*31*G115*1.5</f>
        <v>1339.58719</v>
      </c>
      <c r="S115" s="153">
        <f>Q115</f>
        <v>54.7666666666667</v>
      </c>
      <c r="T115" s="153">
        <f>S115/31</f>
        <v>1.76666666666667</v>
      </c>
      <c r="U115" s="153">
        <f>T115-I115</f>
        <v>0.766666666666667</v>
      </c>
      <c r="V115" s="153">
        <f>R115</f>
        <v>1339.58719</v>
      </c>
      <c r="W115" s="154">
        <f>_xlfn.XLOOKUP(B115,Sheet5!G:G,Sheet5!H:H)</f>
        <v>0</v>
      </c>
      <c r="X115" s="155">
        <f>Y115/31</f>
        <v>0</v>
      </c>
      <c r="Y115" s="153">
        <f>S115*W115</f>
        <v>0</v>
      </c>
      <c r="Z115" s="153">
        <f>Y115*G115*1.5</f>
        <v>0</v>
      </c>
      <c r="AA115" s="154">
        <f>_xlfn.XLOOKUP(B115,Sheet5!G:G,Sheet5!I:I)</f>
        <v>1</v>
      </c>
      <c r="AB115" s="155">
        <f>AC115/31</f>
        <v>1.76666666666667</v>
      </c>
      <c r="AC115" s="153">
        <f>S115*AA115</f>
        <v>54.7666666666667</v>
      </c>
      <c r="AD115" s="153">
        <f>G115*AC115*1.5</f>
        <v>1339.58719</v>
      </c>
      <c r="AE115" s="156" t="s">
        <v>111</v>
      </c>
      <c r="AF115" s="151" t="s">
        <v>112</v>
      </c>
      <c r="AG115" s="157">
        <f>AC115/4</f>
        <v>13.6916666666667</v>
      </c>
      <c r="AH115" s="157">
        <f t="shared" si="4"/>
        <v>0</v>
      </c>
    </row>
    <row r="116" s="118" customFormat="1" ht="50" customHeight="1" spans="1:34">
      <c r="A116" s="151" t="s">
        <v>387</v>
      </c>
      <c r="B116" s="152" t="s">
        <v>388</v>
      </c>
      <c r="C116" s="152">
        <v>1</v>
      </c>
      <c r="D116" s="152" t="s">
        <v>34</v>
      </c>
      <c r="E116" s="152" t="s">
        <v>35</v>
      </c>
      <c r="F116" s="152" t="s">
        <v>41</v>
      </c>
      <c r="G116" s="152">
        <v>228.17</v>
      </c>
      <c r="H116" s="152">
        <v>34</v>
      </c>
      <c r="I116" s="151"/>
      <c r="J116" s="151"/>
      <c r="K116" s="151">
        <v>9</v>
      </c>
      <c r="L116" s="151">
        <v>2054</v>
      </c>
      <c r="M116" s="153">
        <f>(H116-(I116*50))/50</f>
        <v>0.68</v>
      </c>
      <c r="N116" s="153">
        <f>31*(M116+I116)</f>
        <v>21.08</v>
      </c>
      <c r="O116" s="153">
        <f>N116*G116</f>
        <v>4809.8236</v>
      </c>
      <c r="P116" s="153">
        <f>(H116-(I116*90))/90</f>
        <v>0.377777777777778</v>
      </c>
      <c r="Q116" s="153">
        <f>31*(P116+I116)</f>
        <v>11.7111111111111</v>
      </c>
      <c r="R116" s="153">
        <f>(P116+I116)*31*G116*1.5</f>
        <v>4008.18633333333</v>
      </c>
      <c r="S116" s="153">
        <f>Q116</f>
        <v>11.7111111111111</v>
      </c>
      <c r="T116" s="153">
        <f>S116/31</f>
        <v>0.377777777777778</v>
      </c>
      <c r="U116" s="153">
        <f>T116-I116</f>
        <v>0.377777777777778</v>
      </c>
      <c r="V116" s="153">
        <f>R116</f>
        <v>4008.18633333333</v>
      </c>
      <c r="W116" s="154">
        <f>_xlfn.XLOOKUP(B116,Sheet5!G:G,Sheet5!H:H)</f>
        <v>0.25</v>
      </c>
      <c r="X116" s="155">
        <f>Y116/31</f>
        <v>0.0944444444444444</v>
      </c>
      <c r="Y116" s="153">
        <f>S116*W116</f>
        <v>2.92777777777778</v>
      </c>
      <c r="Z116" s="153">
        <f>Y116*G116*1.5</f>
        <v>1002.04658333333</v>
      </c>
      <c r="AA116" s="154">
        <f>_xlfn.XLOOKUP(B116,Sheet5!G:G,Sheet5!I:I)</f>
        <v>0.75</v>
      </c>
      <c r="AB116" s="155">
        <f>AC116/31</f>
        <v>0.283333333333333</v>
      </c>
      <c r="AC116" s="153">
        <f>S116*AA116</f>
        <v>8.78333333333333</v>
      </c>
      <c r="AD116" s="153">
        <f>G116*AC116*1.5</f>
        <v>3006.13975</v>
      </c>
      <c r="AE116" s="159"/>
      <c r="AF116" s="158"/>
      <c r="AG116" s="157">
        <f>AC116/4</f>
        <v>2.19583333333333</v>
      </c>
      <c r="AH116" s="157">
        <f t="shared" si="4"/>
        <v>0.731944444444444</v>
      </c>
    </row>
    <row r="117" s="118" customFormat="1" ht="50" customHeight="1" spans="1:34">
      <c r="A117" s="151" t="s">
        <v>389</v>
      </c>
      <c r="B117" s="152" t="s">
        <v>390</v>
      </c>
      <c r="C117" s="152">
        <v>1</v>
      </c>
      <c r="D117" s="152" t="s">
        <v>34</v>
      </c>
      <c r="E117" s="152" t="s">
        <v>35</v>
      </c>
      <c r="F117" s="152" t="s">
        <v>391</v>
      </c>
      <c r="G117" s="152">
        <v>339.7504</v>
      </c>
      <c r="H117" s="152">
        <v>4</v>
      </c>
      <c r="I117" s="151"/>
      <c r="J117" s="151"/>
      <c r="K117" s="151">
        <v>4</v>
      </c>
      <c r="L117" s="151">
        <v>2039</v>
      </c>
      <c r="M117" s="153">
        <f>(H117-(I117*50))/50</f>
        <v>0.08</v>
      </c>
      <c r="N117" s="153">
        <f>31*(M117+I117)</f>
        <v>2.48</v>
      </c>
      <c r="O117" s="153">
        <f>N117*G117</f>
        <v>842.580992</v>
      </c>
      <c r="P117" s="153">
        <f>(H117-(I117*90))/90</f>
        <v>0.0444444444444444</v>
      </c>
      <c r="Q117" s="153">
        <f>31*(P117+I117)</f>
        <v>1.37777777777778</v>
      </c>
      <c r="R117" s="153">
        <f>(P117+I117)*31*G117*1.5</f>
        <v>702.150826666667</v>
      </c>
      <c r="S117" s="153">
        <f>Q117</f>
        <v>1.37777777777778</v>
      </c>
      <c r="T117" s="153">
        <f>S117/31</f>
        <v>0.0444444444444444</v>
      </c>
      <c r="U117" s="153">
        <f>T117-I117</f>
        <v>0.0444444444444444</v>
      </c>
      <c r="V117" s="153">
        <f>R117</f>
        <v>702.150826666667</v>
      </c>
      <c r="W117" s="154">
        <f>_xlfn.XLOOKUP(B117,Sheet5!G:G,Sheet5!H:H)</f>
        <v>0</v>
      </c>
      <c r="X117" s="155">
        <f>Y117/31</f>
        <v>0</v>
      </c>
      <c r="Y117" s="153">
        <f>S117*W117</f>
        <v>0</v>
      </c>
      <c r="Z117" s="153">
        <f>Y117*G117*1.5</f>
        <v>0</v>
      </c>
      <c r="AA117" s="154">
        <f>_xlfn.XLOOKUP(B117,Sheet5!G:G,Sheet5!I:I)</f>
        <v>0</v>
      </c>
      <c r="AB117" s="155">
        <f>AC117/31</f>
        <v>0</v>
      </c>
      <c r="AC117" s="153">
        <f>S117*AA117</f>
        <v>0</v>
      </c>
      <c r="AD117" s="153">
        <f>G117*AC117*1.5</f>
        <v>0</v>
      </c>
      <c r="AE117" s="159"/>
      <c r="AF117" s="158"/>
      <c r="AG117" s="157">
        <f>AC117/4</f>
        <v>0</v>
      </c>
      <c r="AH117" s="157">
        <f t="shared" si="4"/>
        <v>0</v>
      </c>
    </row>
    <row r="118" s="118" customFormat="1" ht="50" customHeight="1" spans="1:34">
      <c r="A118" s="151" t="s">
        <v>392</v>
      </c>
      <c r="B118" s="152" t="s">
        <v>393</v>
      </c>
      <c r="C118" s="152">
        <v>1</v>
      </c>
      <c r="D118" s="152" t="s">
        <v>34</v>
      </c>
      <c r="E118" s="152" t="s">
        <v>35</v>
      </c>
      <c r="F118" s="152" t="s">
        <v>394</v>
      </c>
      <c r="G118" s="152">
        <v>8.5211</v>
      </c>
      <c r="H118" s="152">
        <v>446</v>
      </c>
      <c r="I118" s="151">
        <v>4</v>
      </c>
      <c r="J118" s="151">
        <v>111</v>
      </c>
      <c r="K118" s="151">
        <v>218</v>
      </c>
      <c r="L118" s="151">
        <v>2007</v>
      </c>
      <c r="M118" s="153">
        <f>(H118-(I118*50))/50</f>
        <v>4.92</v>
      </c>
      <c r="N118" s="153">
        <f>31*(M118+I118)</f>
        <v>276.52</v>
      </c>
      <c r="O118" s="153">
        <f>N118*G118</f>
        <v>2356.254572</v>
      </c>
      <c r="P118" s="153">
        <f>(H118-(I118*90))/90</f>
        <v>0.955555555555556</v>
      </c>
      <c r="Q118" s="153">
        <f>31*(P118+I118)</f>
        <v>153.622222222222</v>
      </c>
      <c r="R118" s="153">
        <f>(P118+I118)*31*G118*1.5</f>
        <v>1963.54547666667</v>
      </c>
      <c r="S118" s="153">
        <f>Q118</f>
        <v>153.622222222222</v>
      </c>
      <c r="T118" s="153">
        <f>S118/31</f>
        <v>4.95555555555556</v>
      </c>
      <c r="U118" s="153">
        <f>T118-I118</f>
        <v>0.955555555555556</v>
      </c>
      <c r="V118" s="153">
        <f>R118</f>
        <v>1963.54547666667</v>
      </c>
      <c r="W118" s="154">
        <f>_xlfn.XLOOKUP(B118,Sheet5!G:G,Sheet5!H:H)</f>
        <v>0.352941176470588</v>
      </c>
      <c r="X118" s="155">
        <f>Y118/31</f>
        <v>1.74901960784314</v>
      </c>
      <c r="Y118" s="153">
        <f>S118*W118</f>
        <v>54.2196078431372</v>
      </c>
      <c r="Z118" s="153">
        <f>Y118*G118*1.5</f>
        <v>693.016050588235</v>
      </c>
      <c r="AA118" s="154">
        <f>_xlfn.XLOOKUP(B118,Sheet5!G:G,Sheet5!I:I)</f>
        <v>0.647058823529412</v>
      </c>
      <c r="AB118" s="155">
        <f>AC118/31</f>
        <v>3.20653594771242</v>
      </c>
      <c r="AC118" s="153">
        <f>S118*AA118</f>
        <v>99.402614379085</v>
      </c>
      <c r="AD118" s="153">
        <f>G118*AC118*1.5</f>
        <v>1270.52942607843</v>
      </c>
      <c r="AE118" s="159"/>
      <c r="AF118" s="158"/>
      <c r="AG118" s="157">
        <f>AC118/4</f>
        <v>24.8506535947713</v>
      </c>
      <c r="AH118" s="157">
        <f t="shared" si="4"/>
        <v>13.5549019607843</v>
      </c>
    </row>
    <row r="119" s="118" customFormat="1" ht="50" customHeight="1" spans="1:34">
      <c r="A119" s="151" t="s">
        <v>395</v>
      </c>
      <c r="B119" s="152" t="s">
        <v>396</v>
      </c>
      <c r="C119" s="152">
        <v>1</v>
      </c>
      <c r="D119" s="152" t="s">
        <v>34</v>
      </c>
      <c r="E119" s="152" t="s">
        <v>35</v>
      </c>
      <c r="F119" s="152" t="s">
        <v>264</v>
      </c>
      <c r="G119" s="152">
        <v>13.914</v>
      </c>
      <c r="H119" s="152">
        <v>165</v>
      </c>
      <c r="I119" s="151">
        <v>1</v>
      </c>
      <c r="J119" s="151">
        <v>165</v>
      </c>
      <c r="K119" s="151">
        <v>109</v>
      </c>
      <c r="L119" s="151">
        <v>1962</v>
      </c>
      <c r="M119" s="153">
        <f>(H119-(I119*50))/50</f>
        <v>2.3</v>
      </c>
      <c r="N119" s="153">
        <f>31*(M119+I119)</f>
        <v>102.3</v>
      </c>
      <c r="O119" s="153">
        <f>N119*G119</f>
        <v>1423.4022</v>
      </c>
      <c r="P119" s="153">
        <f>(H119-(I119*90))/90</f>
        <v>0.833333333333333</v>
      </c>
      <c r="Q119" s="153">
        <f>31*(P119+I119)</f>
        <v>56.8333333333333</v>
      </c>
      <c r="R119" s="153">
        <f>(P119+I119)*31*G119*1.5</f>
        <v>1186.1685</v>
      </c>
      <c r="S119" s="153">
        <f>Q119</f>
        <v>56.8333333333333</v>
      </c>
      <c r="T119" s="153">
        <f>S119/31</f>
        <v>1.83333333333333</v>
      </c>
      <c r="U119" s="153">
        <f>T119-I119</f>
        <v>0.833333333333333</v>
      </c>
      <c r="V119" s="153">
        <f>R119</f>
        <v>1186.1685</v>
      </c>
      <c r="W119" s="154">
        <f>_xlfn.XLOOKUP(B119,Sheet5!G:G,Sheet5!H:H)</f>
        <v>0.769230769230769</v>
      </c>
      <c r="X119" s="155">
        <f>Y119/31</f>
        <v>1.41025641025641</v>
      </c>
      <c r="Y119" s="153">
        <f>S119*W119</f>
        <v>43.7179487179487</v>
      </c>
      <c r="Z119" s="153">
        <f>Y119*G119*1.5</f>
        <v>912.437307692307</v>
      </c>
      <c r="AA119" s="154">
        <f>_xlfn.XLOOKUP(B119,Sheet5!G:G,Sheet5!I:I)</f>
        <v>0.230769230769231</v>
      </c>
      <c r="AB119" s="155">
        <f>AC119/31</f>
        <v>0.423076923076924</v>
      </c>
      <c r="AC119" s="153">
        <f>S119*AA119</f>
        <v>13.1153846153846</v>
      </c>
      <c r="AD119" s="153">
        <f>G119*AC119*1.5</f>
        <v>273.731192307693</v>
      </c>
      <c r="AE119" s="159"/>
      <c r="AF119" s="158"/>
      <c r="AG119" s="157">
        <f>AC119/4</f>
        <v>3.27884615384616</v>
      </c>
      <c r="AH119" s="157">
        <f t="shared" si="4"/>
        <v>10.9294871794872</v>
      </c>
    </row>
    <row r="120" s="118" customFormat="1" ht="50" customHeight="1" spans="1:34">
      <c r="A120" s="151" t="s">
        <v>397</v>
      </c>
      <c r="B120" s="152" t="s">
        <v>398</v>
      </c>
      <c r="C120" s="152">
        <v>1</v>
      </c>
      <c r="D120" s="152" t="s">
        <v>34</v>
      </c>
      <c r="E120" s="152" t="s">
        <v>35</v>
      </c>
      <c r="F120" s="152" t="s">
        <v>110</v>
      </c>
      <c r="G120" s="152">
        <v>23.3068</v>
      </c>
      <c r="H120" s="152">
        <v>464</v>
      </c>
      <c r="I120" s="151">
        <v>7</v>
      </c>
      <c r="J120" s="151">
        <v>66</v>
      </c>
      <c r="K120" s="151">
        <v>81</v>
      </c>
      <c r="L120" s="151">
        <v>1888</v>
      </c>
      <c r="M120" s="153">
        <f>(H120-(I120*50))/50</f>
        <v>2.28</v>
      </c>
      <c r="N120" s="153">
        <f>31*(M120+I120)</f>
        <v>287.68</v>
      </c>
      <c r="O120" s="153">
        <f>N120*G120</f>
        <v>6704.900224</v>
      </c>
      <c r="P120" s="153">
        <f>(H120-(I120*90))/90</f>
        <v>-1.84444444444444</v>
      </c>
      <c r="Q120" s="153">
        <f>31*(P120+I120)</f>
        <v>159.822222222222</v>
      </c>
      <c r="R120" s="153">
        <f>(P120+I120)*31*G120*1.5</f>
        <v>5587.41685333333</v>
      </c>
      <c r="S120" s="153">
        <f>Q120</f>
        <v>159.822222222222</v>
      </c>
      <c r="T120" s="153">
        <f>S120/31</f>
        <v>5.15555555555556</v>
      </c>
      <c r="U120" s="153">
        <f>T120-I120</f>
        <v>-1.84444444444444</v>
      </c>
      <c r="V120" s="153">
        <f>R120</f>
        <v>5587.41685333333</v>
      </c>
      <c r="W120" s="154">
        <f>_xlfn.XLOOKUP(B120,Sheet5!G:G,Sheet5!H:H)</f>
        <v>0.152777777777778</v>
      </c>
      <c r="X120" s="155">
        <f>Y120/31</f>
        <v>0.787654320987655</v>
      </c>
      <c r="Y120" s="153">
        <f>S120*W120</f>
        <v>24.4172839506173</v>
      </c>
      <c r="Z120" s="153">
        <f>Y120*G120*1.5</f>
        <v>853.633130370372</v>
      </c>
      <c r="AA120" s="154">
        <f>_xlfn.XLOOKUP(B120,Sheet5!G:G,Sheet5!I:I)</f>
        <v>0.847222222222222</v>
      </c>
      <c r="AB120" s="155">
        <f>AC120/31</f>
        <v>4.3679012345679</v>
      </c>
      <c r="AC120" s="153">
        <f>S120*AA120</f>
        <v>135.404938271605</v>
      </c>
      <c r="AD120" s="153">
        <f>G120*AC120*1.5</f>
        <v>4733.78372296296</v>
      </c>
      <c r="AE120" s="156" t="s">
        <v>111</v>
      </c>
      <c r="AF120" s="158"/>
      <c r="AG120" s="157">
        <f>AC120/4</f>
        <v>33.8512345679012</v>
      </c>
      <c r="AH120" s="157">
        <f t="shared" si="4"/>
        <v>6.10432098765433</v>
      </c>
    </row>
    <row r="121" s="118" customFormat="1" ht="50" customHeight="1" spans="1:34">
      <c r="A121" s="151" t="s">
        <v>399</v>
      </c>
      <c r="B121" s="152" t="s">
        <v>400</v>
      </c>
      <c r="C121" s="152">
        <v>1</v>
      </c>
      <c r="D121" s="152" t="s">
        <v>34</v>
      </c>
      <c r="E121" s="152" t="s">
        <v>35</v>
      </c>
      <c r="F121" s="152" t="s">
        <v>250</v>
      </c>
      <c r="G121" s="152">
        <v>152.7981</v>
      </c>
      <c r="H121" s="152">
        <v>12</v>
      </c>
      <c r="I121" s="151"/>
      <c r="J121" s="151"/>
      <c r="K121" s="151">
        <v>9</v>
      </c>
      <c r="L121" s="151">
        <v>1834</v>
      </c>
      <c r="M121" s="153">
        <f>(H121-(I121*50))/50</f>
        <v>0.24</v>
      </c>
      <c r="N121" s="153">
        <f>31*(M121+I121)</f>
        <v>7.44</v>
      </c>
      <c r="O121" s="153">
        <f>N121*G121</f>
        <v>1136.817864</v>
      </c>
      <c r="P121" s="153">
        <f>(H121-(I121*90))/90</f>
        <v>0.133333333333333</v>
      </c>
      <c r="Q121" s="153">
        <f>31*(P121+I121)</f>
        <v>4.13333333333333</v>
      </c>
      <c r="R121" s="153">
        <f>(P121+I121)*31*G121*1.5</f>
        <v>947.34822</v>
      </c>
      <c r="S121" s="153">
        <f>Q121</f>
        <v>4.13333333333333</v>
      </c>
      <c r="T121" s="153">
        <f>S121/31</f>
        <v>0.133333333333333</v>
      </c>
      <c r="U121" s="153">
        <f>T121-I121</f>
        <v>0.133333333333333</v>
      </c>
      <c r="V121" s="153">
        <f>R121</f>
        <v>947.34822</v>
      </c>
      <c r="W121" s="154">
        <f>_xlfn.XLOOKUP(B121,Sheet5!G:G,Sheet5!H:H)</f>
        <v>0</v>
      </c>
      <c r="X121" s="155">
        <f>Y121/31</f>
        <v>0</v>
      </c>
      <c r="Y121" s="153">
        <f>S121*W121</f>
        <v>0</v>
      </c>
      <c r="Z121" s="153">
        <f>Y121*G121*1.5</f>
        <v>0</v>
      </c>
      <c r="AA121" s="154">
        <f>_xlfn.XLOOKUP(B121,Sheet5!G:G,Sheet5!I:I)</f>
        <v>1</v>
      </c>
      <c r="AB121" s="155">
        <f>AC121/31</f>
        <v>0.133333333333333</v>
      </c>
      <c r="AC121" s="153">
        <f>S121*AA121</f>
        <v>4.13333333333333</v>
      </c>
      <c r="AD121" s="153">
        <f>G121*AC121*1.5</f>
        <v>947.34822</v>
      </c>
      <c r="AE121" s="159"/>
      <c r="AF121" s="158"/>
      <c r="AG121" s="157">
        <f>AC121/4</f>
        <v>1.03333333333333</v>
      </c>
      <c r="AH121" s="157">
        <f t="shared" si="4"/>
        <v>0</v>
      </c>
    </row>
    <row r="122" s="118" customFormat="1" ht="50" customHeight="1" spans="1:34">
      <c r="A122" s="151" t="s">
        <v>401</v>
      </c>
      <c r="B122" s="152" t="s">
        <v>402</v>
      </c>
      <c r="C122" s="152">
        <v>1</v>
      </c>
      <c r="D122" s="152" t="s">
        <v>34</v>
      </c>
      <c r="E122" s="152" t="s">
        <v>35</v>
      </c>
      <c r="F122" s="152" t="s">
        <v>403</v>
      </c>
      <c r="G122" s="152">
        <v>15.82</v>
      </c>
      <c r="H122" s="152">
        <v>78</v>
      </c>
      <c r="I122" s="151"/>
      <c r="J122" s="151"/>
      <c r="K122" s="151">
        <v>77</v>
      </c>
      <c r="L122" s="151">
        <v>1819</v>
      </c>
      <c r="M122" s="153">
        <f>(H122-(I122*50))/50</f>
        <v>1.56</v>
      </c>
      <c r="N122" s="153">
        <f>31*(M122+I122)</f>
        <v>48.36</v>
      </c>
      <c r="O122" s="153">
        <f>N122*G122</f>
        <v>765.0552</v>
      </c>
      <c r="P122" s="153">
        <f>(H122-(I122*90))/90</f>
        <v>0.866666666666667</v>
      </c>
      <c r="Q122" s="153">
        <f>31*(P122+I122)</f>
        <v>26.8666666666667</v>
      </c>
      <c r="R122" s="153">
        <f>(P122+I122)*31*G122*1.5</f>
        <v>637.546</v>
      </c>
      <c r="S122" s="153">
        <f>Q122</f>
        <v>26.8666666666667</v>
      </c>
      <c r="T122" s="153">
        <f>S122/31</f>
        <v>0.866666666666667</v>
      </c>
      <c r="U122" s="153">
        <f>T122-I122</f>
        <v>0.866666666666667</v>
      </c>
      <c r="V122" s="153">
        <f>R122</f>
        <v>637.546</v>
      </c>
      <c r="W122" s="154">
        <f>_xlfn.XLOOKUP(B122,Sheet5!G:G,Sheet5!H:H)</f>
        <v>0</v>
      </c>
      <c r="X122" s="155">
        <f>Y122/31</f>
        <v>0</v>
      </c>
      <c r="Y122" s="153">
        <f>S122*W122</f>
        <v>0</v>
      </c>
      <c r="Z122" s="153">
        <f>Y122*G122*1.5</f>
        <v>0</v>
      </c>
      <c r="AA122" s="154">
        <f>_xlfn.XLOOKUP(B122,Sheet5!G:G,Sheet5!I:I)</f>
        <v>0</v>
      </c>
      <c r="AB122" s="155">
        <f>AC122/31</f>
        <v>0</v>
      </c>
      <c r="AC122" s="153">
        <f>S122*AA122</f>
        <v>0</v>
      </c>
      <c r="AD122" s="153">
        <f>G122*AC122*1.5</f>
        <v>0</v>
      </c>
      <c r="AE122" s="159"/>
      <c r="AF122" s="158"/>
      <c r="AG122" s="157">
        <f>AC122/4</f>
        <v>0</v>
      </c>
      <c r="AH122" s="157">
        <f t="shared" si="4"/>
        <v>0</v>
      </c>
    </row>
    <row r="123" s="118" customFormat="1" ht="50" customHeight="1" spans="1:34">
      <c r="A123" s="151" t="s">
        <v>404</v>
      </c>
      <c r="B123" s="152" t="s">
        <v>405</v>
      </c>
      <c r="C123" s="152">
        <v>1</v>
      </c>
      <c r="D123" s="152" t="s">
        <v>34</v>
      </c>
      <c r="E123" s="152" t="s">
        <v>35</v>
      </c>
      <c r="F123" s="152" t="s">
        <v>250</v>
      </c>
      <c r="G123" s="152">
        <v>146.7522</v>
      </c>
      <c r="H123" s="152">
        <v>22</v>
      </c>
      <c r="I123" s="151"/>
      <c r="J123" s="151"/>
      <c r="K123" s="151">
        <v>11</v>
      </c>
      <c r="L123" s="151">
        <v>1761</v>
      </c>
      <c r="M123" s="153">
        <f>(H123-(I123*50))/50</f>
        <v>0.44</v>
      </c>
      <c r="N123" s="153">
        <f>31*(M123+I123)</f>
        <v>13.64</v>
      </c>
      <c r="O123" s="153">
        <f>N123*G123</f>
        <v>2001.700008</v>
      </c>
      <c r="P123" s="153">
        <f>(H123-(I123*90))/90</f>
        <v>0.244444444444444</v>
      </c>
      <c r="Q123" s="153">
        <f>31*(P123+I123)</f>
        <v>7.57777777777778</v>
      </c>
      <c r="R123" s="153">
        <f>(P123+I123)*31*G123*1.5</f>
        <v>1668.08334</v>
      </c>
      <c r="S123" s="153">
        <f>Q123</f>
        <v>7.57777777777778</v>
      </c>
      <c r="T123" s="153">
        <f>S123/31</f>
        <v>0.244444444444444</v>
      </c>
      <c r="U123" s="153">
        <f>T123-I123</f>
        <v>0.244444444444444</v>
      </c>
      <c r="V123" s="153">
        <f>R123</f>
        <v>1668.08334</v>
      </c>
      <c r="W123" s="154">
        <f>_xlfn.XLOOKUP(B123,Sheet5!G:G,Sheet5!H:H)</f>
        <v>0.75</v>
      </c>
      <c r="X123" s="155">
        <f>Y123/31</f>
        <v>0.183333333333333</v>
      </c>
      <c r="Y123" s="153">
        <f>S123*W123</f>
        <v>5.68333333333333</v>
      </c>
      <c r="Z123" s="153">
        <f>Y123*G123*1.5</f>
        <v>1251.062505</v>
      </c>
      <c r="AA123" s="154">
        <f>_xlfn.XLOOKUP(B123,Sheet5!G:G,Sheet5!I:I)</f>
        <v>0.25</v>
      </c>
      <c r="AB123" s="155">
        <f>AC123/31</f>
        <v>0.0611111111111111</v>
      </c>
      <c r="AC123" s="153">
        <f>S123*AA123</f>
        <v>1.89444444444444</v>
      </c>
      <c r="AD123" s="153">
        <f>G123*AC123*1.5</f>
        <v>417.020835</v>
      </c>
      <c r="AE123" s="159"/>
      <c r="AF123" s="158"/>
      <c r="AG123" s="157">
        <f>AC123/4</f>
        <v>0.473611111111111</v>
      </c>
      <c r="AH123" s="157">
        <f t="shared" si="4"/>
        <v>1.42083333333333</v>
      </c>
    </row>
    <row r="124" s="118" customFormat="1" ht="50" customHeight="1" spans="1:34">
      <c r="A124" s="151" t="s">
        <v>406</v>
      </c>
      <c r="B124" s="152" t="s">
        <v>407</v>
      </c>
      <c r="C124" s="152">
        <v>1</v>
      </c>
      <c r="D124" s="152" t="s">
        <v>34</v>
      </c>
      <c r="E124" s="152" t="s">
        <v>51</v>
      </c>
      <c r="F124" s="152" t="s">
        <v>408</v>
      </c>
      <c r="G124" s="152">
        <v>16.54</v>
      </c>
      <c r="H124" s="152">
        <v>421</v>
      </c>
      <c r="I124" s="151">
        <v>6</v>
      </c>
      <c r="J124" s="151">
        <v>70</v>
      </c>
      <c r="K124" s="151">
        <v>106</v>
      </c>
      <c r="L124" s="151">
        <v>1753</v>
      </c>
      <c r="M124" s="153">
        <f>(H124-(I124*50))/50</f>
        <v>2.42</v>
      </c>
      <c r="N124" s="153">
        <f>31*(M124+I124)</f>
        <v>261.02</v>
      </c>
      <c r="O124" s="153">
        <f>N124*G124</f>
        <v>4317.2708</v>
      </c>
      <c r="P124" s="153">
        <f>(H124-(I124*90))/90</f>
        <v>-1.32222222222222</v>
      </c>
      <c r="Q124" s="153">
        <f>31*(P124+I124)</f>
        <v>145.011111111111</v>
      </c>
      <c r="R124" s="153">
        <f>(P124+I124)*31*G124*1.5</f>
        <v>3597.72566666667</v>
      </c>
      <c r="S124" s="153">
        <f>Q124</f>
        <v>145.011111111111</v>
      </c>
      <c r="T124" s="153">
        <f>S124/31</f>
        <v>4.67777777777778</v>
      </c>
      <c r="U124" s="153">
        <f>T124-I124</f>
        <v>-1.32222222222222</v>
      </c>
      <c r="V124" s="153">
        <f>R124</f>
        <v>3597.72566666667</v>
      </c>
      <c r="W124" s="154">
        <f>_xlfn.XLOOKUP(B124,Sheet5!G:G,Sheet5!H:H)</f>
        <v>0.778846153846154</v>
      </c>
      <c r="X124" s="155">
        <f>Y124/31</f>
        <v>3.64326923076923</v>
      </c>
      <c r="Y124" s="153">
        <f>S124*W124</f>
        <v>112.941346153846</v>
      </c>
      <c r="Z124" s="153">
        <f>Y124*G124*1.5</f>
        <v>2802.07479807692</v>
      </c>
      <c r="AA124" s="154">
        <f>_xlfn.XLOOKUP(B124,Sheet5!G:G,Sheet5!I:I)</f>
        <v>0.221153846153846</v>
      </c>
      <c r="AB124" s="155">
        <f>AC124/31</f>
        <v>1.03450854700855</v>
      </c>
      <c r="AC124" s="153">
        <f>S124*AA124</f>
        <v>32.0697649572649</v>
      </c>
      <c r="AD124" s="153">
        <f>G124*AC124*1.5</f>
        <v>795.650868589743</v>
      </c>
      <c r="AE124" s="156" t="s">
        <v>115</v>
      </c>
      <c r="AF124" s="158"/>
      <c r="AG124" s="157">
        <f>AC124/4</f>
        <v>8.01744123931623</v>
      </c>
      <c r="AH124" s="157">
        <f t="shared" si="4"/>
        <v>28.2353365384615</v>
      </c>
    </row>
    <row r="125" s="118" customFormat="1" ht="50" customHeight="1" spans="1:34">
      <c r="A125" s="151" t="s">
        <v>409</v>
      </c>
      <c r="B125" s="152" t="s">
        <v>410</v>
      </c>
      <c r="C125" s="152">
        <v>1</v>
      </c>
      <c r="D125" s="152" t="s">
        <v>34</v>
      </c>
      <c r="E125" s="152" t="s">
        <v>35</v>
      </c>
      <c r="F125" s="152" t="s">
        <v>411</v>
      </c>
      <c r="G125" s="152">
        <v>12.1</v>
      </c>
      <c r="H125" s="152">
        <v>96</v>
      </c>
      <c r="I125" s="151"/>
      <c r="J125" s="151"/>
      <c r="K125" s="151">
        <v>96</v>
      </c>
      <c r="L125" s="151">
        <v>1742</v>
      </c>
      <c r="M125" s="153">
        <f>(H125-(I125*50))/50</f>
        <v>1.92</v>
      </c>
      <c r="N125" s="153">
        <f>31*(M125+I125)</f>
        <v>59.52</v>
      </c>
      <c r="O125" s="153">
        <f>N125*G125</f>
        <v>720.192</v>
      </c>
      <c r="P125" s="153">
        <f>(H125-(I125*90))/90</f>
        <v>1.06666666666667</v>
      </c>
      <c r="Q125" s="153">
        <f>31*(P125+I125)</f>
        <v>33.0666666666667</v>
      </c>
      <c r="R125" s="153">
        <f>(P125+I125)*31*G125*1.5</f>
        <v>600.16</v>
      </c>
      <c r="S125" s="153">
        <f>Q125</f>
        <v>33.0666666666667</v>
      </c>
      <c r="T125" s="153">
        <f>S125/31</f>
        <v>1.06666666666667</v>
      </c>
      <c r="U125" s="153">
        <f>T125-I125</f>
        <v>1.06666666666667</v>
      </c>
      <c r="V125" s="153">
        <f>R125</f>
        <v>600.16</v>
      </c>
      <c r="W125" s="154">
        <f>_xlfn.XLOOKUP(B125,Sheet5!G:G,Sheet5!H:H)</f>
        <v>0</v>
      </c>
      <c r="X125" s="155">
        <f>Y125/31</f>
        <v>0</v>
      </c>
      <c r="Y125" s="153">
        <f>S125*W125</f>
        <v>0</v>
      </c>
      <c r="Z125" s="153">
        <f>Y125*G125*1.5</f>
        <v>0</v>
      </c>
      <c r="AA125" s="154">
        <f>_xlfn.XLOOKUP(B125,Sheet5!G:G,Sheet5!I:I)</f>
        <v>0</v>
      </c>
      <c r="AB125" s="155">
        <f>AC125/31</f>
        <v>0</v>
      </c>
      <c r="AC125" s="153">
        <f>S125*AA125</f>
        <v>0</v>
      </c>
      <c r="AD125" s="153">
        <f>G125*AC125*1.5</f>
        <v>0</v>
      </c>
      <c r="AE125" s="159"/>
      <c r="AF125" s="158"/>
      <c r="AG125" s="157">
        <f>AC125/4</f>
        <v>0</v>
      </c>
      <c r="AH125" s="157">
        <f t="shared" si="4"/>
        <v>0</v>
      </c>
    </row>
    <row r="126" s="118" customFormat="1" ht="50" customHeight="1" spans="1:34">
      <c r="A126" s="151" t="s">
        <v>412</v>
      </c>
      <c r="B126" s="152" t="s">
        <v>413</v>
      </c>
      <c r="C126" s="152">
        <v>1</v>
      </c>
      <c r="D126" s="152" t="s">
        <v>34</v>
      </c>
      <c r="E126" s="152" t="s">
        <v>35</v>
      </c>
      <c r="F126" s="152" t="s">
        <v>171</v>
      </c>
      <c r="G126" s="152">
        <v>43.14</v>
      </c>
      <c r="H126" s="152">
        <v>33</v>
      </c>
      <c r="I126" s="151"/>
      <c r="J126" s="151"/>
      <c r="K126" s="151">
        <v>28</v>
      </c>
      <c r="L126" s="151">
        <v>1726</v>
      </c>
      <c r="M126" s="153">
        <f>(H126-(I126*50))/50</f>
        <v>0.66</v>
      </c>
      <c r="N126" s="153">
        <f>31*(M126+I126)</f>
        <v>20.46</v>
      </c>
      <c r="O126" s="153">
        <f>N126*G126</f>
        <v>882.6444</v>
      </c>
      <c r="P126" s="153">
        <f>(H126-(I126*90))/90</f>
        <v>0.366666666666667</v>
      </c>
      <c r="Q126" s="153">
        <f>31*(P126+I126)</f>
        <v>11.3666666666667</v>
      </c>
      <c r="R126" s="153">
        <f>(P126+I126)*31*G126*1.5</f>
        <v>735.537</v>
      </c>
      <c r="S126" s="153">
        <f>Q126</f>
        <v>11.3666666666667</v>
      </c>
      <c r="T126" s="153">
        <f>S126/31</f>
        <v>0.366666666666667</v>
      </c>
      <c r="U126" s="153">
        <f>T126-I126</f>
        <v>0.366666666666667</v>
      </c>
      <c r="V126" s="153">
        <f>R126</f>
        <v>735.537</v>
      </c>
      <c r="W126" s="154">
        <f>_xlfn.XLOOKUP(B126,Sheet5!G:G,Sheet5!H:H)</f>
        <v>0</v>
      </c>
      <c r="X126" s="155">
        <f>Y126/31</f>
        <v>0</v>
      </c>
      <c r="Y126" s="153">
        <f>S126*W126</f>
        <v>0</v>
      </c>
      <c r="Z126" s="153">
        <f>Y126*G126*1.5</f>
        <v>0</v>
      </c>
      <c r="AA126" s="154">
        <f>_xlfn.XLOOKUP(B126,Sheet5!G:G,Sheet5!I:I)</f>
        <v>0</v>
      </c>
      <c r="AB126" s="155">
        <f>AC126/31</f>
        <v>0</v>
      </c>
      <c r="AC126" s="153">
        <f>S126*AA126</f>
        <v>0</v>
      </c>
      <c r="AD126" s="153">
        <f>G126*AC126*1.5</f>
        <v>0</v>
      </c>
      <c r="AE126" s="159"/>
      <c r="AF126" s="158"/>
      <c r="AG126" s="157">
        <f>AC126/4</f>
        <v>0</v>
      </c>
      <c r="AH126" s="157">
        <f t="shared" si="4"/>
        <v>0</v>
      </c>
    </row>
    <row r="127" s="118" customFormat="1" ht="50" customHeight="1" spans="1:34">
      <c r="A127" s="151" t="s">
        <v>414</v>
      </c>
      <c r="B127" s="152" t="s">
        <v>415</v>
      </c>
      <c r="C127" s="152">
        <v>1</v>
      </c>
      <c r="D127" s="152" t="s">
        <v>34</v>
      </c>
      <c r="E127" s="152" t="s">
        <v>51</v>
      </c>
      <c r="F127" s="152" t="s">
        <v>283</v>
      </c>
      <c r="G127" s="152">
        <v>99.4908</v>
      </c>
      <c r="H127" s="152">
        <v>98</v>
      </c>
      <c r="I127" s="151">
        <v>1</v>
      </c>
      <c r="J127" s="151">
        <v>98</v>
      </c>
      <c r="K127" s="151">
        <v>17</v>
      </c>
      <c r="L127" s="151">
        <v>1691</v>
      </c>
      <c r="M127" s="153">
        <f>(H127-(I127*50))/50</f>
        <v>0.96</v>
      </c>
      <c r="N127" s="153">
        <f>31*(M127+I127)</f>
        <v>60.76</v>
      </c>
      <c r="O127" s="153">
        <f>N127*G127</f>
        <v>6045.061008</v>
      </c>
      <c r="P127" s="153">
        <f>(H127-(I127*90))/90</f>
        <v>0.0888888888888889</v>
      </c>
      <c r="Q127" s="153">
        <f>31*(P127+I127)</f>
        <v>33.7555555555556</v>
      </c>
      <c r="R127" s="153">
        <f>(P127+I127)*31*G127*1.5</f>
        <v>5037.55084</v>
      </c>
      <c r="S127" s="153">
        <f>Q127</f>
        <v>33.7555555555556</v>
      </c>
      <c r="T127" s="153">
        <f>S127/31</f>
        <v>1.08888888888889</v>
      </c>
      <c r="U127" s="153">
        <f>T127-I127</f>
        <v>0.0888888888888888</v>
      </c>
      <c r="V127" s="153">
        <f>R127</f>
        <v>5037.55084</v>
      </c>
      <c r="W127" s="154">
        <f>_xlfn.XLOOKUP(B127,Sheet5!G:G,Sheet5!H:H)</f>
        <v>0</v>
      </c>
      <c r="X127" s="155">
        <f>Y127/31</f>
        <v>0</v>
      </c>
      <c r="Y127" s="153">
        <f>S127*W127</f>
        <v>0</v>
      </c>
      <c r="Z127" s="153">
        <f>Y127*G127*1.5</f>
        <v>0</v>
      </c>
      <c r="AA127" s="154">
        <f>_xlfn.XLOOKUP(B127,Sheet5!G:G,Sheet5!I:I)</f>
        <v>1</v>
      </c>
      <c r="AB127" s="155">
        <f>AC127/31</f>
        <v>1.08888888888889</v>
      </c>
      <c r="AC127" s="153">
        <f>S127*AA127</f>
        <v>33.7555555555556</v>
      </c>
      <c r="AD127" s="153">
        <f>G127*AC127*1.5</f>
        <v>5037.55084</v>
      </c>
      <c r="AE127" s="156" t="s">
        <v>115</v>
      </c>
      <c r="AF127" s="158"/>
      <c r="AG127" s="157">
        <f>AC127/4</f>
        <v>8.43888888888889</v>
      </c>
      <c r="AH127" s="157">
        <f t="shared" si="4"/>
        <v>0</v>
      </c>
    </row>
    <row r="128" s="118" customFormat="1" ht="50" customHeight="1" spans="1:34">
      <c r="A128" s="151" t="s">
        <v>416</v>
      </c>
      <c r="B128" s="152" t="s">
        <v>417</v>
      </c>
      <c r="C128" s="152">
        <v>1</v>
      </c>
      <c r="D128" s="152" t="s">
        <v>34</v>
      </c>
      <c r="E128" s="152" t="s">
        <v>35</v>
      </c>
      <c r="F128" s="152" t="s">
        <v>335</v>
      </c>
      <c r="G128" s="152">
        <v>20.8276</v>
      </c>
      <c r="H128" s="152">
        <v>129</v>
      </c>
      <c r="I128" s="151">
        <v>1</v>
      </c>
      <c r="J128" s="151">
        <v>129</v>
      </c>
      <c r="K128" s="151">
        <v>69</v>
      </c>
      <c r="L128" s="151">
        <v>1656</v>
      </c>
      <c r="M128" s="153">
        <f>(H128-(I128*50))/50</f>
        <v>1.58</v>
      </c>
      <c r="N128" s="153">
        <f>31*(M128+I128)</f>
        <v>79.98</v>
      </c>
      <c r="O128" s="153">
        <f>N128*G128</f>
        <v>1665.791448</v>
      </c>
      <c r="P128" s="153">
        <f>(H128-(I128*90))/90</f>
        <v>0.433333333333333</v>
      </c>
      <c r="Q128" s="153">
        <f>31*(P128+I128)</f>
        <v>44.4333333333333</v>
      </c>
      <c r="R128" s="153">
        <f>(P128+I128)*31*G128*1.5</f>
        <v>1388.15954</v>
      </c>
      <c r="S128" s="153">
        <f>Q128</f>
        <v>44.4333333333333</v>
      </c>
      <c r="T128" s="153">
        <f>S128/31</f>
        <v>1.43333333333333</v>
      </c>
      <c r="U128" s="153">
        <f>T128-I128</f>
        <v>0.433333333333333</v>
      </c>
      <c r="V128" s="153">
        <f>R128</f>
        <v>1388.15954</v>
      </c>
      <c r="W128" s="154">
        <f>_xlfn.XLOOKUP(B128,Sheet5!G:G,Sheet5!H:H)</f>
        <v>0.75</v>
      </c>
      <c r="X128" s="155">
        <f>Y128/31</f>
        <v>1.075</v>
      </c>
      <c r="Y128" s="153">
        <f>S128*W128</f>
        <v>33.325</v>
      </c>
      <c r="Z128" s="153">
        <f>Y128*G128*1.5</f>
        <v>1041.119655</v>
      </c>
      <c r="AA128" s="154">
        <f>_xlfn.XLOOKUP(B128,Sheet5!G:G,Sheet5!I:I)</f>
        <v>0.25</v>
      </c>
      <c r="AB128" s="155">
        <f>AC128/31</f>
        <v>0.358333333333333</v>
      </c>
      <c r="AC128" s="153">
        <f>S128*AA128</f>
        <v>11.1083333333333</v>
      </c>
      <c r="AD128" s="153">
        <f>G128*AC128*1.5</f>
        <v>347.039885</v>
      </c>
      <c r="AE128" s="159"/>
      <c r="AF128" s="158"/>
      <c r="AG128" s="157">
        <f>AC128/4</f>
        <v>2.77708333333333</v>
      </c>
      <c r="AH128" s="157">
        <f t="shared" si="4"/>
        <v>8.33125</v>
      </c>
    </row>
    <row r="129" s="118" customFormat="1" ht="50" customHeight="1" spans="1:34">
      <c r="A129" s="151" t="s">
        <v>418</v>
      </c>
      <c r="B129" s="152" t="s">
        <v>419</v>
      </c>
      <c r="C129" s="152">
        <v>1</v>
      </c>
      <c r="D129" s="152" t="s">
        <v>34</v>
      </c>
      <c r="E129" s="152" t="s">
        <v>35</v>
      </c>
      <c r="F129" s="152" t="s">
        <v>110</v>
      </c>
      <c r="G129" s="152">
        <v>16.3066</v>
      </c>
      <c r="H129" s="152">
        <v>89</v>
      </c>
      <c r="I129" s="151"/>
      <c r="J129" s="151"/>
      <c r="K129" s="151">
        <v>71</v>
      </c>
      <c r="L129" s="151">
        <v>1614</v>
      </c>
      <c r="M129" s="153">
        <f>(H129-(I129*50))/50</f>
        <v>1.78</v>
      </c>
      <c r="N129" s="153">
        <f>31*(M129+I129)</f>
        <v>55.18</v>
      </c>
      <c r="O129" s="153">
        <f>N129*G129</f>
        <v>899.798188</v>
      </c>
      <c r="P129" s="153">
        <f>(H129-(I129*90))/90</f>
        <v>0.988888888888889</v>
      </c>
      <c r="Q129" s="153">
        <f>31*(P129+I129)</f>
        <v>30.6555555555556</v>
      </c>
      <c r="R129" s="153">
        <f>(P129+I129)*31*G129*1.5</f>
        <v>749.831823333333</v>
      </c>
      <c r="S129" s="153">
        <f>Q129</f>
        <v>30.6555555555556</v>
      </c>
      <c r="T129" s="153">
        <f>S129/31</f>
        <v>0.988888888888889</v>
      </c>
      <c r="U129" s="153">
        <f>T129-I129</f>
        <v>0.988888888888889</v>
      </c>
      <c r="V129" s="153">
        <f>R129</f>
        <v>749.831823333333</v>
      </c>
      <c r="W129" s="154">
        <f>_xlfn.XLOOKUP(B129,Sheet5!G:G,Sheet5!H:H)</f>
        <v>1</v>
      </c>
      <c r="X129" s="155">
        <f>Y129/31</f>
        <v>0.988888888888889</v>
      </c>
      <c r="Y129" s="153">
        <f>S129*W129</f>
        <v>30.6555555555556</v>
      </c>
      <c r="Z129" s="153">
        <f>Y129*G129*1.5</f>
        <v>749.831823333333</v>
      </c>
      <c r="AA129" s="154">
        <f>_xlfn.XLOOKUP(B129,Sheet5!G:G,Sheet5!I:I)</f>
        <v>0</v>
      </c>
      <c r="AB129" s="155">
        <f>AC129/31</f>
        <v>0</v>
      </c>
      <c r="AC129" s="153">
        <f>S129*AA129</f>
        <v>0</v>
      </c>
      <c r="AD129" s="153">
        <f>G129*AC129*1.5</f>
        <v>0</v>
      </c>
      <c r="AE129" s="156" t="s">
        <v>111</v>
      </c>
      <c r="AF129" s="158"/>
      <c r="AG129" s="157">
        <f>AC129/4</f>
        <v>0</v>
      </c>
      <c r="AH129" s="157">
        <f t="shared" si="4"/>
        <v>7.66388888888889</v>
      </c>
    </row>
    <row r="130" s="118" customFormat="1" ht="50" customHeight="1" spans="1:34">
      <c r="A130" s="151" t="s">
        <v>420</v>
      </c>
      <c r="B130" s="152" t="s">
        <v>421</v>
      </c>
      <c r="C130" s="152">
        <v>1</v>
      </c>
      <c r="D130" s="152" t="s">
        <v>34</v>
      </c>
      <c r="E130" s="152" t="s">
        <v>35</v>
      </c>
      <c r="F130" s="152" t="s">
        <v>306</v>
      </c>
      <c r="G130" s="152">
        <v>127.38</v>
      </c>
      <c r="H130" s="152">
        <v>12</v>
      </c>
      <c r="I130" s="151"/>
      <c r="J130" s="151"/>
      <c r="K130" s="151">
        <v>9</v>
      </c>
      <c r="L130" s="151">
        <v>1529</v>
      </c>
      <c r="M130" s="153">
        <f>(H130-(I130*50))/50</f>
        <v>0.24</v>
      </c>
      <c r="N130" s="153">
        <f>31*(M130+I130)</f>
        <v>7.44</v>
      </c>
      <c r="O130" s="153">
        <f>N130*G130</f>
        <v>947.7072</v>
      </c>
      <c r="P130" s="153">
        <f>(H130-(I130*90))/90</f>
        <v>0.133333333333333</v>
      </c>
      <c r="Q130" s="153">
        <f>31*(P130+I130)</f>
        <v>4.13333333333333</v>
      </c>
      <c r="R130" s="153">
        <f>(P130+I130)*31*G130*1.5</f>
        <v>789.756</v>
      </c>
      <c r="S130" s="153">
        <f>Q130</f>
        <v>4.13333333333333</v>
      </c>
      <c r="T130" s="153">
        <f>S130/31</f>
        <v>0.133333333333333</v>
      </c>
      <c r="U130" s="153">
        <f>T130-I130</f>
        <v>0.133333333333333</v>
      </c>
      <c r="V130" s="153">
        <f>R130</f>
        <v>789.756</v>
      </c>
      <c r="W130" s="154">
        <f>_xlfn.XLOOKUP(B130,Sheet5!G:G,Sheet5!H:H)</f>
        <v>0</v>
      </c>
      <c r="X130" s="155">
        <f>Y130/31</f>
        <v>0</v>
      </c>
      <c r="Y130" s="153">
        <f>S130*W130</f>
        <v>0</v>
      </c>
      <c r="Z130" s="153">
        <f>Y130*G130*1.5</f>
        <v>0</v>
      </c>
      <c r="AA130" s="154">
        <f>_xlfn.XLOOKUP(B130,Sheet5!G:G,Sheet5!I:I)</f>
        <v>1</v>
      </c>
      <c r="AB130" s="155">
        <f>AC130/31</f>
        <v>0.133333333333333</v>
      </c>
      <c r="AC130" s="153">
        <f>S130*AA130</f>
        <v>4.13333333333333</v>
      </c>
      <c r="AD130" s="153">
        <f>G130*AC130*1.5</f>
        <v>789.756</v>
      </c>
      <c r="AE130" s="159"/>
      <c r="AF130" s="158"/>
      <c r="AG130" s="157">
        <f>AC130/4</f>
        <v>1.03333333333333</v>
      </c>
      <c r="AH130" s="157">
        <f t="shared" si="4"/>
        <v>0</v>
      </c>
    </row>
    <row r="131" s="118" customFormat="1" ht="50" customHeight="1" spans="1:34">
      <c r="A131" s="151" t="s">
        <v>422</v>
      </c>
      <c r="B131" s="152" t="s">
        <v>423</v>
      </c>
      <c r="C131" s="152">
        <v>1</v>
      </c>
      <c r="D131" s="152" t="s">
        <v>34</v>
      </c>
      <c r="E131" s="152" t="s">
        <v>35</v>
      </c>
      <c r="F131" s="152" t="s">
        <v>335</v>
      </c>
      <c r="G131" s="152">
        <v>32.3712</v>
      </c>
      <c r="H131" s="152">
        <v>56</v>
      </c>
      <c r="I131" s="151"/>
      <c r="J131" s="151"/>
      <c r="K131" s="151">
        <v>36</v>
      </c>
      <c r="L131" s="151">
        <v>1489</v>
      </c>
      <c r="M131" s="153">
        <f>(H131-(I131*50))/50</f>
        <v>1.12</v>
      </c>
      <c r="N131" s="153">
        <f>31*(M131+I131)</f>
        <v>34.72</v>
      </c>
      <c r="O131" s="153">
        <f>N131*G131</f>
        <v>1123.928064</v>
      </c>
      <c r="P131" s="153">
        <f>(H131-(I131*90))/90</f>
        <v>0.622222222222222</v>
      </c>
      <c r="Q131" s="153">
        <f>31*(P131+I131)</f>
        <v>19.2888888888889</v>
      </c>
      <c r="R131" s="153">
        <f>(P131+I131)*31*G131*1.5</f>
        <v>936.60672</v>
      </c>
      <c r="S131" s="153">
        <f>Q131</f>
        <v>19.2888888888889</v>
      </c>
      <c r="T131" s="153">
        <f>S131/31</f>
        <v>0.622222222222222</v>
      </c>
      <c r="U131" s="153">
        <f>T131-I131</f>
        <v>0.622222222222222</v>
      </c>
      <c r="V131" s="153">
        <f>R131</f>
        <v>936.60672</v>
      </c>
      <c r="W131" s="154">
        <f>_xlfn.XLOOKUP(B131,Sheet5!G:G,Sheet5!H:H)</f>
        <v>0.625</v>
      </c>
      <c r="X131" s="155">
        <f>Y131/31</f>
        <v>0.388888888888889</v>
      </c>
      <c r="Y131" s="153">
        <f>S131*W131</f>
        <v>12.0555555555556</v>
      </c>
      <c r="Z131" s="153">
        <f>Y131*G131*1.5</f>
        <v>585.3792</v>
      </c>
      <c r="AA131" s="154">
        <f>_xlfn.XLOOKUP(B131,Sheet5!G:G,Sheet5!I:I)</f>
        <v>0.375</v>
      </c>
      <c r="AB131" s="155">
        <f>AC131/31</f>
        <v>0.233333333333333</v>
      </c>
      <c r="AC131" s="153">
        <f>S131*AA131</f>
        <v>7.23333333333333</v>
      </c>
      <c r="AD131" s="153">
        <f>G131*AC131*1.5</f>
        <v>351.22752</v>
      </c>
      <c r="AE131" s="159"/>
      <c r="AF131" s="158"/>
      <c r="AG131" s="157">
        <f>AC131/4</f>
        <v>1.80833333333333</v>
      </c>
      <c r="AH131" s="157">
        <f t="shared" si="4"/>
        <v>3.01388888888889</v>
      </c>
    </row>
    <row r="132" s="118" customFormat="1" ht="50" customHeight="1" spans="1:34">
      <c r="A132" s="151" t="s">
        <v>424</v>
      </c>
      <c r="B132" s="152" t="s">
        <v>425</v>
      </c>
      <c r="C132" s="152">
        <v>1</v>
      </c>
      <c r="D132" s="152" t="s">
        <v>34</v>
      </c>
      <c r="E132" s="152" t="s">
        <v>51</v>
      </c>
      <c r="F132" s="152" t="s">
        <v>426</v>
      </c>
      <c r="G132" s="152">
        <v>27.04</v>
      </c>
      <c r="H132" s="152">
        <v>144</v>
      </c>
      <c r="I132" s="151">
        <v>1</v>
      </c>
      <c r="J132" s="151">
        <v>144</v>
      </c>
      <c r="K132" s="151">
        <v>54</v>
      </c>
      <c r="L132" s="151">
        <v>1460</v>
      </c>
      <c r="M132" s="153">
        <f>(H132-(I132*50))/50</f>
        <v>1.88</v>
      </c>
      <c r="N132" s="153">
        <f>31*(M132+I132)</f>
        <v>89.28</v>
      </c>
      <c r="O132" s="153">
        <f>N132*G132</f>
        <v>2414.1312</v>
      </c>
      <c r="P132" s="153">
        <f>(H132-(I132*90))/90</f>
        <v>0.6</v>
      </c>
      <c r="Q132" s="153">
        <f>31*(P132+I132)</f>
        <v>49.6</v>
      </c>
      <c r="R132" s="153">
        <f>(P132+I132)*31*G132*1.5</f>
        <v>2011.776</v>
      </c>
      <c r="S132" s="153">
        <f>Q132</f>
        <v>49.6</v>
      </c>
      <c r="T132" s="153">
        <f>S132/31</f>
        <v>1.6</v>
      </c>
      <c r="U132" s="153">
        <f>T132-I132</f>
        <v>0.6</v>
      </c>
      <c r="V132" s="153">
        <f>R132</f>
        <v>2011.776</v>
      </c>
      <c r="W132" s="154">
        <f>_xlfn.XLOOKUP(B132,Sheet5!G:G,Sheet5!H:H)</f>
        <v>0.571428571428571</v>
      </c>
      <c r="X132" s="155">
        <f>Y132/31</f>
        <v>0.914285714285714</v>
      </c>
      <c r="Y132" s="153">
        <f>S132*W132</f>
        <v>28.3428571428571</v>
      </c>
      <c r="Z132" s="153">
        <f>Y132*G132*1.5</f>
        <v>1149.58628571428</v>
      </c>
      <c r="AA132" s="154">
        <f>_xlfn.XLOOKUP(B132,Sheet5!G:G,Sheet5!I:I)</f>
        <v>0.428571428571429</v>
      </c>
      <c r="AB132" s="155">
        <f>AC132/31</f>
        <v>0.685714285714286</v>
      </c>
      <c r="AC132" s="153">
        <f>S132*AA132</f>
        <v>21.2571428571429</v>
      </c>
      <c r="AD132" s="153">
        <f>G132*AC132*1.5</f>
        <v>862.189714285715</v>
      </c>
      <c r="AE132" s="159"/>
      <c r="AF132" s="158"/>
      <c r="AG132" s="157">
        <f>AC132/4</f>
        <v>5.31428571428572</v>
      </c>
      <c r="AH132" s="157">
        <f t="shared" si="4"/>
        <v>7.08571428571428</v>
      </c>
    </row>
    <row r="133" s="118" customFormat="1" ht="50" customHeight="1" spans="1:34">
      <c r="A133" s="151" t="s">
        <v>427</v>
      </c>
      <c r="B133" s="152" t="s">
        <v>428</v>
      </c>
      <c r="C133" s="152">
        <v>1</v>
      </c>
      <c r="D133" s="152" t="s">
        <v>34</v>
      </c>
      <c r="E133" s="152" t="s">
        <v>51</v>
      </c>
      <c r="F133" s="152" t="s">
        <v>61</v>
      </c>
      <c r="G133" s="152">
        <v>85.0663</v>
      </c>
      <c r="H133" s="152">
        <v>87</v>
      </c>
      <c r="I133" s="151">
        <v>1</v>
      </c>
      <c r="J133" s="151">
        <v>87</v>
      </c>
      <c r="K133" s="151">
        <v>17</v>
      </c>
      <c r="L133" s="151">
        <v>1446</v>
      </c>
      <c r="M133" s="153">
        <f>(H133-(I133*50))/50</f>
        <v>0.74</v>
      </c>
      <c r="N133" s="153">
        <f>31*(M133+I133)</f>
        <v>53.94</v>
      </c>
      <c r="O133" s="153">
        <f>N133*G133</f>
        <v>4588.476222</v>
      </c>
      <c r="P133" s="153">
        <f>(H133-(I133*90))/90</f>
        <v>-0.0333333333333333</v>
      </c>
      <c r="Q133" s="153">
        <f>31*(P133+I133)</f>
        <v>29.9666666666667</v>
      </c>
      <c r="R133" s="153">
        <f>(P133+I133)*31*G133*1.5</f>
        <v>3823.730185</v>
      </c>
      <c r="S133" s="153">
        <f>Q133</f>
        <v>29.9666666666667</v>
      </c>
      <c r="T133" s="153">
        <f>S133/31</f>
        <v>0.966666666666667</v>
      </c>
      <c r="U133" s="153">
        <f>T133-I133</f>
        <v>-0.0333333333333333</v>
      </c>
      <c r="V133" s="153">
        <f>R133</f>
        <v>3823.730185</v>
      </c>
      <c r="W133" s="154">
        <f>_xlfn.XLOOKUP(B133,Sheet5!G:G,Sheet5!H:H)</f>
        <v>0.4</v>
      </c>
      <c r="X133" s="155">
        <f>Y133/31</f>
        <v>0.386666666666667</v>
      </c>
      <c r="Y133" s="153">
        <f>S133*W133</f>
        <v>11.9866666666667</v>
      </c>
      <c r="Z133" s="153">
        <f>Y133*G133*1.5</f>
        <v>1529.492074</v>
      </c>
      <c r="AA133" s="154">
        <f>_xlfn.XLOOKUP(B133,Sheet5!G:G,Sheet5!I:I)</f>
        <v>0.6</v>
      </c>
      <c r="AB133" s="155">
        <f>AC133/31</f>
        <v>0.58</v>
      </c>
      <c r="AC133" s="153">
        <f>S133*AA133</f>
        <v>17.98</v>
      </c>
      <c r="AD133" s="153">
        <f>G133*AC133*1.5</f>
        <v>2294.238111</v>
      </c>
      <c r="AE133" s="156" t="s">
        <v>115</v>
      </c>
      <c r="AF133" s="158"/>
      <c r="AG133" s="157">
        <f>AC133/4</f>
        <v>4.495</v>
      </c>
      <c r="AH133" s="157">
        <f t="shared" ref="AH133:AH177" si="5">$Y133/4</f>
        <v>2.99666666666667</v>
      </c>
    </row>
    <row r="134" s="118" customFormat="1" ht="50" customHeight="1" spans="1:34">
      <c r="A134" s="151" t="s">
        <v>429</v>
      </c>
      <c r="B134" s="152" t="s">
        <v>430</v>
      </c>
      <c r="C134" s="152">
        <v>1</v>
      </c>
      <c r="D134" s="152" t="s">
        <v>34</v>
      </c>
      <c r="E134" s="152" t="s">
        <v>35</v>
      </c>
      <c r="F134" s="152" t="s">
        <v>431</v>
      </c>
      <c r="G134" s="152">
        <v>20.33</v>
      </c>
      <c r="H134" s="152">
        <v>167</v>
      </c>
      <c r="I134" s="151">
        <v>2</v>
      </c>
      <c r="J134" s="151">
        <v>83</v>
      </c>
      <c r="K134" s="151">
        <v>67</v>
      </c>
      <c r="L134" s="151">
        <v>1362</v>
      </c>
      <c r="M134" s="153">
        <f>(H134-(I134*50))/50</f>
        <v>1.34</v>
      </c>
      <c r="N134" s="153">
        <f>31*(M134+I134)</f>
        <v>103.54</v>
      </c>
      <c r="O134" s="153">
        <f>N134*G134</f>
        <v>2104.9682</v>
      </c>
      <c r="P134" s="153">
        <f>(H134-(I134*90))/90</f>
        <v>-0.144444444444444</v>
      </c>
      <c r="Q134" s="153">
        <f>31*(P134+I134)</f>
        <v>57.5222222222222</v>
      </c>
      <c r="R134" s="153">
        <f>(P134+I134)*31*G134*1.5</f>
        <v>1754.14016666667</v>
      </c>
      <c r="S134" s="153">
        <f>Q134</f>
        <v>57.5222222222222</v>
      </c>
      <c r="T134" s="153">
        <f>S134/31</f>
        <v>1.85555555555556</v>
      </c>
      <c r="U134" s="153">
        <f>T134-I134</f>
        <v>-0.144444444444444</v>
      </c>
      <c r="V134" s="153">
        <f>R134</f>
        <v>1754.14016666667</v>
      </c>
      <c r="W134" s="154">
        <f>_xlfn.XLOOKUP(B134,Sheet5!G:G,Sheet5!H:H)</f>
        <v>0.761904761904762</v>
      </c>
      <c r="X134" s="155">
        <f>Y134/31</f>
        <v>1.41375661375661</v>
      </c>
      <c r="Y134" s="153">
        <f>S134*W134</f>
        <v>43.826455026455</v>
      </c>
      <c r="Z134" s="153">
        <f>Y134*G134*1.5</f>
        <v>1336.48774603175</v>
      </c>
      <c r="AA134" s="154">
        <f>_xlfn.XLOOKUP(B134,Sheet5!G:G,Sheet5!I:I)</f>
        <v>0.238095238095238</v>
      </c>
      <c r="AB134" s="155">
        <f>AC134/31</f>
        <v>0.441798941798942</v>
      </c>
      <c r="AC134" s="153">
        <f>S134*AA134</f>
        <v>13.6957671957672</v>
      </c>
      <c r="AD134" s="153">
        <f>G134*AC134*1.5</f>
        <v>417.65242063492</v>
      </c>
      <c r="AE134" s="156" t="s">
        <v>432</v>
      </c>
      <c r="AF134" s="151" t="s">
        <v>433</v>
      </c>
      <c r="AG134" s="157">
        <f>AC134/4</f>
        <v>3.4239417989418</v>
      </c>
      <c r="AH134" s="157">
        <f t="shared" si="5"/>
        <v>10.9566137566138</v>
      </c>
    </row>
    <row r="135" s="118" customFormat="1" ht="50" customHeight="1" spans="1:34">
      <c r="A135" s="151" t="s">
        <v>434</v>
      </c>
      <c r="B135" s="152" t="s">
        <v>435</v>
      </c>
      <c r="C135" s="152">
        <v>1</v>
      </c>
      <c r="D135" s="152" t="s">
        <v>34</v>
      </c>
      <c r="E135" s="152" t="s">
        <v>35</v>
      </c>
      <c r="F135" s="152" t="s">
        <v>192</v>
      </c>
      <c r="G135" s="152">
        <v>81.71</v>
      </c>
      <c r="H135" s="152">
        <v>79</v>
      </c>
      <c r="I135" s="151">
        <v>1</v>
      </c>
      <c r="J135" s="151">
        <v>79</v>
      </c>
      <c r="K135" s="151">
        <v>16</v>
      </c>
      <c r="L135" s="151">
        <v>1307</v>
      </c>
      <c r="M135" s="153">
        <f>(H135-(I135*50))/50</f>
        <v>0.58</v>
      </c>
      <c r="N135" s="153">
        <f>31*(M135+I135)</f>
        <v>48.98</v>
      </c>
      <c r="O135" s="153">
        <f>N135*G135</f>
        <v>4002.1558</v>
      </c>
      <c r="P135" s="153">
        <f>(H135-(I135*90))/90</f>
        <v>-0.122222222222222</v>
      </c>
      <c r="Q135" s="153">
        <f>31*(P135+I135)</f>
        <v>27.2111111111111</v>
      </c>
      <c r="R135" s="153">
        <f>(P135+I135)*31*G135*1.5</f>
        <v>3335.12983333333</v>
      </c>
      <c r="S135" s="153">
        <f>Q135</f>
        <v>27.2111111111111</v>
      </c>
      <c r="T135" s="153">
        <f>S135/31</f>
        <v>0.877777777777778</v>
      </c>
      <c r="U135" s="153">
        <f>T135-I135</f>
        <v>-0.122222222222222</v>
      </c>
      <c r="V135" s="153">
        <f>R135</f>
        <v>3335.12983333333</v>
      </c>
      <c r="W135" s="154">
        <f>_xlfn.XLOOKUP(B135,Sheet5!G:G,Sheet5!H:H)</f>
        <v>1</v>
      </c>
      <c r="X135" s="155">
        <f>Y135/31</f>
        <v>0.877777777777778</v>
      </c>
      <c r="Y135" s="153">
        <f>S135*W135</f>
        <v>27.2111111111111</v>
      </c>
      <c r="Z135" s="153">
        <f>Y135*G135*1.5</f>
        <v>3335.12983333333</v>
      </c>
      <c r="AA135" s="154">
        <f>_xlfn.XLOOKUP(B135,Sheet5!G:G,Sheet5!I:I)</f>
        <v>0</v>
      </c>
      <c r="AB135" s="155">
        <f>AC135/31</f>
        <v>0</v>
      </c>
      <c r="AC135" s="153">
        <f>S135*AA135</f>
        <v>0</v>
      </c>
      <c r="AD135" s="153">
        <f>G135*AC135*1.5</f>
        <v>0</v>
      </c>
      <c r="AE135" s="156" t="s">
        <v>115</v>
      </c>
      <c r="AF135" s="158"/>
      <c r="AG135" s="157">
        <f>AC135/4</f>
        <v>0</v>
      </c>
      <c r="AH135" s="157">
        <f t="shared" si="5"/>
        <v>6.80277777777778</v>
      </c>
    </row>
    <row r="136" s="118" customFormat="1" ht="50" customHeight="1" spans="1:34">
      <c r="A136" s="151" t="s">
        <v>436</v>
      </c>
      <c r="B136" s="152" t="s">
        <v>437</v>
      </c>
      <c r="C136" s="152">
        <v>1</v>
      </c>
      <c r="D136" s="152" t="s">
        <v>34</v>
      </c>
      <c r="E136" s="152" t="s">
        <v>35</v>
      </c>
      <c r="F136" s="152" t="s">
        <v>438</v>
      </c>
      <c r="G136" s="152">
        <v>117.8288</v>
      </c>
      <c r="H136" s="152">
        <v>96</v>
      </c>
      <c r="I136" s="151">
        <v>1</v>
      </c>
      <c r="J136" s="151">
        <v>96</v>
      </c>
      <c r="K136" s="151">
        <v>11</v>
      </c>
      <c r="L136" s="151">
        <v>1296</v>
      </c>
      <c r="M136" s="153">
        <f>(H136-(I136*50))/50</f>
        <v>0.92</v>
      </c>
      <c r="N136" s="153">
        <f>31*(M136+I136)</f>
        <v>59.52</v>
      </c>
      <c r="O136" s="153">
        <f>N136*G136</f>
        <v>7013.170176</v>
      </c>
      <c r="P136" s="153">
        <f>(H136-(I136*90))/90</f>
        <v>0.0666666666666667</v>
      </c>
      <c r="Q136" s="153">
        <f>31*(P136+I136)</f>
        <v>33.0666666666667</v>
      </c>
      <c r="R136" s="153">
        <f>(P136+I136)*31*G136*1.5</f>
        <v>5844.30848</v>
      </c>
      <c r="S136" s="153">
        <f>Q136</f>
        <v>33.0666666666667</v>
      </c>
      <c r="T136" s="153">
        <f>S136/31</f>
        <v>1.06666666666667</v>
      </c>
      <c r="U136" s="153">
        <f>T136-I136</f>
        <v>0.0666666666666667</v>
      </c>
      <c r="V136" s="153">
        <f>R136</f>
        <v>5844.30848</v>
      </c>
      <c r="W136" s="154">
        <f>_xlfn.XLOOKUP(B136,Sheet5!G:G,Sheet5!H:H)</f>
        <v>0.478260869565217</v>
      </c>
      <c r="X136" s="155">
        <f>Y136/31</f>
        <v>0.510144927536231</v>
      </c>
      <c r="Y136" s="153">
        <f>S136*W136</f>
        <v>15.8144927536232</v>
      </c>
      <c r="Z136" s="153">
        <f>Y136*G136*1.5</f>
        <v>2795.10405565217</v>
      </c>
      <c r="AA136" s="154">
        <f>_xlfn.XLOOKUP(B136,Sheet5!G:G,Sheet5!I:I)</f>
        <v>0.521739130434783</v>
      </c>
      <c r="AB136" s="155">
        <f>AC136/31</f>
        <v>0.556521739130435</v>
      </c>
      <c r="AC136" s="153">
        <f>S136*AA136</f>
        <v>17.2521739130435</v>
      </c>
      <c r="AD136" s="153">
        <f>G136*AC136*1.5</f>
        <v>3049.20442434783</v>
      </c>
      <c r="AE136" s="156" t="s">
        <v>115</v>
      </c>
      <c r="AF136" s="158"/>
      <c r="AG136" s="157">
        <f>AC136/4</f>
        <v>4.31304347826087</v>
      </c>
      <c r="AH136" s="157">
        <f t="shared" si="5"/>
        <v>3.95362318840579</v>
      </c>
    </row>
    <row r="137" s="118" customFormat="1" ht="50" customHeight="1" spans="1:34">
      <c r="A137" s="151" t="s">
        <v>439</v>
      </c>
      <c r="B137" s="152" t="s">
        <v>440</v>
      </c>
      <c r="C137" s="152">
        <v>1</v>
      </c>
      <c r="D137" s="152" t="s">
        <v>34</v>
      </c>
      <c r="E137" s="152" t="s">
        <v>51</v>
      </c>
      <c r="F137" s="152" t="s">
        <v>80</v>
      </c>
      <c r="G137" s="152">
        <v>9.83</v>
      </c>
      <c r="H137" s="152">
        <v>90</v>
      </c>
      <c r="I137" s="151"/>
      <c r="J137" s="151"/>
      <c r="K137" s="151">
        <v>87</v>
      </c>
      <c r="L137" s="151">
        <v>1268</v>
      </c>
      <c r="M137" s="153">
        <f>(H137-(I137*50))/50</f>
        <v>1.8</v>
      </c>
      <c r="N137" s="153">
        <f>31*(M137+I137)</f>
        <v>55.8</v>
      </c>
      <c r="O137" s="153">
        <f>N137*G137</f>
        <v>548.514</v>
      </c>
      <c r="P137" s="153">
        <f>(H137-(I137*90))/90</f>
        <v>1</v>
      </c>
      <c r="Q137" s="153">
        <f>31*(P137+I137)</f>
        <v>31</v>
      </c>
      <c r="R137" s="153">
        <f>(P137+I137)*31*G137*1.5</f>
        <v>457.095</v>
      </c>
      <c r="S137" s="153">
        <f>Q137</f>
        <v>31</v>
      </c>
      <c r="T137" s="153">
        <f>S137/31</f>
        <v>1</v>
      </c>
      <c r="U137" s="153">
        <f>T137-I137</f>
        <v>1</v>
      </c>
      <c r="V137" s="153">
        <f>R137</f>
        <v>457.095</v>
      </c>
      <c r="W137" s="154">
        <f>_xlfn.XLOOKUP(B137,Sheet5!G:G,Sheet5!H:H)</f>
        <v>1</v>
      </c>
      <c r="X137" s="155">
        <f>Y137/31</f>
        <v>1</v>
      </c>
      <c r="Y137" s="153">
        <f>S137*W137</f>
        <v>31</v>
      </c>
      <c r="Z137" s="153">
        <f>Y137*G137*1.5</f>
        <v>457.095</v>
      </c>
      <c r="AA137" s="154">
        <f>_xlfn.XLOOKUP(B137,Sheet5!G:G,Sheet5!I:I)</f>
        <v>0</v>
      </c>
      <c r="AB137" s="155">
        <f>AC137/31</f>
        <v>0</v>
      </c>
      <c r="AC137" s="153">
        <f>S137*AA137</f>
        <v>0</v>
      </c>
      <c r="AD137" s="153">
        <f>G137*AC137*1.5</f>
        <v>0</v>
      </c>
      <c r="AE137" s="159"/>
      <c r="AF137" s="158"/>
      <c r="AG137" s="157">
        <f>AC137/4</f>
        <v>0</v>
      </c>
      <c r="AH137" s="157">
        <f t="shared" si="5"/>
        <v>7.75</v>
      </c>
    </row>
    <row r="138" s="118" customFormat="1" ht="50" customHeight="1" spans="1:34">
      <c r="A138" s="151" t="s">
        <v>441</v>
      </c>
      <c r="B138" s="152" t="s">
        <v>442</v>
      </c>
      <c r="C138" s="152">
        <v>1</v>
      </c>
      <c r="D138" s="152" t="s">
        <v>34</v>
      </c>
      <c r="E138" s="152" t="s">
        <v>35</v>
      </c>
      <c r="F138" s="152" t="s">
        <v>391</v>
      </c>
      <c r="G138" s="152">
        <v>250.068</v>
      </c>
      <c r="H138" s="152">
        <v>48</v>
      </c>
      <c r="I138" s="151"/>
      <c r="J138" s="151"/>
      <c r="K138" s="151">
        <v>5</v>
      </c>
      <c r="L138" s="151">
        <v>1250</v>
      </c>
      <c r="M138" s="153">
        <f>(H138-(I138*50))/50</f>
        <v>0.96</v>
      </c>
      <c r="N138" s="153">
        <f>31*(M138+I138)</f>
        <v>29.76</v>
      </c>
      <c r="O138" s="153">
        <f>N138*G138</f>
        <v>7442.02368</v>
      </c>
      <c r="P138" s="153">
        <f>(H138-(I138*90))/90</f>
        <v>0.533333333333333</v>
      </c>
      <c r="Q138" s="153">
        <f>31*(P138+I138)</f>
        <v>16.5333333333333</v>
      </c>
      <c r="R138" s="153">
        <f>(P138+I138)*31*G138*1.5</f>
        <v>6201.6864</v>
      </c>
      <c r="S138" s="153">
        <f>Q138</f>
        <v>16.5333333333333</v>
      </c>
      <c r="T138" s="153">
        <f>S138/31</f>
        <v>0.533333333333333</v>
      </c>
      <c r="U138" s="153">
        <f>T138-I138</f>
        <v>0.533333333333333</v>
      </c>
      <c r="V138" s="153">
        <f>R138</f>
        <v>6201.6864</v>
      </c>
      <c r="W138" s="154">
        <f>_xlfn.XLOOKUP(B138,Sheet5!G:G,Sheet5!H:H)</f>
        <v>1</v>
      </c>
      <c r="X138" s="155">
        <f>Y138/31</f>
        <v>0.533333333333333</v>
      </c>
      <c r="Y138" s="153">
        <f>S138*W138</f>
        <v>16.5333333333333</v>
      </c>
      <c r="Z138" s="153">
        <f>Y138*G138*1.5</f>
        <v>6201.6864</v>
      </c>
      <c r="AA138" s="154">
        <f>_xlfn.XLOOKUP(B138,Sheet5!G:G,Sheet5!I:I)</f>
        <v>0</v>
      </c>
      <c r="AB138" s="155">
        <f>AC138/31</f>
        <v>0</v>
      </c>
      <c r="AC138" s="153">
        <f>S138*AA138</f>
        <v>0</v>
      </c>
      <c r="AD138" s="153">
        <f>G138*AC138*1.5</f>
        <v>0</v>
      </c>
      <c r="AE138" s="159"/>
      <c r="AF138" s="158"/>
      <c r="AG138" s="157">
        <f>AC138/4</f>
        <v>0</v>
      </c>
      <c r="AH138" s="157">
        <f t="shared" si="5"/>
        <v>4.13333333333333</v>
      </c>
    </row>
    <row r="139" s="118" customFormat="1" ht="50" customHeight="1" spans="1:34">
      <c r="A139" s="151" t="s">
        <v>443</v>
      </c>
      <c r="B139" s="152" t="s">
        <v>444</v>
      </c>
      <c r="C139" s="152">
        <v>1</v>
      </c>
      <c r="D139" s="152" t="s">
        <v>34</v>
      </c>
      <c r="E139" s="152" t="s">
        <v>51</v>
      </c>
      <c r="F139" s="152" t="s">
        <v>283</v>
      </c>
      <c r="G139" s="152">
        <v>90.64</v>
      </c>
      <c r="H139" s="152">
        <v>108</v>
      </c>
      <c r="I139" s="151">
        <v>1</v>
      </c>
      <c r="J139" s="151">
        <v>108</v>
      </c>
      <c r="K139" s="151">
        <v>13</v>
      </c>
      <c r="L139" s="151">
        <v>1178</v>
      </c>
      <c r="M139" s="153">
        <f>(H139-(I139*50))/50</f>
        <v>1.16</v>
      </c>
      <c r="N139" s="153">
        <f>31*(M139+I139)</f>
        <v>66.96</v>
      </c>
      <c r="O139" s="153">
        <f>N139*G139</f>
        <v>6069.2544</v>
      </c>
      <c r="P139" s="153">
        <f>(H139-(I139*90))/90</f>
        <v>0.2</v>
      </c>
      <c r="Q139" s="153">
        <f>31*(P139+I139)</f>
        <v>37.2</v>
      </c>
      <c r="R139" s="153">
        <f>(P139+I139)*31*G139*1.5</f>
        <v>5057.712</v>
      </c>
      <c r="S139" s="153">
        <f>Q139</f>
        <v>37.2</v>
      </c>
      <c r="T139" s="153">
        <f>S139/31</f>
        <v>1.2</v>
      </c>
      <c r="U139" s="153">
        <f>T139-I139</f>
        <v>0.2</v>
      </c>
      <c r="V139" s="153">
        <f>R139</f>
        <v>5057.712</v>
      </c>
      <c r="W139" s="154">
        <f>_xlfn.XLOOKUP(B139,Sheet5!G:G,Sheet5!H:H)</f>
        <v>0.269230769230769</v>
      </c>
      <c r="X139" s="155">
        <f>Y139/31</f>
        <v>0.323076923076923</v>
      </c>
      <c r="Y139" s="153">
        <f>S139*W139</f>
        <v>10.0153846153846</v>
      </c>
      <c r="Z139" s="153">
        <f>Y139*G139*1.5</f>
        <v>1361.69169230769</v>
      </c>
      <c r="AA139" s="154">
        <f>_xlfn.XLOOKUP(B139,Sheet5!G:G,Sheet5!I:I)</f>
        <v>0.730769230769231</v>
      </c>
      <c r="AB139" s="155">
        <f>AC139/31</f>
        <v>0.876923076923077</v>
      </c>
      <c r="AC139" s="153">
        <f>S139*AA139</f>
        <v>27.1846153846154</v>
      </c>
      <c r="AD139" s="153">
        <f>G139*AC139*1.5</f>
        <v>3696.02030769231</v>
      </c>
      <c r="AE139" s="156" t="s">
        <v>115</v>
      </c>
      <c r="AF139" s="158"/>
      <c r="AG139" s="157">
        <f>AC139/4</f>
        <v>6.79615384615385</v>
      </c>
      <c r="AH139" s="157">
        <f t="shared" si="5"/>
        <v>2.50384615384615</v>
      </c>
    </row>
    <row r="140" s="118" customFormat="1" ht="50" customHeight="1" spans="1:34">
      <c r="A140" s="151" t="s">
        <v>445</v>
      </c>
      <c r="B140" s="152" t="s">
        <v>446</v>
      </c>
      <c r="C140" s="152">
        <v>1</v>
      </c>
      <c r="D140" s="152" t="s">
        <v>34</v>
      </c>
      <c r="E140" s="152" t="s">
        <v>35</v>
      </c>
      <c r="F140" s="152" t="s">
        <v>447</v>
      </c>
      <c r="G140" s="152">
        <v>19.1</v>
      </c>
      <c r="H140" s="152">
        <v>48</v>
      </c>
      <c r="I140" s="151"/>
      <c r="J140" s="151"/>
      <c r="K140" s="151">
        <v>42</v>
      </c>
      <c r="L140" s="151">
        <v>1156</v>
      </c>
      <c r="M140" s="153">
        <f>(H140-(I140*50))/50</f>
        <v>0.96</v>
      </c>
      <c r="N140" s="153">
        <f>31*(M140+I140)</f>
        <v>29.76</v>
      </c>
      <c r="O140" s="153">
        <f>N140*G140</f>
        <v>568.416</v>
      </c>
      <c r="P140" s="153">
        <f>(H140-(I140*90))/90</f>
        <v>0.533333333333333</v>
      </c>
      <c r="Q140" s="153">
        <f>31*(P140+I140)</f>
        <v>16.5333333333333</v>
      </c>
      <c r="R140" s="153">
        <f>(P140+I140)*31*G140*1.5</f>
        <v>473.68</v>
      </c>
      <c r="S140" s="153">
        <f>Q140</f>
        <v>16.5333333333333</v>
      </c>
      <c r="T140" s="153">
        <f>S140/31</f>
        <v>0.533333333333333</v>
      </c>
      <c r="U140" s="153">
        <f>T140-I140</f>
        <v>0.533333333333333</v>
      </c>
      <c r="V140" s="153">
        <f>R140</f>
        <v>473.68</v>
      </c>
      <c r="W140" s="154">
        <f>_xlfn.XLOOKUP(B140,Sheet5!G:G,Sheet5!H:H)</f>
        <v>0</v>
      </c>
      <c r="X140" s="155">
        <f>Y140/31</f>
        <v>0</v>
      </c>
      <c r="Y140" s="153">
        <f>S140*W140</f>
        <v>0</v>
      </c>
      <c r="Z140" s="153">
        <f>Y140*G140*1.5</f>
        <v>0</v>
      </c>
      <c r="AA140" s="154">
        <f>_xlfn.XLOOKUP(B140,Sheet5!G:G,Sheet5!I:I)</f>
        <v>1</v>
      </c>
      <c r="AB140" s="155">
        <f>AC140/31</f>
        <v>0.533333333333333</v>
      </c>
      <c r="AC140" s="153">
        <f>S140*AA140</f>
        <v>16.5333333333333</v>
      </c>
      <c r="AD140" s="153">
        <f>G140*AC140*1.5</f>
        <v>473.68</v>
      </c>
      <c r="AE140" s="159"/>
      <c r="AF140" s="158"/>
      <c r="AG140" s="157">
        <f>AC140/4</f>
        <v>4.13333333333333</v>
      </c>
      <c r="AH140" s="157">
        <f t="shared" si="5"/>
        <v>0</v>
      </c>
    </row>
    <row r="141" s="118" customFormat="1" ht="50" customHeight="1" spans="1:34">
      <c r="A141" s="151" t="s">
        <v>448</v>
      </c>
      <c r="B141" s="152" t="s">
        <v>449</v>
      </c>
      <c r="C141" s="152">
        <v>1</v>
      </c>
      <c r="D141" s="152" t="s">
        <v>34</v>
      </c>
      <c r="E141" s="152" t="s">
        <v>35</v>
      </c>
      <c r="F141" s="152" t="s">
        <v>335</v>
      </c>
      <c r="G141" s="152">
        <v>42.4284</v>
      </c>
      <c r="H141" s="152">
        <v>63</v>
      </c>
      <c r="I141" s="151"/>
      <c r="J141" s="151"/>
      <c r="K141" s="151">
        <v>27</v>
      </c>
      <c r="L141" s="151">
        <v>1146</v>
      </c>
      <c r="M141" s="153">
        <f>(H141-(I141*50))/50</f>
        <v>1.26</v>
      </c>
      <c r="N141" s="153">
        <f>31*(M141+I141)</f>
        <v>39.06</v>
      </c>
      <c r="O141" s="153">
        <f>N141*G141</f>
        <v>1657.253304</v>
      </c>
      <c r="P141" s="153">
        <f>(H141-(I141*90))/90</f>
        <v>0.7</v>
      </c>
      <c r="Q141" s="153">
        <f>31*(P141+I141)</f>
        <v>21.7</v>
      </c>
      <c r="R141" s="153">
        <f>(P141+I141)*31*G141*1.5</f>
        <v>1381.04442</v>
      </c>
      <c r="S141" s="153">
        <f>Q141</f>
        <v>21.7</v>
      </c>
      <c r="T141" s="153">
        <f>S141/31</f>
        <v>0.7</v>
      </c>
      <c r="U141" s="153">
        <f>T141-I141</f>
        <v>0.7</v>
      </c>
      <c r="V141" s="153">
        <f>R141</f>
        <v>1381.04442</v>
      </c>
      <c r="W141" s="154">
        <f>_xlfn.XLOOKUP(B141,Sheet5!G:G,Sheet5!H:H)</f>
        <v>0.875</v>
      </c>
      <c r="X141" s="155">
        <f>Y141/31</f>
        <v>0.6125</v>
      </c>
      <c r="Y141" s="153">
        <f>S141*W141</f>
        <v>18.9875</v>
      </c>
      <c r="Z141" s="153">
        <f>Y141*G141*1.5</f>
        <v>1208.4138675</v>
      </c>
      <c r="AA141" s="154">
        <f>_xlfn.XLOOKUP(B141,Sheet5!G:G,Sheet5!I:I)</f>
        <v>0.125</v>
      </c>
      <c r="AB141" s="155">
        <f>AC141/31</f>
        <v>0.0875</v>
      </c>
      <c r="AC141" s="153">
        <f>S141*AA141</f>
        <v>2.7125</v>
      </c>
      <c r="AD141" s="153">
        <f>G141*AC141*1.5</f>
        <v>172.6305525</v>
      </c>
      <c r="AE141" s="159"/>
      <c r="AF141" s="158"/>
      <c r="AG141" s="157">
        <f>AC141/4</f>
        <v>0.678125</v>
      </c>
      <c r="AH141" s="157">
        <f t="shared" si="5"/>
        <v>4.746875</v>
      </c>
    </row>
    <row r="142" s="118" customFormat="1" ht="50" customHeight="1" spans="1:34">
      <c r="A142" s="151" t="s">
        <v>450</v>
      </c>
      <c r="B142" s="152" t="s">
        <v>451</v>
      </c>
      <c r="C142" s="152">
        <v>1</v>
      </c>
      <c r="D142" s="152" t="s">
        <v>34</v>
      </c>
      <c r="E142" s="152" t="s">
        <v>51</v>
      </c>
      <c r="F142" s="152" t="s">
        <v>203</v>
      </c>
      <c r="G142" s="152">
        <v>86.12</v>
      </c>
      <c r="H142" s="152">
        <v>66</v>
      </c>
      <c r="I142" s="151">
        <v>1</v>
      </c>
      <c r="J142" s="151">
        <v>66</v>
      </c>
      <c r="K142" s="151">
        <v>13</v>
      </c>
      <c r="L142" s="151">
        <v>1120</v>
      </c>
      <c r="M142" s="153">
        <f>(H142-(I142*50))/50</f>
        <v>0.32</v>
      </c>
      <c r="N142" s="153">
        <f>31*(M142+I142)</f>
        <v>40.92</v>
      </c>
      <c r="O142" s="153">
        <f>N142*G142</f>
        <v>3524.0304</v>
      </c>
      <c r="P142" s="153">
        <f>(H142-(I142*90))/90</f>
        <v>-0.266666666666667</v>
      </c>
      <c r="Q142" s="153">
        <f>31*(P142+I142)</f>
        <v>22.7333333333333</v>
      </c>
      <c r="R142" s="153">
        <f>(P142+I142)*31*G142*1.5</f>
        <v>2936.692</v>
      </c>
      <c r="S142" s="153">
        <f>Q142</f>
        <v>22.7333333333333</v>
      </c>
      <c r="T142" s="153">
        <f>S142/31</f>
        <v>0.733333333333333</v>
      </c>
      <c r="U142" s="153">
        <f>T142-I142</f>
        <v>-0.266666666666667</v>
      </c>
      <c r="V142" s="153">
        <f>R142</f>
        <v>2936.692</v>
      </c>
      <c r="W142" s="154">
        <f>_xlfn.XLOOKUP(B142,Sheet5!G:G,Sheet5!H:H)</f>
        <v>0.588235294117647</v>
      </c>
      <c r="X142" s="155">
        <f>Y142/31</f>
        <v>0.431372549019608</v>
      </c>
      <c r="Y142" s="153">
        <f>S142*W142</f>
        <v>13.3725490196078</v>
      </c>
      <c r="Z142" s="153">
        <f>Y142*G142*1.5</f>
        <v>1727.46588235294</v>
      </c>
      <c r="AA142" s="154">
        <f>_xlfn.XLOOKUP(B142,Sheet5!G:G,Sheet5!I:I)</f>
        <v>0.411764705882353</v>
      </c>
      <c r="AB142" s="155">
        <f>AC142/31</f>
        <v>0.301960784313726</v>
      </c>
      <c r="AC142" s="153">
        <f>S142*AA142</f>
        <v>9.36078431372549</v>
      </c>
      <c r="AD142" s="153">
        <f>G142*AC142*1.5</f>
        <v>1209.22611764706</v>
      </c>
      <c r="AE142" s="156" t="s">
        <v>115</v>
      </c>
      <c r="AF142" s="158"/>
      <c r="AG142" s="157">
        <f>AC142/4</f>
        <v>2.34019607843137</v>
      </c>
      <c r="AH142" s="157">
        <f t="shared" si="5"/>
        <v>3.34313725490196</v>
      </c>
    </row>
    <row r="143" s="118" customFormat="1" ht="50" customHeight="1" spans="1:34">
      <c r="A143" s="151" t="s">
        <v>452</v>
      </c>
      <c r="B143" s="152" t="s">
        <v>453</v>
      </c>
      <c r="C143" s="152">
        <v>1</v>
      </c>
      <c r="D143" s="152" t="s">
        <v>34</v>
      </c>
      <c r="E143" s="152" t="s">
        <v>35</v>
      </c>
      <c r="F143" s="152" t="s">
        <v>156</v>
      </c>
      <c r="G143" s="152">
        <v>21.28</v>
      </c>
      <c r="H143" s="152">
        <v>40</v>
      </c>
      <c r="I143" s="151"/>
      <c r="J143" s="151"/>
      <c r="K143" s="151">
        <v>35</v>
      </c>
      <c r="L143" s="151">
        <v>1075</v>
      </c>
      <c r="M143" s="153">
        <f>(H143-(I143*50))/50</f>
        <v>0.8</v>
      </c>
      <c r="N143" s="153">
        <f>31*(M143+I143)</f>
        <v>24.8</v>
      </c>
      <c r="O143" s="153">
        <f>N143*G143</f>
        <v>527.744</v>
      </c>
      <c r="P143" s="153">
        <f>(H143-(I143*90))/90</f>
        <v>0.444444444444444</v>
      </c>
      <c r="Q143" s="153">
        <f>31*(P143+I143)</f>
        <v>13.7777777777778</v>
      </c>
      <c r="R143" s="153">
        <f>(P143+I143)*31*G143*1.5</f>
        <v>439.786666666667</v>
      </c>
      <c r="S143" s="153">
        <f>Q143</f>
        <v>13.7777777777778</v>
      </c>
      <c r="T143" s="153">
        <f>S143/31</f>
        <v>0.444444444444444</v>
      </c>
      <c r="U143" s="153">
        <f>T143-I143</f>
        <v>0.444444444444444</v>
      </c>
      <c r="V143" s="153">
        <f>R143</f>
        <v>439.786666666667</v>
      </c>
      <c r="W143" s="154">
        <f>_xlfn.XLOOKUP(B143,Sheet5!G:G,Sheet5!H:H)</f>
        <v>0</v>
      </c>
      <c r="X143" s="155">
        <f>Y143/31</f>
        <v>0</v>
      </c>
      <c r="Y143" s="153">
        <f>S143*W143</f>
        <v>0</v>
      </c>
      <c r="Z143" s="153">
        <f>Y143*G143*1.5</f>
        <v>0</v>
      </c>
      <c r="AA143" s="154">
        <f>_xlfn.XLOOKUP(B143,Sheet5!G:G,Sheet5!I:I)</f>
        <v>1</v>
      </c>
      <c r="AB143" s="155">
        <f>AC143/31</f>
        <v>0.444444444444444</v>
      </c>
      <c r="AC143" s="153">
        <f>S143*AA143</f>
        <v>13.7777777777778</v>
      </c>
      <c r="AD143" s="153">
        <f>G143*AC143*1.5</f>
        <v>439.786666666667</v>
      </c>
      <c r="AE143" s="159"/>
      <c r="AF143" s="158"/>
      <c r="AG143" s="157">
        <f>AC143/4</f>
        <v>3.44444444444444</v>
      </c>
      <c r="AH143" s="157">
        <f t="shared" si="5"/>
        <v>0</v>
      </c>
    </row>
    <row r="144" s="118" customFormat="1" ht="50" customHeight="1" spans="1:34">
      <c r="A144" s="151" t="s">
        <v>454</v>
      </c>
      <c r="B144" s="152" t="s">
        <v>455</v>
      </c>
      <c r="C144" s="152">
        <v>1</v>
      </c>
      <c r="D144" s="152" t="s">
        <v>34</v>
      </c>
      <c r="E144" s="152" t="s">
        <v>35</v>
      </c>
      <c r="F144" s="152" t="s">
        <v>306</v>
      </c>
      <c r="G144" s="152">
        <v>176.39</v>
      </c>
      <c r="H144" s="152">
        <v>4</v>
      </c>
      <c r="I144" s="151"/>
      <c r="J144" s="151"/>
      <c r="K144" s="151">
        <v>4</v>
      </c>
      <c r="L144" s="151">
        <v>1058</v>
      </c>
      <c r="M144" s="153">
        <f>(H144-(I144*50))/50</f>
        <v>0.08</v>
      </c>
      <c r="N144" s="153">
        <f>31*(M144+I144)</f>
        <v>2.48</v>
      </c>
      <c r="O144" s="153">
        <f>N144*G144</f>
        <v>437.4472</v>
      </c>
      <c r="P144" s="153">
        <f>(H144-(I144*90))/90</f>
        <v>0.0444444444444444</v>
      </c>
      <c r="Q144" s="153">
        <f>31*(P144+I144)</f>
        <v>1.37777777777778</v>
      </c>
      <c r="R144" s="153">
        <f>(P144+I144)*31*G144*1.5</f>
        <v>364.539333333333</v>
      </c>
      <c r="S144" s="153">
        <f>Q144</f>
        <v>1.37777777777778</v>
      </c>
      <c r="T144" s="153">
        <f>S144/31</f>
        <v>0.0444444444444444</v>
      </c>
      <c r="U144" s="153">
        <f>T144-I144</f>
        <v>0.0444444444444444</v>
      </c>
      <c r="V144" s="153">
        <f>R144</f>
        <v>364.539333333333</v>
      </c>
      <c r="W144" s="154">
        <f>_xlfn.XLOOKUP(B144,Sheet5!G:G,Sheet5!H:H)</f>
        <v>0</v>
      </c>
      <c r="X144" s="155">
        <f>Y144/31</f>
        <v>0</v>
      </c>
      <c r="Y144" s="153">
        <f>S144*W144</f>
        <v>0</v>
      </c>
      <c r="Z144" s="153">
        <f>Y144*G144*1.5</f>
        <v>0</v>
      </c>
      <c r="AA144" s="154">
        <f>_xlfn.XLOOKUP(B144,Sheet5!G:G,Sheet5!I:I)</f>
        <v>0</v>
      </c>
      <c r="AB144" s="155">
        <f>AC144/31</f>
        <v>0</v>
      </c>
      <c r="AC144" s="153">
        <f>S144*AA144</f>
        <v>0</v>
      </c>
      <c r="AD144" s="153">
        <f>G144*AC144*1.5</f>
        <v>0</v>
      </c>
      <c r="AE144" s="159"/>
      <c r="AF144" s="158"/>
      <c r="AG144" s="157">
        <f>AC144/4</f>
        <v>0</v>
      </c>
      <c r="AH144" s="157">
        <f t="shared" si="5"/>
        <v>0</v>
      </c>
    </row>
    <row r="145" s="118" customFormat="1" ht="50" customHeight="1" spans="1:34">
      <c r="A145" s="151" t="s">
        <v>456</v>
      </c>
      <c r="B145" s="152" t="s">
        <v>457</v>
      </c>
      <c r="C145" s="152">
        <v>1</v>
      </c>
      <c r="D145" s="152" t="s">
        <v>34</v>
      </c>
      <c r="E145" s="152" t="s">
        <v>35</v>
      </c>
      <c r="F145" s="152" t="s">
        <v>110</v>
      </c>
      <c r="G145" s="152">
        <v>23.3068</v>
      </c>
      <c r="H145" s="152">
        <v>64</v>
      </c>
      <c r="I145" s="151"/>
      <c r="J145" s="151"/>
      <c r="K145" s="151">
        <v>36</v>
      </c>
      <c r="L145" s="151">
        <v>991</v>
      </c>
      <c r="M145" s="153">
        <f>(H145-(I145*50))/50</f>
        <v>1.28</v>
      </c>
      <c r="N145" s="153">
        <f>31*(M145+I145)</f>
        <v>39.68</v>
      </c>
      <c r="O145" s="153">
        <f>N145*G145</f>
        <v>924.813824</v>
      </c>
      <c r="P145" s="153">
        <f>(H145-(I145*90))/90</f>
        <v>0.711111111111111</v>
      </c>
      <c r="Q145" s="153">
        <f>31*(P145+I145)</f>
        <v>22.0444444444444</v>
      </c>
      <c r="R145" s="153">
        <f>(P145+I145)*31*G145*1.5</f>
        <v>770.678186666667</v>
      </c>
      <c r="S145" s="153">
        <f>Q145</f>
        <v>22.0444444444444</v>
      </c>
      <c r="T145" s="153">
        <f>S145/31</f>
        <v>0.711111111111111</v>
      </c>
      <c r="U145" s="153">
        <f>T145-I145</f>
        <v>0.711111111111111</v>
      </c>
      <c r="V145" s="153">
        <f>R145</f>
        <v>770.678186666667</v>
      </c>
      <c r="W145" s="154">
        <f>_xlfn.XLOOKUP(B145,Sheet5!G:G,Sheet5!H:H)</f>
        <v>0</v>
      </c>
      <c r="X145" s="155">
        <f>Y145/31</f>
        <v>0</v>
      </c>
      <c r="Y145" s="153">
        <f>S145*W145</f>
        <v>0</v>
      </c>
      <c r="Z145" s="153">
        <f>Y145*G145*1.5</f>
        <v>0</v>
      </c>
      <c r="AA145" s="154">
        <f>_xlfn.XLOOKUP(B145,Sheet5!G:G,Sheet5!I:I)</f>
        <v>1</v>
      </c>
      <c r="AB145" s="155">
        <f>AC145/31</f>
        <v>0.711111111111111</v>
      </c>
      <c r="AC145" s="153">
        <f>S145*AA145</f>
        <v>22.0444444444444</v>
      </c>
      <c r="AD145" s="153">
        <f>G145*AC145*1.5</f>
        <v>770.678186666667</v>
      </c>
      <c r="AE145" s="156" t="s">
        <v>111</v>
      </c>
      <c r="AF145" s="151" t="s">
        <v>112</v>
      </c>
      <c r="AG145" s="157">
        <f>AC145/4</f>
        <v>5.51111111111111</v>
      </c>
      <c r="AH145" s="157">
        <f t="shared" si="5"/>
        <v>0</v>
      </c>
    </row>
    <row r="146" s="118" customFormat="1" ht="50" customHeight="1" spans="1:34">
      <c r="A146" s="151" t="s">
        <v>458</v>
      </c>
      <c r="B146" s="152" t="s">
        <v>459</v>
      </c>
      <c r="C146" s="152">
        <v>1</v>
      </c>
      <c r="D146" s="152" t="s">
        <v>34</v>
      </c>
      <c r="E146" s="152" t="s">
        <v>35</v>
      </c>
      <c r="F146" s="152" t="s">
        <v>335</v>
      </c>
      <c r="G146" s="152">
        <v>42.4284</v>
      </c>
      <c r="H146" s="152">
        <v>47</v>
      </c>
      <c r="I146" s="151"/>
      <c r="J146" s="151"/>
      <c r="K146" s="151">
        <v>22</v>
      </c>
      <c r="L146" s="151">
        <v>976</v>
      </c>
      <c r="M146" s="153">
        <f>(H146-(I146*50))/50</f>
        <v>0.94</v>
      </c>
      <c r="N146" s="153">
        <f>31*(M146+I146)</f>
        <v>29.14</v>
      </c>
      <c r="O146" s="153">
        <f>N146*G146</f>
        <v>1236.363576</v>
      </c>
      <c r="P146" s="153">
        <f>(H146-(I146*90))/90</f>
        <v>0.522222222222222</v>
      </c>
      <c r="Q146" s="153">
        <f>31*(P146+I146)</f>
        <v>16.1888888888889</v>
      </c>
      <c r="R146" s="153">
        <f>(P146+I146)*31*G146*1.5</f>
        <v>1030.30298</v>
      </c>
      <c r="S146" s="153">
        <f>Q146</f>
        <v>16.1888888888889</v>
      </c>
      <c r="T146" s="153">
        <f>S146/31</f>
        <v>0.522222222222222</v>
      </c>
      <c r="U146" s="153">
        <f>T146-I146</f>
        <v>0.522222222222222</v>
      </c>
      <c r="V146" s="153">
        <f>R146</f>
        <v>1030.30298</v>
      </c>
      <c r="W146" s="154">
        <f>_xlfn.XLOOKUP(B146,Sheet5!G:G,Sheet5!H:H)</f>
        <v>0.5</v>
      </c>
      <c r="X146" s="155">
        <f>Y146/31</f>
        <v>0.261111111111111</v>
      </c>
      <c r="Y146" s="153">
        <f>S146*W146</f>
        <v>8.09444444444444</v>
      </c>
      <c r="Z146" s="153">
        <f>Y146*G146*1.5</f>
        <v>515.15149</v>
      </c>
      <c r="AA146" s="154">
        <f>_xlfn.XLOOKUP(B146,Sheet5!G:G,Sheet5!I:I)</f>
        <v>0.5</v>
      </c>
      <c r="AB146" s="155">
        <f>AC146/31</f>
        <v>0.261111111111111</v>
      </c>
      <c r="AC146" s="153">
        <f>S146*AA146</f>
        <v>8.09444444444444</v>
      </c>
      <c r="AD146" s="153">
        <f>G146*AC146*1.5</f>
        <v>515.15149</v>
      </c>
      <c r="AE146" s="159"/>
      <c r="AF146" s="158"/>
      <c r="AG146" s="157">
        <f>AC146/4</f>
        <v>2.02361111111111</v>
      </c>
      <c r="AH146" s="157">
        <f t="shared" si="5"/>
        <v>2.02361111111111</v>
      </c>
    </row>
    <row r="147" s="118" customFormat="1" ht="50" customHeight="1" spans="1:34">
      <c r="A147" s="151" t="s">
        <v>460</v>
      </c>
      <c r="B147" s="152" t="s">
        <v>461</v>
      </c>
      <c r="C147" s="152">
        <v>1</v>
      </c>
      <c r="D147" s="152" t="s">
        <v>34</v>
      </c>
      <c r="E147" s="152" t="s">
        <v>35</v>
      </c>
      <c r="F147" s="152" t="s">
        <v>264</v>
      </c>
      <c r="G147" s="152">
        <v>12.3867</v>
      </c>
      <c r="H147" s="152">
        <v>77</v>
      </c>
      <c r="I147" s="151"/>
      <c r="J147" s="151"/>
      <c r="K147" s="151">
        <v>57</v>
      </c>
      <c r="L147" s="151">
        <v>960</v>
      </c>
      <c r="M147" s="153">
        <f>(H147-(I147*50))/50</f>
        <v>1.54</v>
      </c>
      <c r="N147" s="153">
        <f>31*(M147+I147)</f>
        <v>47.74</v>
      </c>
      <c r="O147" s="153">
        <f>N147*G147</f>
        <v>591.341058</v>
      </c>
      <c r="P147" s="153">
        <f>(H147-(I147*90))/90</f>
        <v>0.855555555555556</v>
      </c>
      <c r="Q147" s="153">
        <f>31*(P147+I147)</f>
        <v>26.5222222222222</v>
      </c>
      <c r="R147" s="153">
        <f>(P147+I147)*31*G147*1.5</f>
        <v>492.784215</v>
      </c>
      <c r="S147" s="153">
        <f>Q147</f>
        <v>26.5222222222222</v>
      </c>
      <c r="T147" s="153">
        <f>S147/31</f>
        <v>0.855555555555556</v>
      </c>
      <c r="U147" s="153">
        <f>T147-I147</f>
        <v>0.855555555555556</v>
      </c>
      <c r="V147" s="153">
        <f>R147</f>
        <v>492.784215</v>
      </c>
      <c r="W147" s="154">
        <f>_xlfn.XLOOKUP(B147,Sheet5!G:G,Sheet5!H:H)</f>
        <v>1</v>
      </c>
      <c r="X147" s="155">
        <f>Y147/31</f>
        <v>0.855555555555556</v>
      </c>
      <c r="Y147" s="153">
        <f>S147*W147</f>
        <v>26.5222222222222</v>
      </c>
      <c r="Z147" s="153">
        <f>Y147*G147*1.5</f>
        <v>492.784215</v>
      </c>
      <c r="AA147" s="154">
        <f>_xlfn.XLOOKUP(B147,Sheet5!G:G,Sheet5!I:I)</f>
        <v>0</v>
      </c>
      <c r="AB147" s="155">
        <f>AC147/31</f>
        <v>0</v>
      </c>
      <c r="AC147" s="153">
        <f>S147*AA147</f>
        <v>0</v>
      </c>
      <c r="AD147" s="153">
        <f>G147*AC147*1.5</f>
        <v>0</v>
      </c>
      <c r="AE147" s="159"/>
      <c r="AF147" s="158"/>
      <c r="AG147" s="157">
        <f>AC147/4</f>
        <v>0</v>
      </c>
      <c r="AH147" s="157">
        <f t="shared" si="5"/>
        <v>6.63055555555556</v>
      </c>
    </row>
    <row r="148" s="118" customFormat="1" ht="50" customHeight="1" spans="1:34">
      <c r="A148" s="151" t="s">
        <v>462</v>
      </c>
      <c r="B148" s="152" t="s">
        <v>463</v>
      </c>
      <c r="C148" s="152">
        <v>1</v>
      </c>
      <c r="D148" s="152" t="s">
        <v>34</v>
      </c>
      <c r="E148" s="152" t="s">
        <v>35</v>
      </c>
      <c r="F148" s="152" t="s">
        <v>264</v>
      </c>
      <c r="G148" s="152">
        <v>21.7124</v>
      </c>
      <c r="H148" s="152">
        <v>39</v>
      </c>
      <c r="I148" s="151"/>
      <c r="J148" s="151"/>
      <c r="K148" s="151">
        <v>29</v>
      </c>
      <c r="L148" s="151">
        <v>858</v>
      </c>
      <c r="M148" s="153">
        <f>(H148-(I148*50))/50</f>
        <v>0.78</v>
      </c>
      <c r="N148" s="153">
        <f>31*(M148+I148)</f>
        <v>24.18</v>
      </c>
      <c r="O148" s="153">
        <f>N148*G148</f>
        <v>525.005832</v>
      </c>
      <c r="P148" s="153">
        <f>(H148-(I148*90))/90</f>
        <v>0.433333333333333</v>
      </c>
      <c r="Q148" s="153">
        <f>31*(P148+I148)</f>
        <v>13.4333333333333</v>
      </c>
      <c r="R148" s="153">
        <f>(P148+I148)*31*G148*1.5</f>
        <v>437.50486</v>
      </c>
      <c r="S148" s="153">
        <f>Q148</f>
        <v>13.4333333333333</v>
      </c>
      <c r="T148" s="153">
        <f>S148/31</f>
        <v>0.433333333333333</v>
      </c>
      <c r="U148" s="153">
        <f>T148-I148</f>
        <v>0.433333333333333</v>
      </c>
      <c r="V148" s="153">
        <f>R148</f>
        <v>437.50486</v>
      </c>
      <c r="W148" s="154">
        <f>_xlfn.XLOOKUP(B148,Sheet5!G:G,Sheet5!H:H)</f>
        <v>0.5</v>
      </c>
      <c r="X148" s="155">
        <f>Y148/31</f>
        <v>0.216666666666667</v>
      </c>
      <c r="Y148" s="153">
        <f>S148*W148</f>
        <v>6.71666666666667</v>
      </c>
      <c r="Z148" s="153">
        <f>Y148*G148*1.5</f>
        <v>218.75243</v>
      </c>
      <c r="AA148" s="154">
        <f>_xlfn.XLOOKUP(B148,Sheet5!G:G,Sheet5!I:I)</f>
        <v>0.5</v>
      </c>
      <c r="AB148" s="155">
        <f>AC148/31</f>
        <v>0.216666666666667</v>
      </c>
      <c r="AC148" s="153">
        <f>S148*AA148</f>
        <v>6.71666666666667</v>
      </c>
      <c r="AD148" s="153">
        <f>G148*AC148*1.5</f>
        <v>218.75243</v>
      </c>
      <c r="AE148" s="159"/>
      <c r="AF148" s="158"/>
      <c r="AG148" s="157">
        <f>AC148/4</f>
        <v>1.67916666666667</v>
      </c>
      <c r="AH148" s="157">
        <f t="shared" si="5"/>
        <v>1.67916666666667</v>
      </c>
    </row>
    <row r="149" s="118" customFormat="1" ht="50" customHeight="1" spans="1:34">
      <c r="A149" s="151" t="s">
        <v>464</v>
      </c>
      <c r="B149" s="152" t="s">
        <v>465</v>
      </c>
      <c r="C149" s="152">
        <v>1</v>
      </c>
      <c r="D149" s="152" t="s">
        <v>34</v>
      </c>
      <c r="E149" s="152" t="s">
        <v>35</v>
      </c>
      <c r="F149" s="152" t="s">
        <v>110</v>
      </c>
      <c r="G149" s="152">
        <v>19.203</v>
      </c>
      <c r="H149" s="152">
        <v>70</v>
      </c>
      <c r="I149" s="151"/>
      <c r="J149" s="151"/>
      <c r="K149" s="151">
        <v>37</v>
      </c>
      <c r="L149" s="151">
        <v>807</v>
      </c>
      <c r="M149" s="153">
        <f>(H149-(I149*50))/50</f>
        <v>1.4</v>
      </c>
      <c r="N149" s="153">
        <f>31*(M149+I149)</f>
        <v>43.4</v>
      </c>
      <c r="O149" s="153">
        <f>N149*G149</f>
        <v>833.4102</v>
      </c>
      <c r="P149" s="153">
        <f>(H149-(I149*90))/90</f>
        <v>0.777777777777778</v>
      </c>
      <c r="Q149" s="153">
        <f>31*(P149+I149)</f>
        <v>24.1111111111111</v>
      </c>
      <c r="R149" s="153">
        <f>(P149+I149)*31*G149*1.5</f>
        <v>694.5085</v>
      </c>
      <c r="S149" s="153">
        <f>Q149</f>
        <v>24.1111111111111</v>
      </c>
      <c r="T149" s="153">
        <f>S149/31</f>
        <v>0.777777777777778</v>
      </c>
      <c r="U149" s="153">
        <f>T149-I149</f>
        <v>0.777777777777778</v>
      </c>
      <c r="V149" s="153">
        <f>R149</f>
        <v>694.5085</v>
      </c>
      <c r="W149" s="154">
        <f>_xlfn.XLOOKUP(B149,Sheet5!G:G,Sheet5!H:H)</f>
        <v>0</v>
      </c>
      <c r="X149" s="155">
        <f>Y149/31</f>
        <v>0</v>
      </c>
      <c r="Y149" s="153">
        <f>S149*W149</f>
        <v>0</v>
      </c>
      <c r="Z149" s="153">
        <f>Y149*G149*1.5</f>
        <v>0</v>
      </c>
      <c r="AA149" s="154">
        <f>_xlfn.XLOOKUP(B149,Sheet5!G:G,Sheet5!I:I)</f>
        <v>1</v>
      </c>
      <c r="AB149" s="155">
        <f>AC149/31</f>
        <v>0.777777777777778</v>
      </c>
      <c r="AC149" s="153">
        <f>S149*AA149</f>
        <v>24.1111111111111</v>
      </c>
      <c r="AD149" s="153">
        <f>G149*AC149*1.5</f>
        <v>694.5085</v>
      </c>
      <c r="AE149" s="156" t="s">
        <v>111</v>
      </c>
      <c r="AF149" s="158"/>
      <c r="AG149" s="157">
        <f>AC149/4</f>
        <v>6.02777777777778</v>
      </c>
      <c r="AH149" s="157">
        <f t="shared" si="5"/>
        <v>0</v>
      </c>
    </row>
    <row r="150" s="118" customFormat="1" ht="50" customHeight="1" spans="1:34">
      <c r="A150" s="151" t="s">
        <v>466</v>
      </c>
      <c r="B150" s="152" t="s">
        <v>467</v>
      </c>
      <c r="C150" s="152">
        <v>1</v>
      </c>
      <c r="D150" s="152" t="s">
        <v>34</v>
      </c>
      <c r="E150" s="152" t="s">
        <v>51</v>
      </c>
      <c r="F150" s="152" t="s">
        <v>203</v>
      </c>
      <c r="G150" s="152">
        <v>93.2</v>
      </c>
      <c r="H150" s="152">
        <v>53</v>
      </c>
      <c r="I150" s="151"/>
      <c r="J150" s="151"/>
      <c r="K150" s="151">
        <v>8</v>
      </c>
      <c r="L150" s="151">
        <v>746</v>
      </c>
      <c r="M150" s="153">
        <f>(H150-(I150*50))/50</f>
        <v>1.06</v>
      </c>
      <c r="N150" s="153">
        <f>31*(M150+I150)</f>
        <v>32.86</v>
      </c>
      <c r="O150" s="153">
        <f>N150*G150</f>
        <v>3062.552</v>
      </c>
      <c r="P150" s="153">
        <f>(H150-(I150*90))/90</f>
        <v>0.588888888888889</v>
      </c>
      <c r="Q150" s="153">
        <f>31*(P150+I150)</f>
        <v>18.2555555555556</v>
      </c>
      <c r="R150" s="153">
        <f>(P150+I150)*31*G150*1.5</f>
        <v>2552.12666666667</v>
      </c>
      <c r="S150" s="153">
        <f>Q150</f>
        <v>18.2555555555556</v>
      </c>
      <c r="T150" s="153">
        <f>S150/31</f>
        <v>0.588888888888889</v>
      </c>
      <c r="U150" s="153">
        <f>T150-I150</f>
        <v>0.588888888888889</v>
      </c>
      <c r="V150" s="153">
        <f>R150</f>
        <v>2552.12666666667</v>
      </c>
      <c r="W150" s="154">
        <f>_xlfn.XLOOKUP(B150,Sheet5!G:G,Sheet5!H:H)</f>
        <v>0.428571428571429</v>
      </c>
      <c r="X150" s="155">
        <f>Y150/31</f>
        <v>0.252380952380953</v>
      </c>
      <c r="Y150" s="153">
        <f>S150*W150</f>
        <v>7.82380952380953</v>
      </c>
      <c r="Z150" s="153">
        <f>Y150*G150*1.5</f>
        <v>1093.76857142857</v>
      </c>
      <c r="AA150" s="154">
        <f>_xlfn.XLOOKUP(B150,Sheet5!G:G,Sheet5!I:I)</f>
        <v>0.571428571428571</v>
      </c>
      <c r="AB150" s="155">
        <f>AC150/31</f>
        <v>0.336507936507936</v>
      </c>
      <c r="AC150" s="153">
        <f>S150*AA150</f>
        <v>10.431746031746</v>
      </c>
      <c r="AD150" s="153">
        <f>G150*AC150*1.5</f>
        <v>1458.35809523809</v>
      </c>
      <c r="AE150" s="159"/>
      <c r="AF150" s="158"/>
      <c r="AG150" s="157">
        <f>AC150/4</f>
        <v>2.60793650793651</v>
      </c>
      <c r="AH150" s="157">
        <f t="shared" si="5"/>
        <v>1.95595238095238</v>
      </c>
    </row>
    <row r="151" s="118" customFormat="1" ht="50" customHeight="1" spans="1:34">
      <c r="A151" s="151" t="s">
        <v>468</v>
      </c>
      <c r="B151" s="152" t="s">
        <v>469</v>
      </c>
      <c r="C151" s="152">
        <v>1</v>
      </c>
      <c r="D151" s="152" t="s">
        <v>34</v>
      </c>
      <c r="E151" s="152" t="s">
        <v>51</v>
      </c>
      <c r="F151" s="152" t="s">
        <v>316</v>
      </c>
      <c r="G151" s="152">
        <v>242.36</v>
      </c>
      <c r="H151" s="152">
        <v>6</v>
      </c>
      <c r="I151" s="151"/>
      <c r="J151" s="151"/>
      <c r="K151" s="151">
        <v>3</v>
      </c>
      <c r="L151" s="151">
        <v>727</v>
      </c>
      <c r="M151" s="153">
        <f>(H151-(I151*50))/50</f>
        <v>0.12</v>
      </c>
      <c r="N151" s="153">
        <f>31*(M151+I151)</f>
        <v>3.72</v>
      </c>
      <c r="O151" s="153">
        <f>N151*G151</f>
        <v>901.5792</v>
      </c>
      <c r="P151" s="153">
        <f>(H151-(I151*90))/90</f>
        <v>0.0666666666666667</v>
      </c>
      <c r="Q151" s="153">
        <f>31*(P151+I151)</f>
        <v>2.06666666666667</v>
      </c>
      <c r="R151" s="153">
        <f>(P151+I151)*31*G151*1.5</f>
        <v>751.316</v>
      </c>
      <c r="S151" s="153">
        <f>Q151</f>
        <v>2.06666666666667</v>
      </c>
      <c r="T151" s="153">
        <f>S151/31</f>
        <v>0.0666666666666667</v>
      </c>
      <c r="U151" s="153">
        <f>T151-I151</f>
        <v>0.0666666666666667</v>
      </c>
      <c r="V151" s="153">
        <f>R151</f>
        <v>751.316</v>
      </c>
      <c r="W151" s="154">
        <f>_xlfn.XLOOKUP(B151,Sheet5!G:G,Sheet5!H:H)</f>
        <v>0</v>
      </c>
      <c r="X151" s="155">
        <f>Y151/31</f>
        <v>0</v>
      </c>
      <c r="Y151" s="153">
        <f>S151*W151</f>
        <v>0</v>
      </c>
      <c r="Z151" s="153">
        <f>Y151*G151*1.5</f>
        <v>0</v>
      </c>
      <c r="AA151" s="154">
        <f>_xlfn.XLOOKUP(B151,Sheet5!G:G,Sheet5!I:I)</f>
        <v>0</v>
      </c>
      <c r="AB151" s="155">
        <f>AC151/31</f>
        <v>0</v>
      </c>
      <c r="AC151" s="153">
        <f>S151*AA151</f>
        <v>0</v>
      </c>
      <c r="AD151" s="153">
        <f>G151*AC151*1.5</f>
        <v>0</v>
      </c>
      <c r="AE151" s="159"/>
      <c r="AF151" s="158"/>
      <c r="AG151" s="157">
        <f>AC151/4</f>
        <v>0</v>
      </c>
      <c r="AH151" s="157">
        <f t="shared" si="5"/>
        <v>0</v>
      </c>
    </row>
    <row r="152" s="118" customFormat="1" ht="50" customHeight="1" spans="1:34">
      <c r="A152" s="151" t="s">
        <v>470</v>
      </c>
      <c r="B152" s="152" t="s">
        <v>471</v>
      </c>
      <c r="C152" s="152">
        <v>1</v>
      </c>
      <c r="D152" s="152" t="s">
        <v>34</v>
      </c>
      <c r="E152" s="152" t="s">
        <v>35</v>
      </c>
      <c r="F152" s="152" t="s">
        <v>324</v>
      </c>
      <c r="G152" s="152">
        <v>11.762</v>
      </c>
      <c r="H152" s="152">
        <v>387</v>
      </c>
      <c r="I152" s="151">
        <v>6</v>
      </c>
      <c r="J152" s="151">
        <v>64</v>
      </c>
      <c r="K152" s="151">
        <v>57</v>
      </c>
      <c r="L152" s="151">
        <v>670</v>
      </c>
      <c r="M152" s="153">
        <f>(H152-(I152*50))/50</f>
        <v>1.74</v>
      </c>
      <c r="N152" s="153">
        <f>31*(M152+I152)</f>
        <v>239.94</v>
      </c>
      <c r="O152" s="153">
        <f>N152*G152</f>
        <v>2822.17428</v>
      </c>
      <c r="P152" s="153">
        <f>(H152-(I152*90))/90</f>
        <v>-1.7</v>
      </c>
      <c r="Q152" s="153">
        <f>31*(P152+I152)</f>
        <v>133.3</v>
      </c>
      <c r="R152" s="153">
        <f>(P152+I152)*31*G152*1.5</f>
        <v>2351.8119</v>
      </c>
      <c r="S152" s="153">
        <f>Q152</f>
        <v>133.3</v>
      </c>
      <c r="T152" s="153">
        <f>S152/31</f>
        <v>4.3</v>
      </c>
      <c r="U152" s="153">
        <f>T152-I152</f>
        <v>-1.7</v>
      </c>
      <c r="V152" s="153">
        <f>R152</f>
        <v>2351.8119</v>
      </c>
      <c r="W152" s="154">
        <f>_xlfn.XLOOKUP(B152,Sheet5!G:G,Sheet5!H:H)</f>
        <v>0.651376146788991</v>
      </c>
      <c r="X152" s="155">
        <f>Y152/31</f>
        <v>2.80091743119266</v>
      </c>
      <c r="Y152" s="153">
        <f>S152*W152</f>
        <v>86.8284403669725</v>
      </c>
      <c r="Z152" s="153">
        <f>Y152*G152*1.5</f>
        <v>1531.9141733945</v>
      </c>
      <c r="AA152" s="154">
        <f>_xlfn.XLOOKUP(B152,Sheet5!G:G,Sheet5!I:I)</f>
        <v>0.348623853211009</v>
      </c>
      <c r="AB152" s="155">
        <f>AC152/31</f>
        <v>1.49908256880734</v>
      </c>
      <c r="AC152" s="153">
        <f>S152*AA152</f>
        <v>46.4715596330275</v>
      </c>
      <c r="AD152" s="153">
        <f>G152*AC152*1.5</f>
        <v>819.897726605504</v>
      </c>
      <c r="AE152" s="156" t="s">
        <v>115</v>
      </c>
      <c r="AF152" s="158"/>
      <c r="AG152" s="157">
        <f>AC152/4</f>
        <v>11.6178899082569</v>
      </c>
      <c r="AH152" s="157">
        <f t="shared" si="5"/>
        <v>21.7071100917431</v>
      </c>
    </row>
    <row r="153" s="118" customFormat="1" ht="50" customHeight="1" spans="1:34">
      <c r="A153" s="151" t="s">
        <v>472</v>
      </c>
      <c r="B153" s="152" t="s">
        <v>473</v>
      </c>
      <c r="C153" s="152">
        <v>1</v>
      </c>
      <c r="D153" s="152" t="s">
        <v>34</v>
      </c>
      <c r="E153" s="152" t="s">
        <v>35</v>
      </c>
      <c r="F153" s="152" t="s">
        <v>474</v>
      </c>
      <c r="G153" s="152">
        <v>55.39</v>
      </c>
      <c r="H153" s="152">
        <v>8</v>
      </c>
      <c r="I153" s="151"/>
      <c r="J153" s="151"/>
      <c r="K153" s="151">
        <v>8</v>
      </c>
      <c r="L153" s="151">
        <v>665</v>
      </c>
      <c r="M153" s="153">
        <f>(H153-(I153*50))/50</f>
        <v>0.16</v>
      </c>
      <c r="N153" s="153">
        <f>31*(M153+I153)</f>
        <v>4.96</v>
      </c>
      <c r="O153" s="153">
        <f>N153*G153</f>
        <v>274.7344</v>
      </c>
      <c r="P153" s="153">
        <f>(H153-(I153*90))/90</f>
        <v>0.0888888888888889</v>
      </c>
      <c r="Q153" s="153">
        <f>31*(P153+I153)</f>
        <v>2.75555555555556</v>
      </c>
      <c r="R153" s="153">
        <f>(P153+I153)*31*G153*1.5</f>
        <v>228.945333333333</v>
      </c>
      <c r="S153" s="153">
        <f>Q153</f>
        <v>2.75555555555556</v>
      </c>
      <c r="T153" s="153">
        <f>S153/31</f>
        <v>0.0888888888888889</v>
      </c>
      <c r="U153" s="153">
        <f>T153-I153</f>
        <v>0.0888888888888889</v>
      </c>
      <c r="V153" s="153">
        <f>R153</f>
        <v>228.945333333333</v>
      </c>
      <c r="W153" s="154">
        <f>_xlfn.XLOOKUP(B153,Sheet5!G:G,Sheet5!H:H)</f>
        <v>0</v>
      </c>
      <c r="X153" s="155">
        <f>Y153/31</f>
        <v>0</v>
      </c>
      <c r="Y153" s="153">
        <f>S153*W153</f>
        <v>0</v>
      </c>
      <c r="Z153" s="153">
        <f>Y153*G153*1.5</f>
        <v>0</v>
      </c>
      <c r="AA153" s="154">
        <f>_xlfn.XLOOKUP(B153,Sheet5!G:G,Sheet5!I:I)</f>
        <v>0</v>
      </c>
      <c r="AB153" s="155">
        <f>AC153/31</f>
        <v>0</v>
      </c>
      <c r="AC153" s="153">
        <f>S153*AA153</f>
        <v>0</v>
      </c>
      <c r="AD153" s="153">
        <f>G153*AC153*1.5</f>
        <v>0</v>
      </c>
      <c r="AE153" s="159"/>
      <c r="AF153" s="158"/>
      <c r="AG153" s="157">
        <f>AC153/4</f>
        <v>0</v>
      </c>
      <c r="AH153" s="157">
        <f t="shared" si="5"/>
        <v>0</v>
      </c>
    </row>
    <row r="154" s="118" customFormat="1" ht="50" customHeight="1" spans="1:34">
      <c r="A154" s="151" t="s">
        <v>475</v>
      </c>
      <c r="B154" s="152" t="s">
        <v>476</v>
      </c>
      <c r="C154" s="152">
        <v>1</v>
      </c>
      <c r="D154" s="152" t="s">
        <v>34</v>
      </c>
      <c r="E154" s="152" t="s">
        <v>35</v>
      </c>
      <c r="F154" s="152" t="s">
        <v>324</v>
      </c>
      <c r="G154" s="152">
        <v>121.5864</v>
      </c>
      <c r="H154" s="152">
        <v>148</v>
      </c>
      <c r="I154" s="151">
        <v>2</v>
      </c>
      <c r="J154" s="151">
        <v>74</v>
      </c>
      <c r="K154" s="151">
        <v>5</v>
      </c>
      <c r="L154" s="151">
        <v>608</v>
      </c>
      <c r="M154" s="153">
        <f>(H154-(I154*50))/50</f>
        <v>0.96</v>
      </c>
      <c r="N154" s="153">
        <f>31*(M154+I154)</f>
        <v>91.76</v>
      </c>
      <c r="O154" s="153">
        <f>N154*G154</f>
        <v>11156.768064</v>
      </c>
      <c r="P154" s="153">
        <f>(H154-(I154*90))/90</f>
        <v>-0.355555555555556</v>
      </c>
      <c r="Q154" s="153">
        <f>31*(P154+I154)</f>
        <v>50.9777777777778</v>
      </c>
      <c r="R154" s="153">
        <f>(P154+I154)*31*G154*1.5</f>
        <v>9297.30672</v>
      </c>
      <c r="S154" s="153">
        <f>Q154</f>
        <v>50.9777777777778</v>
      </c>
      <c r="T154" s="153">
        <f>S154/31</f>
        <v>1.64444444444444</v>
      </c>
      <c r="U154" s="153">
        <f>T154-I154</f>
        <v>-0.355555555555556</v>
      </c>
      <c r="V154" s="153">
        <f>R154</f>
        <v>9297.30672</v>
      </c>
      <c r="W154" s="154">
        <f>_xlfn.XLOOKUP(B154,Sheet5!G:G,Sheet5!H:H)</f>
        <v>0.875</v>
      </c>
      <c r="X154" s="155">
        <f>Y154/31</f>
        <v>1.43888888888889</v>
      </c>
      <c r="Y154" s="153">
        <f>S154*W154</f>
        <v>44.6055555555556</v>
      </c>
      <c r="Z154" s="153">
        <f>Y154*G154*1.5</f>
        <v>8135.14338</v>
      </c>
      <c r="AA154" s="154">
        <f>_xlfn.XLOOKUP(B154,Sheet5!G:G,Sheet5!I:I)</f>
        <v>0.125</v>
      </c>
      <c r="AB154" s="155">
        <f>AC154/31</f>
        <v>0.205555555555556</v>
      </c>
      <c r="AC154" s="153">
        <f>S154*AA154</f>
        <v>6.37222222222222</v>
      </c>
      <c r="AD154" s="153">
        <f>G154*AC154*1.5</f>
        <v>1162.16334</v>
      </c>
      <c r="AE154" s="156" t="s">
        <v>115</v>
      </c>
      <c r="AF154" s="158"/>
      <c r="AG154" s="157">
        <f>AC154/4</f>
        <v>1.59305555555556</v>
      </c>
      <c r="AH154" s="157">
        <f t="shared" si="5"/>
        <v>11.1513888888889</v>
      </c>
    </row>
    <row r="155" s="118" customFormat="1" ht="50" customHeight="1" spans="1:34">
      <c r="A155" s="151" t="s">
        <v>477</v>
      </c>
      <c r="B155" s="152" t="s">
        <v>478</v>
      </c>
      <c r="C155" s="152">
        <v>1</v>
      </c>
      <c r="D155" s="152" t="s">
        <v>34</v>
      </c>
      <c r="E155" s="152" t="s">
        <v>35</v>
      </c>
      <c r="F155" s="152" t="s">
        <v>479</v>
      </c>
      <c r="G155" s="152">
        <v>7.0013</v>
      </c>
      <c r="H155" s="152">
        <v>44</v>
      </c>
      <c r="I155" s="151"/>
      <c r="J155" s="151"/>
      <c r="K155" s="151">
        <v>44</v>
      </c>
      <c r="L155" s="151">
        <v>462</v>
      </c>
      <c r="M155" s="153">
        <f>(H155-(I155*50))/50</f>
        <v>0.88</v>
      </c>
      <c r="N155" s="153">
        <f>31*(M155+I155)</f>
        <v>27.28</v>
      </c>
      <c r="O155" s="153">
        <f>N155*G155</f>
        <v>190.995464</v>
      </c>
      <c r="P155" s="153">
        <f>(H155-(I155*90))/90</f>
        <v>0.488888888888889</v>
      </c>
      <c r="Q155" s="153">
        <f>31*(P155+I155)</f>
        <v>15.1555555555556</v>
      </c>
      <c r="R155" s="153">
        <f>(P155+I155)*31*G155*1.5</f>
        <v>159.162886666667</v>
      </c>
      <c r="S155" s="153">
        <f>Q155</f>
        <v>15.1555555555556</v>
      </c>
      <c r="T155" s="153">
        <f>S155/31</f>
        <v>0.488888888888889</v>
      </c>
      <c r="U155" s="153">
        <f>T155-I155</f>
        <v>0.488888888888889</v>
      </c>
      <c r="V155" s="153">
        <f>R155</f>
        <v>159.162886666667</v>
      </c>
      <c r="W155" s="154">
        <f>_xlfn.XLOOKUP(B155,Sheet5!G:G,Sheet5!H:H)</f>
        <v>0</v>
      </c>
      <c r="X155" s="155">
        <f>Y155/31</f>
        <v>0</v>
      </c>
      <c r="Y155" s="153">
        <f>S155*W155</f>
        <v>0</v>
      </c>
      <c r="Z155" s="153">
        <f>Y155*G155*1.5</f>
        <v>0</v>
      </c>
      <c r="AA155" s="154">
        <f>_xlfn.XLOOKUP(B155,Sheet5!G:G,Sheet5!I:I)</f>
        <v>0</v>
      </c>
      <c r="AB155" s="155">
        <f>AC155/31</f>
        <v>0</v>
      </c>
      <c r="AC155" s="153">
        <f>S155*AA155</f>
        <v>0</v>
      </c>
      <c r="AD155" s="153">
        <f>G155*AC155*1.5</f>
        <v>0</v>
      </c>
      <c r="AE155" s="159"/>
      <c r="AF155" s="158"/>
      <c r="AG155" s="157">
        <f>AC155/4</f>
        <v>0</v>
      </c>
      <c r="AH155" s="157">
        <f t="shared" si="5"/>
        <v>0</v>
      </c>
    </row>
    <row r="156" s="118" customFormat="1" ht="50" customHeight="1" spans="1:34">
      <c r="A156" s="151" t="s">
        <v>480</v>
      </c>
      <c r="B156" s="152" t="s">
        <v>481</v>
      </c>
      <c r="C156" s="152">
        <v>1</v>
      </c>
      <c r="D156" s="152" t="s">
        <v>34</v>
      </c>
      <c r="E156" s="152" t="s">
        <v>35</v>
      </c>
      <c r="F156" s="152" t="s">
        <v>335</v>
      </c>
      <c r="G156" s="152">
        <v>20.8276</v>
      </c>
      <c r="H156" s="152">
        <v>95</v>
      </c>
      <c r="I156" s="151">
        <v>1</v>
      </c>
      <c r="J156" s="151">
        <v>95</v>
      </c>
      <c r="K156" s="151">
        <v>20</v>
      </c>
      <c r="L156" s="151">
        <v>417</v>
      </c>
      <c r="M156" s="153">
        <f>(H156-(I156*50))/50</f>
        <v>0.9</v>
      </c>
      <c r="N156" s="153">
        <f>31*(M156+I156)</f>
        <v>58.9</v>
      </c>
      <c r="O156" s="153">
        <f>N156*G156</f>
        <v>1226.74564</v>
      </c>
      <c r="P156" s="153">
        <f>(H156-(I156*90))/90</f>
        <v>0.0555555555555556</v>
      </c>
      <c r="Q156" s="153">
        <f>31*(P156+I156)</f>
        <v>32.7222222222222</v>
      </c>
      <c r="R156" s="153">
        <f>(P156+I156)*31*G156*1.5</f>
        <v>1022.28803333333</v>
      </c>
      <c r="S156" s="153">
        <f>Q156</f>
        <v>32.7222222222222</v>
      </c>
      <c r="T156" s="153">
        <f>S156/31</f>
        <v>1.05555555555556</v>
      </c>
      <c r="U156" s="153">
        <f>T156-I156</f>
        <v>0.0555555555555556</v>
      </c>
      <c r="V156" s="153">
        <f>R156</f>
        <v>1022.28803333333</v>
      </c>
      <c r="W156" s="154">
        <f>_xlfn.XLOOKUP(B156,Sheet5!G:G,Sheet5!H:H)</f>
        <v>0.956521739130435</v>
      </c>
      <c r="X156" s="155">
        <f>Y156/31</f>
        <v>1.00966183574879</v>
      </c>
      <c r="Y156" s="153">
        <f>S156*W156</f>
        <v>31.2995169082126</v>
      </c>
      <c r="Z156" s="153">
        <f>Y156*G156*1.5</f>
        <v>977.840727536232</v>
      </c>
      <c r="AA156" s="154">
        <f>_xlfn.XLOOKUP(B156,Sheet5!G:G,Sheet5!I:I)</f>
        <v>0.0434782608695652</v>
      </c>
      <c r="AB156" s="155">
        <f>AC156/31</f>
        <v>0.0458937198067633</v>
      </c>
      <c r="AC156" s="153">
        <f>S156*AA156</f>
        <v>1.42270531400966</v>
      </c>
      <c r="AD156" s="153">
        <f>G156*AC156*1.5</f>
        <v>44.4473057971014</v>
      </c>
      <c r="AE156" s="156" t="s">
        <v>115</v>
      </c>
      <c r="AF156" s="158"/>
      <c r="AG156" s="157">
        <f>AC156/4</f>
        <v>0.355676328502415</v>
      </c>
      <c r="AH156" s="157">
        <f t="shared" si="5"/>
        <v>7.82487922705314</v>
      </c>
    </row>
    <row r="157" s="118" customFormat="1" ht="50" customHeight="1" spans="1:34">
      <c r="A157" s="151" t="s">
        <v>482</v>
      </c>
      <c r="B157" s="152" t="s">
        <v>483</v>
      </c>
      <c r="C157" s="152">
        <v>1</v>
      </c>
      <c r="D157" s="152" t="s">
        <v>34</v>
      </c>
      <c r="E157" s="152" t="s">
        <v>51</v>
      </c>
      <c r="F157" s="152" t="s">
        <v>426</v>
      </c>
      <c r="G157" s="152">
        <v>14.46</v>
      </c>
      <c r="H157" s="152">
        <v>103</v>
      </c>
      <c r="I157" s="151">
        <v>1</v>
      </c>
      <c r="J157" s="151">
        <v>103</v>
      </c>
      <c r="K157" s="151">
        <v>27</v>
      </c>
      <c r="L157" s="151">
        <v>390</v>
      </c>
      <c r="M157" s="153">
        <f>(H157-(I157*50))/50</f>
        <v>1.06</v>
      </c>
      <c r="N157" s="153">
        <f>31*(M157+I157)</f>
        <v>63.86</v>
      </c>
      <c r="O157" s="153">
        <f>N157*G157</f>
        <v>923.4156</v>
      </c>
      <c r="P157" s="153">
        <f>(H157-(I157*90))/90</f>
        <v>0.144444444444444</v>
      </c>
      <c r="Q157" s="153">
        <f>31*(P157+I157)</f>
        <v>35.4777777777778</v>
      </c>
      <c r="R157" s="153">
        <f>(P157+I157)*31*G157*1.5</f>
        <v>769.513</v>
      </c>
      <c r="S157" s="153">
        <f>Q157</f>
        <v>35.4777777777778</v>
      </c>
      <c r="T157" s="153">
        <f>S157/31</f>
        <v>1.14444444444444</v>
      </c>
      <c r="U157" s="153">
        <f>T157-I157</f>
        <v>0.144444444444444</v>
      </c>
      <c r="V157" s="153">
        <f>R157</f>
        <v>769.513</v>
      </c>
      <c r="W157" s="154">
        <f>_xlfn.XLOOKUP(B157,Sheet5!G:G,Sheet5!H:H)</f>
        <v>0.607142857142857</v>
      </c>
      <c r="X157" s="155">
        <f>Y157/31</f>
        <v>0.69484126984127</v>
      </c>
      <c r="Y157" s="153">
        <f>S157*W157</f>
        <v>21.5400793650794</v>
      </c>
      <c r="Z157" s="153">
        <f>Y157*G157*1.5</f>
        <v>467.204321428571</v>
      </c>
      <c r="AA157" s="154">
        <f>_xlfn.XLOOKUP(B157,Sheet5!G:G,Sheet5!I:I)</f>
        <v>0.392857142857143</v>
      </c>
      <c r="AB157" s="155">
        <f>AC157/31</f>
        <v>0.449603174603175</v>
      </c>
      <c r="AC157" s="153">
        <f>S157*AA157</f>
        <v>13.9376984126984</v>
      </c>
      <c r="AD157" s="153">
        <f>G157*AC157*1.5</f>
        <v>302.308678571429</v>
      </c>
      <c r="AE157" s="156" t="s">
        <v>115</v>
      </c>
      <c r="AF157" s="158"/>
      <c r="AG157" s="157">
        <f>AC157/4</f>
        <v>3.4844246031746</v>
      </c>
      <c r="AH157" s="157">
        <f t="shared" si="5"/>
        <v>5.38501984126984</v>
      </c>
    </row>
    <row r="158" s="118" customFormat="1" ht="50" customHeight="1" spans="1:34">
      <c r="A158" s="151" t="s">
        <v>484</v>
      </c>
      <c r="B158" s="152" t="s">
        <v>485</v>
      </c>
      <c r="C158" s="152">
        <v>1</v>
      </c>
      <c r="D158" s="152" t="s">
        <v>34</v>
      </c>
      <c r="E158" s="152" t="s">
        <v>35</v>
      </c>
      <c r="F158" s="152" t="s">
        <v>250</v>
      </c>
      <c r="G158" s="152">
        <v>64.6084</v>
      </c>
      <c r="H158" s="152">
        <v>29</v>
      </c>
      <c r="I158" s="151"/>
      <c r="J158" s="151"/>
      <c r="K158" s="151">
        <v>6</v>
      </c>
      <c r="L158" s="151">
        <v>388</v>
      </c>
      <c r="M158" s="153">
        <f>(H158-(I158*50))/50</f>
        <v>0.58</v>
      </c>
      <c r="N158" s="153">
        <f>31*(M158+I158)</f>
        <v>17.98</v>
      </c>
      <c r="O158" s="153">
        <f>N158*G158</f>
        <v>1161.659032</v>
      </c>
      <c r="P158" s="153">
        <f>(H158-(I158*90))/90</f>
        <v>0.322222222222222</v>
      </c>
      <c r="Q158" s="153">
        <f>31*(P158+I158)</f>
        <v>9.98888888888889</v>
      </c>
      <c r="R158" s="153">
        <f>(P158+I158)*31*G158*1.5</f>
        <v>968.049193333334</v>
      </c>
      <c r="S158" s="153">
        <f>Q158</f>
        <v>9.98888888888889</v>
      </c>
      <c r="T158" s="153">
        <f>S158/31</f>
        <v>0.322222222222222</v>
      </c>
      <c r="U158" s="153">
        <f>T158-I158</f>
        <v>0.322222222222222</v>
      </c>
      <c r="V158" s="153">
        <f>R158</f>
        <v>968.049193333334</v>
      </c>
      <c r="W158" s="154">
        <f>_xlfn.XLOOKUP(B158,Sheet5!G:G,Sheet5!H:H)</f>
        <v>0</v>
      </c>
      <c r="X158" s="155">
        <f>Y158/31</f>
        <v>0</v>
      </c>
      <c r="Y158" s="153">
        <f>S158*W158</f>
        <v>0</v>
      </c>
      <c r="Z158" s="153">
        <f>Y158*G158*1.5</f>
        <v>0</v>
      </c>
      <c r="AA158" s="154">
        <f>_xlfn.XLOOKUP(B158,Sheet5!G:G,Sheet5!I:I)</f>
        <v>1</v>
      </c>
      <c r="AB158" s="155">
        <f>AC158/31</f>
        <v>0.322222222222222</v>
      </c>
      <c r="AC158" s="153">
        <f>S158*AA158</f>
        <v>9.98888888888889</v>
      </c>
      <c r="AD158" s="153">
        <f>G158*AC158*1.5</f>
        <v>968.049193333334</v>
      </c>
      <c r="AE158" s="159"/>
      <c r="AF158" s="158"/>
      <c r="AG158" s="157">
        <f>AC158/4</f>
        <v>2.49722222222222</v>
      </c>
      <c r="AH158" s="157">
        <f t="shared" si="5"/>
        <v>0</v>
      </c>
    </row>
    <row r="159" s="118" customFormat="1" ht="50" customHeight="1" spans="1:34">
      <c r="A159" s="151" t="s">
        <v>486</v>
      </c>
      <c r="B159" s="152" t="s">
        <v>487</v>
      </c>
      <c r="C159" s="152">
        <v>1</v>
      </c>
      <c r="D159" s="152" t="s">
        <v>34</v>
      </c>
      <c r="E159" s="152" t="s">
        <v>35</v>
      </c>
      <c r="F159" s="152" t="s">
        <v>141</v>
      </c>
      <c r="G159" s="152">
        <v>31.97</v>
      </c>
      <c r="H159" s="152">
        <v>62</v>
      </c>
      <c r="I159" s="151">
        <v>1</v>
      </c>
      <c r="J159" s="151">
        <v>62</v>
      </c>
      <c r="K159" s="151">
        <v>11</v>
      </c>
      <c r="L159" s="151">
        <v>352</v>
      </c>
      <c r="M159" s="153">
        <f>(H159-(I159*50))/50</f>
        <v>0.24</v>
      </c>
      <c r="N159" s="153">
        <f>31*(M159+I159)</f>
        <v>38.44</v>
      </c>
      <c r="O159" s="153">
        <f>N159*G159</f>
        <v>1228.9268</v>
      </c>
      <c r="P159" s="153">
        <f>(H159-(I159*90))/90</f>
        <v>-0.311111111111111</v>
      </c>
      <c r="Q159" s="153">
        <f>31*(P159+I159)</f>
        <v>21.3555555555556</v>
      </c>
      <c r="R159" s="153">
        <f>(P159+I159)*31*G159*1.5</f>
        <v>1024.10566666667</v>
      </c>
      <c r="S159" s="153">
        <f>Q159</f>
        <v>21.3555555555556</v>
      </c>
      <c r="T159" s="153">
        <f>S159/31</f>
        <v>0.688888888888889</v>
      </c>
      <c r="U159" s="153">
        <f>T159-I159</f>
        <v>-0.311111111111111</v>
      </c>
      <c r="V159" s="153">
        <f>R159</f>
        <v>1024.10566666667</v>
      </c>
      <c r="W159" s="154">
        <f>_xlfn.XLOOKUP(B159,Sheet5!G:G,Sheet5!H:H)</f>
        <v>0.444444444444444</v>
      </c>
      <c r="X159" s="155">
        <f>Y159/31</f>
        <v>0.306172839506173</v>
      </c>
      <c r="Y159" s="153">
        <f>S159*W159</f>
        <v>9.49135802469135</v>
      </c>
      <c r="Z159" s="153">
        <f>Y159*G159*1.5</f>
        <v>455.158074074074</v>
      </c>
      <c r="AA159" s="154">
        <f>_xlfn.XLOOKUP(B159,Sheet5!G:G,Sheet5!I:I)</f>
        <v>0.555555555555556</v>
      </c>
      <c r="AB159" s="155">
        <f>AC159/31</f>
        <v>0.382716049382716</v>
      </c>
      <c r="AC159" s="153">
        <f>S159*AA159</f>
        <v>11.8641975308642</v>
      </c>
      <c r="AD159" s="153">
        <f>G159*AC159*1.5</f>
        <v>568.947592592593</v>
      </c>
      <c r="AE159" s="156" t="s">
        <v>115</v>
      </c>
      <c r="AF159" s="158"/>
      <c r="AG159" s="157">
        <f>AC159/4</f>
        <v>2.96604938271605</v>
      </c>
      <c r="AH159" s="157">
        <f t="shared" si="5"/>
        <v>2.37283950617284</v>
      </c>
    </row>
    <row r="160" s="118" customFormat="1" ht="50" customHeight="1" spans="1:34">
      <c r="A160" s="151" t="s">
        <v>488</v>
      </c>
      <c r="B160" s="152" t="s">
        <v>489</v>
      </c>
      <c r="C160" s="152">
        <v>1</v>
      </c>
      <c r="D160" s="152" t="s">
        <v>34</v>
      </c>
      <c r="E160" s="152" t="s">
        <v>35</v>
      </c>
      <c r="F160" s="152" t="s">
        <v>110</v>
      </c>
      <c r="G160" s="152">
        <v>23.3068</v>
      </c>
      <c r="H160" s="152">
        <v>44</v>
      </c>
      <c r="I160" s="151"/>
      <c r="J160" s="151"/>
      <c r="K160" s="151">
        <v>15</v>
      </c>
      <c r="L160" s="151">
        <v>350</v>
      </c>
      <c r="M160" s="153">
        <f>(H160-(I160*50))/50</f>
        <v>0.88</v>
      </c>
      <c r="N160" s="153">
        <f>31*(M160+I160)</f>
        <v>27.28</v>
      </c>
      <c r="O160" s="153">
        <f>N160*G160</f>
        <v>635.809504</v>
      </c>
      <c r="P160" s="153">
        <f>(H160-(I160*90))/90</f>
        <v>0.488888888888889</v>
      </c>
      <c r="Q160" s="153">
        <f>31*(P160+I160)</f>
        <v>15.1555555555556</v>
      </c>
      <c r="R160" s="153">
        <f>(P160+I160)*31*G160*1.5</f>
        <v>529.841253333333</v>
      </c>
      <c r="S160" s="153">
        <f>Q160</f>
        <v>15.1555555555556</v>
      </c>
      <c r="T160" s="153">
        <f>S160/31</f>
        <v>0.488888888888889</v>
      </c>
      <c r="U160" s="153">
        <f>T160-I160</f>
        <v>0.488888888888889</v>
      </c>
      <c r="V160" s="153">
        <f>R160</f>
        <v>529.841253333333</v>
      </c>
      <c r="W160" s="154">
        <f>_xlfn.XLOOKUP(B160,Sheet5!G:G,Sheet5!H:H)</f>
        <v>0</v>
      </c>
      <c r="X160" s="155">
        <f>Y160/31</f>
        <v>0</v>
      </c>
      <c r="Y160" s="153">
        <f>S160*W160</f>
        <v>0</v>
      </c>
      <c r="Z160" s="153">
        <f>Y160*G160*1.5</f>
        <v>0</v>
      </c>
      <c r="AA160" s="154">
        <f>_xlfn.XLOOKUP(B160,Sheet5!G:G,Sheet5!I:I)</f>
        <v>1</v>
      </c>
      <c r="AB160" s="155">
        <f>AC160/31</f>
        <v>0.488888888888889</v>
      </c>
      <c r="AC160" s="153">
        <f>S160*AA160</f>
        <v>15.1555555555556</v>
      </c>
      <c r="AD160" s="153">
        <f>G160*AC160*1.5</f>
        <v>529.841253333333</v>
      </c>
      <c r="AE160" s="156" t="s">
        <v>111</v>
      </c>
      <c r="AF160" s="151" t="s">
        <v>112</v>
      </c>
      <c r="AG160" s="157">
        <f>AC160/4</f>
        <v>3.78888888888889</v>
      </c>
      <c r="AH160" s="157">
        <f t="shared" si="5"/>
        <v>0</v>
      </c>
    </row>
    <row r="161" s="118" customFormat="1" ht="50" customHeight="1" spans="1:34">
      <c r="A161" s="151" t="s">
        <v>490</v>
      </c>
      <c r="B161" s="152" t="s">
        <v>491</v>
      </c>
      <c r="C161" s="152">
        <v>1</v>
      </c>
      <c r="D161" s="152" t="s">
        <v>34</v>
      </c>
      <c r="E161" s="152" t="s">
        <v>35</v>
      </c>
      <c r="F161" s="152" t="s">
        <v>492</v>
      </c>
      <c r="G161" s="152">
        <v>59.3</v>
      </c>
      <c r="H161" s="152">
        <v>3</v>
      </c>
      <c r="I161" s="151"/>
      <c r="J161" s="151"/>
      <c r="K161" s="151">
        <v>3</v>
      </c>
      <c r="L161" s="151">
        <v>267</v>
      </c>
      <c r="M161" s="153">
        <f>(H161-(I161*50))/50</f>
        <v>0.06</v>
      </c>
      <c r="N161" s="153">
        <f>31*(M161+I161)</f>
        <v>1.86</v>
      </c>
      <c r="O161" s="153">
        <f>N161*G161</f>
        <v>110.298</v>
      </c>
      <c r="P161" s="153">
        <f>(H161-(I161*90))/90</f>
        <v>0.0333333333333333</v>
      </c>
      <c r="Q161" s="153">
        <f>31*(P161+I161)</f>
        <v>1.03333333333333</v>
      </c>
      <c r="R161" s="153">
        <f>(P161+I161)*31*G161*1.5</f>
        <v>91.915</v>
      </c>
      <c r="S161" s="153">
        <f>Q161</f>
        <v>1.03333333333333</v>
      </c>
      <c r="T161" s="153">
        <f>S161/31</f>
        <v>0.0333333333333333</v>
      </c>
      <c r="U161" s="153">
        <f>T161-I161</f>
        <v>0.0333333333333333</v>
      </c>
      <c r="V161" s="153">
        <f>R161</f>
        <v>91.915</v>
      </c>
      <c r="W161" s="154">
        <f>_xlfn.XLOOKUP(B161,Sheet5!G:G,Sheet5!H:H)</f>
        <v>0</v>
      </c>
      <c r="X161" s="155">
        <f>Y161/31</f>
        <v>0</v>
      </c>
      <c r="Y161" s="153">
        <f>S161*W161</f>
        <v>0</v>
      </c>
      <c r="Z161" s="153">
        <f>Y161*G161*1.5</f>
        <v>0</v>
      </c>
      <c r="AA161" s="154">
        <f>_xlfn.XLOOKUP(B161,Sheet5!G:G,Sheet5!I:I)</f>
        <v>0</v>
      </c>
      <c r="AB161" s="155">
        <f>AC161/31</f>
        <v>0</v>
      </c>
      <c r="AC161" s="153">
        <f>S161*AA161</f>
        <v>0</v>
      </c>
      <c r="AD161" s="153">
        <f>G161*AC161*1.5</f>
        <v>0</v>
      </c>
      <c r="AE161" s="156" t="s">
        <v>493</v>
      </c>
      <c r="AF161" s="156" t="s">
        <v>494</v>
      </c>
      <c r="AG161" s="157">
        <f>AC161/4</f>
        <v>0</v>
      </c>
      <c r="AH161" s="157">
        <f t="shared" si="5"/>
        <v>0</v>
      </c>
    </row>
    <row r="162" s="118" customFormat="1" ht="50" customHeight="1" spans="1:34">
      <c r="A162" s="151" t="s">
        <v>495</v>
      </c>
      <c r="B162" s="152" t="s">
        <v>496</v>
      </c>
      <c r="C162" s="152">
        <v>1</v>
      </c>
      <c r="D162" s="152" t="s">
        <v>34</v>
      </c>
      <c r="E162" s="152" t="s">
        <v>35</v>
      </c>
      <c r="F162" s="152" t="s">
        <v>335</v>
      </c>
      <c r="G162" s="152">
        <v>74.544</v>
      </c>
      <c r="H162" s="152">
        <v>28</v>
      </c>
      <c r="I162" s="151"/>
      <c r="J162" s="151"/>
      <c r="K162" s="151">
        <v>3</v>
      </c>
      <c r="L162" s="151">
        <v>224</v>
      </c>
      <c r="M162" s="153">
        <f>(H162-(I162*50))/50</f>
        <v>0.56</v>
      </c>
      <c r="N162" s="153">
        <f>31*(M162+I162)</f>
        <v>17.36</v>
      </c>
      <c r="O162" s="153">
        <f>N162*G162</f>
        <v>1294.08384</v>
      </c>
      <c r="P162" s="153">
        <f>(H162-(I162*90))/90</f>
        <v>0.311111111111111</v>
      </c>
      <c r="Q162" s="153">
        <f>31*(P162+I162)</f>
        <v>9.64444444444444</v>
      </c>
      <c r="R162" s="153">
        <f>(P162+I162)*31*G162*1.5</f>
        <v>1078.4032</v>
      </c>
      <c r="S162" s="153">
        <f>Q162</f>
        <v>9.64444444444444</v>
      </c>
      <c r="T162" s="153">
        <f>S162/31</f>
        <v>0.311111111111111</v>
      </c>
      <c r="U162" s="153">
        <f>T162-I162</f>
        <v>0.311111111111111</v>
      </c>
      <c r="V162" s="153">
        <f>R162</f>
        <v>1078.4032</v>
      </c>
      <c r="W162" s="154">
        <f>_xlfn.XLOOKUP(B162,Sheet5!G:G,Sheet5!H:H)</f>
        <v>0.5</v>
      </c>
      <c r="X162" s="155">
        <f>Y162/31</f>
        <v>0.155555555555556</v>
      </c>
      <c r="Y162" s="153">
        <f>S162*W162</f>
        <v>4.82222222222222</v>
      </c>
      <c r="Z162" s="153">
        <f>Y162*G162*1.5</f>
        <v>539.2016</v>
      </c>
      <c r="AA162" s="154">
        <f>_xlfn.XLOOKUP(B162,Sheet5!G:G,Sheet5!I:I)</f>
        <v>0.5</v>
      </c>
      <c r="AB162" s="155">
        <f>AC162/31</f>
        <v>0.155555555555556</v>
      </c>
      <c r="AC162" s="153">
        <f>S162*AA162</f>
        <v>4.82222222222222</v>
      </c>
      <c r="AD162" s="153">
        <f>G162*AC162*1.5</f>
        <v>539.2016</v>
      </c>
      <c r="AE162" s="156" t="s">
        <v>497</v>
      </c>
      <c r="AF162" s="158"/>
      <c r="AG162" s="157">
        <f>AC162/4</f>
        <v>1.20555555555556</v>
      </c>
      <c r="AH162" s="157">
        <f t="shared" si="5"/>
        <v>1.20555555555556</v>
      </c>
    </row>
    <row r="163" s="118" customFormat="1" ht="50" customHeight="1" spans="1:34">
      <c r="A163" s="151" t="s">
        <v>498</v>
      </c>
      <c r="B163" s="152" t="s">
        <v>499</v>
      </c>
      <c r="C163" s="152">
        <v>1</v>
      </c>
      <c r="D163" s="152" t="s">
        <v>34</v>
      </c>
      <c r="E163" s="152" t="s">
        <v>35</v>
      </c>
      <c r="F163" s="152" t="s">
        <v>500</v>
      </c>
      <c r="G163" s="152">
        <v>66.1</v>
      </c>
      <c r="H163" s="152">
        <v>2</v>
      </c>
      <c r="I163" s="151"/>
      <c r="J163" s="151"/>
      <c r="K163" s="151">
        <v>2</v>
      </c>
      <c r="L163" s="151">
        <v>198</v>
      </c>
      <c r="M163" s="153">
        <f>(H163-(I163*50))/50</f>
        <v>0.04</v>
      </c>
      <c r="N163" s="153">
        <f>31*(M163+I163)</f>
        <v>1.24</v>
      </c>
      <c r="O163" s="153">
        <f>N163*G163</f>
        <v>81.964</v>
      </c>
      <c r="P163" s="153">
        <f>(H163-(I163*90))/90</f>
        <v>0.0222222222222222</v>
      </c>
      <c r="Q163" s="153">
        <f>31*(P163+I163)</f>
        <v>0.688888888888889</v>
      </c>
      <c r="R163" s="153">
        <f>(P163+I163)*31*G163*1.5</f>
        <v>68.3033333333333</v>
      </c>
      <c r="S163" s="153">
        <f>Q163</f>
        <v>0.688888888888889</v>
      </c>
      <c r="T163" s="153">
        <f>S163/31</f>
        <v>0.0222222222222222</v>
      </c>
      <c r="U163" s="153">
        <f>T163-I163</f>
        <v>0.0222222222222222</v>
      </c>
      <c r="V163" s="153">
        <f>R163</f>
        <v>68.3033333333333</v>
      </c>
      <c r="W163" s="154">
        <f>_xlfn.XLOOKUP(B163,Sheet5!G:G,Sheet5!H:H)</f>
        <v>0</v>
      </c>
      <c r="X163" s="155">
        <f>Y163/31</f>
        <v>0</v>
      </c>
      <c r="Y163" s="153">
        <f>S163*W163</f>
        <v>0</v>
      </c>
      <c r="Z163" s="153">
        <f>Y163*G163*1.5</f>
        <v>0</v>
      </c>
      <c r="AA163" s="154">
        <f>_xlfn.XLOOKUP(B163,Sheet5!G:G,Sheet5!I:I)</f>
        <v>0</v>
      </c>
      <c r="AB163" s="155">
        <f>AC163/31</f>
        <v>0</v>
      </c>
      <c r="AC163" s="153">
        <f>S163*AA163</f>
        <v>0</v>
      </c>
      <c r="AD163" s="153">
        <f>G163*AC163*1.5</f>
        <v>0</v>
      </c>
      <c r="AE163" s="156" t="s">
        <v>493</v>
      </c>
      <c r="AF163" s="156" t="s">
        <v>493</v>
      </c>
      <c r="AG163" s="157">
        <f>AC163/4</f>
        <v>0</v>
      </c>
      <c r="AH163" s="157">
        <f t="shared" si="5"/>
        <v>0</v>
      </c>
    </row>
    <row r="164" s="118" customFormat="1" ht="50" customHeight="1" spans="1:34">
      <c r="A164" s="151" t="s">
        <v>501</v>
      </c>
      <c r="B164" s="152" t="s">
        <v>502</v>
      </c>
      <c r="C164" s="152">
        <v>1</v>
      </c>
      <c r="D164" s="152" t="s">
        <v>34</v>
      </c>
      <c r="E164" s="152" t="s">
        <v>35</v>
      </c>
      <c r="F164" s="152" t="s">
        <v>447</v>
      </c>
      <c r="G164" s="152">
        <v>21.89</v>
      </c>
      <c r="H164" s="152">
        <v>24</v>
      </c>
      <c r="I164" s="151"/>
      <c r="J164" s="151"/>
      <c r="K164" s="151">
        <v>9</v>
      </c>
      <c r="L164" s="151">
        <v>197</v>
      </c>
      <c r="M164" s="153">
        <f>(H164-(I164*50))/50</f>
        <v>0.48</v>
      </c>
      <c r="N164" s="153">
        <f>31*(M164+I164)</f>
        <v>14.88</v>
      </c>
      <c r="O164" s="153">
        <f>N164*G164</f>
        <v>325.7232</v>
      </c>
      <c r="P164" s="153">
        <f>(H164-(I164*90))/90</f>
        <v>0.266666666666667</v>
      </c>
      <c r="Q164" s="153">
        <f>31*(P164+I164)</f>
        <v>8.26666666666667</v>
      </c>
      <c r="R164" s="153">
        <f>(P164+I164)*31*G164*1.5</f>
        <v>271.436</v>
      </c>
      <c r="S164" s="153">
        <f>Q164</f>
        <v>8.26666666666667</v>
      </c>
      <c r="T164" s="153">
        <f>S164/31</f>
        <v>0.266666666666667</v>
      </c>
      <c r="U164" s="153">
        <f>T164-I164</f>
        <v>0.266666666666667</v>
      </c>
      <c r="V164" s="153">
        <f>R164</f>
        <v>271.436</v>
      </c>
      <c r="W164" s="154">
        <f>_xlfn.XLOOKUP(B164,Sheet5!G:G,Sheet5!H:H)</f>
        <v>0.5</v>
      </c>
      <c r="X164" s="155">
        <f>Y164/31</f>
        <v>0.133333333333333</v>
      </c>
      <c r="Y164" s="153">
        <f>S164*W164</f>
        <v>4.13333333333333</v>
      </c>
      <c r="Z164" s="153">
        <f>Y164*G164*1.5</f>
        <v>135.718</v>
      </c>
      <c r="AA164" s="154">
        <f>_xlfn.XLOOKUP(B164,Sheet5!G:G,Sheet5!I:I)</f>
        <v>0.5</v>
      </c>
      <c r="AB164" s="155">
        <f>AC164/31</f>
        <v>0.133333333333333</v>
      </c>
      <c r="AC164" s="153">
        <f>S164*AA164</f>
        <v>4.13333333333333</v>
      </c>
      <c r="AD164" s="153">
        <f>G164*AC164*1.5</f>
        <v>135.718</v>
      </c>
      <c r="AE164" s="156" t="s">
        <v>503</v>
      </c>
      <c r="AF164" s="158"/>
      <c r="AG164" s="157">
        <f>AC164/4</f>
        <v>1.03333333333333</v>
      </c>
      <c r="AH164" s="157">
        <f t="shared" si="5"/>
        <v>1.03333333333333</v>
      </c>
    </row>
    <row r="165" s="118" customFormat="1" ht="50" customHeight="1" spans="1:34">
      <c r="A165" s="151" t="s">
        <v>504</v>
      </c>
      <c r="B165" s="152" t="s">
        <v>505</v>
      </c>
      <c r="C165" s="152">
        <v>1</v>
      </c>
      <c r="D165" s="152" t="s">
        <v>34</v>
      </c>
      <c r="E165" s="152" t="s">
        <v>35</v>
      </c>
      <c r="F165" s="152" t="s">
        <v>492</v>
      </c>
      <c r="G165" s="152">
        <v>37.71</v>
      </c>
      <c r="H165" s="152">
        <v>3</v>
      </c>
      <c r="I165" s="151"/>
      <c r="J165" s="151"/>
      <c r="K165" s="151">
        <v>3</v>
      </c>
      <c r="L165" s="151">
        <v>170</v>
      </c>
      <c r="M165" s="153">
        <f>(H165-(I165*50))/50</f>
        <v>0.06</v>
      </c>
      <c r="N165" s="153">
        <f>31*(M165+I165)</f>
        <v>1.86</v>
      </c>
      <c r="O165" s="153">
        <f>N165*G165</f>
        <v>70.1406</v>
      </c>
      <c r="P165" s="153">
        <f>(H165-(I165*90))/90</f>
        <v>0.0333333333333333</v>
      </c>
      <c r="Q165" s="153">
        <f>31*(P165+I165)</f>
        <v>1.03333333333333</v>
      </c>
      <c r="R165" s="153">
        <f>(P165+I165)*31*G165*1.5</f>
        <v>58.4505</v>
      </c>
      <c r="S165" s="153">
        <f>Q165</f>
        <v>1.03333333333333</v>
      </c>
      <c r="T165" s="153">
        <f>S165/31</f>
        <v>0.0333333333333333</v>
      </c>
      <c r="U165" s="153">
        <f>T165-I165</f>
        <v>0.0333333333333333</v>
      </c>
      <c r="V165" s="153">
        <f>R165</f>
        <v>58.4505</v>
      </c>
      <c r="W165" s="154">
        <f>_xlfn.XLOOKUP(B165,Sheet5!G:G,Sheet5!H:H)</f>
        <v>0</v>
      </c>
      <c r="X165" s="155">
        <f>Y165/31</f>
        <v>0</v>
      </c>
      <c r="Y165" s="153">
        <f>S165*W165</f>
        <v>0</v>
      </c>
      <c r="Z165" s="153">
        <f>Y165*G165*1.5</f>
        <v>0</v>
      </c>
      <c r="AA165" s="154">
        <f>_xlfn.XLOOKUP(B165,Sheet5!G:G,Sheet5!I:I)</f>
        <v>0</v>
      </c>
      <c r="AB165" s="155">
        <f>AC165/31</f>
        <v>0</v>
      </c>
      <c r="AC165" s="153">
        <f>S165*AA165</f>
        <v>0</v>
      </c>
      <c r="AD165" s="153">
        <f>G165*AC165*1.5</f>
        <v>0</v>
      </c>
      <c r="AE165" s="156" t="s">
        <v>493</v>
      </c>
      <c r="AF165" s="156" t="s">
        <v>494</v>
      </c>
      <c r="AG165" s="157">
        <f>AC165/4</f>
        <v>0</v>
      </c>
      <c r="AH165" s="157">
        <f t="shared" si="5"/>
        <v>0</v>
      </c>
    </row>
    <row r="166" s="118" customFormat="1" ht="50" customHeight="1" spans="1:34">
      <c r="A166" s="151" t="s">
        <v>506</v>
      </c>
      <c r="B166" s="152" t="s">
        <v>507</v>
      </c>
      <c r="C166" s="152">
        <v>1</v>
      </c>
      <c r="D166" s="152" t="s">
        <v>34</v>
      </c>
      <c r="E166" s="152" t="s">
        <v>35</v>
      </c>
      <c r="F166" s="152" t="s">
        <v>160</v>
      </c>
      <c r="G166" s="152">
        <v>108.96</v>
      </c>
      <c r="H166" s="152">
        <v>1</v>
      </c>
      <c r="I166" s="151"/>
      <c r="J166" s="151"/>
      <c r="K166" s="151">
        <v>1</v>
      </c>
      <c r="L166" s="151">
        <v>163</v>
      </c>
      <c r="M166" s="153">
        <f>(H166-(I166*50))/50</f>
        <v>0.02</v>
      </c>
      <c r="N166" s="153">
        <f>31*(M166+I166)</f>
        <v>0.62</v>
      </c>
      <c r="O166" s="153">
        <f>N166*G166</f>
        <v>67.5552</v>
      </c>
      <c r="P166" s="153">
        <f>(H166-(I166*90))/90</f>
        <v>0.0111111111111111</v>
      </c>
      <c r="Q166" s="153">
        <f>31*(P166+I166)</f>
        <v>0.344444444444444</v>
      </c>
      <c r="R166" s="153">
        <f>(P166+I166)*31*G166*1.5</f>
        <v>56.296</v>
      </c>
      <c r="S166" s="153">
        <f>Q166</f>
        <v>0.344444444444444</v>
      </c>
      <c r="T166" s="153">
        <f>S166/31</f>
        <v>0.0111111111111111</v>
      </c>
      <c r="U166" s="153">
        <f>T166-I166</f>
        <v>0.0111111111111111</v>
      </c>
      <c r="V166" s="153">
        <f>R166</f>
        <v>56.296</v>
      </c>
      <c r="W166" s="154">
        <f>_xlfn.XLOOKUP(B166,Sheet5!G:G,Sheet5!H:H)</f>
        <v>0</v>
      </c>
      <c r="X166" s="155">
        <f>Y166/31</f>
        <v>0</v>
      </c>
      <c r="Y166" s="153">
        <f>S166*W166</f>
        <v>0</v>
      </c>
      <c r="Z166" s="153">
        <f>Y166*G166*1.5</f>
        <v>0</v>
      </c>
      <c r="AA166" s="154">
        <f>_xlfn.XLOOKUP(B166,Sheet5!G:G,Sheet5!I:I)</f>
        <v>0</v>
      </c>
      <c r="AB166" s="155">
        <f>AC166/31</f>
        <v>0</v>
      </c>
      <c r="AC166" s="153">
        <f>S166*AA166</f>
        <v>0</v>
      </c>
      <c r="AD166" s="153">
        <f>G166*AC166*1.5</f>
        <v>0</v>
      </c>
      <c r="AE166" s="156" t="s">
        <v>115</v>
      </c>
      <c r="AF166" s="158"/>
      <c r="AG166" s="157">
        <f>AC166/4</f>
        <v>0</v>
      </c>
      <c r="AH166" s="157">
        <f t="shared" si="5"/>
        <v>0</v>
      </c>
    </row>
    <row r="167" s="118" customFormat="1" ht="50" customHeight="1" spans="1:34">
      <c r="A167" s="151" t="s">
        <v>508</v>
      </c>
      <c r="B167" s="152" t="s">
        <v>509</v>
      </c>
      <c r="C167" s="152">
        <v>1</v>
      </c>
      <c r="D167" s="152" t="s">
        <v>34</v>
      </c>
      <c r="E167" s="152" t="s">
        <v>35</v>
      </c>
      <c r="F167" s="152" t="s">
        <v>160</v>
      </c>
      <c r="G167" s="152">
        <v>86.28</v>
      </c>
      <c r="H167" s="152">
        <v>1</v>
      </c>
      <c r="I167" s="151"/>
      <c r="J167" s="151"/>
      <c r="K167" s="151">
        <v>1</v>
      </c>
      <c r="L167" s="151">
        <v>129</v>
      </c>
      <c r="M167" s="153">
        <f>(H167-(I167*50))/50</f>
        <v>0.02</v>
      </c>
      <c r="N167" s="153">
        <f>31*(M167+I167)</f>
        <v>0.62</v>
      </c>
      <c r="O167" s="153">
        <f>N167*G167</f>
        <v>53.4936</v>
      </c>
      <c r="P167" s="153">
        <f>(H167-(I167*90))/90</f>
        <v>0.0111111111111111</v>
      </c>
      <c r="Q167" s="153">
        <f>31*(P167+I167)</f>
        <v>0.344444444444444</v>
      </c>
      <c r="R167" s="153">
        <f>(P167+I167)*31*G167*1.5</f>
        <v>44.578</v>
      </c>
      <c r="S167" s="153">
        <f>Q167</f>
        <v>0.344444444444444</v>
      </c>
      <c r="T167" s="153">
        <f>S167/31</f>
        <v>0.0111111111111111</v>
      </c>
      <c r="U167" s="153">
        <f>T167-I167</f>
        <v>0.0111111111111111</v>
      </c>
      <c r="V167" s="153">
        <f>R167</f>
        <v>44.578</v>
      </c>
      <c r="W167" s="154">
        <f>_xlfn.XLOOKUP(B167,Sheet5!G:G,Sheet5!H:H)</f>
        <v>0</v>
      </c>
      <c r="X167" s="155">
        <f>Y167/31</f>
        <v>0</v>
      </c>
      <c r="Y167" s="153">
        <f>S167*W167</f>
        <v>0</v>
      </c>
      <c r="Z167" s="153">
        <f>Y167*G167*1.5</f>
        <v>0</v>
      </c>
      <c r="AA167" s="154">
        <f>_xlfn.XLOOKUP(B167,Sheet5!G:G,Sheet5!I:I)</f>
        <v>0</v>
      </c>
      <c r="AB167" s="155">
        <f>AC167/31</f>
        <v>0</v>
      </c>
      <c r="AC167" s="153">
        <f>S167*AA167</f>
        <v>0</v>
      </c>
      <c r="AD167" s="153">
        <f>G167*AC167*1.5</f>
        <v>0</v>
      </c>
      <c r="AE167" s="156" t="s">
        <v>115</v>
      </c>
      <c r="AF167" s="158"/>
      <c r="AG167" s="157">
        <f>AC167/4</f>
        <v>0</v>
      </c>
      <c r="AH167" s="157">
        <f t="shared" si="5"/>
        <v>0</v>
      </c>
    </row>
    <row r="168" s="118" customFormat="1" ht="50" customHeight="1" spans="1:34">
      <c r="A168" s="151" t="s">
        <v>510</v>
      </c>
      <c r="B168" s="152" t="s">
        <v>511</v>
      </c>
      <c r="C168" s="152">
        <v>1</v>
      </c>
      <c r="D168" s="152" t="s">
        <v>34</v>
      </c>
      <c r="E168" s="152" t="s">
        <v>35</v>
      </c>
      <c r="F168" s="152" t="s">
        <v>324</v>
      </c>
      <c r="G168" s="152">
        <v>85.1221</v>
      </c>
      <c r="H168" s="152">
        <v>1</v>
      </c>
      <c r="I168" s="151"/>
      <c r="J168" s="151"/>
      <c r="K168" s="151">
        <v>1</v>
      </c>
      <c r="L168" s="151">
        <v>128</v>
      </c>
      <c r="M168" s="153">
        <f>(H168-(I168*50))/50</f>
        <v>0.02</v>
      </c>
      <c r="N168" s="153">
        <f>31*(M168+I168)</f>
        <v>0.62</v>
      </c>
      <c r="O168" s="153">
        <f>N168*G168</f>
        <v>52.775702</v>
      </c>
      <c r="P168" s="153">
        <f>(H168-(I168*90))/90</f>
        <v>0.0111111111111111</v>
      </c>
      <c r="Q168" s="153">
        <f>31*(P168+I168)</f>
        <v>0.344444444444444</v>
      </c>
      <c r="R168" s="153">
        <f>(P168+I168)*31*G168*1.5</f>
        <v>43.9797516666667</v>
      </c>
      <c r="S168" s="153">
        <f>Q168</f>
        <v>0.344444444444444</v>
      </c>
      <c r="T168" s="153">
        <f>S168/31</f>
        <v>0.0111111111111111</v>
      </c>
      <c r="U168" s="153">
        <f>T168-I168</f>
        <v>0.0111111111111111</v>
      </c>
      <c r="V168" s="153">
        <f>R168</f>
        <v>43.9797516666667</v>
      </c>
      <c r="W168" s="154">
        <f>_xlfn.XLOOKUP(B168,Sheet5!G:G,Sheet5!H:H)</f>
        <v>0</v>
      </c>
      <c r="X168" s="155">
        <f>Y168/31</f>
        <v>0</v>
      </c>
      <c r="Y168" s="153">
        <f>S168*W168</f>
        <v>0</v>
      </c>
      <c r="Z168" s="153">
        <f>Y168*G168*1.5</f>
        <v>0</v>
      </c>
      <c r="AA168" s="154">
        <f>_xlfn.XLOOKUP(B168,Sheet5!G:G,Sheet5!I:I)</f>
        <v>0</v>
      </c>
      <c r="AB168" s="155">
        <f>AC168/31</f>
        <v>0</v>
      </c>
      <c r="AC168" s="153">
        <f>S168*AA168</f>
        <v>0</v>
      </c>
      <c r="AD168" s="153">
        <f>G168*AC168*1.5</f>
        <v>0</v>
      </c>
      <c r="AE168" s="156" t="s">
        <v>115</v>
      </c>
      <c r="AF168" s="156" t="s">
        <v>512</v>
      </c>
      <c r="AG168" s="157">
        <f>AC168/4</f>
        <v>0</v>
      </c>
      <c r="AH168" s="157">
        <f t="shared" si="5"/>
        <v>0</v>
      </c>
    </row>
    <row r="169" s="118" customFormat="1" ht="50" customHeight="1" spans="1:34">
      <c r="A169" s="151" t="s">
        <v>513</v>
      </c>
      <c r="B169" s="152" t="s">
        <v>514</v>
      </c>
      <c r="C169" s="152">
        <v>1</v>
      </c>
      <c r="D169" s="152" t="s">
        <v>34</v>
      </c>
      <c r="E169" s="152" t="s">
        <v>51</v>
      </c>
      <c r="F169" s="152" t="s">
        <v>185</v>
      </c>
      <c r="G169" s="152">
        <v>71.23</v>
      </c>
      <c r="H169" s="152">
        <v>1</v>
      </c>
      <c r="I169" s="151"/>
      <c r="J169" s="151"/>
      <c r="K169" s="151">
        <v>1</v>
      </c>
      <c r="L169" s="151">
        <v>107</v>
      </c>
      <c r="M169" s="153">
        <f>(H169-(I169*50))/50</f>
        <v>0.02</v>
      </c>
      <c r="N169" s="153">
        <f>31*(M169+I169)</f>
        <v>0.62</v>
      </c>
      <c r="O169" s="153">
        <f>N169*G169</f>
        <v>44.1626</v>
      </c>
      <c r="P169" s="153">
        <f>(H169-(I169*90))/90</f>
        <v>0.0111111111111111</v>
      </c>
      <c r="Q169" s="153">
        <f>31*(P169+I169)</f>
        <v>0.344444444444444</v>
      </c>
      <c r="R169" s="153">
        <f>(P169+I169)*31*G169*1.5</f>
        <v>36.8021666666667</v>
      </c>
      <c r="S169" s="153">
        <f>Q169</f>
        <v>0.344444444444444</v>
      </c>
      <c r="T169" s="153">
        <f>S169/31</f>
        <v>0.0111111111111111</v>
      </c>
      <c r="U169" s="153">
        <f>T169-I169</f>
        <v>0.0111111111111111</v>
      </c>
      <c r="V169" s="153">
        <f>R169</f>
        <v>36.8021666666667</v>
      </c>
      <c r="W169" s="154">
        <f>_xlfn.XLOOKUP(B169,Sheet5!G:G,Sheet5!H:H)</f>
        <v>0</v>
      </c>
      <c r="X169" s="155">
        <f>Y169/31</f>
        <v>0</v>
      </c>
      <c r="Y169" s="153">
        <f>S169*W169</f>
        <v>0</v>
      </c>
      <c r="Z169" s="153">
        <f>Y169*G169*1.5</f>
        <v>0</v>
      </c>
      <c r="AA169" s="154">
        <f>_xlfn.XLOOKUP(B169,Sheet5!G:G,Sheet5!I:I)</f>
        <v>0</v>
      </c>
      <c r="AB169" s="155">
        <f>AC169/31</f>
        <v>0</v>
      </c>
      <c r="AC169" s="153">
        <f>S169*AA169</f>
        <v>0</v>
      </c>
      <c r="AD169" s="153">
        <f>G169*AC169*1.5</f>
        <v>0</v>
      </c>
      <c r="AE169" s="156" t="s">
        <v>115</v>
      </c>
      <c r="AF169" s="158"/>
      <c r="AG169" s="157">
        <f>AC169/4</f>
        <v>0</v>
      </c>
      <c r="AH169" s="157">
        <f t="shared" si="5"/>
        <v>0</v>
      </c>
    </row>
    <row r="170" s="118" customFormat="1" ht="50" customHeight="1" spans="1:34">
      <c r="A170" s="151" t="s">
        <v>515</v>
      </c>
      <c r="B170" s="152" t="s">
        <v>516</v>
      </c>
      <c r="C170" s="152">
        <v>1</v>
      </c>
      <c r="D170" s="152" t="s">
        <v>34</v>
      </c>
      <c r="E170" s="152" t="s">
        <v>35</v>
      </c>
      <c r="F170" s="152" t="s">
        <v>377</v>
      </c>
      <c r="G170" s="152">
        <v>16.7</v>
      </c>
      <c r="H170" s="152">
        <v>29</v>
      </c>
      <c r="I170" s="151"/>
      <c r="J170" s="151"/>
      <c r="K170" s="151">
        <v>6</v>
      </c>
      <c r="L170" s="151">
        <v>100</v>
      </c>
      <c r="M170" s="151">
        <f>(H170-(I170*50))/50</f>
        <v>0.58</v>
      </c>
      <c r="N170" s="151">
        <f>31*(M170+I170)</f>
        <v>17.98</v>
      </c>
      <c r="O170" s="151">
        <f>N170*G170</f>
        <v>300.266</v>
      </c>
      <c r="P170" s="151">
        <f>(H170-(I170*90))/90</f>
        <v>0.322222222222222</v>
      </c>
      <c r="Q170" s="151">
        <f>31*(P170+I170)</f>
        <v>9.98888888888889</v>
      </c>
      <c r="R170" s="151">
        <f>(P170+I170)*31*G170*1.5</f>
        <v>250.221666666667</v>
      </c>
      <c r="S170" s="153">
        <f>Q170</f>
        <v>9.98888888888889</v>
      </c>
      <c r="T170" s="153">
        <f>S170/31</f>
        <v>0.322222222222222</v>
      </c>
      <c r="U170" s="153">
        <f>T170-I170</f>
        <v>0.322222222222222</v>
      </c>
      <c r="V170" s="153">
        <f>R170</f>
        <v>250.221666666667</v>
      </c>
      <c r="W170" s="154">
        <f>_xlfn.XLOOKUP(B170,Sheet5!G:G,Sheet5!H:H)</f>
        <v>1</v>
      </c>
      <c r="X170" s="155">
        <f>Y170/31</f>
        <v>0.322222222222222</v>
      </c>
      <c r="Y170" s="153">
        <f>S170*W170</f>
        <v>9.98888888888889</v>
      </c>
      <c r="Z170" s="153">
        <f>Y170*G170*1.5</f>
        <v>250.221666666667</v>
      </c>
      <c r="AA170" s="154">
        <f>_xlfn.XLOOKUP(B170,Sheet5!G:G,Sheet5!I:I)</f>
        <v>0</v>
      </c>
      <c r="AB170" s="155">
        <f>AC170/31</f>
        <v>0</v>
      </c>
      <c r="AC170" s="153">
        <f>S170*AA170</f>
        <v>0</v>
      </c>
      <c r="AD170" s="153">
        <f>G170*AC170*1.5</f>
        <v>0</v>
      </c>
      <c r="AE170" s="156" t="s">
        <v>115</v>
      </c>
      <c r="AF170" s="158"/>
      <c r="AG170" s="157">
        <f>AC170/4</f>
        <v>0</v>
      </c>
      <c r="AH170" s="157">
        <f t="shared" si="5"/>
        <v>2.49722222222222</v>
      </c>
    </row>
    <row r="171" s="118" customFormat="1" ht="50" customHeight="1" spans="1:34">
      <c r="A171" s="151" t="s">
        <v>517</v>
      </c>
      <c r="B171" s="152" t="s">
        <v>518</v>
      </c>
      <c r="C171" s="152">
        <v>1</v>
      </c>
      <c r="D171" s="152" t="s">
        <v>34</v>
      </c>
      <c r="E171" s="152" t="s">
        <v>51</v>
      </c>
      <c r="F171" s="152" t="s">
        <v>313</v>
      </c>
      <c r="G171" s="152">
        <v>4.0198</v>
      </c>
      <c r="H171" s="152">
        <v>227</v>
      </c>
      <c r="I171" s="151">
        <v>4</v>
      </c>
      <c r="J171" s="151">
        <v>56</v>
      </c>
      <c r="K171" s="151">
        <v>24</v>
      </c>
      <c r="L171" s="151">
        <v>96</v>
      </c>
      <c r="M171" s="153">
        <f>(H171-(I171*50))/50</f>
        <v>0.54</v>
      </c>
      <c r="N171" s="153">
        <f>31*(M171+I171)</f>
        <v>140.74</v>
      </c>
      <c r="O171" s="153">
        <f>N171*G171</f>
        <v>565.746652</v>
      </c>
      <c r="P171" s="153">
        <f>(H171-(I171*90))/90</f>
        <v>-1.47777777777778</v>
      </c>
      <c r="Q171" s="153">
        <f>31*(P171+I171)</f>
        <v>78.1888888888889</v>
      </c>
      <c r="R171" s="153">
        <f>(P171+I171)*31*G171*1.5</f>
        <v>471.455543333333</v>
      </c>
      <c r="S171" s="153">
        <f>Q171</f>
        <v>78.1888888888889</v>
      </c>
      <c r="T171" s="153">
        <f>S171/31</f>
        <v>2.52222222222222</v>
      </c>
      <c r="U171" s="153">
        <f>T171-I171</f>
        <v>-1.47777777777778</v>
      </c>
      <c r="V171" s="153">
        <f>R171</f>
        <v>471.455543333333</v>
      </c>
      <c r="W171" s="154">
        <f>_xlfn.XLOOKUP(B171,Sheet5!G:G,Sheet5!H:H)</f>
        <v>0.7</v>
      </c>
      <c r="X171" s="155">
        <f>Y171/31</f>
        <v>1.76555555555556</v>
      </c>
      <c r="Y171" s="153">
        <f>S171*W171</f>
        <v>54.7322222222222</v>
      </c>
      <c r="Z171" s="153">
        <f>Y171*G171*1.5</f>
        <v>330.018880333333</v>
      </c>
      <c r="AA171" s="154">
        <f>_xlfn.XLOOKUP(B171,Sheet5!G:G,Sheet5!I:I)</f>
        <v>0.3</v>
      </c>
      <c r="AB171" s="155">
        <f>AC171/31</f>
        <v>0.756666666666667</v>
      </c>
      <c r="AC171" s="153">
        <f>S171*AA171</f>
        <v>23.4566666666667</v>
      </c>
      <c r="AD171" s="153">
        <f>G171*AC171*1.5</f>
        <v>141.436663</v>
      </c>
      <c r="AE171" s="156" t="s">
        <v>115</v>
      </c>
      <c r="AF171" s="158"/>
      <c r="AG171" s="157">
        <f>AC171/4</f>
        <v>5.86416666666667</v>
      </c>
      <c r="AH171" s="157">
        <f t="shared" si="5"/>
        <v>13.6830555555556</v>
      </c>
    </row>
    <row r="172" s="118" customFormat="1" ht="50" customHeight="1" spans="1:34">
      <c r="A172" s="151" t="s">
        <v>519</v>
      </c>
      <c r="B172" s="152" t="s">
        <v>520</v>
      </c>
      <c r="C172" s="152">
        <v>1</v>
      </c>
      <c r="D172" s="152" t="s">
        <v>34</v>
      </c>
      <c r="E172" s="152" t="s">
        <v>35</v>
      </c>
      <c r="F172" s="152" t="s">
        <v>324</v>
      </c>
      <c r="G172" s="152">
        <v>31.4268</v>
      </c>
      <c r="H172" s="152">
        <v>2</v>
      </c>
      <c r="I172" s="151"/>
      <c r="J172" s="151"/>
      <c r="K172" s="151">
        <v>2</v>
      </c>
      <c r="L172" s="151">
        <v>94</v>
      </c>
      <c r="M172" s="153">
        <f>(H172-(I172*50))/50</f>
        <v>0.04</v>
      </c>
      <c r="N172" s="153">
        <f>31*(M172+I172)</f>
        <v>1.24</v>
      </c>
      <c r="O172" s="153">
        <f>N172*G172</f>
        <v>38.969232</v>
      </c>
      <c r="P172" s="153">
        <f>(H172-(I172*90))/90</f>
        <v>0.0222222222222222</v>
      </c>
      <c r="Q172" s="153">
        <f>31*(P172+I172)</f>
        <v>0.688888888888889</v>
      </c>
      <c r="R172" s="153">
        <f>(P172+I172)*31*G172*1.5</f>
        <v>32.47436</v>
      </c>
      <c r="S172" s="153">
        <f>Q172</f>
        <v>0.688888888888889</v>
      </c>
      <c r="T172" s="153">
        <f>S172/31</f>
        <v>0.0222222222222222</v>
      </c>
      <c r="U172" s="153">
        <f>T172-I172</f>
        <v>0.0222222222222222</v>
      </c>
      <c r="V172" s="153">
        <f>R172</f>
        <v>32.47436</v>
      </c>
      <c r="W172" s="154">
        <f>_xlfn.XLOOKUP(B172,Sheet5!G:G,Sheet5!H:H)</f>
        <v>0</v>
      </c>
      <c r="X172" s="155">
        <f>Y172/31</f>
        <v>0</v>
      </c>
      <c r="Y172" s="153">
        <f>S172*W172</f>
        <v>0</v>
      </c>
      <c r="Z172" s="153">
        <f>Y172*G172*1.5</f>
        <v>0</v>
      </c>
      <c r="AA172" s="154">
        <f>_xlfn.XLOOKUP(B172,Sheet5!G:G,Sheet5!I:I)</f>
        <v>0</v>
      </c>
      <c r="AB172" s="155">
        <f>AC172/31</f>
        <v>0</v>
      </c>
      <c r="AC172" s="153">
        <f>S172*AA172</f>
        <v>0</v>
      </c>
      <c r="AD172" s="153">
        <f>G172*AC172*1.5</f>
        <v>0</v>
      </c>
      <c r="AE172" s="156" t="s">
        <v>115</v>
      </c>
      <c r="AF172" s="158"/>
      <c r="AG172" s="157">
        <f>AC172/4</f>
        <v>0</v>
      </c>
      <c r="AH172" s="157">
        <f t="shared" si="5"/>
        <v>0</v>
      </c>
    </row>
    <row r="173" s="118" customFormat="1" ht="50" customHeight="1" spans="1:34">
      <c r="A173" s="151" t="s">
        <v>521</v>
      </c>
      <c r="B173" s="152" t="s">
        <v>522</v>
      </c>
      <c r="C173" s="152">
        <v>1</v>
      </c>
      <c r="D173" s="152" t="s">
        <v>34</v>
      </c>
      <c r="E173" s="152" t="s">
        <v>35</v>
      </c>
      <c r="F173" s="152" t="s">
        <v>66</v>
      </c>
      <c r="G173" s="152">
        <v>61.59</v>
      </c>
      <c r="H173" s="152">
        <v>1</v>
      </c>
      <c r="I173" s="151"/>
      <c r="J173" s="151"/>
      <c r="K173" s="151">
        <v>1</v>
      </c>
      <c r="L173" s="151">
        <v>92</v>
      </c>
      <c r="M173" s="153">
        <f>(H173-(I173*50))/50</f>
        <v>0.02</v>
      </c>
      <c r="N173" s="153">
        <f>31*(M173+I173)</f>
        <v>0.62</v>
      </c>
      <c r="O173" s="153">
        <f>N173*G173</f>
        <v>38.1858</v>
      </c>
      <c r="P173" s="153">
        <f>(H173-(I173*90))/90</f>
        <v>0.0111111111111111</v>
      </c>
      <c r="Q173" s="153">
        <f>31*(P173+I173)</f>
        <v>0.344444444444444</v>
      </c>
      <c r="R173" s="153">
        <f>(P173+I173)*31*G173*1.5</f>
        <v>31.8215</v>
      </c>
      <c r="S173" s="153">
        <f>Q173</f>
        <v>0.344444444444444</v>
      </c>
      <c r="T173" s="153">
        <f>S173/31</f>
        <v>0.0111111111111111</v>
      </c>
      <c r="U173" s="153">
        <f>T173-I173</f>
        <v>0.0111111111111111</v>
      </c>
      <c r="V173" s="153">
        <f>R173</f>
        <v>31.8215</v>
      </c>
      <c r="W173" s="154">
        <f>_xlfn.XLOOKUP(B173,Sheet5!G:G,Sheet5!H:H)</f>
        <v>0</v>
      </c>
      <c r="X173" s="155">
        <f>Y173/31</f>
        <v>0</v>
      </c>
      <c r="Y173" s="153">
        <f>S173*W173</f>
        <v>0</v>
      </c>
      <c r="Z173" s="153">
        <f>Y173*G173*1.5</f>
        <v>0</v>
      </c>
      <c r="AA173" s="154">
        <f>_xlfn.XLOOKUP(B173,Sheet5!G:G,Sheet5!I:I)</f>
        <v>0</v>
      </c>
      <c r="AB173" s="155">
        <f>AC173/31</f>
        <v>0</v>
      </c>
      <c r="AC173" s="153">
        <f>S173*AA173</f>
        <v>0</v>
      </c>
      <c r="AD173" s="153">
        <f>G173*AC173*1.5</f>
        <v>0</v>
      </c>
      <c r="AE173" s="156" t="s">
        <v>115</v>
      </c>
      <c r="AF173" s="158"/>
      <c r="AG173" s="157">
        <f>AC173/4</f>
        <v>0</v>
      </c>
      <c r="AH173" s="157">
        <f t="shared" si="5"/>
        <v>0</v>
      </c>
    </row>
    <row r="174" s="118" customFormat="1" ht="50" customHeight="1" spans="1:34">
      <c r="A174" s="151" t="s">
        <v>523</v>
      </c>
      <c r="B174" s="152" t="s">
        <v>524</v>
      </c>
      <c r="C174" s="152">
        <v>1</v>
      </c>
      <c r="D174" s="152" t="s">
        <v>34</v>
      </c>
      <c r="E174" s="152" t="s">
        <v>35</v>
      </c>
      <c r="F174" s="152" t="s">
        <v>525</v>
      </c>
      <c r="G174" s="152">
        <v>35.76</v>
      </c>
      <c r="H174" s="152">
        <v>1</v>
      </c>
      <c r="I174" s="151"/>
      <c r="J174" s="151"/>
      <c r="K174" s="151">
        <v>1</v>
      </c>
      <c r="L174" s="151">
        <v>54</v>
      </c>
      <c r="M174" s="153">
        <f>(H174-(I174*50))/50</f>
        <v>0.02</v>
      </c>
      <c r="N174" s="153">
        <f>31*(M174+I174)</f>
        <v>0.62</v>
      </c>
      <c r="O174" s="153">
        <f>N174*G174</f>
        <v>22.1712</v>
      </c>
      <c r="P174" s="153">
        <f>(H174-(I174*90))/90</f>
        <v>0.0111111111111111</v>
      </c>
      <c r="Q174" s="153">
        <f>31*(P174+I174)</f>
        <v>0.344444444444444</v>
      </c>
      <c r="R174" s="153">
        <f>(P174+I174)*31*G174*1.5</f>
        <v>18.476</v>
      </c>
      <c r="S174" s="153">
        <f>Q174</f>
        <v>0.344444444444444</v>
      </c>
      <c r="T174" s="153">
        <f>S174/31</f>
        <v>0.0111111111111111</v>
      </c>
      <c r="U174" s="153">
        <f>T174-I174</f>
        <v>0.0111111111111111</v>
      </c>
      <c r="V174" s="153">
        <f>R174</f>
        <v>18.476</v>
      </c>
      <c r="W174" s="154">
        <f>_xlfn.XLOOKUP(B174,Sheet5!G:G,Sheet5!H:H)</f>
        <v>0</v>
      </c>
      <c r="X174" s="155">
        <f>Y174/31</f>
        <v>0</v>
      </c>
      <c r="Y174" s="153">
        <f>S174*W174</f>
        <v>0</v>
      </c>
      <c r="Z174" s="153">
        <f>Y174*G174*1.5</f>
        <v>0</v>
      </c>
      <c r="AA174" s="154">
        <f>_xlfn.XLOOKUP(B174,Sheet5!G:G,Sheet5!I:I)</f>
        <v>0</v>
      </c>
      <c r="AB174" s="155">
        <f>AC174/31</f>
        <v>0</v>
      </c>
      <c r="AC174" s="153">
        <f>S174*AA174</f>
        <v>0</v>
      </c>
      <c r="AD174" s="153">
        <f>G174*AC174*1.5</f>
        <v>0</v>
      </c>
      <c r="AE174" s="156" t="s">
        <v>115</v>
      </c>
      <c r="AF174" s="158"/>
      <c r="AG174" s="157">
        <f>AC174/4</f>
        <v>0</v>
      </c>
      <c r="AH174" s="157">
        <f t="shared" si="5"/>
        <v>0</v>
      </c>
    </row>
    <row r="175" s="118" customFormat="1" ht="50" customHeight="1" spans="1:34">
      <c r="A175" s="151" t="s">
        <v>526</v>
      </c>
      <c r="B175" s="152" t="s">
        <v>527</v>
      </c>
      <c r="C175" s="152">
        <v>1</v>
      </c>
      <c r="D175" s="152" t="s">
        <v>34</v>
      </c>
      <c r="E175" s="152" t="s">
        <v>35</v>
      </c>
      <c r="F175" s="152" t="s">
        <v>141</v>
      </c>
      <c r="G175" s="152">
        <v>31.97</v>
      </c>
      <c r="H175" s="152">
        <v>2</v>
      </c>
      <c r="I175" s="151"/>
      <c r="J175" s="151"/>
      <c r="K175" s="151">
        <v>1</v>
      </c>
      <c r="L175" s="151">
        <v>32</v>
      </c>
      <c r="M175" s="153">
        <f>(H175-(I175*50))/50</f>
        <v>0.04</v>
      </c>
      <c r="N175" s="153">
        <f>31*(M175+I175)</f>
        <v>1.24</v>
      </c>
      <c r="O175" s="153">
        <f>N175*G175</f>
        <v>39.6428</v>
      </c>
      <c r="P175" s="153">
        <f>(H175-(I175*90))/90</f>
        <v>0.0222222222222222</v>
      </c>
      <c r="Q175" s="153">
        <f>31*(P175+I175)</f>
        <v>0.688888888888889</v>
      </c>
      <c r="R175" s="153">
        <f>(P175+I175)*31*G175*1.5</f>
        <v>33.0356666666667</v>
      </c>
      <c r="S175" s="153">
        <f>Q175</f>
        <v>0.688888888888889</v>
      </c>
      <c r="T175" s="153">
        <f>S175/31</f>
        <v>0.0222222222222222</v>
      </c>
      <c r="U175" s="153">
        <f>T175-I175</f>
        <v>0.0222222222222222</v>
      </c>
      <c r="V175" s="153">
        <f>R175</f>
        <v>33.0356666666667</v>
      </c>
      <c r="W175" s="154">
        <f>_xlfn.XLOOKUP(B175,Sheet5!G:G,Sheet5!H:H)</f>
        <v>0</v>
      </c>
      <c r="X175" s="155">
        <f>Y175/31</f>
        <v>0</v>
      </c>
      <c r="Y175" s="153">
        <f>S175*W175</f>
        <v>0</v>
      </c>
      <c r="Z175" s="153">
        <f>Y175*G175*1.5</f>
        <v>0</v>
      </c>
      <c r="AA175" s="154">
        <f>_xlfn.XLOOKUP(B175,Sheet5!G:G,Sheet5!I:I)</f>
        <v>0</v>
      </c>
      <c r="AB175" s="155">
        <f>AC175/31</f>
        <v>0</v>
      </c>
      <c r="AC175" s="153">
        <f>S175*AA175</f>
        <v>0</v>
      </c>
      <c r="AD175" s="153">
        <f>G175*AC175*1.5</f>
        <v>0</v>
      </c>
      <c r="AE175" s="156" t="s">
        <v>115</v>
      </c>
      <c r="AF175" s="158"/>
      <c r="AG175" s="157">
        <f>AC175/4</f>
        <v>0</v>
      </c>
      <c r="AH175" s="157">
        <f t="shared" si="5"/>
        <v>0</v>
      </c>
    </row>
    <row r="176" s="118" customFormat="1" ht="50" customHeight="1" spans="1:34">
      <c r="A176" s="151" t="s">
        <v>528</v>
      </c>
      <c r="B176" s="152" t="s">
        <v>529</v>
      </c>
      <c r="C176" s="152">
        <v>1</v>
      </c>
      <c r="D176" s="152" t="s">
        <v>34</v>
      </c>
      <c r="E176" s="152" t="s">
        <v>51</v>
      </c>
      <c r="F176" s="152" t="s">
        <v>530</v>
      </c>
      <c r="G176" s="152">
        <v>24.93</v>
      </c>
      <c r="H176" s="152">
        <v>7</v>
      </c>
      <c r="I176" s="151"/>
      <c r="J176" s="151"/>
      <c r="K176" s="151">
        <v>1</v>
      </c>
      <c r="L176" s="151">
        <v>25</v>
      </c>
      <c r="M176" s="153">
        <f>(H176-(I176*50))/50</f>
        <v>0.14</v>
      </c>
      <c r="N176" s="153">
        <f>31*(M176+I176)</f>
        <v>4.34</v>
      </c>
      <c r="O176" s="153">
        <f>N176*G176</f>
        <v>108.1962</v>
      </c>
      <c r="P176" s="153">
        <f>(H176-(I176*90))/90</f>
        <v>0.0777777777777778</v>
      </c>
      <c r="Q176" s="153">
        <f>31*(P176+I176)</f>
        <v>2.41111111111111</v>
      </c>
      <c r="R176" s="153">
        <f>(P176+I176)*31*G176*1.5</f>
        <v>90.1635</v>
      </c>
      <c r="S176" s="153">
        <f>Q176</f>
        <v>2.41111111111111</v>
      </c>
      <c r="T176" s="153">
        <f>S176/31</f>
        <v>0.0777777777777778</v>
      </c>
      <c r="U176" s="153">
        <f>T176-I176</f>
        <v>0.0777777777777778</v>
      </c>
      <c r="V176" s="153">
        <f>R176</f>
        <v>90.1635</v>
      </c>
      <c r="W176" s="154">
        <v>0.5</v>
      </c>
      <c r="X176" s="155">
        <f>Y176/31</f>
        <v>0.0388888888888889</v>
      </c>
      <c r="Y176" s="153">
        <f>S176*W176</f>
        <v>1.20555555555556</v>
      </c>
      <c r="Z176" s="153">
        <f>Y176*G176*1.5</f>
        <v>45.08175</v>
      </c>
      <c r="AA176" s="154">
        <v>0.5</v>
      </c>
      <c r="AB176" s="155">
        <f>AC176/31</f>
        <v>0.0388888888888889</v>
      </c>
      <c r="AC176" s="153">
        <f>S176*AA176</f>
        <v>1.20555555555556</v>
      </c>
      <c r="AD176" s="153">
        <f>G176*AC176*1.5</f>
        <v>45.08175</v>
      </c>
      <c r="AE176" s="156" t="s">
        <v>531</v>
      </c>
      <c r="AF176" s="156" t="s">
        <v>531</v>
      </c>
      <c r="AG176" s="157">
        <f>AC176/4</f>
        <v>0.301388888888889</v>
      </c>
      <c r="AH176" s="157">
        <f t="shared" si="5"/>
        <v>0.301388888888889</v>
      </c>
    </row>
    <row r="177" s="118" customFormat="1" ht="50" customHeight="1" spans="1:34">
      <c r="A177" s="151" t="s">
        <v>532</v>
      </c>
      <c r="B177" s="152" t="s">
        <v>533</v>
      </c>
      <c r="C177" s="152">
        <v>1</v>
      </c>
      <c r="D177" s="152" t="s">
        <v>34</v>
      </c>
      <c r="E177" s="152" t="s">
        <v>35</v>
      </c>
      <c r="F177" s="152" t="s">
        <v>500</v>
      </c>
      <c r="G177" s="152">
        <v>19.6</v>
      </c>
      <c r="H177" s="152">
        <v>4</v>
      </c>
      <c r="I177" s="151"/>
      <c r="J177" s="151"/>
      <c r="K177" s="151">
        <v>1</v>
      </c>
      <c r="L177" s="151">
        <v>20</v>
      </c>
      <c r="M177" s="153">
        <f>(H177-(I177*50))/50</f>
        <v>0.08</v>
      </c>
      <c r="N177" s="153">
        <f>31*(M177+I177)</f>
        <v>2.48</v>
      </c>
      <c r="O177" s="153">
        <f>N177*G177</f>
        <v>48.608</v>
      </c>
      <c r="P177" s="153">
        <f>(H177-(I177*90))/90</f>
        <v>0.0444444444444444</v>
      </c>
      <c r="Q177" s="153">
        <f>31*(P177+I177)</f>
        <v>1.37777777777778</v>
      </c>
      <c r="R177" s="153">
        <f>(P177+I177)*31*G177*1.5</f>
        <v>40.5066666666667</v>
      </c>
      <c r="S177" s="153">
        <f>Q177</f>
        <v>1.37777777777778</v>
      </c>
      <c r="T177" s="153">
        <f>S177/31</f>
        <v>0.0444444444444444</v>
      </c>
      <c r="U177" s="153">
        <f>T177-I177</f>
        <v>0.0444444444444444</v>
      </c>
      <c r="V177" s="153">
        <f>R177</f>
        <v>40.5066666666667</v>
      </c>
      <c r="W177" s="154">
        <v>0.5</v>
      </c>
      <c r="X177" s="155">
        <f>Y177/31</f>
        <v>0.0222222222222222</v>
      </c>
      <c r="Y177" s="153">
        <f>S177*W177</f>
        <v>0.688888888888889</v>
      </c>
      <c r="Z177" s="153">
        <f>Y177*G177*1.5</f>
        <v>20.2533333333333</v>
      </c>
      <c r="AA177" s="154">
        <v>0.5</v>
      </c>
      <c r="AB177" s="155">
        <f>AC177/31</f>
        <v>0.0222222222222222</v>
      </c>
      <c r="AC177" s="153">
        <f>S177*AA177</f>
        <v>0.688888888888889</v>
      </c>
      <c r="AD177" s="153">
        <f>G177*AC177*1.5</f>
        <v>20.2533333333333</v>
      </c>
      <c r="AE177" s="156" t="s">
        <v>531</v>
      </c>
      <c r="AF177" s="156" t="s">
        <v>531</v>
      </c>
      <c r="AG177" s="157">
        <f>AC177/4</f>
        <v>0.172222222222222</v>
      </c>
      <c r="AH177" s="157">
        <f t="shared" si="5"/>
        <v>0.172222222222222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AG177" etc:filterBottomFollowUsedRange="1">
    <sortState ref="A4:AG177">
      <sortCondition ref="L3" descending="1"/>
    </sortState>
    <extLst/>
  </autoFilter>
  <mergeCells count="3">
    <mergeCell ref="S1:V2"/>
    <mergeCell ref="W1:Z2"/>
    <mergeCell ref="AA1:AD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78"/>
  <sheetViews>
    <sheetView topLeftCell="K1" workbookViewId="0">
      <selection activeCell="K1" sqref="K$1:K$1048576"/>
    </sheetView>
  </sheetViews>
  <sheetFormatPr defaultColWidth="9" defaultRowHeight="11.25" customHeight="1"/>
  <cols>
    <col min="1" max="1" width="9" style="7" customWidth="1"/>
    <col min="2" max="2" width="29.375" style="7" customWidth="1"/>
    <col min="3" max="5" width="9" style="7" customWidth="1"/>
    <col min="6" max="10" width="6.66666666666667" style="7" customWidth="1"/>
    <col min="11" max="11" width="6.66666666666667" style="24" customWidth="1"/>
    <col min="12" max="14" width="8.66666666666667" style="7" hidden="1" customWidth="1"/>
    <col min="15" max="17" width="7.5" style="7" hidden="1" customWidth="1"/>
    <col min="18" max="21" width="7.25" style="7" hidden="1" customWidth="1"/>
    <col min="22" max="22" width="7.5" style="7" customWidth="1"/>
    <col min="23" max="23" width="7.25" style="7" customWidth="1"/>
    <col min="24" max="25" width="7.5" style="7" customWidth="1"/>
    <col min="26" max="26" width="8.875" style="7" customWidth="1"/>
    <col min="27" max="27" width="8.25" customWidth="1"/>
    <col min="28" max="28" width="7.5" style="7" customWidth="1"/>
    <col min="29" max="29" width="7" style="7" customWidth="1"/>
    <col min="30" max="30" width="21.125" style="61" customWidth="1"/>
  </cols>
  <sheetData>
    <row r="1" customHeight="1" spans="1:30">
      <c r="R1" s="8" t="s">
        <v>534</v>
      </c>
      <c r="S1" s="8"/>
      <c r="T1" s="8"/>
      <c r="U1" s="8"/>
      <c r="V1" s="26" t="s">
        <v>1</v>
      </c>
      <c r="W1" s="26"/>
      <c r="X1" s="26"/>
      <c r="Y1" s="62"/>
      <c r="Z1" s="28" t="s">
        <v>2</v>
      </c>
      <c r="AA1" s="28"/>
      <c r="AB1" s="28"/>
      <c r="AC1" s="29"/>
    </row>
    <row r="2" customHeight="1" spans="1:30">
      <c r="R2" s="8"/>
      <c r="S2" s="8"/>
      <c r="T2" s="8"/>
      <c r="U2" s="8"/>
      <c r="V2" s="32"/>
      <c r="W2" s="32"/>
      <c r="X2" s="32"/>
      <c r="Y2" s="63"/>
      <c r="Z2" s="34"/>
      <c r="AA2" s="34"/>
      <c r="AB2" s="34"/>
      <c r="AC2" s="35"/>
    </row>
    <row r="3" ht="27" customHeight="1" spans="1:30">
      <c r="A3" s="15" t="s">
        <v>3</v>
      </c>
      <c r="B3" s="88" t="s">
        <v>4</v>
      </c>
      <c r="C3" s="88" t="s">
        <v>5</v>
      </c>
      <c r="D3" s="88" t="s">
        <v>6</v>
      </c>
      <c r="E3" s="88" t="s">
        <v>7</v>
      </c>
      <c r="F3" s="88" t="s">
        <v>8</v>
      </c>
      <c r="G3" s="88" t="s">
        <v>9</v>
      </c>
      <c r="H3" s="88" t="s">
        <v>10</v>
      </c>
      <c r="I3" s="88" t="s">
        <v>11</v>
      </c>
      <c r="J3" s="88" t="s">
        <v>12</v>
      </c>
      <c r="K3" s="89" t="s">
        <v>13</v>
      </c>
      <c r="L3" s="17" t="s">
        <v>14</v>
      </c>
      <c r="M3" s="17" t="s">
        <v>15</v>
      </c>
      <c r="N3" s="17" t="s">
        <v>16</v>
      </c>
      <c r="O3" s="18" t="s">
        <v>17</v>
      </c>
      <c r="P3" s="18" t="s">
        <v>18</v>
      </c>
      <c r="Q3" s="18" t="s">
        <v>535</v>
      </c>
      <c r="R3" s="8" t="s">
        <v>20</v>
      </c>
      <c r="S3" s="8" t="s">
        <v>21</v>
      </c>
      <c r="T3" s="8" t="s">
        <v>22</v>
      </c>
      <c r="U3" s="8" t="s">
        <v>23</v>
      </c>
      <c r="V3" s="39" t="s">
        <v>24</v>
      </c>
      <c r="W3" s="39" t="s">
        <v>21</v>
      </c>
      <c r="X3" s="39" t="s">
        <v>25</v>
      </c>
      <c r="Y3" s="40" t="s">
        <v>26</v>
      </c>
      <c r="Z3" s="43" t="s">
        <v>24</v>
      </c>
      <c r="AA3" s="43" t="s">
        <v>21</v>
      </c>
      <c r="AB3" s="43" t="s">
        <v>25</v>
      </c>
      <c r="AC3" s="44" t="s">
        <v>27</v>
      </c>
      <c r="AD3" s="64" t="s">
        <v>536</v>
      </c>
    </row>
    <row r="4" ht="15" customHeight="1" spans="1:30">
      <c r="A4" s="90" t="s">
        <v>131</v>
      </c>
      <c r="B4" s="91" t="s">
        <v>50</v>
      </c>
      <c r="C4" s="91" t="s">
        <v>34</v>
      </c>
      <c r="D4" s="91" t="s">
        <v>51</v>
      </c>
      <c r="E4" s="91" t="s">
        <v>52</v>
      </c>
      <c r="F4" s="91">
        <v>712.84</v>
      </c>
      <c r="G4" s="91">
        <v>191</v>
      </c>
      <c r="H4" s="92">
        <v>1</v>
      </c>
      <c r="I4" s="91">
        <v>191</v>
      </c>
      <c r="J4" s="91">
        <v>111</v>
      </c>
      <c r="K4" s="91">
        <v>95877</v>
      </c>
      <c r="L4" s="93">
        <f t="shared" ref="L4:L67" si="0">(G4-(H4*50))/50</f>
        <v>2.82</v>
      </c>
      <c r="M4" s="94">
        <f t="shared" ref="M4:M67" si="1">31*(L4+H4)</f>
        <v>118.42</v>
      </c>
      <c r="N4" s="94">
        <f t="shared" ref="N4:N12" si="2">M4*F4</f>
        <v>84414.5128</v>
      </c>
      <c r="O4" s="94">
        <f t="shared" ref="O4:O67" si="3">(G4-(H4*90))/90</f>
        <v>1.12222222222222</v>
      </c>
      <c r="P4" s="94">
        <f t="shared" ref="P4:P67" si="4">31*(O4+H4)</f>
        <v>65.7888888888889</v>
      </c>
      <c r="Q4" s="94">
        <f t="shared" ref="Q4:Q67" si="5">(O4+H4)*31*F4*1.5</f>
        <v>70345.4273333333</v>
      </c>
      <c r="R4" s="94">
        <f t="shared" ref="R4:R67" si="6">P4</f>
        <v>65.7888888888889</v>
      </c>
      <c r="S4" s="94">
        <f t="shared" ref="S4:S67" si="7">R4/31</f>
        <v>2.12222222222222</v>
      </c>
      <c r="T4" s="94">
        <f t="shared" ref="T4:T67" si="8">S4-H4</f>
        <v>1.12222222222222</v>
      </c>
      <c r="U4" s="94">
        <f t="shared" ref="U4:U67" si="9">Q4</f>
        <v>70345.4273333333</v>
      </c>
      <c r="V4" s="95">
        <f>_xlfn.XLOOKUP(B4,[1]Sheet1!$B:$B,[1]Sheet1!$P:$P)</f>
        <v>0.117647058823529</v>
      </c>
      <c r="W4" s="96">
        <f t="shared" ref="W4:W67" si="10">X4/31</f>
        <v>0.249673202614378</v>
      </c>
      <c r="X4" s="96">
        <f t="shared" ref="X4:X67" si="11">R4*V4</f>
        <v>7.73986928104572</v>
      </c>
      <c r="Y4" s="96">
        <f t="shared" ref="Y4:Y20" si="12">X4*F4*1.5</f>
        <v>8275.93262745095</v>
      </c>
      <c r="Z4" s="95">
        <f>_xlfn.XLOOKUP(B4,[1]Sheet1!$B:$B,[1]Sheet1!$Q:$Q)</f>
        <v>0.882352941176471</v>
      </c>
      <c r="AA4" s="96">
        <f t="shared" ref="AA4:AA67" si="13">AB4/31</f>
        <v>1.87254901960784</v>
      </c>
      <c r="AB4" s="96">
        <f t="shared" ref="AB4:AB67" si="14">R4*Z4</f>
        <v>58.0490196078432</v>
      </c>
      <c r="AC4" s="96">
        <f t="shared" ref="AC4:AC67" si="15">F4*AB4*1.5</f>
        <v>62069.4947058824</v>
      </c>
      <c r="AD4" s="97" t="s">
        <v>537</v>
      </c>
    </row>
    <row r="5" ht="15" customHeight="1" spans="1:30">
      <c r="A5" s="90" t="s">
        <v>538</v>
      </c>
      <c r="B5" s="91" t="s">
        <v>539</v>
      </c>
      <c r="C5" s="91" t="s">
        <v>34</v>
      </c>
      <c r="D5" s="91" t="s">
        <v>35</v>
      </c>
      <c r="E5" s="91" t="s">
        <v>85</v>
      </c>
      <c r="F5" s="91">
        <v>298.3692</v>
      </c>
      <c r="G5" s="91">
        <v>120</v>
      </c>
      <c r="H5" s="92"/>
      <c r="I5" s="91"/>
      <c r="J5" s="91">
        <v>120</v>
      </c>
      <c r="K5" s="91">
        <v>53706</v>
      </c>
      <c r="L5" s="93">
        <f t="shared" si="0"/>
        <v>2.4</v>
      </c>
      <c r="M5" s="94">
        <f t="shared" si="1"/>
        <v>74.4</v>
      </c>
      <c r="N5" s="94">
        <f t="shared" si="2"/>
        <v>22198.66848</v>
      </c>
      <c r="O5" s="94">
        <f t="shared" si="3"/>
        <v>1.33333333333333</v>
      </c>
      <c r="P5" s="94">
        <f t="shared" si="4"/>
        <v>41.3333333333333</v>
      </c>
      <c r="Q5" s="94">
        <f t="shared" si="5"/>
        <v>18498.8904</v>
      </c>
      <c r="R5" s="94">
        <f t="shared" si="6"/>
        <v>41.3333333333333</v>
      </c>
      <c r="S5" s="94">
        <f t="shared" si="7"/>
        <v>1.33333333333333</v>
      </c>
      <c r="T5" s="94">
        <f t="shared" si="8"/>
        <v>1.33333333333333</v>
      </c>
      <c r="U5" s="94">
        <f t="shared" si="9"/>
        <v>18498.8904</v>
      </c>
      <c r="V5" s="95">
        <f>_xlfn.XLOOKUP(B5,[1]Sheet1!$B:$B,[1]Sheet1!$P:$P)</f>
        <v>0</v>
      </c>
      <c r="W5" s="96">
        <f t="shared" si="10"/>
        <v>0</v>
      </c>
      <c r="X5" s="96">
        <f t="shared" si="11"/>
        <v>0</v>
      </c>
      <c r="Y5" s="96">
        <f t="shared" si="12"/>
        <v>0</v>
      </c>
      <c r="Z5" s="95">
        <f>_xlfn.XLOOKUP(B5,[1]Sheet1!$B:$B,[1]Sheet1!$Q:$Q)</f>
        <v>0</v>
      </c>
      <c r="AA5" s="96">
        <f t="shared" si="13"/>
        <v>0</v>
      </c>
      <c r="AB5" s="96">
        <f t="shared" si="14"/>
        <v>0</v>
      </c>
      <c r="AC5" s="96">
        <f t="shared" si="15"/>
        <v>0</v>
      </c>
      <c r="AD5" s="97" t="s">
        <v>540</v>
      </c>
    </row>
    <row r="6" ht="15" customHeight="1" spans="1:30">
      <c r="A6" s="90" t="s">
        <v>147</v>
      </c>
      <c r="B6" s="91" t="s">
        <v>541</v>
      </c>
      <c r="C6" s="91" t="s">
        <v>34</v>
      </c>
      <c r="D6" s="91" t="s">
        <v>35</v>
      </c>
      <c r="E6" s="91" t="s">
        <v>542</v>
      </c>
      <c r="F6" s="91">
        <v>379.8</v>
      </c>
      <c r="G6" s="91">
        <v>80</v>
      </c>
      <c r="H6" s="92"/>
      <c r="I6" s="91"/>
      <c r="J6" s="91">
        <v>80</v>
      </c>
      <c r="K6" s="91">
        <v>45576</v>
      </c>
      <c r="L6" s="93">
        <f t="shared" si="0"/>
        <v>1.6</v>
      </c>
      <c r="M6" s="94">
        <f t="shared" si="1"/>
        <v>49.6</v>
      </c>
      <c r="N6" s="94">
        <f t="shared" si="2"/>
        <v>18838.08</v>
      </c>
      <c r="O6" s="94">
        <f t="shared" si="3"/>
        <v>0.888888888888889</v>
      </c>
      <c r="P6" s="94">
        <f t="shared" si="4"/>
        <v>27.5555555555556</v>
      </c>
      <c r="Q6" s="94">
        <f t="shared" si="5"/>
        <v>15698.4</v>
      </c>
      <c r="R6" s="94">
        <f t="shared" si="6"/>
        <v>27.5555555555556</v>
      </c>
      <c r="S6" s="94">
        <f t="shared" si="7"/>
        <v>0.888888888888889</v>
      </c>
      <c r="T6" s="94">
        <f t="shared" si="8"/>
        <v>0.888888888888889</v>
      </c>
      <c r="U6" s="94">
        <f t="shared" si="9"/>
        <v>15698.4</v>
      </c>
      <c r="V6" s="95">
        <f>_xlfn.XLOOKUP(B6,[1]Sheet1!$B:$B,[1]Sheet1!$P:$P)</f>
        <v>0</v>
      </c>
      <c r="W6" s="96">
        <f t="shared" si="10"/>
        <v>0</v>
      </c>
      <c r="X6" s="96">
        <f t="shared" si="11"/>
        <v>0</v>
      </c>
      <c r="Y6" s="96">
        <f t="shared" si="12"/>
        <v>0</v>
      </c>
      <c r="Z6" s="95">
        <f>_xlfn.XLOOKUP(B6,[1]Sheet1!$B:$B,[1]Sheet1!$Q:$Q)</f>
        <v>0</v>
      </c>
      <c r="AA6" s="96">
        <f t="shared" si="13"/>
        <v>0</v>
      </c>
      <c r="AB6" s="96">
        <f t="shared" si="14"/>
        <v>0</v>
      </c>
      <c r="AC6" s="96">
        <f t="shared" si="15"/>
        <v>0</v>
      </c>
      <c r="AD6" s="97" t="s">
        <v>540</v>
      </c>
    </row>
    <row r="7" ht="15" customHeight="1" spans="1:30">
      <c r="A7" s="90" t="s">
        <v>55</v>
      </c>
      <c r="B7" s="91" t="s">
        <v>543</v>
      </c>
      <c r="C7" s="91" t="s">
        <v>34</v>
      </c>
      <c r="D7" s="91" t="s">
        <v>35</v>
      </c>
      <c r="E7" s="91" t="s">
        <v>250</v>
      </c>
      <c r="F7" s="91">
        <v>52.89</v>
      </c>
      <c r="G7" s="91">
        <v>2002</v>
      </c>
      <c r="H7" s="92">
        <v>23</v>
      </c>
      <c r="I7" s="91">
        <v>87</v>
      </c>
      <c r="J7" s="91">
        <v>836</v>
      </c>
      <c r="K7" s="91">
        <v>44216</v>
      </c>
      <c r="L7" s="93">
        <f t="shared" si="0"/>
        <v>17.04</v>
      </c>
      <c r="M7" s="94">
        <f t="shared" si="1"/>
        <v>1241.24</v>
      </c>
      <c r="N7" s="94">
        <f t="shared" si="2"/>
        <v>65649.1836</v>
      </c>
      <c r="O7" s="94">
        <f t="shared" si="3"/>
        <v>-0.755555555555556</v>
      </c>
      <c r="P7" s="94">
        <f t="shared" si="4"/>
        <v>689.577777777778</v>
      </c>
      <c r="Q7" s="94">
        <f t="shared" si="5"/>
        <v>54707.653</v>
      </c>
      <c r="R7" s="94">
        <f t="shared" si="6"/>
        <v>689.577777777778</v>
      </c>
      <c r="S7" s="94">
        <f t="shared" si="7"/>
        <v>22.2444444444444</v>
      </c>
      <c r="T7" s="94">
        <f t="shared" si="8"/>
        <v>-0.755555555555556</v>
      </c>
      <c r="U7" s="94">
        <f t="shared" si="9"/>
        <v>54707.653</v>
      </c>
      <c r="V7" s="95">
        <f>_xlfn.XLOOKUP(B7,[1]Sheet1!$B:$B,[1]Sheet1!$P:$P)</f>
        <v>0.975155279503106</v>
      </c>
      <c r="W7" s="96">
        <f t="shared" si="10"/>
        <v>21.6917874396135</v>
      </c>
      <c r="X7" s="96">
        <f t="shared" si="11"/>
        <v>672.44541062802</v>
      </c>
      <c r="Y7" s="96">
        <f t="shared" si="12"/>
        <v>53348.4566521739</v>
      </c>
      <c r="Z7" s="95">
        <f>_xlfn.XLOOKUP(B7,[1]Sheet1!$B:$B,[1]Sheet1!$Q:$Q)</f>
        <v>0.0248447204968944</v>
      </c>
      <c r="AA7" s="96">
        <f t="shared" si="13"/>
        <v>0.552657004830918</v>
      </c>
      <c r="AB7" s="96">
        <f t="shared" si="14"/>
        <v>17.1323671497584</v>
      </c>
      <c r="AC7" s="96">
        <f t="shared" si="15"/>
        <v>1359.19634782609</v>
      </c>
      <c r="AD7" s="97" t="s">
        <v>537</v>
      </c>
    </row>
    <row r="8" ht="15" customHeight="1" spans="1:30">
      <c r="A8" s="98" t="s">
        <v>544</v>
      </c>
      <c r="B8" s="99" t="s">
        <v>65</v>
      </c>
      <c r="C8" s="99" t="s">
        <v>34</v>
      </c>
      <c r="D8" s="99" t="s">
        <v>35</v>
      </c>
      <c r="E8" s="99" t="s">
        <v>66</v>
      </c>
      <c r="F8" s="99">
        <v>93.44</v>
      </c>
      <c r="G8" s="99">
        <v>370</v>
      </c>
      <c r="H8" s="100">
        <v>1</v>
      </c>
      <c r="I8" s="99">
        <v>370</v>
      </c>
      <c r="J8" s="99">
        <v>317</v>
      </c>
      <c r="K8" s="99">
        <v>42422</v>
      </c>
      <c r="L8" s="101">
        <f t="shared" si="0"/>
        <v>6.4</v>
      </c>
      <c r="M8" s="70">
        <f t="shared" si="1"/>
        <v>229.4</v>
      </c>
      <c r="N8" s="70">
        <f t="shared" si="2"/>
        <v>21435.136</v>
      </c>
      <c r="O8" s="70">
        <f t="shared" si="3"/>
        <v>3.11111111111111</v>
      </c>
      <c r="P8" s="70">
        <f t="shared" si="4"/>
        <v>127.444444444444</v>
      </c>
      <c r="Q8" s="70">
        <f t="shared" si="5"/>
        <v>17862.6133333333</v>
      </c>
      <c r="R8" s="70">
        <f t="shared" si="6"/>
        <v>127.444444444444</v>
      </c>
      <c r="S8" s="70">
        <f t="shared" si="7"/>
        <v>4.11111111111111</v>
      </c>
      <c r="T8" s="70">
        <f t="shared" si="8"/>
        <v>3.11111111111111</v>
      </c>
      <c r="U8" s="70">
        <f t="shared" si="9"/>
        <v>17862.6133333333</v>
      </c>
      <c r="V8" s="102">
        <f>_xlfn.XLOOKUP(B8,[1]Sheet1!$B:$B,[1]Sheet1!$P:$P)</f>
        <v>1</v>
      </c>
      <c r="W8" s="103">
        <f t="shared" si="10"/>
        <v>4.11111111111111</v>
      </c>
      <c r="X8" s="103">
        <f t="shared" si="11"/>
        <v>127.444444444444</v>
      </c>
      <c r="Y8" s="103">
        <f t="shared" si="12"/>
        <v>17862.6133333333</v>
      </c>
      <c r="Z8" s="102">
        <f>_xlfn.XLOOKUP(B8,[1]Sheet1!$B:$B,[1]Sheet1!$Q:$Q)</f>
        <v>0</v>
      </c>
      <c r="AA8" s="103">
        <f t="shared" si="13"/>
        <v>0</v>
      </c>
      <c r="AB8" s="103">
        <f t="shared" si="14"/>
        <v>0</v>
      </c>
      <c r="AC8" s="103">
        <f t="shared" si="15"/>
        <v>0</v>
      </c>
      <c r="AD8" s="104" t="s">
        <v>545</v>
      </c>
    </row>
    <row r="9" ht="15" customHeight="1" spans="1:30">
      <c r="A9" s="90" t="s">
        <v>78</v>
      </c>
      <c r="B9" s="91" t="s">
        <v>546</v>
      </c>
      <c r="C9" s="91" t="s">
        <v>34</v>
      </c>
      <c r="D9" s="91" t="s">
        <v>35</v>
      </c>
      <c r="E9" s="91" t="s">
        <v>141</v>
      </c>
      <c r="F9" s="91">
        <v>95.44</v>
      </c>
      <c r="G9" s="91">
        <v>1502</v>
      </c>
      <c r="H9" s="92">
        <v>21</v>
      </c>
      <c r="I9" s="91">
        <v>71</v>
      </c>
      <c r="J9" s="91">
        <v>439</v>
      </c>
      <c r="K9" s="91">
        <v>41898</v>
      </c>
      <c r="L9" s="93">
        <f t="shared" si="0"/>
        <v>9.04</v>
      </c>
      <c r="M9" s="94">
        <f t="shared" si="1"/>
        <v>931.24</v>
      </c>
      <c r="N9" s="94">
        <f t="shared" si="2"/>
        <v>88877.5456</v>
      </c>
      <c r="O9" s="94">
        <f t="shared" si="3"/>
        <v>-4.31111111111111</v>
      </c>
      <c r="P9" s="94">
        <f t="shared" si="4"/>
        <v>517.355555555556</v>
      </c>
      <c r="Q9" s="94">
        <f t="shared" si="5"/>
        <v>74064.6213333333</v>
      </c>
      <c r="R9" s="94">
        <f t="shared" si="6"/>
        <v>517.355555555556</v>
      </c>
      <c r="S9" s="94">
        <f t="shared" si="7"/>
        <v>16.6888888888889</v>
      </c>
      <c r="T9" s="94">
        <f t="shared" si="8"/>
        <v>-4.31111111111111</v>
      </c>
      <c r="U9" s="94">
        <f t="shared" si="9"/>
        <v>74064.6213333333</v>
      </c>
      <c r="V9" s="95">
        <f>_xlfn.XLOOKUP(B9,[1]Sheet1!$B:$B,[1]Sheet1!$P:$P)</f>
        <v>0.790996784565916</v>
      </c>
      <c r="W9" s="96">
        <f t="shared" si="10"/>
        <v>13.200857449089</v>
      </c>
      <c r="X9" s="96">
        <f t="shared" si="11"/>
        <v>409.226580921758</v>
      </c>
      <c r="Y9" s="96">
        <f t="shared" si="12"/>
        <v>58584.8773247588</v>
      </c>
      <c r="Z9" s="95">
        <f>_xlfn.XLOOKUP(B9,[1]Sheet1!$B:$B,[1]Sheet1!$Q:$Q)</f>
        <v>0.209003215434084</v>
      </c>
      <c r="AA9" s="96">
        <f t="shared" si="13"/>
        <v>3.48803143979994</v>
      </c>
      <c r="AB9" s="96">
        <f t="shared" si="14"/>
        <v>108.128974633798</v>
      </c>
      <c r="AC9" s="96">
        <f t="shared" si="15"/>
        <v>15479.7440085745</v>
      </c>
      <c r="AD9" s="97" t="s">
        <v>547</v>
      </c>
    </row>
    <row r="10" ht="15" customHeight="1" spans="1:30">
      <c r="A10" s="90" t="s">
        <v>104</v>
      </c>
      <c r="B10" s="91" t="s">
        <v>548</v>
      </c>
      <c r="C10" s="91" t="s">
        <v>34</v>
      </c>
      <c r="D10" s="91" t="s">
        <v>35</v>
      </c>
      <c r="E10" s="91" t="s">
        <v>85</v>
      </c>
      <c r="F10" s="91">
        <v>369.1592</v>
      </c>
      <c r="G10" s="91">
        <v>77</v>
      </c>
      <c r="H10" s="92"/>
      <c r="I10" s="91"/>
      <c r="J10" s="91">
        <v>72</v>
      </c>
      <c r="K10" s="91">
        <v>39131</v>
      </c>
      <c r="L10" s="93">
        <f t="shared" si="0"/>
        <v>1.54</v>
      </c>
      <c r="M10" s="94">
        <f t="shared" si="1"/>
        <v>47.74</v>
      </c>
      <c r="N10" s="94">
        <f t="shared" si="2"/>
        <v>17623.660208</v>
      </c>
      <c r="O10" s="94">
        <f t="shared" si="3"/>
        <v>0.855555555555556</v>
      </c>
      <c r="P10" s="94">
        <f t="shared" si="4"/>
        <v>26.5222222222222</v>
      </c>
      <c r="Q10" s="94">
        <f t="shared" si="5"/>
        <v>14686.3835066667</v>
      </c>
      <c r="R10" s="94">
        <f t="shared" si="6"/>
        <v>26.5222222222222</v>
      </c>
      <c r="S10" s="94">
        <f t="shared" si="7"/>
        <v>0.855555555555556</v>
      </c>
      <c r="T10" s="94">
        <f t="shared" si="8"/>
        <v>0.855555555555556</v>
      </c>
      <c r="U10" s="94">
        <f t="shared" si="9"/>
        <v>14686.3835066667</v>
      </c>
      <c r="V10" s="95">
        <f>_xlfn.XLOOKUP(B10,[1]Sheet1!$B:$B,[1]Sheet1!$P:$P)</f>
        <v>1</v>
      </c>
      <c r="W10" s="96">
        <f t="shared" si="10"/>
        <v>0.855555555555556</v>
      </c>
      <c r="X10" s="96">
        <f t="shared" si="11"/>
        <v>26.5222222222222</v>
      </c>
      <c r="Y10" s="96">
        <f t="shared" si="12"/>
        <v>14686.3835066667</v>
      </c>
      <c r="Z10" s="95">
        <f>_xlfn.XLOOKUP(B10,[1]Sheet1!$B:$B,[1]Sheet1!$Q:$Q)</f>
        <v>0</v>
      </c>
      <c r="AA10" s="96">
        <f t="shared" si="13"/>
        <v>0</v>
      </c>
      <c r="AB10" s="96">
        <f t="shared" si="14"/>
        <v>0</v>
      </c>
      <c r="AC10" s="96">
        <f t="shared" si="15"/>
        <v>0</v>
      </c>
      <c r="AD10" s="97" t="s">
        <v>540</v>
      </c>
    </row>
    <row r="11" ht="15" customHeight="1" spans="1:30">
      <c r="A11" s="90" t="s">
        <v>549</v>
      </c>
      <c r="B11" s="91" t="s">
        <v>132</v>
      </c>
      <c r="C11" s="91" t="s">
        <v>34</v>
      </c>
      <c r="D11" s="91" t="s">
        <v>35</v>
      </c>
      <c r="E11" s="91" t="s">
        <v>106</v>
      </c>
      <c r="F11" s="91">
        <v>44.98</v>
      </c>
      <c r="G11" s="91">
        <v>2254</v>
      </c>
      <c r="H11" s="92">
        <v>28</v>
      </c>
      <c r="I11" s="91">
        <v>80</v>
      </c>
      <c r="J11" s="91">
        <v>828</v>
      </c>
      <c r="K11" s="91">
        <v>37243</v>
      </c>
      <c r="L11" s="93">
        <f t="shared" si="0"/>
        <v>17.08</v>
      </c>
      <c r="M11" s="94">
        <f t="shared" si="1"/>
        <v>1397.48</v>
      </c>
      <c r="N11" s="94">
        <f t="shared" si="2"/>
        <v>62858.6504</v>
      </c>
      <c r="O11" s="94">
        <f t="shared" si="3"/>
        <v>-2.95555555555556</v>
      </c>
      <c r="P11" s="94">
        <f t="shared" si="4"/>
        <v>776.377777777778</v>
      </c>
      <c r="Q11" s="94">
        <f t="shared" si="5"/>
        <v>52382.2086666667</v>
      </c>
      <c r="R11" s="94">
        <f t="shared" si="6"/>
        <v>776.377777777778</v>
      </c>
      <c r="S11" s="94">
        <f t="shared" si="7"/>
        <v>25.0444444444444</v>
      </c>
      <c r="T11" s="94">
        <f t="shared" si="8"/>
        <v>-2.95555555555556</v>
      </c>
      <c r="U11" s="94">
        <f t="shared" si="9"/>
        <v>52382.2086666667</v>
      </c>
      <c r="V11" s="95">
        <f>_xlfn.XLOOKUP(B11,[1]Sheet1!$B:$B,[1]Sheet1!$P:$P)</f>
        <v>0.631111111111111</v>
      </c>
      <c r="W11" s="96">
        <f t="shared" si="10"/>
        <v>15.8058271604938</v>
      </c>
      <c r="X11" s="96">
        <f t="shared" si="11"/>
        <v>489.980641975309</v>
      </c>
      <c r="Y11" s="96">
        <f t="shared" si="12"/>
        <v>33058.9939140741</v>
      </c>
      <c r="Z11" s="95">
        <f>_xlfn.XLOOKUP(B11,[1]Sheet1!$B:$B,[1]Sheet1!$Q:$Q)</f>
        <v>0.368888888888889</v>
      </c>
      <c r="AA11" s="96">
        <f t="shared" si="13"/>
        <v>9.23861728395062</v>
      </c>
      <c r="AB11" s="96">
        <f t="shared" si="14"/>
        <v>286.397135802469</v>
      </c>
      <c r="AC11" s="96">
        <f t="shared" si="15"/>
        <v>19323.2147525926</v>
      </c>
      <c r="AD11" s="97" t="s">
        <v>550</v>
      </c>
    </row>
    <row r="12" ht="15" customHeight="1" spans="1:30">
      <c r="A12" s="90" t="s">
        <v>49</v>
      </c>
      <c r="B12" s="91" t="s">
        <v>124</v>
      </c>
      <c r="C12" s="91" t="s">
        <v>34</v>
      </c>
      <c r="D12" s="91" t="s">
        <v>35</v>
      </c>
      <c r="E12" s="91" t="s">
        <v>125</v>
      </c>
      <c r="F12" s="91">
        <v>94.05</v>
      </c>
      <c r="G12" s="91">
        <v>973</v>
      </c>
      <c r="H12" s="92">
        <v>12</v>
      </c>
      <c r="I12" s="91">
        <v>81</v>
      </c>
      <c r="J12" s="91">
        <v>368</v>
      </c>
      <c r="K12" s="91">
        <v>34610</v>
      </c>
      <c r="L12" s="93">
        <f t="shared" si="0"/>
        <v>7.46</v>
      </c>
      <c r="M12" s="94">
        <f t="shared" si="1"/>
        <v>603.26</v>
      </c>
      <c r="N12" s="94">
        <f t="shared" si="2"/>
        <v>56736.603</v>
      </c>
      <c r="O12" s="94">
        <f t="shared" si="3"/>
        <v>-1.18888888888889</v>
      </c>
      <c r="P12" s="94">
        <f t="shared" si="4"/>
        <v>335.144444444444</v>
      </c>
      <c r="Q12" s="94">
        <f t="shared" si="5"/>
        <v>47280.5025</v>
      </c>
      <c r="R12" s="94">
        <f t="shared" si="6"/>
        <v>335.144444444444</v>
      </c>
      <c r="S12" s="94">
        <f t="shared" si="7"/>
        <v>10.8111111111111</v>
      </c>
      <c r="T12" s="94">
        <f t="shared" si="8"/>
        <v>-1.18888888888889</v>
      </c>
      <c r="U12" s="94">
        <f t="shared" si="9"/>
        <v>47280.5025</v>
      </c>
      <c r="V12" s="95">
        <f>_xlfn.XLOOKUP(B12,[1]Sheet1!$B:$B,[1]Sheet1!$P:$P)</f>
        <v>0.211538461538462</v>
      </c>
      <c r="W12" s="96">
        <f t="shared" si="10"/>
        <v>2.28696581196582</v>
      </c>
      <c r="X12" s="96">
        <f t="shared" si="11"/>
        <v>70.8959401709403</v>
      </c>
      <c r="Y12" s="96">
        <f t="shared" si="12"/>
        <v>10001.6447596154</v>
      </c>
      <c r="Z12" s="95">
        <f>_xlfn.XLOOKUP(B12,[1]Sheet1!$B:$B,[1]Sheet1!$Q:$Q)</f>
        <v>0.788461538461538</v>
      </c>
      <c r="AA12" s="96">
        <f t="shared" si="13"/>
        <v>8.52414529914529</v>
      </c>
      <c r="AB12" s="96">
        <f t="shared" si="14"/>
        <v>264.248504273504</v>
      </c>
      <c r="AC12" s="96">
        <f t="shared" si="15"/>
        <v>37278.8577403846</v>
      </c>
      <c r="AD12" s="97" t="s">
        <v>537</v>
      </c>
    </row>
    <row r="13" ht="15" customHeight="1" spans="1:30">
      <c r="A13" s="90" t="s">
        <v>123</v>
      </c>
      <c r="B13" s="91" t="s">
        <v>121</v>
      </c>
      <c r="C13" s="91" t="s">
        <v>34</v>
      </c>
      <c r="D13" s="91" t="s">
        <v>35</v>
      </c>
      <c r="E13" s="91" t="s">
        <v>106</v>
      </c>
      <c r="F13" s="91">
        <v>67.79</v>
      </c>
      <c r="G13" s="91">
        <v>413</v>
      </c>
      <c r="H13" s="92">
        <v>1</v>
      </c>
      <c r="I13" s="91">
        <v>413</v>
      </c>
      <c r="J13" s="91">
        <v>325</v>
      </c>
      <c r="K13" s="91">
        <v>30641</v>
      </c>
      <c r="L13" s="93">
        <f t="shared" si="0"/>
        <v>7.26</v>
      </c>
      <c r="M13" s="94">
        <f t="shared" si="1"/>
        <v>256.06</v>
      </c>
      <c r="N13" s="94" t="s">
        <v>92</v>
      </c>
      <c r="O13" s="94">
        <f t="shared" si="3"/>
        <v>3.58888888888889</v>
      </c>
      <c r="P13" s="94">
        <f t="shared" si="4"/>
        <v>142.255555555556</v>
      </c>
      <c r="Q13" s="94">
        <f t="shared" si="5"/>
        <v>14465.2561666667</v>
      </c>
      <c r="R13" s="94">
        <f t="shared" si="6"/>
        <v>142.255555555556</v>
      </c>
      <c r="S13" s="94">
        <f t="shared" si="7"/>
        <v>4.58888888888889</v>
      </c>
      <c r="T13" s="94">
        <f t="shared" si="8"/>
        <v>3.58888888888889</v>
      </c>
      <c r="U13" s="94">
        <f t="shared" si="9"/>
        <v>14465.2561666667</v>
      </c>
      <c r="V13" s="95">
        <f>_xlfn.XLOOKUP(B13,[1]Sheet1!$B:$B,[1]Sheet1!$P:$P)</f>
        <v>0.814814814814815</v>
      </c>
      <c r="W13" s="96">
        <f t="shared" si="10"/>
        <v>3.73909465020576</v>
      </c>
      <c r="X13" s="96">
        <f t="shared" si="11"/>
        <v>115.911934156379</v>
      </c>
      <c r="Y13" s="96">
        <f t="shared" si="12"/>
        <v>11786.5050246914</v>
      </c>
      <c r="Z13" s="95">
        <f>_xlfn.XLOOKUP(B13,[1]Sheet1!$B:$B,[1]Sheet1!$Q:$Q)</f>
        <v>0.185185185185185</v>
      </c>
      <c r="AA13" s="96">
        <f t="shared" si="13"/>
        <v>0.849794238683127</v>
      </c>
      <c r="AB13" s="96">
        <f t="shared" si="14"/>
        <v>26.3436213991769</v>
      </c>
      <c r="AC13" s="96">
        <f t="shared" si="15"/>
        <v>2678.75114197531</v>
      </c>
      <c r="AD13" s="97" t="s">
        <v>550</v>
      </c>
    </row>
    <row r="14" ht="15" customHeight="1" spans="1:30">
      <c r="A14" s="90" t="s">
        <v>96</v>
      </c>
      <c r="B14" s="91" t="s">
        <v>97</v>
      </c>
      <c r="C14" s="91" t="s">
        <v>34</v>
      </c>
      <c r="D14" s="91" t="s">
        <v>51</v>
      </c>
      <c r="E14" s="91" t="s">
        <v>61</v>
      </c>
      <c r="F14" s="91">
        <v>37.88</v>
      </c>
      <c r="G14" s="91">
        <v>985</v>
      </c>
      <c r="H14" s="92">
        <v>8</v>
      </c>
      <c r="I14" s="91">
        <v>123</v>
      </c>
      <c r="J14" s="91">
        <v>579</v>
      </c>
      <c r="K14" s="91">
        <v>26743</v>
      </c>
      <c r="L14" s="93">
        <f t="shared" si="0"/>
        <v>11.7</v>
      </c>
      <c r="M14" s="94">
        <f t="shared" si="1"/>
        <v>610.7</v>
      </c>
      <c r="N14" s="94">
        <f t="shared" ref="N14:N77" si="16">M14*F14</f>
        <v>23133.316</v>
      </c>
      <c r="O14" s="94">
        <f t="shared" si="3"/>
        <v>2.94444444444444</v>
      </c>
      <c r="P14" s="94">
        <f t="shared" si="4"/>
        <v>339.277777777778</v>
      </c>
      <c r="Q14" s="94">
        <f t="shared" si="5"/>
        <v>19277.7633333333</v>
      </c>
      <c r="R14" s="94">
        <f t="shared" si="6"/>
        <v>339.277777777778</v>
      </c>
      <c r="S14" s="94">
        <f t="shared" si="7"/>
        <v>10.9444444444444</v>
      </c>
      <c r="T14" s="94">
        <f t="shared" si="8"/>
        <v>2.94444444444444</v>
      </c>
      <c r="U14" s="94">
        <f t="shared" si="9"/>
        <v>19277.7633333333</v>
      </c>
      <c r="V14" s="95">
        <f>_xlfn.XLOOKUP(B14,[1]Sheet1!$B:$B,[1]Sheet1!$P:$P)</f>
        <v>0.487603305785124</v>
      </c>
      <c r="W14" s="96">
        <f t="shared" si="10"/>
        <v>5.33654729109275</v>
      </c>
      <c r="X14" s="96">
        <f t="shared" si="11"/>
        <v>165.432966023875</v>
      </c>
      <c r="Y14" s="96">
        <f t="shared" si="12"/>
        <v>9399.90112947659</v>
      </c>
      <c r="Z14" s="95">
        <f>_xlfn.XLOOKUP(B14,[1]Sheet1!$B:$B,[1]Sheet1!$Q:$Q)</f>
        <v>0.512396694214876</v>
      </c>
      <c r="AA14" s="96">
        <f t="shared" si="13"/>
        <v>5.6078971533517</v>
      </c>
      <c r="AB14" s="96">
        <f t="shared" si="14"/>
        <v>173.844811753903</v>
      </c>
      <c r="AC14" s="96">
        <f t="shared" si="15"/>
        <v>9877.86220385675</v>
      </c>
      <c r="AD14" s="97" t="s">
        <v>547</v>
      </c>
    </row>
    <row r="15" ht="15" customHeight="1" spans="1:30">
      <c r="A15" s="90" t="s">
        <v>116</v>
      </c>
      <c r="B15" s="91" t="s">
        <v>551</v>
      </c>
      <c r="C15" s="91" t="s">
        <v>34</v>
      </c>
      <c r="D15" s="91" t="s">
        <v>35</v>
      </c>
      <c r="E15" s="91" t="s">
        <v>57</v>
      </c>
      <c r="F15" s="91">
        <v>329.025</v>
      </c>
      <c r="G15" s="91">
        <v>58</v>
      </c>
      <c r="H15" s="92"/>
      <c r="I15" s="91"/>
      <c r="J15" s="91">
        <v>55</v>
      </c>
      <c r="K15" s="91">
        <v>26651</v>
      </c>
      <c r="L15" s="93">
        <f t="shared" si="0"/>
        <v>1.16</v>
      </c>
      <c r="M15" s="94">
        <f t="shared" si="1"/>
        <v>35.96</v>
      </c>
      <c r="N15" s="94">
        <f t="shared" si="16"/>
        <v>11831.739</v>
      </c>
      <c r="O15" s="94">
        <f t="shared" si="3"/>
        <v>0.644444444444444</v>
      </c>
      <c r="P15" s="94">
        <f t="shared" si="4"/>
        <v>19.9777777777778</v>
      </c>
      <c r="Q15" s="94">
        <f t="shared" si="5"/>
        <v>9859.7825</v>
      </c>
      <c r="R15" s="94">
        <f t="shared" si="6"/>
        <v>19.9777777777778</v>
      </c>
      <c r="S15" s="94">
        <f t="shared" si="7"/>
        <v>0.644444444444444</v>
      </c>
      <c r="T15" s="94">
        <f t="shared" si="8"/>
        <v>0.644444444444444</v>
      </c>
      <c r="U15" s="94">
        <f t="shared" si="9"/>
        <v>9859.7825</v>
      </c>
      <c r="V15" s="95">
        <f>_xlfn.XLOOKUP(B15,[1]Sheet1!$B:$B,[1]Sheet1!$P:$P)</f>
        <v>0</v>
      </c>
      <c r="W15" s="96">
        <f t="shared" si="10"/>
        <v>0</v>
      </c>
      <c r="X15" s="96">
        <f t="shared" si="11"/>
        <v>0</v>
      </c>
      <c r="Y15" s="96">
        <f t="shared" si="12"/>
        <v>0</v>
      </c>
      <c r="Z15" s="95">
        <f>_xlfn.XLOOKUP(B15,[1]Sheet1!$B:$B,[1]Sheet1!$Q:$Q)</f>
        <v>0</v>
      </c>
      <c r="AA15" s="96">
        <f t="shared" si="13"/>
        <v>0</v>
      </c>
      <c r="AB15" s="96">
        <f t="shared" si="14"/>
        <v>0</v>
      </c>
      <c r="AC15" s="96">
        <f t="shared" si="15"/>
        <v>0</v>
      </c>
      <c r="AD15" s="97" t="s">
        <v>540</v>
      </c>
    </row>
    <row r="16" ht="15" customHeight="1" spans="1:30">
      <c r="A16" s="98" t="s">
        <v>552</v>
      </c>
      <c r="B16" s="99" t="s">
        <v>95</v>
      </c>
      <c r="C16" s="99" t="s">
        <v>34</v>
      </c>
      <c r="D16" s="99" t="s">
        <v>35</v>
      </c>
      <c r="E16" s="99" t="s">
        <v>66</v>
      </c>
      <c r="F16" s="99">
        <v>127.34</v>
      </c>
      <c r="G16" s="99">
        <v>136</v>
      </c>
      <c r="H16" s="100"/>
      <c r="I16" s="99"/>
      <c r="J16" s="99">
        <v>136</v>
      </c>
      <c r="K16" s="99">
        <v>25977</v>
      </c>
      <c r="L16" s="101">
        <f t="shared" si="0"/>
        <v>2.72</v>
      </c>
      <c r="M16" s="70">
        <f t="shared" si="1"/>
        <v>84.32</v>
      </c>
      <c r="N16" s="70">
        <f t="shared" si="16"/>
        <v>10737.3088</v>
      </c>
      <c r="O16" s="70">
        <f t="shared" si="3"/>
        <v>1.51111111111111</v>
      </c>
      <c r="P16" s="70">
        <f t="shared" si="4"/>
        <v>46.8444444444444</v>
      </c>
      <c r="Q16" s="70">
        <f t="shared" si="5"/>
        <v>8947.75733333333</v>
      </c>
      <c r="R16" s="70">
        <f t="shared" si="6"/>
        <v>46.8444444444444</v>
      </c>
      <c r="S16" s="70">
        <f t="shared" si="7"/>
        <v>1.51111111111111</v>
      </c>
      <c r="T16" s="70">
        <f t="shared" si="8"/>
        <v>1.51111111111111</v>
      </c>
      <c r="U16" s="70">
        <f t="shared" si="9"/>
        <v>8947.75733333333</v>
      </c>
      <c r="V16" s="102">
        <f>_xlfn.XLOOKUP(B16,[1]Sheet1!$B:$B,[1]Sheet1!$P:$P)</f>
        <v>0</v>
      </c>
      <c r="W16" s="103">
        <f t="shared" si="10"/>
        <v>0</v>
      </c>
      <c r="X16" s="103">
        <f t="shared" si="11"/>
        <v>0</v>
      </c>
      <c r="Y16" s="103">
        <f t="shared" si="12"/>
        <v>0</v>
      </c>
      <c r="Z16" s="102">
        <f>_xlfn.XLOOKUP(B16,[1]Sheet1!$B:$B,[1]Sheet1!$Q:$Q)</f>
        <v>0</v>
      </c>
      <c r="AA16" s="103">
        <f t="shared" si="13"/>
        <v>0</v>
      </c>
      <c r="AB16" s="103">
        <f t="shared" si="14"/>
        <v>0</v>
      </c>
      <c r="AC16" s="103">
        <f t="shared" si="15"/>
        <v>0</v>
      </c>
      <c r="AD16" s="104" t="s">
        <v>545</v>
      </c>
    </row>
    <row r="17" ht="15" customHeight="1" spans="1:30">
      <c r="A17" s="90" t="s">
        <v>553</v>
      </c>
      <c r="B17" s="91" t="s">
        <v>261</v>
      </c>
      <c r="C17" s="91" t="s">
        <v>34</v>
      </c>
      <c r="D17" s="91" t="s">
        <v>51</v>
      </c>
      <c r="E17" s="91" t="s">
        <v>80</v>
      </c>
      <c r="F17" s="91">
        <v>19.5121</v>
      </c>
      <c r="G17" s="91">
        <v>1577</v>
      </c>
      <c r="H17" s="92">
        <v>11</v>
      </c>
      <c r="I17" s="91">
        <v>143</v>
      </c>
      <c r="J17" s="91">
        <v>1001</v>
      </c>
      <c r="K17" s="91">
        <v>24819</v>
      </c>
      <c r="L17" s="93">
        <f t="shared" si="0"/>
        <v>20.54</v>
      </c>
      <c r="M17" s="94">
        <f t="shared" si="1"/>
        <v>977.74</v>
      </c>
      <c r="N17" s="94">
        <f t="shared" si="16"/>
        <v>19077.760654</v>
      </c>
      <c r="O17" s="94">
        <f t="shared" si="3"/>
        <v>6.52222222222222</v>
      </c>
      <c r="P17" s="94">
        <f t="shared" si="4"/>
        <v>543.188888888889</v>
      </c>
      <c r="Q17" s="94">
        <f t="shared" si="5"/>
        <v>15898.1338783333</v>
      </c>
      <c r="R17" s="94">
        <f t="shared" si="6"/>
        <v>543.188888888889</v>
      </c>
      <c r="S17" s="94">
        <f t="shared" si="7"/>
        <v>17.5222222222222</v>
      </c>
      <c r="T17" s="94">
        <f t="shared" si="8"/>
        <v>6.52222222222222</v>
      </c>
      <c r="U17" s="94">
        <f t="shared" si="9"/>
        <v>15898.1338783333</v>
      </c>
      <c r="V17" s="95">
        <f>_xlfn.XLOOKUP(B17,[1]Sheet1!$B:$B,[1]Sheet1!$P:$P)</f>
        <v>0.23943661971831</v>
      </c>
      <c r="W17" s="96">
        <f t="shared" si="10"/>
        <v>4.19546165884194</v>
      </c>
      <c r="X17" s="96">
        <f t="shared" si="11"/>
        <v>130.0593114241</v>
      </c>
      <c r="Y17" s="96">
        <f t="shared" si="12"/>
        <v>3806.59543565728</v>
      </c>
      <c r="Z17" s="95">
        <f>_xlfn.XLOOKUP(B17,[1]Sheet1!$B:$B,[1]Sheet1!$Q:$Q)</f>
        <v>0.76056338028169</v>
      </c>
      <c r="AA17" s="96">
        <f t="shared" si="13"/>
        <v>13.3267605633803</v>
      </c>
      <c r="AB17" s="96">
        <f t="shared" si="14"/>
        <v>413.129577464789</v>
      </c>
      <c r="AC17" s="96">
        <f t="shared" si="15"/>
        <v>12091.5384426761</v>
      </c>
      <c r="AD17" s="97" t="s">
        <v>547</v>
      </c>
    </row>
    <row r="18" ht="15" customHeight="1" spans="1:30">
      <c r="A18" s="98" t="s">
        <v>64</v>
      </c>
      <c r="B18" s="99" t="s">
        <v>207</v>
      </c>
      <c r="C18" s="99" t="s">
        <v>34</v>
      </c>
      <c r="D18" s="99" t="s">
        <v>35</v>
      </c>
      <c r="E18" s="99" t="s">
        <v>41</v>
      </c>
      <c r="F18" s="99">
        <v>616.96</v>
      </c>
      <c r="G18" s="99">
        <v>30</v>
      </c>
      <c r="H18" s="100"/>
      <c r="I18" s="99"/>
      <c r="J18" s="99">
        <v>24</v>
      </c>
      <c r="K18" s="99">
        <v>20668</v>
      </c>
      <c r="L18" s="105">
        <f t="shared" si="0"/>
        <v>0.6</v>
      </c>
      <c r="M18" s="73">
        <f t="shared" si="1"/>
        <v>18.6</v>
      </c>
      <c r="N18" s="73">
        <f t="shared" si="16"/>
        <v>11475.456</v>
      </c>
      <c r="O18" s="73">
        <f t="shared" si="3"/>
        <v>0.333333333333333</v>
      </c>
      <c r="P18" s="73">
        <f t="shared" si="4"/>
        <v>10.3333333333333</v>
      </c>
      <c r="Q18" s="73">
        <f t="shared" si="5"/>
        <v>9562.88</v>
      </c>
      <c r="R18" s="73">
        <f t="shared" si="6"/>
        <v>10.3333333333333</v>
      </c>
      <c r="S18" s="73">
        <f t="shared" si="7"/>
        <v>0.333333333333333</v>
      </c>
      <c r="T18" s="73">
        <f t="shared" si="8"/>
        <v>0.333333333333333</v>
      </c>
      <c r="U18" s="73">
        <f t="shared" si="9"/>
        <v>9562.88</v>
      </c>
      <c r="V18" s="102">
        <f>_xlfn.XLOOKUP(B18,[1]Sheet1!$B:$B,[1]Sheet1!$P:$P)</f>
        <v>0</v>
      </c>
      <c r="W18" s="103">
        <f t="shared" si="10"/>
        <v>0</v>
      </c>
      <c r="X18" s="103">
        <f t="shared" si="11"/>
        <v>0</v>
      </c>
      <c r="Y18" s="103">
        <f t="shared" si="12"/>
        <v>0</v>
      </c>
      <c r="Z18" s="102">
        <f>_xlfn.XLOOKUP(B18,[1]Sheet1!$B:$B,[1]Sheet1!$Q:$Q)</f>
        <v>1</v>
      </c>
      <c r="AA18" s="103">
        <f t="shared" si="13"/>
        <v>0.333333333333333</v>
      </c>
      <c r="AB18" s="103">
        <f t="shared" si="14"/>
        <v>10.3333333333333</v>
      </c>
      <c r="AC18" s="103">
        <f t="shared" si="15"/>
        <v>9562.88</v>
      </c>
      <c r="AD18" s="104" t="s">
        <v>545</v>
      </c>
    </row>
    <row r="19" ht="15" customHeight="1" spans="1:30">
      <c r="A19" s="98" t="s">
        <v>554</v>
      </c>
      <c r="B19" s="99" t="s">
        <v>117</v>
      </c>
      <c r="C19" s="99" t="s">
        <v>34</v>
      </c>
      <c r="D19" s="99" t="s">
        <v>35</v>
      </c>
      <c r="E19" s="99" t="s">
        <v>41</v>
      </c>
      <c r="F19" s="99">
        <v>823.74</v>
      </c>
      <c r="G19" s="99">
        <v>39</v>
      </c>
      <c r="H19" s="100"/>
      <c r="I19" s="99"/>
      <c r="J19" s="99">
        <v>21</v>
      </c>
      <c r="K19" s="99">
        <v>19770</v>
      </c>
      <c r="L19" s="105">
        <f t="shared" si="0"/>
        <v>0.78</v>
      </c>
      <c r="M19" s="73">
        <f t="shared" si="1"/>
        <v>24.18</v>
      </c>
      <c r="N19" s="73">
        <f t="shared" si="16"/>
        <v>19918.0332</v>
      </c>
      <c r="O19" s="73">
        <f t="shared" si="3"/>
        <v>0.433333333333333</v>
      </c>
      <c r="P19" s="73">
        <f t="shared" si="4"/>
        <v>13.4333333333333</v>
      </c>
      <c r="Q19" s="73">
        <f t="shared" si="5"/>
        <v>16598.361</v>
      </c>
      <c r="R19" s="73">
        <f t="shared" si="6"/>
        <v>13.4333333333333</v>
      </c>
      <c r="S19" s="73">
        <f t="shared" si="7"/>
        <v>0.433333333333333</v>
      </c>
      <c r="T19" s="73">
        <f t="shared" si="8"/>
        <v>0.433333333333333</v>
      </c>
      <c r="U19" s="73">
        <f t="shared" si="9"/>
        <v>16598.361</v>
      </c>
      <c r="V19" s="102">
        <f>_xlfn.XLOOKUP(B19,[1]Sheet1!$B:$B,[1]Sheet1!$P:$P)</f>
        <v>0.2</v>
      </c>
      <c r="W19" s="103">
        <f t="shared" si="10"/>
        <v>0.0866666666666667</v>
      </c>
      <c r="X19" s="103">
        <f t="shared" si="11"/>
        <v>2.68666666666667</v>
      </c>
      <c r="Y19" s="103">
        <f t="shared" si="12"/>
        <v>3319.6722</v>
      </c>
      <c r="Z19" s="102">
        <f>_xlfn.XLOOKUP(B19,[1]Sheet1!$B:$B,[1]Sheet1!$Q:$Q)</f>
        <v>0.8</v>
      </c>
      <c r="AA19" s="103">
        <f t="shared" si="13"/>
        <v>0.346666666666667</v>
      </c>
      <c r="AB19" s="103">
        <f t="shared" si="14"/>
        <v>10.7466666666667</v>
      </c>
      <c r="AC19" s="103">
        <f t="shared" si="15"/>
        <v>13278.6888</v>
      </c>
      <c r="AD19" s="104" t="s">
        <v>545</v>
      </c>
    </row>
    <row r="20" ht="15" customHeight="1" spans="1:30">
      <c r="A20" s="90" t="s">
        <v>120</v>
      </c>
      <c r="B20" s="91" t="s">
        <v>214</v>
      </c>
      <c r="C20" s="91" t="s">
        <v>34</v>
      </c>
      <c r="D20" s="91" t="s">
        <v>51</v>
      </c>
      <c r="E20" s="91" t="s">
        <v>80</v>
      </c>
      <c r="F20" s="91">
        <v>99.81</v>
      </c>
      <c r="G20" s="91">
        <v>547</v>
      </c>
      <c r="H20" s="92">
        <v>6</v>
      </c>
      <c r="I20" s="91">
        <v>91</v>
      </c>
      <c r="J20" s="91">
        <v>198</v>
      </c>
      <c r="K20" s="91">
        <v>19762</v>
      </c>
      <c r="L20" s="93">
        <f t="shared" si="0"/>
        <v>4.94</v>
      </c>
      <c r="M20" s="94">
        <f t="shared" si="1"/>
        <v>339.14</v>
      </c>
      <c r="N20" s="94">
        <f t="shared" si="16"/>
        <v>33849.5634</v>
      </c>
      <c r="O20" s="94">
        <f t="shared" si="3"/>
        <v>0.0777777777777778</v>
      </c>
      <c r="P20" s="94">
        <f t="shared" si="4"/>
        <v>188.411111111111</v>
      </c>
      <c r="Q20" s="94">
        <f t="shared" si="5"/>
        <v>28207.9695</v>
      </c>
      <c r="R20" s="94">
        <f t="shared" si="6"/>
        <v>188.411111111111</v>
      </c>
      <c r="S20" s="94">
        <f t="shared" si="7"/>
        <v>6.07777777777778</v>
      </c>
      <c r="T20" s="94">
        <f t="shared" si="8"/>
        <v>0.0777777777777775</v>
      </c>
      <c r="U20" s="94">
        <f t="shared" si="9"/>
        <v>28207.9695</v>
      </c>
      <c r="V20" s="95">
        <f>_xlfn.XLOOKUP(B20,[1]Sheet1!$B:$B,[1]Sheet1!$P:$P)</f>
        <v>0.604395604395604</v>
      </c>
      <c r="W20" s="96">
        <f t="shared" si="10"/>
        <v>3.67338217338217</v>
      </c>
      <c r="X20" s="96">
        <f t="shared" si="11"/>
        <v>113.874847374847</v>
      </c>
      <c r="Y20" s="96">
        <f t="shared" si="12"/>
        <v>17048.7727747253</v>
      </c>
      <c r="Z20" s="95">
        <f>_xlfn.XLOOKUP(B20,[1]Sheet1!$B:$B,[1]Sheet1!$Q:$Q)</f>
        <v>0.395604395604396</v>
      </c>
      <c r="AA20" s="96">
        <f t="shared" si="13"/>
        <v>2.40439560439561</v>
      </c>
      <c r="AB20" s="96">
        <f t="shared" si="14"/>
        <v>74.5362637362638</v>
      </c>
      <c r="AC20" s="96">
        <f t="shared" si="15"/>
        <v>11159.1967252747</v>
      </c>
      <c r="AD20" s="97" t="s">
        <v>547</v>
      </c>
    </row>
    <row r="21" ht="15" customHeight="1" spans="1:30">
      <c r="A21" s="98" t="s">
        <v>174</v>
      </c>
      <c r="B21" s="99" t="s">
        <v>127</v>
      </c>
      <c r="C21" s="99" t="s">
        <v>34</v>
      </c>
      <c r="D21" s="99" t="s">
        <v>51</v>
      </c>
      <c r="E21" s="99" t="s">
        <v>128</v>
      </c>
      <c r="F21" s="99">
        <v>203.25</v>
      </c>
      <c r="G21" s="99">
        <v>77</v>
      </c>
      <c r="H21" s="100"/>
      <c r="I21" s="99"/>
      <c r="J21" s="99">
        <v>67</v>
      </c>
      <c r="K21" s="99">
        <v>19614</v>
      </c>
      <c r="L21" s="106">
        <f t="shared" si="0"/>
        <v>1.54</v>
      </c>
      <c r="M21" s="107">
        <f t="shared" si="1"/>
        <v>47.74</v>
      </c>
      <c r="N21" s="107">
        <f t="shared" si="16"/>
        <v>9703.155</v>
      </c>
      <c r="O21" s="107">
        <f t="shared" si="3"/>
        <v>0.855555555555556</v>
      </c>
      <c r="P21" s="107">
        <f t="shared" si="4"/>
        <v>26.5222222222222</v>
      </c>
      <c r="Q21" s="107">
        <f t="shared" si="5"/>
        <v>8085.9625</v>
      </c>
      <c r="R21" s="107">
        <f t="shared" si="6"/>
        <v>26.5222222222222</v>
      </c>
      <c r="S21" s="107">
        <f t="shared" si="7"/>
        <v>0.855555555555556</v>
      </c>
      <c r="T21" s="107">
        <f t="shared" si="8"/>
        <v>0.855555555555556</v>
      </c>
      <c r="U21" s="107">
        <f t="shared" si="9"/>
        <v>8085.9625</v>
      </c>
      <c r="V21" s="102">
        <f>_xlfn.XLOOKUP(B21,[1]Sheet1!$B:$B,[1]Sheet1!$P:$P)</f>
        <v>0.5</v>
      </c>
      <c r="W21" s="103">
        <f t="shared" si="10"/>
        <v>0.427777777777778</v>
      </c>
      <c r="X21" s="103">
        <f t="shared" si="11"/>
        <v>13.2611111111111</v>
      </c>
      <c r="Y21" s="103">
        <v>60</v>
      </c>
      <c r="Z21" s="102">
        <f>_xlfn.XLOOKUP(B21,[1]Sheet1!$B:$B,[1]Sheet1!$Q:$Q)</f>
        <v>0.5</v>
      </c>
      <c r="AA21" s="103">
        <f t="shared" si="13"/>
        <v>0.427777777777778</v>
      </c>
      <c r="AB21" s="103">
        <f t="shared" si="14"/>
        <v>13.2611111111111</v>
      </c>
      <c r="AC21" s="103">
        <f t="shared" si="15"/>
        <v>4042.98125</v>
      </c>
      <c r="AD21" s="104" t="s">
        <v>545</v>
      </c>
    </row>
    <row r="22" ht="15" customHeight="1" spans="1:30">
      <c r="A22" s="72" t="s">
        <v>186</v>
      </c>
      <c r="B22" s="108" t="s">
        <v>191</v>
      </c>
      <c r="C22" s="108" t="s">
        <v>34</v>
      </c>
      <c r="D22" s="108" t="s">
        <v>35</v>
      </c>
      <c r="E22" s="108" t="s">
        <v>192</v>
      </c>
      <c r="F22" s="108">
        <v>124.39</v>
      </c>
      <c r="G22" s="108">
        <v>100</v>
      </c>
      <c r="H22" s="109"/>
      <c r="I22" s="108"/>
      <c r="J22" s="108">
        <v>100</v>
      </c>
      <c r="K22" s="108">
        <v>18659</v>
      </c>
      <c r="L22" s="105">
        <f t="shared" si="0"/>
        <v>2</v>
      </c>
      <c r="M22" s="73">
        <f t="shared" si="1"/>
        <v>62</v>
      </c>
      <c r="N22" s="73">
        <f t="shared" si="16"/>
        <v>7712.18</v>
      </c>
      <c r="O22" s="73">
        <f t="shared" si="3"/>
        <v>1.11111111111111</v>
      </c>
      <c r="P22" s="73">
        <f t="shared" si="4"/>
        <v>34.4444444444444</v>
      </c>
      <c r="Q22" s="73">
        <f t="shared" si="5"/>
        <v>6426.81666666667</v>
      </c>
      <c r="R22" s="73">
        <f t="shared" si="6"/>
        <v>34.4444444444444</v>
      </c>
      <c r="S22" s="73">
        <f t="shared" si="7"/>
        <v>1.11111111111111</v>
      </c>
      <c r="T22" s="73">
        <f t="shared" si="8"/>
        <v>1.11111111111111</v>
      </c>
      <c r="U22" s="73">
        <f t="shared" si="9"/>
        <v>6426.81666666667</v>
      </c>
      <c r="V22" s="75">
        <f>_xlfn.XLOOKUP(B22,[1]Sheet1!$B:$B,[1]Sheet1!$P:$P)</f>
        <v>0</v>
      </c>
      <c r="W22" s="73">
        <f t="shared" si="10"/>
        <v>0</v>
      </c>
      <c r="X22" s="73">
        <f t="shared" si="11"/>
        <v>0</v>
      </c>
      <c r="Y22" s="73">
        <f t="shared" ref="Y22:Y85" si="17">X22*F22*1.5</f>
        <v>0</v>
      </c>
      <c r="Z22" s="75">
        <f>_xlfn.XLOOKUP(B22,[1]Sheet1!$B:$B,[1]Sheet1!$Q:$Q)</f>
        <v>0</v>
      </c>
      <c r="AA22" s="73">
        <f t="shared" si="13"/>
        <v>0</v>
      </c>
      <c r="AB22" s="73">
        <f t="shared" si="14"/>
        <v>0</v>
      </c>
      <c r="AC22" s="73">
        <f t="shared" si="15"/>
        <v>0</v>
      </c>
      <c r="AD22" s="68" t="s">
        <v>537</v>
      </c>
    </row>
    <row r="23" ht="15" customHeight="1" spans="1:30">
      <c r="A23" s="72" t="s">
        <v>555</v>
      </c>
      <c r="B23" s="108" t="s">
        <v>109</v>
      </c>
      <c r="C23" s="108" t="s">
        <v>34</v>
      </c>
      <c r="D23" s="108" t="s">
        <v>35</v>
      </c>
      <c r="E23" s="108" t="s">
        <v>110</v>
      </c>
      <c r="F23" s="108">
        <v>18.36</v>
      </c>
      <c r="G23" s="108">
        <v>1466</v>
      </c>
      <c r="H23" s="109">
        <v>12</v>
      </c>
      <c r="I23" s="108">
        <v>122</v>
      </c>
      <c r="J23" s="108">
        <v>828</v>
      </c>
      <c r="K23" s="108">
        <v>18112</v>
      </c>
      <c r="L23" s="105">
        <f t="shared" si="0"/>
        <v>17.32</v>
      </c>
      <c r="M23" s="73">
        <f t="shared" si="1"/>
        <v>908.92</v>
      </c>
      <c r="N23" s="73">
        <f t="shared" si="16"/>
        <v>16687.7712</v>
      </c>
      <c r="O23" s="73">
        <f t="shared" si="3"/>
        <v>4.28888888888889</v>
      </c>
      <c r="P23" s="73">
        <f t="shared" si="4"/>
        <v>504.955555555556</v>
      </c>
      <c r="Q23" s="73">
        <f t="shared" si="5"/>
        <v>13906.476</v>
      </c>
      <c r="R23" s="73">
        <f t="shared" si="6"/>
        <v>504.955555555556</v>
      </c>
      <c r="S23" s="73">
        <f t="shared" si="7"/>
        <v>16.2888888888889</v>
      </c>
      <c r="T23" s="73">
        <f t="shared" si="8"/>
        <v>4.28888888888889</v>
      </c>
      <c r="U23" s="73">
        <f t="shared" si="9"/>
        <v>13906.476</v>
      </c>
      <c r="V23" s="75">
        <f>_xlfn.XLOOKUP(B23,[1]Sheet1!$B:$B,[1]Sheet1!$P:$P)</f>
        <v>0.3375</v>
      </c>
      <c r="W23" s="73">
        <f t="shared" si="10"/>
        <v>5.4975</v>
      </c>
      <c r="X23" s="73">
        <f t="shared" si="11"/>
        <v>170.4225</v>
      </c>
      <c r="Y23" s="73">
        <f t="shared" si="17"/>
        <v>4693.43565</v>
      </c>
      <c r="Z23" s="75">
        <f>_xlfn.XLOOKUP(B23,[1]Sheet1!$B:$B,[1]Sheet1!$Q:$Q)</f>
        <v>0.6625</v>
      </c>
      <c r="AA23" s="73">
        <f t="shared" si="13"/>
        <v>10.7913888888889</v>
      </c>
      <c r="AB23" s="73">
        <f t="shared" si="14"/>
        <v>334.533055555556</v>
      </c>
      <c r="AC23" s="73">
        <f t="shared" si="15"/>
        <v>9213.04035</v>
      </c>
      <c r="AD23" s="68" t="s">
        <v>537</v>
      </c>
    </row>
    <row r="24" ht="15" customHeight="1" spans="1:30">
      <c r="A24" s="72" t="s">
        <v>556</v>
      </c>
      <c r="B24" s="108" t="s">
        <v>143</v>
      </c>
      <c r="C24" s="108" t="s">
        <v>34</v>
      </c>
      <c r="D24" s="108" t="s">
        <v>35</v>
      </c>
      <c r="E24" s="108" t="s">
        <v>144</v>
      </c>
      <c r="F24" s="108">
        <v>98.3251</v>
      </c>
      <c r="G24" s="108">
        <v>120</v>
      </c>
      <c r="H24" s="109"/>
      <c r="I24" s="108"/>
      <c r="J24" s="108">
        <v>120</v>
      </c>
      <c r="K24" s="108">
        <v>17699</v>
      </c>
      <c r="L24" s="105">
        <f t="shared" si="0"/>
        <v>2.4</v>
      </c>
      <c r="M24" s="73">
        <f t="shared" si="1"/>
        <v>74.4</v>
      </c>
      <c r="N24" s="73">
        <f t="shared" si="16"/>
        <v>7315.38744</v>
      </c>
      <c r="O24" s="73">
        <f t="shared" si="3"/>
        <v>1.33333333333333</v>
      </c>
      <c r="P24" s="73">
        <f t="shared" si="4"/>
        <v>41.3333333333333</v>
      </c>
      <c r="Q24" s="73">
        <f t="shared" si="5"/>
        <v>6096.1562</v>
      </c>
      <c r="R24" s="73">
        <f t="shared" si="6"/>
        <v>41.3333333333333</v>
      </c>
      <c r="S24" s="73">
        <f t="shared" si="7"/>
        <v>1.33333333333333</v>
      </c>
      <c r="T24" s="73">
        <f t="shared" si="8"/>
        <v>1.33333333333333</v>
      </c>
      <c r="U24" s="73">
        <f t="shared" si="9"/>
        <v>6096.1562</v>
      </c>
      <c r="V24" s="75" t="e">
        <f>_xlfn.XLOOKUP(B24,[1]Sheet1!$B:$B,[1]Sheet1!$P:$P)</f>
        <v>#N/A</v>
      </c>
      <c r="W24" s="73" t="e">
        <f t="shared" si="10"/>
        <v>#N/A</v>
      </c>
      <c r="X24" s="73" t="e">
        <f t="shared" si="11"/>
        <v>#N/A</v>
      </c>
      <c r="Y24" s="73" t="e">
        <f t="shared" si="17"/>
        <v>#N/A</v>
      </c>
      <c r="Z24" s="75" t="e">
        <f>_xlfn.XLOOKUP(B24,[1]Sheet1!$B:$B,[1]Sheet1!$Q:$Q)</f>
        <v>#N/A</v>
      </c>
      <c r="AA24" s="73" t="e">
        <f t="shared" si="13"/>
        <v>#N/A</v>
      </c>
      <c r="AB24" s="73" t="e">
        <f t="shared" si="14"/>
        <v>#N/A</v>
      </c>
      <c r="AC24" s="73" t="e">
        <f t="shared" si="15"/>
        <v>#N/A</v>
      </c>
      <c r="AD24" s="68" t="s">
        <v>557</v>
      </c>
    </row>
    <row r="25" ht="15" customHeight="1" spans="1:30">
      <c r="A25" s="110" t="s">
        <v>188</v>
      </c>
      <c r="B25" s="111" t="s">
        <v>164</v>
      </c>
      <c r="C25" s="111" t="s">
        <v>34</v>
      </c>
      <c r="D25" s="111" t="s">
        <v>51</v>
      </c>
      <c r="E25" s="111" t="s">
        <v>165</v>
      </c>
      <c r="F25" s="111">
        <v>89.55</v>
      </c>
      <c r="G25" s="111">
        <v>157</v>
      </c>
      <c r="H25" s="112"/>
      <c r="I25" s="111"/>
      <c r="J25" s="111">
        <v>136</v>
      </c>
      <c r="K25" s="111">
        <v>17507</v>
      </c>
      <c r="L25" s="113">
        <f t="shared" si="0"/>
        <v>3.14</v>
      </c>
      <c r="M25" s="80">
        <f t="shared" si="1"/>
        <v>97.34</v>
      </c>
      <c r="N25" s="80">
        <f t="shared" si="16"/>
        <v>8716.797</v>
      </c>
      <c r="O25" s="80">
        <f t="shared" si="3"/>
        <v>1.74444444444444</v>
      </c>
      <c r="P25" s="80">
        <f t="shared" si="4"/>
        <v>54.0777777777778</v>
      </c>
      <c r="Q25" s="80">
        <f t="shared" si="5"/>
        <v>7263.9975</v>
      </c>
      <c r="R25" s="80">
        <f t="shared" si="6"/>
        <v>54.0777777777778</v>
      </c>
      <c r="S25" s="80">
        <f t="shared" si="7"/>
        <v>1.74444444444444</v>
      </c>
      <c r="T25" s="80">
        <f t="shared" si="8"/>
        <v>1.74444444444444</v>
      </c>
      <c r="U25" s="80">
        <f t="shared" si="9"/>
        <v>7263.9975</v>
      </c>
      <c r="V25" s="114">
        <f>_xlfn.XLOOKUP(B25,[1]Sheet1!$B:$B,[1]Sheet1!$P:$P)</f>
        <v>1</v>
      </c>
      <c r="W25" s="115">
        <f t="shared" si="10"/>
        <v>1.74444444444444</v>
      </c>
      <c r="X25" s="115">
        <f t="shared" si="11"/>
        <v>54.0777777777778</v>
      </c>
      <c r="Y25" s="115">
        <f t="shared" si="17"/>
        <v>7263.9975</v>
      </c>
      <c r="Z25" s="114">
        <f>_xlfn.XLOOKUP(B25,[1]Sheet1!$B:$B,[1]Sheet1!$Q:$Q)</f>
        <v>0</v>
      </c>
      <c r="AA25" s="115">
        <f t="shared" si="13"/>
        <v>0</v>
      </c>
      <c r="AB25" s="115">
        <f t="shared" si="14"/>
        <v>0</v>
      </c>
      <c r="AC25" s="115">
        <f t="shared" si="15"/>
        <v>0</v>
      </c>
      <c r="AD25" s="116" t="s">
        <v>558</v>
      </c>
    </row>
    <row r="26" ht="15" customHeight="1" spans="1:30">
      <c r="A26" s="72" t="s">
        <v>154</v>
      </c>
      <c r="B26" s="108" t="s">
        <v>138</v>
      </c>
      <c r="C26" s="108" t="s">
        <v>34</v>
      </c>
      <c r="D26" s="108" t="s">
        <v>35</v>
      </c>
      <c r="E26" s="108" t="s">
        <v>110</v>
      </c>
      <c r="F26" s="108">
        <v>19.31</v>
      </c>
      <c r="G26" s="108">
        <v>1179</v>
      </c>
      <c r="H26" s="109">
        <v>9</v>
      </c>
      <c r="I26" s="108">
        <v>131</v>
      </c>
      <c r="J26" s="108">
        <v>709</v>
      </c>
      <c r="K26" s="108">
        <v>16906</v>
      </c>
      <c r="L26" s="105">
        <f t="shared" si="0"/>
        <v>14.58</v>
      </c>
      <c r="M26" s="73">
        <f t="shared" si="1"/>
        <v>730.98</v>
      </c>
      <c r="N26" s="73">
        <f t="shared" si="16"/>
        <v>14115.2238</v>
      </c>
      <c r="O26" s="73">
        <f t="shared" si="3"/>
        <v>4.1</v>
      </c>
      <c r="P26" s="73">
        <f t="shared" si="4"/>
        <v>406.1</v>
      </c>
      <c r="Q26" s="73">
        <f t="shared" si="5"/>
        <v>11762.6865</v>
      </c>
      <c r="R26" s="73">
        <f t="shared" si="6"/>
        <v>406.1</v>
      </c>
      <c r="S26" s="73">
        <f t="shared" si="7"/>
        <v>13.1</v>
      </c>
      <c r="T26" s="73">
        <f t="shared" si="8"/>
        <v>4.1</v>
      </c>
      <c r="U26" s="73">
        <f t="shared" si="9"/>
        <v>11762.6865</v>
      </c>
      <c r="V26" s="75">
        <f>_xlfn.XLOOKUP(B26,[1]Sheet1!$B:$B,[1]Sheet1!$P:$P)</f>
        <v>0.510416666666667</v>
      </c>
      <c r="W26" s="73">
        <f t="shared" si="10"/>
        <v>6.68645833333334</v>
      </c>
      <c r="X26" s="73">
        <f t="shared" si="11"/>
        <v>207.280208333333</v>
      </c>
      <c r="Y26" s="73">
        <f t="shared" si="17"/>
        <v>6003.871234375</v>
      </c>
      <c r="Z26" s="75">
        <f>_xlfn.XLOOKUP(B26,[1]Sheet1!$B:$B,[1]Sheet1!$Q:$Q)</f>
        <v>0.489583333333333</v>
      </c>
      <c r="AA26" s="73">
        <f t="shared" si="13"/>
        <v>6.41354166666666</v>
      </c>
      <c r="AB26" s="73">
        <f t="shared" si="14"/>
        <v>198.819791666667</v>
      </c>
      <c r="AC26" s="73">
        <f t="shared" si="15"/>
        <v>5758.81526562499</v>
      </c>
      <c r="AD26" s="68" t="s">
        <v>537</v>
      </c>
    </row>
    <row r="27" ht="15" customHeight="1" spans="1:30">
      <c r="A27" s="90" t="s">
        <v>559</v>
      </c>
      <c r="B27" s="91" t="s">
        <v>159</v>
      </c>
      <c r="C27" s="91" t="s">
        <v>34</v>
      </c>
      <c r="D27" s="91" t="s">
        <v>35</v>
      </c>
      <c r="E27" s="91" t="s">
        <v>160</v>
      </c>
      <c r="F27" s="91">
        <v>74.34</v>
      </c>
      <c r="G27" s="91">
        <v>491</v>
      </c>
      <c r="H27" s="92">
        <v>5</v>
      </c>
      <c r="I27" s="91">
        <v>98</v>
      </c>
      <c r="J27" s="91">
        <v>223</v>
      </c>
      <c r="K27" s="91">
        <v>16875</v>
      </c>
      <c r="L27" s="93">
        <f t="shared" si="0"/>
        <v>4.82</v>
      </c>
      <c r="M27" s="94">
        <f t="shared" si="1"/>
        <v>304.42</v>
      </c>
      <c r="N27" s="94">
        <f t="shared" si="16"/>
        <v>22630.5828</v>
      </c>
      <c r="O27" s="94">
        <f t="shared" si="3"/>
        <v>0.455555555555556</v>
      </c>
      <c r="P27" s="94">
        <f t="shared" si="4"/>
        <v>169.122222222222</v>
      </c>
      <c r="Q27" s="94">
        <f t="shared" si="5"/>
        <v>18858.819</v>
      </c>
      <c r="R27" s="94">
        <f t="shared" si="6"/>
        <v>169.122222222222</v>
      </c>
      <c r="S27" s="94">
        <f t="shared" si="7"/>
        <v>5.45555555555556</v>
      </c>
      <c r="T27" s="94">
        <f t="shared" si="8"/>
        <v>0.455555555555556</v>
      </c>
      <c r="U27" s="94">
        <f t="shared" si="9"/>
        <v>18858.819</v>
      </c>
      <c r="V27" s="95">
        <f>_xlfn.XLOOKUP(B27,[1]Sheet1!$B:$B,[1]Sheet1!$P:$P)</f>
        <v>0.6</v>
      </c>
      <c r="W27" s="96">
        <f t="shared" si="10"/>
        <v>3.27333333333333</v>
      </c>
      <c r="X27" s="96">
        <f t="shared" si="11"/>
        <v>101.473333333333</v>
      </c>
      <c r="Y27" s="96">
        <f t="shared" si="17"/>
        <v>11315.2914</v>
      </c>
      <c r="Z27" s="95">
        <f>_xlfn.XLOOKUP(B27,[1]Sheet1!$B:$B,[1]Sheet1!$Q:$Q)</f>
        <v>0.4</v>
      </c>
      <c r="AA27" s="96">
        <f t="shared" si="13"/>
        <v>2.18222222222222</v>
      </c>
      <c r="AB27" s="96">
        <f t="shared" si="14"/>
        <v>67.6488888888889</v>
      </c>
      <c r="AC27" s="96">
        <f t="shared" si="15"/>
        <v>7543.5276</v>
      </c>
      <c r="AD27" s="97" t="s">
        <v>537</v>
      </c>
    </row>
    <row r="28" ht="15" customHeight="1" spans="1:30">
      <c r="A28" s="72" t="s">
        <v>94</v>
      </c>
      <c r="B28" s="108" t="s">
        <v>560</v>
      </c>
      <c r="C28" s="108" t="s">
        <v>34</v>
      </c>
      <c r="D28" s="108" t="s">
        <v>35</v>
      </c>
      <c r="E28" s="108" t="s">
        <v>141</v>
      </c>
      <c r="F28" s="108">
        <v>78.76</v>
      </c>
      <c r="G28" s="108">
        <v>1061</v>
      </c>
      <c r="H28" s="109">
        <v>16</v>
      </c>
      <c r="I28" s="108">
        <v>66</v>
      </c>
      <c r="J28" s="108">
        <v>212</v>
      </c>
      <c r="K28" s="108">
        <v>16697</v>
      </c>
      <c r="L28" s="105">
        <f t="shared" si="0"/>
        <v>5.22</v>
      </c>
      <c r="M28" s="73">
        <f t="shared" si="1"/>
        <v>657.82</v>
      </c>
      <c r="N28" s="73">
        <f t="shared" si="16"/>
        <v>51809.9032</v>
      </c>
      <c r="O28" s="73">
        <f t="shared" si="3"/>
        <v>-4.21111111111111</v>
      </c>
      <c r="P28" s="73">
        <f t="shared" si="4"/>
        <v>365.455555555556</v>
      </c>
      <c r="Q28" s="73">
        <f t="shared" si="5"/>
        <v>43174.9193333333</v>
      </c>
      <c r="R28" s="73">
        <f t="shared" si="6"/>
        <v>365.455555555556</v>
      </c>
      <c r="S28" s="73">
        <f t="shared" si="7"/>
        <v>11.7888888888889</v>
      </c>
      <c r="T28" s="73">
        <f t="shared" si="8"/>
        <v>-4.21111111111111</v>
      </c>
      <c r="U28" s="73">
        <f t="shared" si="9"/>
        <v>43174.9193333333</v>
      </c>
      <c r="V28" s="75">
        <f>_xlfn.XLOOKUP(B28,[1]Sheet1!$B:$B,[1]Sheet1!$P:$P)</f>
        <v>0.790909090909091</v>
      </c>
      <c r="W28" s="73">
        <f t="shared" si="10"/>
        <v>9.32393939393939</v>
      </c>
      <c r="X28" s="73">
        <f t="shared" si="11"/>
        <v>289.042121212121</v>
      </c>
      <c r="Y28" s="73">
        <f t="shared" si="17"/>
        <v>34147.4362</v>
      </c>
      <c r="Z28" s="75">
        <f>_xlfn.XLOOKUP(B28,[1]Sheet1!$B:$B,[1]Sheet1!$Q:$Q)</f>
        <v>0.209090909090909</v>
      </c>
      <c r="AA28" s="73">
        <f t="shared" si="13"/>
        <v>2.46494949494949</v>
      </c>
      <c r="AB28" s="73">
        <f t="shared" si="14"/>
        <v>76.4134343434343</v>
      </c>
      <c r="AC28" s="73">
        <f t="shared" si="15"/>
        <v>9027.48313333333</v>
      </c>
      <c r="AD28" s="68" t="s">
        <v>537</v>
      </c>
    </row>
    <row r="29" ht="15" customHeight="1" spans="1:30">
      <c r="A29" s="90" t="s">
        <v>126</v>
      </c>
      <c r="B29" s="91" t="s">
        <v>388</v>
      </c>
      <c r="C29" s="91" t="s">
        <v>34</v>
      </c>
      <c r="D29" s="91" t="s">
        <v>35</v>
      </c>
      <c r="E29" s="91" t="s">
        <v>41</v>
      </c>
      <c r="F29" s="91">
        <v>228.17</v>
      </c>
      <c r="G29" s="91">
        <v>48</v>
      </c>
      <c r="H29" s="92"/>
      <c r="I29" s="91"/>
      <c r="J29" s="91">
        <v>45</v>
      </c>
      <c r="K29" s="91">
        <v>15059</v>
      </c>
      <c r="L29" s="93">
        <f t="shared" si="0"/>
        <v>0.96</v>
      </c>
      <c r="M29" s="94">
        <f t="shared" si="1"/>
        <v>29.76</v>
      </c>
      <c r="N29" s="94">
        <f t="shared" si="16"/>
        <v>6790.3392</v>
      </c>
      <c r="O29" s="94">
        <f t="shared" si="3"/>
        <v>0.533333333333333</v>
      </c>
      <c r="P29" s="94">
        <f t="shared" si="4"/>
        <v>16.5333333333333</v>
      </c>
      <c r="Q29" s="94">
        <f t="shared" si="5"/>
        <v>5658.616</v>
      </c>
      <c r="R29" s="94">
        <f t="shared" si="6"/>
        <v>16.5333333333333</v>
      </c>
      <c r="S29" s="94">
        <f t="shared" si="7"/>
        <v>0.533333333333333</v>
      </c>
      <c r="T29" s="94">
        <f t="shared" si="8"/>
        <v>0.533333333333333</v>
      </c>
      <c r="U29" s="94">
        <f t="shared" si="9"/>
        <v>5658.616</v>
      </c>
      <c r="V29" s="95">
        <f>_xlfn.XLOOKUP(B29,[1]Sheet1!$B:$B,[1]Sheet1!$P:$P)</f>
        <v>1</v>
      </c>
      <c r="W29" s="96">
        <f t="shared" si="10"/>
        <v>0.533333333333333</v>
      </c>
      <c r="X29" s="96">
        <f t="shared" si="11"/>
        <v>16.5333333333333</v>
      </c>
      <c r="Y29" s="96">
        <f t="shared" si="17"/>
        <v>5658.616</v>
      </c>
      <c r="Z29" s="95">
        <f>_xlfn.XLOOKUP(B29,[1]Sheet1!$B:$B,[1]Sheet1!$Q:$Q)</f>
        <v>0</v>
      </c>
      <c r="AA29" s="96">
        <f t="shared" si="13"/>
        <v>0</v>
      </c>
      <c r="AB29" s="96">
        <f t="shared" si="14"/>
        <v>0</v>
      </c>
      <c r="AC29" s="96">
        <f t="shared" si="15"/>
        <v>0</v>
      </c>
      <c r="AD29" s="97" t="s">
        <v>540</v>
      </c>
    </row>
    <row r="30" ht="15" customHeight="1" spans="1:30">
      <c r="A30" s="98" t="s">
        <v>348</v>
      </c>
      <c r="B30" s="99" t="s">
        <v>170</v>
      </c>
      <c r="C30" s="99" t="s">
        <v>34</v>
      </c>
      <c r="D30" s="99" t="s">
        <v>35</v>
      </c>
      <c r="E30" s="99" t="s">
        <v>171</v>
      </c>
      <c r="F30" s="99">
        <v>49.17</v>
      </c>
      <c r="G30" s="99">
        <v>214</v>
      </c>
      <c r="H30" s="100"/>
      <c r="I30" s="99"/>
      <c r="J30" s="99">
        <v>206</v>
      </c>
      <c r="K30" s="99">
        <v>15021</v>
      </c>
      <c r="L30" s="101">
        <f t="shared" si="0"/>
        <v>4.28</v>
      </c>
      <c r="M30" s="70">
        <f t="shared" si="1"/>
        <v>132.68</v>
      </c>
      <c r="N30" s="70">
        <f t="shared" si="16"/>
        <v>6523.8756</v>
      </c>
      <c r="O30" s="70">
        <f t="shared" si="3"/>
        <v>2.37777777777778</v>
      </c>
      <c r="P30" s="70">
        <f t="shared" si="4"/>
        <v>73.7111111111111</v>
      </c>
      <c r="Q30" s="70">
        <f t="shared" si="5"/>
        <v>5436.563</v>
      </c>
      <c r="R30" s="70">
        <f t="shared" si="6"/>
        <v>73.7111111111111</v>
      </c>
      <c r="S30" s="70">
        <f t="shared" si="7"/>
        <v>2.37777777777778</v>
      </c>
      <c r="T30" s="70">
        <f t="shared" si="8"/>
        <v>2.37777777777778</v>
      </c>
      <c r="U30" s="70">
        <f t="shared" si="9"/>
        <v>5436.563</v>
      </c>
      <c r="V30" s="102">
        <f>_xlfn.XLOOKUP(B30,[1]Sheet1!$B:$B,[1]Sheet1!$P:$P)</f>
        <v>0</v>
      </c>
      <c r="W30" s="103">
        <f t="shared" si="10"/>
        <v>0</v>
      </c>
      <c r="X30" s="103">
        <f t="shared" si="11"/>
        <v>0</v>
      </c>
      <c r="Y30" s="103">
        <f t="shared" si="17"/>
        <v>0</v>
      </c>
      <c r="Z30" s="102">
        <f>_xlfn.XLOOKUP(B30,[1]Sheet1!$B:$B,[1]Sheet1!$Q:$Q)</f>
        <v>1</v>
      </c>
      <c r="AA30" s="103">
        <f t="shared" si="13"/>
        <v>2.37777777777778</v>
      </c>
      <c r="AB30" s="103">
        <f t="shared" si="14"/>
        <v>73.7111111111111</v>
      </c>
      <c r="AC30" s="103">
        <f t="shared" si="15"/>
        <v>5436.563</v>
      </c>
      <c r="AD30" s="104" t="s">
        <v>545</v>
      </c>
    </row>
    <row r="31" ht="15" customHeight="1" spans="1:30">
      <c r="A31" s="72" t="s">
        <v>163</v>
      </c>
      <c r="B31" s="108" t="s">
        <v>155</v>
      </c>
      <c r="C31" s="108" t="s">
        <v>34</v>
      </c>
      <c r="D31" s="108" t="s">
        <v>35</v>
      </c>
      <c r="E31" s="108" t="s">
        <v>156</v>
      </c>
      <c r="F31" s="108">
        <v>176.53</v>
      </c>
      <c r="G31" s="108">
        <v>102</v>
      </c>
      <c r="H31" s="109"/>
      <c r="I31" s="108"/>
      <c r="J31" s="108">
        <v>66</v>
      </c>
      <c r="K31" s="108">
        <v>14917</v>
      </c>
      <c r="L31" s="105">
        <f t="shared" si="0"/>
        <v>2.04</v>
      </c>
      <c r="M31" s="73">
        <f t="shared" si="1"/>
        <v>63.24</v>
      </c>
      <c r="N31" s="73">
        <f t="shared" si="16"/>
        <v>11163.7572</v>
      </c>
      <c r="O31" s="73">
        <f t="shared" si="3"/>
        <v>1.13333333333333</v>
      </c>
      <c r="P31" s="73">
        <f t="shared" si="4"/>
        <v>35.1333333333333</v>
      </c>
      <c r="Q31" s="73">
        <f t="shared" si="5"/>
        <v>9303.131</v>
      </c>
      <c r="R31" s="73">
        <f t="shared" si="6"/>
        <v>35.1333333333333</v>
      </c>
      <c r="S31" s="73">
        <f t="shared" si="7"/>
        <v>1.13333333333333</v>
      </c>
      <c r="T31" s="73">
        <f t="shared" si="8"/>
        <v>1.13333333333333</v>
      </c>
      <c r="U31" s="73">
        <f t="shared" si="9"/>
        <v>9303.131</v>
      </c>
      <c r="V31" s="75">
        <f>_xlfn.XLOOKUP(B31,[1]Sheet1!$B:$B,[1]Sheet1!$P:$P)</f>
        <v>0.692307692307692</v>
      </c>
      <c r="W31" s="73">
        <f t="shared" si="10"/>
        <v>0.784615384615384</v>
      </c>
      <c r="X31" s="73">
        <f t="shared" si="11"/>
        <v>24.3230769230769</v>
      </c>
      <c r="Y31" s="73">
        <f t="shared" si="17"/>
        <v>6440.62915384615</v>
      </c>
      <c r="Z31" s="75">
        <f>_xlfn.XLOOKUP(B31,[1]Sheet1!$B:$B,[1]Sheet1!$Q:$Q)</f>
        <v>0.307692307692308</v>
      </c>
      <c r="AA31" s="73">
        <f t="shared" si="13"/>
        <v>0.348717948717949</v>
      </c>
      <c r="AB31" s="73">
        <f t="shared" si="14"/>
        <v>10.8102564102564</v>
      </c>
      <c r="AC31" s="73">
        <f t="shared" si="15"/>
        <v>2862.50184615385</v>
      </c>
      <c r="AD31" s="68" t="s">
        <v>547</v>
      </c>
    </row>
    <row r="32" ht="15" customHeight="1" spans="1:30">
      <c r="A32" s="72" t="s">
        <v>176</v>
      </c>
      <c r="B32" s="108" t="s">
        <v>561</v>
      </c>
      <c r="C32" s="108" t="s">
        <v>34</v>
      </c>
      <c r="D32" s="108" t="s">
        <v>35</v>
      </c>
      <c r="E32" s="108" t="s">
        <v>338</v>
      </c>
      <c r="F32" s="108">
        <v>4.1901</v>
      </c>
      <c r="G32" s="108">
        <v>7560</v>
      </c>
      <c r="H32" s="109">
        <v>82</v>
      </c>
      <c r="I32" s="108">
        <v>92</v>
      </c>
      <c r="J32" s="108">
        <v>3432</v>
      </c>
      <c r="K32" s="108">
        <v>14655</v>
      </c>
      <c r="L32" s="105">
        <f t="shared" si="0"/>
        <v>69.2</v>
      </c>
      <c r="M32" s="73">
        <f t="shared" si="1"/>
        <v>4687.2</v>
      </c>
      <c r="N32" s="73">
        <f t="shared" si="16"/>
        <v>19639.83672</v>
      </c>
      <c r="O32" s="73">
        <f t="shared" si="3"/>
        <v>2</v>
      </c>
      <c r="P32" s="73">
        <f t="shared" si="4"/>
        <v>2604</v>
      </c>
      <c r="Q32" s="73">
        <f t="shared" si="5"/>
        <v>16366.5306</v>
      </c>
      <c r="R32" s="73">
        <f t="shared" si="6"/>
        <v>2604</v>
      </c>
      <c r="S32" s="73">
        <f t="shared" si="7"/>
        <v>84</v>
      </c>
      <c r="T32" s="73">
        <f t="shared" si="8"/>
        <v>2</v>
      </c>
      <c r="U32" s="73">
        <f t="shared" si="9"/>
        <v>16366.5306</v>
      </c>
      <c r="V32" s="75">
        <f>_xlfn.XLOOKUP(B32,[1]Sheet1!$B:$B,[1]Sheet1!$P:$P)</f>
        <v>0.892950391644909</v>
      </c>
      <c r="W32" s="73">
        <f t="shared" si="10"/>
        <v>75.0078328981724</v>
      </c>
      <c r="X32" s="73">
        <f t="shared" si="11"/>
        <v>2325.24281984334</v>
      </c>
      <c r="Y32" s="73">
        <f t="shared" si="17"/>
        <v>14614.4999091384</v>
      </c>
      <c r="Z32" s="75">
        <f>_xlfn.XLOOKUP(B32,[1]Sheet1!$B:$B,[1]Sheet1!$Q:$Q)</f>
        <v>0.107049608355091</v>
      </c>
      <c r="AA32" s="73">
        <f t="shared" si="13"/>
        <v>8.99216710182764</v>
      </c>
      <c r="AB32" s="73">
        <f t="shared" si="14"/>
        <v>278.757180156657</v>
      </c>
      <c r="AC32" s="73">
        <f t="shared" si="15"/>
        <v>1752.03069086161</v>
      </c>
      <c r="AD32" s="68" t="s">
        <v>562</v>
      </c>
    </row>
    <row r="33" ht="15" customHeight="1" spans="1:30">
      <c r="A33" s="72" t="s">
        <v>436</v>
      </c>
      <c r="B33" s="108" t="s">
        <v>187</v>
      </c>
      <c r="C33" s="108" t="s">
        <v>34</v>
      </c>
      <c r="D33" s="108" t="s">
        <v>35</v>
      </c>
      <c r="E33" s="108" t="s">
        <v>125</v>
      </c>
      <c r="F33" s="108">
        <v>74.88</v>
      </c>
      <c r="G33" s="108">
        <v>396</v>
      </c>
      <c r="H33" s="109">
        <v>4</v>
      </c>
      <c r="I33" s="108">
        <v>99</v>
      </c>
      <c r="J33" s="108">
        <v>184</v>
      </c>
      <c r="K33" s="108">
        <v>14340</v>
      </c>
      <c r="L33" s="105">
        <f t="shared" si="0"/>
        <v>3.92</v>
      </c>
      <c r="M33" s="73">
        <f t="shared" si="1"/>
        <v>245.52</v>
      </c>
      <c r="N33" s="73">
        <f t="shared" si="16"/>
        <v>18384.5376</v>
      </c>
      <c r="O33" s="73">
        <f t="shared" si="3"/>
        <v>0.4</v>
      </c>
      <c r="P33" s="73">
        <f t="shared" si="4"/>
        <v>136.4</v>
      </c>
      <c r="Q33" s="73">
        <f t="shared" si="5"/>
        <v>15320.448</v>
      </c>
      <c r="R33" s="73">
        <f t="shared" si="6"/>
        <v>136.4</v>
      </c>
      <c r="S33" s="73">
        <f t="shared" si="7"/>
        <v>4.4</v>
      </c>
      <c r="T33" s="73">
        <f t="shared" si="8"/>
        <v>0.4</v>
      </c>
      <c r="U33" s="73">
        <f t="shared" si="9"/>
        <v>15320.448</v>
      </c>
      <c r="V33" s="75">
        <f>_xlfn.XLOOKUP(B33,[1]Sheet1!$B:$B,[1]Sheet1!$P:$P)</f>
        <v>0.26530612244898</v>
      </c>
      <c r="W33" s="73">
        <f t="shared" si="10"/>
        <v>1.16734693877551</v>
      </c>
      <c r="X33" s="73">
        <f t="shared" si="11"/>
        <v>36.1877551020409</v>
      </c>
      <c r="Y33" s="73">
        <f t="shared" si="17"/>
        <v>4064.60865306123</v>
      </c>
      <c r="Z33" s="75">
        <f>_xlfn.XLOOKUP(B33,[1]Sheet1!$B:$B,[1]Sheet1!$Q:$Q)</f>
        <v>0.73469387755102</v>
      </c>
      <c r="AA33" s="73">
        <f t="shared" si="13"/>
        <v>3.23265306122449</v>
      </c>
      <c r="AB33" s="73">
        <f t="shared" si="14"/>
        <v>100.212244897959</v>
      </c>
      <c r="AC33" s="73">
        <f t="shared" si="15"/>
        <v>11255.8393469388</v>
      </c>
      <c r="AD33" s="68" t="s">
        <v>537</v>
      </c>
    </row>
    <row r="34" ht="15" customHeight="1" spans="1:30">
      <c r="A34" s="72" t="s">
        <v>206</v>
      </c>
      <c r="B34" s="108" t="s">
        <v>175</v>
      </c>
      <c r="C34" s="108" t="s">
        <v>34</v>
      </c>
      <c r="D34" s="108" t="s">
        <v>35</v>
      </c>
      <c r="E34" s="108" t="s">
        <v>41</v>
      </c>
      <c r="F34" s="108">
        <v>124.73</v>
      </c>
      <c r="G34" s="108">
        <v>500</v>
      </c>
      <c r="H34" s="109">
        <v>7</v>
      </c>
      <c r="I34" s="108">
        <v>71</v>
      </c>
      <c r="J34" s="108">
        <v>112</v>
      </c>
      <c r="K34" s="108">
        <v>13970</v>
      </c>
      <c r="L34" s="105">
        <f t="shared" si="0"/>
        <v>3</v>
      </c>
      <c r="M34" s="73">
        <f t="shared" si="1"/>
        <v>310</v>
      </c>
      <c r="N34" s="73">
        <f t="shared" si="16"/>
        <v>38666.3</v>
      </c>
      <c r="O34" s="73">
        <f t="shared" si="3"/>
        <v>-1.44444444444444</v>
      </c>
      <c r="P34" s="73">
        <f t="shared" si="4"/>
        <v>172.222222222222</v>
      </c>
      <c r="Q34" s="73">
        <f t="shared" si="5"/>
        <v>32221.9166666667</v>
      </c>
      <c r="R34" s="73">
        <f t="shared" si="6"/>
        <v>172.222222222222</v>
      </c>
      <c r="S34" s="73">
        <f t="shared" si="7"/>
        <v>5.55555555555556</v>
      </c>
      <c r="T34" s="73">
        <f t="shared" si="8"/>
        <v>-1.44444444444444</v>
      </c>
      <c r="U34" s="73">
        <f t="shared" si="9"/>
        <v>32221.9166666667</v>
      </c>
      <c r="V34" s="75">
        <f>_xlfn.XLOOKUP(B34,[1]Sheet1!$B:$B,[1]Sheet1!$P:$P)</f>
        <v>0.41304347826087</v>
      </c>
      <c r="W34" s="73">
        <f t="shared" si="10"/>
        <v>2.29468599033817</v>
      </c>
      <c r="X34" s="73">
        <f t="shared" si="11"/>
        <v>71.1352657004832</v>
      </c>
      <c r="Y34" s="73">
        <f t="shared" si="17"/>
        <v>13309.0525362319</v>
      </c>
      <c r="Z34" s="75">
        <f>_xlfn.XLOOKUP(B34,[1]Sheet1!$B:$B,[1]Sheet1!$Q:$Q)</f>
        <v>0.58695652173913</v>
      </c>
      <c r="AA34" s="73">
        <f t="shared" si="13"/>
        <v>3.26086956521739</v>
      </c>
      <c r="AB34" s="73">
        <f t="shared" si="14"/>
        <v>101.086956521739</v>
      </c>
      <c r="AC34" s="73">
        <f t="shared" si="15"/>
        <v>18912.8641304348</v>
      </c>
      <c r="AD34" s="68" t="s">
        <v>537</v>
      </c>
    </row>
    <row r="35" ht="15" customHeight="1" spans="1:30">
      <c r="A35" s="110" t="s">
        <v>563</v>
      </c>
      <c r="B35" s="111" t="s">
        <v>179</v>
      </c>
      <c r="C35" s="111" t="s">
        <v>34</v>
      </c>
      <c r="D35" s="111" t="s">
        <v>51</v>
      </c>
      <c r="E35" s="111" t="s">
        <v>180</v>
      </c>
      <c r="F35" s="111">
        <v>152.62</v>
      </c>
      <c r="G35" s="111">
        <v>70</v>
      </c>
      <c r="H35" s="112"/>
      <c r="I35" s="111"/>
      <c r="J35" s="111">
        <v>62</v>
      </c>
      <c r="K35" s="111">
        <v>13659</v>
      </c>
      <c r="L35" s="105">
        <f t="shared" si="0"/>
        <v>1.4</v>
      </c>
      <c r="M35" s="73">
        <f t="shared" si="1"/>
        <v>43.4</v>
      </c>
      <c r="N35" s="73">
        <f t="shared" si="16"/>
        <v>6623.708</v>
      </c>
      <c r="O35" s="73">
        <f t="shared" si="3"/>
        <v>0.777777777777778</v>
      </c>
      <c r="P35" s="73">
        <f t="shared" si="4"/>
        <v>24.1111111111111</v>
      </c>
      <c r="Q35" s="73">
        <f t="shared" si="5"/>
        <v>5519.75666666667</v>
      </c>
      <c r="R35" s="73">
        <f t="shared" si="6"/>
        <v>24.1111111111111</v>
      </c>
      <c r="S35" s="73">
        <f t="shared" si="7"/>
        <v>0.777777777777778</v>
      </c>
      <c r="T35" s="73">
        <f t="shared" si="8"/>
        <v>0.777777777777778</v>
      </c>
      <c r="U35" s="73">
        <f t="shared" si="9"/>
        <v>5519.75666666667</v>
      </c>
      <c r="V35" s="114">
        <f>_xlfn.XLOOKUP(B35,[1]Sheet1!$B:$B,[1]Sheet1!$P:$P)</f>
        <v>0</v>
      </c>
      <c r="W35" s="115">
        <f t="shared" si="10"/>
        <v>0</v>
      </c>
      <c r="X35" s="115">
        <f t="shared" si="11"/>
        <v>0</v>
      </c>
      <c r="Y35" s="115">
        <f t="shared" si="17"/>
        <v>0</v>
      </c>
      <c r="Z35" s="114">
        <f>_xlfn.XLOOKUP(B35,[1]Sheet1!$B:$B,[1]Sheet1!$Q:$Q)</f>
        <v>1</v>
      </c>
      <c r="AA35" s="115">
        <f t="shared" si="13"/>
        <v>0.777777777777778</v>
      </c>
      <c r="AB35" s="115">
        <f t="shared" si="14"/>
        <v>24.1111111111111</v>
      </c>
      <c r="AC35" s="115">
        <f t="shared" si="15"/>
        <v>5519.75666666667</v>
      </c>
      <c r="AD35" s="116" t="s">
        <v>564</v>
      </c>
    </row>
    <row r="36" ht="15" customHeight="1" spans="1:30">
      <c r="A36" s="72" t="s">
        <v>565</v>
      </c>
      <c r="B36" s="108" t="s">
        <v>566</v>
      </c>
      <c r="C36" s="108" t="s">
        <v>34</v>
      </c>
      <c r="D36" s="108" t="s">
        <v>51</v>
      </c>
      <c r="E36" s="108" t="s">
        <v>165</v>
      </c>
      <c r="F36" s="108">
        <v>44.2577</v>
      </c>
      <c r="G36" s="108">
        <v>808</v>
      </c>
      <c r="H36" s="109">
        <v>10</v>
      </c>
      <c r="I36" s="108">
        <v>80</v>
      </c>
      <c r="J36" s="108">
        <v>303</v>
      </c>
      <c r="K36" s="108">
        <v>13410</v>
      </c>
      <c r="L36" s="105">
        <f t="shared" si="0"/>
        <v>6.16</v>
      </c>
      <c r="M36" s="73">
        <f t="shared" si="1"/>
        <v>500.96</v>
      </c>
      <c r="N36" s="73">
        <f t="shared" si="16"/>
        <v>22171.337392</v>
      </c>
      <c r="O36" s="73">
        <f t="shared" si="3"/>
        <v>-1.02222222222222</v>
      </c>
      <c r="P36" s="73">
        <f t="shared" si="4"/>
        <v>278.311111111111</v>
      </c>
      <c r="Q36" s="73">
        <f t="shared" si="5"/>
        <v>18476.1144933333</v>
      </c>
      <c r="R36" s="73">
        <f t="shared" si="6"/>
        <v>278.311111111111</v>
      </c>
      <c r="S36" s="73">
        <f t="shared" si="7"/>
        <v>8.97777777777778</v>
      </c>
      <c r="T36" s="73">
        <f t="shared" si="8"/>
        <v>-1.02222222222222</v>
      </c>
      <c r="U36" s="73">
        <f t="shared" si="9"/>
        <v>18476.1144933333</v>
      </c>
      <c r="V36" s="75">
        <f>_xlfn.XLOOKUP(B36,[1]Sheet1!$B:$B,[1]Sheet1!$P:$P)</f>
        <v>0.228571428571429</v>
      </c>
      <c r="W36" s="73">
        <f t="shared" si="10"/>
        <v>2.0520634920635</v>
      </c>
      <c r="X36" s="73">
        <f t="shared" si="11"/>
        <v>63.6139682539684</v>
      </c>
      <c r="Y36" s="73">
        <f t="shared" si="17"/>
        <v>4223.11188419048</v>
      </c>
      <c r="Z36" s="75">
        <f>_xlfn.XLOOKUP(B36,[1]Sheet1!$B:$B,[1]Sheet1!$Q:$Q)</f>
        <v>0.771428571428571</v>
      </c>
      <c r="AA36" s="73">
        <f t="shared" si="13"/>
        <v>6.92571428571428</v>
      </c>
      <c r="AB36" s="73">
        <f t="shared" si="14"/>
        <v>214.697142857143</v>
      </c>
      <c r="AC36" s="73">
        <f t="shared" si="15"/>
        <v>14253.0026091428</v>
      </c>
      <c r="AD36" s="68" t="s">
        <v>537</v>
      </c>
    </row>
    <row r="37" ht="15" customHeight="1" spans="1:30">
      <c r="A37" s="72" t="s">
        <v>567</v>
      </c>
      <c r="B37" s="108" t="s">
        <v>79</v>
      </c>
      <c r="C37" s="108" t="s">
        <v>34</v>
      </c>
      <c r="D37" s="108" t="s">
        <v>51</v>
      </c>
      <c r="E37" s="108" t="s">
        <v>80</v>
      </c>
      <c r="F37" s="108">
        <v>123.29</v>
      </c>
      <c r="G37" s="108">
        <v>570</v>
      </c>
      <c r="H37" s="109">
        <v>9</v>
      </c>
      <c r="I37" s="108">
        <v>63</v>
      </c>
      <c r="J37" s="108">
        <v>108</v>
      </c>
      <c r="K37" s="108">
        <v>13315</v>
      </c>
      <c r="L37" s="105">
        <f t="shared" si="0"/>
        <v>2.4</v>
      </c>
      <c r="M37" s="73">
        <f t="shared" si="1"/>
        <v>353.4</v>
      </c>
      <c r="N37" s="73">
        <f t="shared" si="16"/>
        <v>43570.686</v>
      </c>
      <c r="O37" s="73">
        <f t="shared" si="3"/>
        <v>-2.66666666666667</v>
      </c>
      <c r="P37" s="73">
        <f t="shared" si="4"/>
        <v>196.333333333333</v>
      </c>
      <c r="Q37" s="73">
        <f t="shared" si="5"/>
        <v>36308.905</v>
      </c>
      <c r="R37" s="73">
        <f t="shared" si="6"/>
        <v>196.333333333333</v>
      </c>
      <c r="S37" s="73">
        <f t="shared" si="7"/>
        <v>6.33333333333333</v>
      </c>
      <c r="T37" s="73">
        <f t="shared" si="8"/>
        <v>-2.66666666666667</v>
      </c>
      <c r="U37" s="73">
        <f t="shared" si="9"/>
        <v>36308.905</v>
      </c>
      <c r="V37" s="75">
        <f>_xlfn.XLOOKUP(B37,[1]Sheet1!$B:$B,[1]Sheet1!$P:$P)</f>
        <v>0.19672131147541</v>
      </c>
      <c r="W37" s="73">
        <f t="shared" si="10"/>
        <v>1.24590163934426</v>
      </c>
      <c r="X37" s="73">
        <f t="shared" si="11"/>
        <v>38.6229508196722</v>
      </c>
      <c r="Y37" s="73">
        <f t="shared" si="17"/>
        <v>7142.73540983607</v>
      </c>
      <c r="Z37" s="75">
        <f>_xlfn.XLOOKUP(B37,[1]Sheet1!$B:$B,[1]Sheet1!$Q:$Q)</f>
        <v>0.80327868852459</v>
      </c>
      <c r="AA37" s="73">
        <f t="shared" si="13"/>
        <v>5.08743169398907</v>
      </c>
      <c r="AB37" s="73">
        <f t="shared" si="14"/>
        <v>157.710382513661</v>
      </c>
      <c r="AC37" s="73">
        <f t="shared" si="15"/>
        <v>29166.1695901639</v>
      </c>
      <c r="AD37" s="68" t="s">
        <v>547</v>
      </c>
    </row>
    <row r="38" ht="15" customHeight="1" spans="1:30">
      <c r="A38" s="72" t="s">
        <v>568</v>
      </c>
      <c r="B38" s="108" t="s">
        <v>569</v>
      </c>
      <c r="C38" s="108" t="s">
        <v>34</v>
      </c>
      <c r="D38" s="108" t="s">
        <v>51</v>
      </c>
      <c r="E38" s="108" t="s">
        <v>80</v>
      </c>
      <c r="F38" s="108">
        <v>120.02</v>
      </c>
      <c r="G38" s="108">
        <v>78</v>
      </c>
      <c r="H38" s="109"/>
      <c r="I38" s="108"/>
      <c r="J38" s="108">
        <v>73</v>
      </c>
      <c r="K38" s="108">
        <v>12902</v>
      </c>
      <c r="L38" s="105">
        <f t="shared" si="0"/>
        <v>1.56</v>
      </c>
      <c r="M38" s="73">
        <f t="shared" si="1"/>
        <v>48.36</v>
      </c>
      <c r="N38" s="73">
        <f t="shared" si="16"/>
        <v>5804.1672</v>
      </c>
      <c r="O38" s="73">
        <f t="shared" si="3"/>
        <v>0.866666666666667</v>
      </c>
      <c r="P38" s="73">
        <f t="shared" si="4"/>
        <v>26.8666666666667</v>
      </c>
      <c r="Q38" s="73">
        <f t="shared" si="5"/>
        <v>4836.806</v>
      </c>
      <c r="R38" s="73">
        <f t="shared" si="6"/>
        <v>26.8666666666667</v>
      </c>
      <c r="S38" s="73">
        <f t="shared" si="7"/>
        <v>0.866666666666667</v>
      </c>
      <c r="T38" s="73">
        <f t="shared" si="8"/>
        <v>0.866666666666667</v>
      </c>
      <c r="U38" s="73">
        <f t="shared" si="9"/>
        <v>4836.806</v>
      </c>
      <c r="V38" s="75">
        <f>_xlfn.XLOOKUP(B38,[1]Sheet1!$B:$B,[1]Sheet1!$P:$P)</f>
        <v>1</v>
      </c>
      <c r="W38" s="73">
        <f t="shared" si="10"/>
        <v>0.866666666666667</v>
      </c>
      <c r="X38" s="73">
        <f t="shared" si="11"/>
        <v>26.8666666666667</v>
      </c>
      <c r="Y38" s="73">
        <f t="shared" si="17"/>
        <v>4836.806</v>
      </c>
      <c r="Z38" s="75">
        <f>_xlfn.XLOOKUP(B38,[1]Sheet1!$B:$B,[1]Sheet1!$Q:$Q)</f>
        <v>0</v>
      </c>
      <c r="AA38" s="73">
        <f t="shared" si="13"/>
        <v>0</v>
      </c>
      <c r="AB38" s="73">
        <f t="shared" si="14"/>
        <v>0</v>
      </c>
      <c r="AC38" s="73">
        <f t="shared" si="15"/>
        <v>0</v>
      </c>
      <c r="AD38" s="68" t="s">
        <v>557</v>
      </c>
    </row>
    <row r="39" ht="15" customHeight="1" spans="1:30">
      <c r="A39" s="72" t="s">
        <v>318</v>
      </c>
      <c r="B39" s="108" t="s">
        <v>570</v>
      </c>
      <c r="C39" s="108" t="s">
        <v>34</v>
      </c>
      <c r="D39" s="108" t="s">
        <v>51</v>
      </c>
      <c r="E39" s="108" t="s">
        <v>283</v>
      </c>
      <c r="F39" s="108">
        <v>83.02</v>
      </c>
      <c r="G39" s="108">
        <v>606</v>
      </c>
      <c r="H39" s="109">
        <v>8</v>
      </c>
      <c r="I39" s="108">
        <v>75</v>
      </c>
      <c r="J39" s="108">
        <v>155</v>
      </c>
      <c r="K39" s="108">
        <v>12868</v>
      </c>
      <c r="L39" s="105">
        <f t="shared" si="0"/>
        <v>4.12</v>
      </c>
      <c r="M39" s="73">
        <f t="shared" si="1"/>
        <v>375.72</v>
      </c>
      <c r="N39" s="73">
        <f t="shared" si="16"/>
        <v>31192.2744</v>
      </c>
      <c r="O39" s="73">
        <f t="shared" si="3"/>
        <v>-1.26666666666667</v>
      </c>
      <c r="P39" s="73">
        <f t="shared" si="4"/>
        <v>208.733333333333</v>
      </c>
      <c r="Q39" s="73">
        <f t="shared" si="5"/>
        <v>25993.562</v>
      </c>
      <c r="R39" s="73">
        <f t="shared" si="6"/>
        <v>208.733333333333</v>
      </c>
      <c r="S39" s="73">
        <f t="shared" si="7"/>
        <v>6.73333333333333</v>
      </c>
      <c r="T39" s="73">
        <f t="shared" si="8"/>
        <v>-1.26666666666667</v>
      </c>
      <c r="U39" s="73">
        <f t="shared" si="9"/>
        <v>25993.562</v>
      </c>
      <c r="V39" s="75">
        <f>_xlfn.XLOOKUP(B39,[1]Sheet1!$B:$B,[1]Sheet1!$P:$P)</f>
        <v>0.423728813559322</v>
      </c>
      <c r="W39" s="73">
        <f t="shared" si="10"/>
        <v>2.85310734463277</v>
      </c>
      <c r="X39" s="73">
        <f t="shared" si="11"/>
        <v>88.4463276836158</v>
      </c>
      <c r="Y39" s="73">
        <f t="shared" si="17"/>
        <v>11014.2211864407</v>
      </c>
      <c r="Z39" s="75">
        <f>_xlfn.XLOOKUP(B39,[1]Sheet1!$B:$B,[1]Sheet1!$Q:$Q)</f>
        <v>0.576271186440678</v>
      </c>
      <c r="AA39" s="73">
        <f t="shared" si="13"/>
        <v>3.88022598870057</v>
      </c>
      <c r="AB39" s="73">
        <f t="shared" si="14"/>
        <v>120.287005649718</v>
      </c>
      <c r="AC39" s="73">
        <f t="shared" si="15"/>
        <v>14979.3408135593</v>
      </c>
      <c r="AD39" s="68" t="s">
        <v>537</v>
      </c>
    </row>
    <row r="40" ht="15" customHeight="1" spans="1:30">
      <c r="A40" s="72" t="s">
        <v>571</v>
      </c>
      <c r="B40" s="108" t="s">
        <v>572</v>
      </c>
      <c r="C40" s="108" t="s">
        <v>34</v>
      </c>
      <c r="D40" s="108" t="s">
        <v>51</v>
      </c>
      <c r="E40" s="108" t="s">
        <v>283</v>
      </c>
      <c r="F40" s="108">
        <v>83.02</v>
      </c>
      <c r="G40" s="108">
        <v>586</v>
      </c>
      <c r="H40" s="109">
        <v>8</v>
      </c>
      <c r="I40" s="108">
        <v>73</v>
      </c>
      <c r="J40" s="108">
        <v>153</v>
      </c>
      <c r="K40" s="108">
        <v>12702</v>
      </c>
      <c r="L40" s="105">
        <f t="shared" si="0"/>
        <v>3.72</v>
      </c>
      <c r="M40" s="73">
        <f t="shared" si="1"/>
        <v>363.32</v>
      </c>
      <c r="N40" s="73">
        <f t="shared" si="16"/>
        <v>30162.8264</v>
      </c>
      <c r="O40" s="73">
        <f t="shared" si="3"/>
        <v>-1.48888888888889</v>
      </c>
      <c r="P40" s="73">
        <f t="shared" si="4"/>
        <v>201.844444444444</v>
      </c>
      <c r="Q40" s="73">
        <f t="shared" si="5"/>
        <v>25135.6886666667</v>
      </c>
      <c r="R40" s="73">
        <f t="shared" si="6"/>
        <v>201.844444444444</v>
      </c>
      <c r="S40" s="73">
        <f t="shared" si="7"/>
        <v>6.51111111111111</v>
      </c>
      <c r="T40" s="73">
        <f t="shared" si="8"/>
        <v>-1.48888888888889</v>
      </c>
      <c r="U40" s="73">
        <f t="shared" si="9"/>
        <v>25135.6886666667</v>
      </c>
      <c r="V40" s="75">
        <f>_xlfn.XLOOKUP(B40,[1]Sheet1!$B:$B,[1]Sheet1!$P:$P)</f>
        <v>0.407079646017699</v>
      </c>
      <c r="W40" s="73">
        <f t="shared" si="10"/>
        <v>2.65054080629302</v>
      </c>
      <c r="X40" s="73">
        <f t="shared" si="11"/>
        <v>82.1667649950836</v>
      </c>
      <c r="Y40" s="73">
        <f t="shared" si="17"/>
        <v>10232.2272448378</v>
      </c>
      <c r="Z40" s="75">
        <f>_xlfn.XLOOKUP(B40,[1]Sheet1!$B:$B,[1]Sheet1!$Q:$Q)</f>
        <v>0.592920353982301</v>
      </c>
      <c r="AA40" s="73">
        <f t="shared" si="13"/>
        <v>3.86057030481809</v>
      </c>
      <c r="AB40" s="73">
        <f t="shared" si="14"/>
        <v>119.677679449361</v>
      </c>
      <c r="AC40" s="73">
        <f t="shared" si="15"/>
        <v>14903.4614218289</v>
      </c>
      <c r="AD40" s="68" t="s">
        <v>537</v>
      </c>
    </row>
    <row r="41" ht="15" customHeight="1" spans="1:30">
      <c r="A41" s="72" t="s">
        <v>573</v>
      </c>
      <c r="B41" s="108" t="s">
        <v>574</v>
      </c>
      <c r="C41" s="108" t="s">
        <v>34</v>
      </c>
      <c r="D41" s="108" t="s">
        <v>35</v>
      </c>
      <c r="E41" s="108" t="s">
        <v>250</v>
      </c>
      <c r="F41" s="108">
        <v>146.25</v>
      </c>
      <c r="G41" s="108">
        <v>59</v>
      </c>
      <c r="H41" s="109"/>
      <c r="I41" s="108"/>
      <c r="J41" s="108">
        <v>58</v>
      </c>
      <c r="K41" s="108">
        <v>12651</v>
      </c>
      <c r="L41" s="105">
        <f t="shared" si="0"/>
        <v>1.18</v>
      </c>
      <c r="M41" s="73">
        <f t="shared" si="1"/>
        <v>36.58</v>
      </c>
      <c r="N41" s="73">
        <f t="shared" si="16"/>
        <v>5349.825</v>
      </c>
      <c r="O41" s="73">
        <f t="shared" si="3"/>
        <v>0.655555555555556</v>
      </c>
      <c r="P41" s="73">
        <f t="shared" si="4"/>
        <v>20.3222222222222</v>
      </c>
      <c r="Q41" s="73">
        <f t="shared" si="5"/>
        <v>4458.1875</v>
      </c>
      <c r="R41" s="73">
        <f t="shared" si="6"/>
        <v>20.3222222222222</v>
      </c>
      <c r="S41" s="73">
        <f t="shared" si="7"/>
        <v>0.655555555555556</v>
      </c>
      <c r="T41" s="73">
        <f t="shared" si="8"/>
        <v>0.655555555555556</v>
      </c>
      <c r="U41" s="73">
        <f t="shared" si="9"/>
        <v>4458.1875</v>
      </c>
      <c r="V41" s="75">
        <f>_xlfn.XLOOKUP(B41,[1]Sheet1!$B:$B,[1]Sheet1!$P:$P)</f>
        <v>0</v>
      </c>
      <c r="W41" s="73">
        <f t="shared" si="10"/>
        <v>0</v>
      </c>
      <c r="X41" s="73">
        <f t="shared" si="11"/>
        <v>0</v>
      </c>
      <c r="Y41" s="73">
        <f t="shared" si="17"/>
        <v>0</v>
      </c>
      <c r="Z41" s="75">
        <f>_xlfn.XLOOKUP(B41,[1]Sheet1!$B:$B,[1]Sheet1!$Q:$Q)</f>
        <v>0</v>
      </c>
      <c r="AA41" s="73">
        <f t="shared" si="13"/>
        <v>0</v>
      </c>
      <c r="AB41" s="73">
        <f t="shared" si="14"/>
        <v>0</v>
      </c>
      <c r="AC41" s="73">
        <f t="shared" si="15"/>
        <v>0</v>
      </c>
      <c r="AD41" s="68" t="s">
        <v>537</v>
      </c>
    </row>
    <row r="42" ht="15" customHeight="1" spans="1:30">
      <c r="A42" s="72" t="s">
        <v>178</v>
      </c>
      <c r="B42" s="108" t="s">
        <v>575</v>
      </c>
      <c r="C42" s="108" t="s">
        <v>34</v>
      </c>
      <c r="D42" s="108" t="s">
        <v>51</v>
      </c>
      <c r="E42" s="108" t="s">
        <v>80</v>
      </c>
      <c r="F42" s="108">
        <v>108.34</v>
      </c>
      <c r="G42" s="108">
        <v>150</v>
      </c>
      <c r="H42" s="109">
        <v>1</v>
      </c>
      <c r="I42" s="108">
        <v>150</v>
      </c>
      <c r="J42" s="108">
        <v>92</v>
      </c>
      <c r="K42" s="108">
        <v>12405</v>
      </c>
      <c r="L42" s="105">
        <f t="shared" si="0"/>
        <v>2</v>
      </c>
      <c r="M42" s="73">
        <f t="shared" si="1"/>
        <v>93</v>
      </c>
      <c r="N42" s="73">
        <f t="shared" si="16"/>
        <v>10075.62</v>
      </c>
      <c r="O42" s="73">
        <f t="shared" si="3"/>
        <v>0.666666666666667</v>
      </c>
      <c r="P42" s="73">
        <f t="shared" si="4"/>
        <v>51.6666666666667</v>
      </c>
      <c r="Q42" s="73">
        <f t="shared" si="5"/>
        <v>8396.35</v>
      </c>
      <c r="R42" s="73">
        <f t="shared" si="6"/>
        <v>51.6666666666667</v>
      </c>
      <c r="S42" s="73">
        <f t="shared" si="7"/>
        <v>1.66666666666667</v>
      </c>
      <c r="T42" s="73">
        <f t="shared" si="8"/>
        <v>0.666666666666667</v>
      </c>
      <c r="U42" s="73">
        <f t="shared" si="9"/>
        <v>8396.35</v>
      </c>
      <c r="V42" s="75">
        <f>_xlfn.XLOOKUP(B42,[1]Sheet1!$B:$B,[1]Sheet1!$P:$P)</f>
        <v>0.24</v>
      </c>
      <c r="W42" s="73">
        <f t="shared" si="10"/>
        <v>0.4</v>
      </c>
      <c r="X42" s="73">
        <f t="shared" si="11"/>
        <v>12.4</v>
      </c>
      <c r="Y42" s="73">
        <f t="shared" si="17"/>
        <v>2015.124</v>
      </c>
      <c r="Z42" s="75">
        <f>_xlfn.XLOOKUP(B42,[1]Sheet1!$B:$B,[1]Sheet1!$Q:$Q)</f>
        <v>0.76</v>
      </c>
      <c r="AA42" s="73">
        <f t="shared" si="13"/>
        <v>1.26666666666667</v>
      </c>
      <c r="AB42" s="73">
        <f t="shared" si="14"/>
        <v>39.2666666666667</v>
      </c>
      <c r="AC42" s="73">
        <f t="shared" si="15"/>
        <v>6381.226</v>
      </c>
      <c r="AD42" s="68" t="s">
        <v>557</v>
      </c>
    </row>
    <row r="43" ht="15" customHeight="1" spans="1:30">
      <c r="A43" s="72" t="s">
        <v>576</v>
      </c>
      <c r="B43" s="108" t="s">
        <v>105</v>
      </c>
      <c r="C43" s="108" t="s">
        <v>34</v>
      </c>
      <c r="D43" s="108" t="s">
        <v>35</v>
      </c>
      <c r="E43" s="108" t="s">
        <v>106</v>
      </c>
      <c r="F43" s="108">
        <v>90.7</v>
      </c>
      <c r="G43" s="108">
        <v>506</v>
      </c>
      <c r="H43" s="109">
        <v>7</v>
      </c>
      <c r="I43" s="108">
        <v>72</v>
      </c>
      <c r="J43" s="108">
        <v>135</v>
      </c>
      <c r="K43" s="108">
        <v>12245</v>
      </c>
      <c r="L43" s="105">
        <f t="shared" si="0"/>
        <v>3.12</v>
      </c>
      <c r="M43" s="73">
        <f t="shared" si="1"/>
        <v>313.72</v>
      </c>
      <c r="N43" s="73">
        <f t="shared" si="16"/>
        <v>28454.404</v>
      </c>
      <c r="O43" s="73">
        <f t="shared" si="3"/>
        <v>-1.37777777777778</v>
      </c>
      <c r="P43" s="73">
        <f t="shared" si="4"/>
        <v>174.288888888889</v>
      </c>
      <c r="Q43" s="73">
        <f t="shared" si="5"/>
        <v>23712.0033333333</v>
      </c>
      <c r="R43" s="73">
        <f t="shared" si="6"/>
        <v>174.288888888889</v>
      </c>
      <c r="S43" s="73">
        <f t="shared" si="7"/>
        <v>5.62222222222222</v>
      </c>
      <c r="T43" s="73">
        <f t="shared" si="8"/>
        <v>-1.37777777777778</v>
      </c>
      <c r="U43" s="73">
        <f t="shared" si="9"/>
        <v>23712.0033333333</v>
      </c>
      <c r="V43" s="75">
        <f>_xlfn.XLOOKUP(B43,[1]Sheet1!$B:$B,[1]Sheet1!$P:$P)</f>
        <v>0.9296875</v>
      </c>
      <c r="W43" s="73">
        <f t="shared" si="10"/>
        <v>5.22690972222222</v>
      </c>
      <c r="X43" s="73">
        <f t="shared" si="11"/>
        <v>162.034201388889</v>
      </c>
      <c r="Y43" s="73">
        <f t="shared" si="17"/>
        <v>22044.7530989583</v>
      </c>
      <c r="Z43" s="75">
        <f>_xlfn.XLOOKUP(B43,[1]Sheet1!$B:$B,[1]Sheet1!$Q:$Q)</f>
        <v>0.0703125</v>
      </c>
      <c r="AA43" s="73">
        <f t="shared" si="13"/>
        <v>0.3953125</v>
      </c>
      <c r="AB43" s="73">
        <f t="shared" si="14"/>
        <v>12.2546875</v>
      </c>
      <c r="AC43" s="73">
        <f t="shared" si="15"/>
        <v>1667.250234375</v>
      </c>
      <c r="AD43" s="68" t="s">
        <v>550</v>
      </c>
    </row>
    <row r="44" ht="15" customHeight="1" spans="1:30">
      <c r="A44" s="110" t="s">
        <v>294</v>
      </c>
      <c r="B44" s="111" t="s">
        <v>197</v>
      </c>
      <c r="C44" s="111" t="s">
        <v>34</v>
      </c>
      <c r="D44" s="111" t="s">
        <v>51</v>
      </c>
      <c r="E44" s="111" t="s">
        <v>80</v>
      </c>
      <c r="F44" s="111">
        <v>125.34</v>
      </c>
      <c r="G44" s="111">
        <v>58</v>
      </c>
      <c r="H44" s="112"/>
      <c r="I44" s="111"/>
      <c r="J44" s="111">
        <v>58</v>
      </c>
      <c r="K44" s="111">
        <v>10905</v>
      </c>
      <c r="L44" s="105">
        <f t="shared" si="0"/>
        <v>1.16</v>
      </c>
      <c r="M44" s="73">
        <f t="shared" si="1"/>
        <v>35.96</v>
      </c>
      <c r="N44" s="73">
        <f t="shared" si="16"/>
        <v>4507.2264</v>
      </c>
      <c r="O44" s="73">
        <f t="shared" si="3"/>
        <v>0.644444444444444</v>
      </c>
      <c r="P44" s="73">
        <f t="shared" si="4"/>
        <v>19.9777777777778</v>
      </c>
      <c r="Q44" s="73">
        <f t="shared" si="5"/>
        <v>3756.022</v>
      </c>
      <c r="R44" s="73">
        <f t="shared" si="6"/>
        <v>19.9777777777778</v>
      </c>
      <c r="S44" s="73">
        <f t="shared" si="7"/>
        <v>0.644444444444444</v>
      </c>
      <c r="T44" s="73">
        <f t="shared" si="8"/>
        <v>0.644444444444444</v>
      </c>
      <c r="U44" s="73">
        <f t="shared" si="9"/>
        <v>3756.022</v>
      </c>
      <c r="V44" s="114">
        <f>_xlfn.XLOOKUP(B44,[1]Sheet1!$B:$B,[1]Sheet1!$P:$P)</f>
        <v>0</v>
      </c>
      <c r="W44" s="115">
        <f t="shared" si="10"/>
        <v>0</v>
      </c>
      <c r="X44" s="115">
        <f t="shared" si="11"/>
        <v>0</v>
      </c>
      <c r="Y44" s="115">
        <f t="shared" si="17"/>
        <v>0</v>
      </c>
      <c r="Z44" s="114">
        <f>_xlfn.XLOOKUP(B44,[1]Sheet1!$B:$B,[1]Sheet1!$Q:$Q)</f>
        <v>0</v>
      </c>
      <c r="AA44" s="115">
        <f t="shared" si="13"/>
        <v>0</v>
      </c>
      <c r="AB44" s="115">
        <f t="shared" si="14"/>
        <v>0</v>
      </c>
      <c r="AC44" s="115">
        <f t="shared" si="15"/>
        <v>0</v>
      </c>
      <c r="AD44" s="116" t="s">
        <v>558</v>
      </c>
    </row>
    <row r="45" ht="15" customHeight="1" spans="1:30">
      <c r="A45" s="110" t="s">
        <v>577</v>
      </c>
      <c r="B45" s="111" t="s">
        <v>312</v>
      </c>
      <c r="C45" s="111" t="s">
        <v>34</v>
      </c>
      <c r="D45" s="111" t="s">
        <v>51</v>
      </c>
      <c r="E45" s="111" t="s">
        <v>313</v>
      </c>
      <c r="F45" s="111">
        <v>37.42</v>
      </c>
      <c r="G45" s="111">
        <v>407</v>
      </c>
      <c r="H45" s="112">
        <v>3</v>
      </c>
      <c r="I45" s="111">
        <v>135</v>
      </c>
      <c r="J45" s="111">
        <v>234</v>
      </c>
      <c r="K45" s="111">
        <v>10534</v>
      </c>
      <c r="L45" s="105">
        <f t="shared" si="0"/>
        <v>5.14</v>
      </c>
      <c r="M45" s="73">
        <f t="shared" si="1"/>
        <v>252.34</v>
      </c>
      <c r="N45" s="73">
        <f t="shared" si="16"/>
        <v>9442.5628</v>
      </c>
      <c r="O45" s="73">
        <f t="shared" si="3"/>
        <v>1.52222222222222</v>
      </c>
      <c r="P45" s="73">
        <f t="shared" si="4"/>
        <v>140.188888888889</v>
      </c>
      <c r="Q45" s="73">
        <f t="shared" si="5"/>
        <v>7868.80233333333</v>
      </c>
      <c r="R45" s="73">
        <f t="shared" si="6"/>
        <v>140.188888888889</v>
      </c>
      <c r="S45" s="73">
        <f t="shared" si="7"/>
        <v>4.52222222222222</v>
      </c>
      <c r="T45" s="73">
        <f t="shared" si="8"/>
        <v>1.52222222222222</v>
      </c>
      <c r="U45" s="73">
        <f t="shared" si="9"/>
        <v>7868.80233333333</v>
      </c>
      <c r="V45" s="114">
        <f>_xlfn.XLOOKUP(B45,[1]Sheet1!$B:$B,[1]Sheet1!$P:$P)</f>
        <v>0.675675675675676</v>
      </c>
      <c r="W45" s="115">
        <f t="shared" si="10"/>
        <v>3.05555555555556</v>
      </c>
      <c r="X45" s="115">
        <f t="shared" si="11"/>
        <v>94.7222222222223</v>
      </c>
      <c r="Y45" s="115">
        <f t="shared" si="17"/>
        <v>5316.75833333334</v>
      </c>
      <c r="Z45" s="114">
        <f>_xlfn.XLOOKUP(B45,[1]Sheet1!$B:$B,[1]Sheet1!$Q:$Q)</f>
        <v>0.324324324324324</v>
      </c>
      <c r="AA45" s="115">
        <f t="shared" si="13"/>
        <v>1.46666666666667</v>
      </c>
      <c r="AB45" s="115">
        <f t="shared" si="14"/>
        <v>45.4666666666666</v>
      </c>
      <c r="AC45" s="115">
        <f t="shared" si="15"/>
        <v>2552.044</v>
      </c>
      <c r="AD45" s="116" t="s">
        <v>558</v>
      </c>
    </row>
    <row r="46" ht="15" customHeight="1" spans="1:30">
      <c r="A46" s="72" t="s">
        <v>406</v>
      </c>
      <c r="B46" s="108" t="s">
        <v>578</v>
      </c>
      <c r="C46" s="108" t="s">
        <v>34</v>
      </c>
      <c r="D46" s="108" t="s">
        <v>35</v>
      </c>
      <c r="E46" s="108" t="s">
        <v>57</v>
      </c>
      <c r="F46" s="108">
        <v>115.68</v>
      </c>
      <c r="G46" s="108">
        <v>60</v>
      </c>
      <c r="H46" s="109"/>
      <c r="I46" s="108"/>
      <c r="J46" s="108">
        <v>60</v>
      </c>
      <c r="K46" s="108">
        <v>10411</v>
      </c>
      <c r="L46" s="105">
        <f t="shared" si="0"/>
        <v>1.2</v>
      </c>
      <c r="M46" s="73">
        <f t="shared" si="1"/>
        <v>37.2</v>
      </c>
      <c r="N46" s="73">
        <f t="shared" si="16"/>
        <v>4303.296</v>
      </c>
      <c r="O46" s="73">
        <f t="shared" si="3"/>
        <v>0.666666666666667</v>
      </c>
      <c r="P46" s="73">
        <f t="shared" si="4"/>
        <v>20.6666666666667</v>
      </c>
      <c r="Q46" s="73">
        <f t="shared" si="5"/>
        <v>3586.08</v>
      </c>
      <c r="R46" s="73">
        <f t="shared" si="6"/>
        <v>20.6666666666667</v>
      </c>
      <c r="S46" s="73">
        <f t="shared" si="7"/>
        <v>0.666666666666667</v>
      </c>
      <c r="T46" s="73">
        <f t="shared" si="8"/>
        <v>0.666666666666667</v>
      </c>
      <c r="U46" s="73">
        <f t="shared" si="9"/>
        <v>3586.08</v>
      </c>
      <c r="V46" s="75">
        <f>_xlfn.XLOOKUP(B46,[1]Sheet1!$B:$B,[1]Sheet1!$P:$P)</f>
        <v>0</v>
      </c>
      <c r="W46" s="73">
        <f t="shared" si="10"/>
        <v>0</v>
      </c>
      <c r="X46" s="73">
        <f t="shared" si="11"/>
        <v>0</v>
      </c>
      <c r="Y46" s="73">
        <f t="shared" si="17"/>
        <v>0</v>
      </c>
      <c r="Z46" s="75">
        <f>_xlfn.XLOOKUP(B46,[1]Sheet1!$B:$B,[1]Sheet1!$Q:$Q)</f>
        <v>0</v>
      </c>
      <c r="AA46" s="73">
        <f t="shared" si="13"/>
        <v>0</v>
      </c>
      <c r="AB46" s="73">
        <f t="shared" si="14"/>
        <v>0</v>
      </c>
      <c r="AC46" s="73">
        <f t="shared" si="15"/>
        <v>0</v>
      </c>
      <c r="AD46" s="68" t="s">
        <v>540</v>
      </c>
    </row>
    <row r="47" ht="15" customHeight="1" spans="1:30">
      <c r="A47" s="72" t="s">
        <v>220</v>
      </c>
      <c r="B47" s="108" t="s">
        <v>189</v>
      </c>
      <c r="C47" s="108" t="s">
        <v>34</v>
      </c>
      <c r="D47" s="108" t="s">
        <v>35</v>
      </c>
      <c r="E47" s="108" t="s">
        <v>160</v>
      </c>
      <c r="F47" s="108">
        <v>83.69</v>
      </c>
      <c r="G47" s="108">
        <v>546</v>
      </c>
      <c r="H47" s="109">
        <v>8</v>
      </c>
      <c r="I47" s="108">
        <v>68</v>
      </c>
      <c r="J47" s="108">
        <v>120</v>
      </c>
      <c r="K47" s="108">
        <v>10043</v>
      </c>
      <c r="L47" s="105">
        <f t="shared" si="0"/>
        <v>2.92</v>
      </c>
      <c r="M47" s="73">
        <f t="shared" si="1"/>
        <v>338.52</v>
      </c>
      <c r="N47" s="73">
        <f t="shared" si="16"/>
        <v>28330.7388</v>
      </c>
      <c r="O47" s="73">
        <f t="shared" si="3"/>
        <v>-1.93333333333333</v>
      </c>
      <c r="P47" s="73">
        <f t="shared" si="4"/>
        <v>188.066666666667</v>
      </c>
      <c r="Q47" s="73">
        <f t="shared" si="5"/>
        <v>23608.949</v>
      </c>
      <c r="R47" s="73">
        <f t="shared" si="6"/>
        <v>188.066666666667</v>
      </c>
      <c r="S47" s="73">
        <f t="shared" si="7"/>
        <v>6.06666666666667</v>
      </c>
      <c r="T47" s="73">
        <f t="shared" si="8"/>
        <v>-1.93333333333333</v>
      </c>
      <c r="U47" s="73">
        <f t="shared" si="9"/>
        <v>23608.949</v>
      </c>
      <c r="V47" s="75">
        <f>_xlfn.XLOOKUP(B47,[1]Sheet1!$B:$B,[1]Sheet1!$P:$P)</f>
        <v>0.686274509803922</v>
      </c>
      <c r="W47" s="73">
        <f t="shared" si="10"/>
        <v>4.16339869281046</v>
      </c>
      <c r="X47" s="73">
        <f t="shared" si="11"/>
        <v>129.065359477124</v>
      </c>
      <c r="Y47" s="73">
        <f t="shared" si="17"/>
        <v>16202.2199019608</v>
      </c>
      <c r="Z47" s="75">
        <f>_xlfn.XLOOKUP(B47,[1]Sheet1!$B:$B,[1]Sheet1!$Q:$Q)</f>
        <v>0.313725490196078</v>
      </c>
      <c r="AA47" s="73">
        <f t="shared" si="13"/>
        <v>1.90326797385621</v>
      </c>
      <c r="AB47" s="73">
        <f t="shared" si="14"/>
        <v>59.0013071895424</v>
      </c>
      <c r="AC47" s="73">
        <f t="shared" si="15"/>
        <v>7406.7290980392</v>
      </c>
      <c r="AD47" s="68" t="s">
        <v>537</v>
      </c>
    </row>
    <row r="48" ht="15" customHeight="1" spans="1:30">
      <c r="A48" s="110" t="s">
        <v>579</v>
      </c>
      <c r="B48" s="111" t="s">
        <v>580</v>
      </c>
      <c r="C48" s="111" t="s">
        <v>34</v>
      </c>
      <c r="D48" s="111" t="s">
        <v>35</v>
      </c>
      <c r="E48" s="111" t="s">
        <v>324</v>
      </c>
      <c r="F48" s="111">
        <v>80.32</v>
      </c>
      <c r="G48" s="111">
        <v>289</v>
      </c>
      <c r="H48" s="112">
        <v>3</v>
      </c>
      <c r="I48" s="111">
        <v>96</v>
      </c>
      <c r="J48" s="111">
        <v>124</v>
      </c>
      <c r="K48" s="111">
        <v>9960</v>
      </c>
      <c r="L48" s="105">
        <f t="shared" si="0"/>
        <v>2.78</v>
      </c>
      <c r="M48" s="73">
        <f t="shared" si="1"/>
        <v>179.18</v>
      </c>
      <c r="N48" s="73">
        <f t="shared" si="16"/>
        <v>14391.7376</v>
      </c>
      <c r="O48" s="73">
        <f t="shared" si="3"/>
        <v>0.211111111111111</v>
      </c>
      <c r="P48" s="73">
        <f t="shared" si="4"/>
        <v>99.5444444444445</v>
      </c>
      <c r="Q48" s="73">
        <f t="shared" si="5"/>
        <v>11993.1146666667</v>
      </c>
      <c r="R48" s="73">
        <f t="shared" si="6"/>
        <v>99.5444444444445</v>
      </c>
      <c r="S48" s="73">
        <f t="shared" si="7"/>
        <v>3.21111111111111</v>
      </c>
      <c r="T48" s="73">
        <f t="shared" si="8"/>
        <v>0.211111111111111</v>
      </c>
      <c r="U48" s="73">
        <f t="shared" si="9"/>
        <v>11993.1146666667</v>
      </c>
      <c r="V48" s="114">
        <f>_xlfn.XLOOKUP(B48,[1]Sheet1!$B:$B,[1]Sheet1!$P:$P)</f>
        <v>0.816326530612245</v>
      </c>
      <c r="W48" s="115">
        <f t="shared" si="10"/>
        <v>2.62131519274376</v>
      </c>
      <c r="X48" s="115">
        <f t="shared" si="11"/>
        <v>81.2607709750567</v>
      </c>
      <c r="Y48" s="115">
        <f t="shared" si="17"/>
        <v>9790.29768707483</v>
      </c>
      <c r="Z48" s="114">
        <f>_xlfn.XLOOKUP(B48,[1]Sheet1!$B:$B,[1]Sheet1!$Q:$Q)</f>
        <v>0.183673469387755</v>
      </c>
      <c r="AA48" s="115">
        <f t="shared" si="13"/>
        <v>0.589795918367347</v>
      </c>
      <c r="AB48" s="115">
        <f t="shared" si="14"/>
        <v>18.2836734693877</v>
      </c>
      <c r="AC48" s="115">
        <f t="shared" si="15"/>
        <v>2202.81697959184</v>
      </c>
      <c r="AD48" s="116" t="s">
        <v>558</v>
      </c>
    </row>
    <row r="49" ht="15" customHeight="1" spans="1:30">
      <c r="A49" s="110" t="s">
        <v>581</v>
      </c>
      <c r="B49" s="111" t="s">
        <v>210</v>
      </c>
      <c r="C49" s="111" t="s">
        <v>34</v>
      </c>
      <c r="D49" s="111" t="s">
        <v>51</v>
      </c>
      <c r="E49" s="111" t="s">
        <v>211</v>
      </c>
      <c r="F49" s="111">
        <v>79.73</v>
      </c>
      <c r="G49" s="111">
        <v>80</v>
      </c>
      <c r="H49" s="112"/>
      <c r="I49" s="111"/>
      <c r="J49" s="111">
        <v>80</v>
      </c>
      <c r="K49" s="111">
        <v>9568</v>
      </c>
      <c r="L49" s="105">
        <f t="shared" si="0"/>
        <v>1.6</v>
      </c>
      <c r="M49" s="73">
        <f t="shared" si="1"/>
        <v>49.6</v>
      </c>
      <c r="N49" s="73">
        <f t="shared" si="16"/>
        <v>3954.608</v>
      </c>
      <c r="O49" s="73">
        <f t="shared" si="3"/>
        <v>0.888888888888889</v>
      </c>
      <c r="P49" s="73">
        <f t="shared" si="4"/>
        <v>27.5555555555556</v>
      </c>
      <c r="Q49" s="73">
        <f t="shared" si="5"/>
        <v>3295.50666666667</v>
      </c>
      <c r="R49" s="73">
        <f t="shared" si="6"/>
        <v>27.5555555555556</v>
      </c>
      <c r="S49" s="73">
        <f t="shared" si="7"/>
        <v>0.888888888888889</v>
      </c>
      <c r="T49" s="73">
        <f t="shared" si="8"/>
        <v>0.888888888888889</v>
      </c>
      <c r="U49" s="73">
        <f t="shared" si="9"/>
        <v>3295.50666666667</v>
      </c>
      <c r="V49" s="114">
        <f>_xlfn.XLOOKUP(B49,[1]Sheet1!$B:$B,[1]Sheet1!$P:$P)</f>
        <v>0</v>
      </c>
      <c r="W49" s="115">
        <f t="shared" si="10"/>
        <v>0</v>
      </c>
      <c r="X49" s="115">
        <f t="shared" si="11"/>
        <v>0</v>
      </c>
      <c r="Y49" s="115">
        <f t="shared" si="17"/>
        <v>0</v>
      </c>
      <c r="Z49" s="114">
        <f>_xlfn.XLOOKUP(B49,[1]Sheet1!$B:$B,[1]Sheet1!$Q:$Q)</f>
        <v>0</v>
      </c>
      <c r="AA49" s="115">
        <f t="shared" si="13"/>
        <v>0</v>
      </c>
      <c r="AB49" s="115">
        <f t="shared" si="14"/>
        <v>0</v>
      </c>
      <c r="AC49" s="115">
        <f t="shared" si="15"/>
        <v>0</v>
      </c>
      <c r="AD49" s="116" t="s">
        <v>564</v>
      </c>
    </row>
    <row r="50" ht="15" customHeight="1" spans="1:30">
      <c r="A50" s="110" t="s">
        <v>358</v>
      </c>
      <c r="B50" s="111" t="s">
        <v>221</v>
      </c>
      <c r="C50" s="111" t="s">
        <v>34</v>
      </c>
      <c r="D50" s="111" t="s">
        <v>51</v>
      </c>
      <c r="E50" s="111" t="s">
        <v>222</v>
      </c>
      <c r="F50" s="111">
        <v>17.1</v>
      </c>
      <c r="G50" s="111">
        <v>509</v>
      </c>
      <c r="H50" s="112">
        <v>2</v>
      </c>
      <c r="I50" s="111">
        <v>254</v>
      </c>
      <c r="J50" s="111">
        <v>394</v>
      </c>
      <c r="K50" s="111">
        <v>9320</v>
      </c>
      <c r="L50" s="105">
        <f t="shared" si="0"/>
        <v>8.18</v>
      </c>
      <c r="M50" s="73">
        <f t="shared" si="1"/>
        <v>315.58</v>
      </c>
      <c r="N50" s="73">
        <f t="shared" si="16"/>
        <v>5396.418</v>
      </c>
      <c r="O50" s="73">
        <f t="shared" si="3"/>
        <v>3.65555555555556</v>
      </c>
      <c r="P50" s="73">
        <f t="shared" si="4"/>
        <v>175.322222222222</v>
      </c>
      <c r="Q50" s="73">
        <f t="shared" si="5"/>
        <v>4497.015</v>
      </c>
      <c r="R50" s="73">
        <f t="shared" si="6"/>
        <v>175.322222222222</v>
      </c>
      <c r="S50" s="73">
        <f t="shared" si="7"/>
        <v>5.65555555555556</v>
      </c>
      <c r="T50" s="73">
        <f t="shared" si="8"/>
        <v>3.65555555555555</v>
      </c>
      <c r="U50" s="73">
        <f t="shared" si="9"/>
        <v>4497.015</v>
      </c>
      <c r="V50" s="114">
        <f>_xlfn.XLOOKUP(B50,[1]Sheet1!$B:$B,[1]Sheet1!$P:$P)</f>
        <v>0.945945945945946</v>
      </c>
      <c r="W50" s="115">
        <f t="shared" si="10"/>
        <v>5.34984984984985</v>
      </c>
      <c r="X50" s="115">
        <f t="shared" si="11"/>
        <v>165.845345345345</v>
      </c>
      <c r="Y50" s="115">
        <f t="shared" si="17"/>
        <v>4253.93310810811</v>
      </c>
      <c r="Z50" s="114">
        <f>_xlfn.XLOOKUP(B50,[1]Sheet1!$B:$B,[1]Sheet1!$Q:$Q)</f>
        <v>0.0540540540540541</v>
      </c>
      <c r="AA50" s="115">
        <f t="shared" si="13"/>
        <v>0.305705705705706</v>
      </c>
      <c r="AB50" s="115">
        <f t="shared" si="14"/>
        <v>9.47687687687688</v>
      </c>
      <c r="AC50" s="115">
        <f t="shared" si="15"/>
        <v>243.081891891892</v>
      </c>
      <c r="AD50" s="116" t="s">
        <v>558</v>
      </c>
    </row>
    <row r="51" ht="15" customHeight="1" spans="1:30">
      <c r="A51" s="110" t="s">
        <v>582</v>
      </c>
      <c r="B51" s="111" t="s">
        <v>231</v>
      </c>
      <c r="C51" s="111" t="s">
        <v>34</v>
      </c>
      <c r="D51" s="111" t="s">
        <v>35</v>
      </c>
      <c r="E51" s="111" t="s">
        <v>156</v>
      </c>
      <c r="F51" s="111">
        <v>127.26</v>
      </c>
      <c r="G51" s="111">
        <v>64</v>
      </c>
      <c r="H51" s="112"/>
      <c r="I51" s="111"/>
      <c r="J51" s="111">
        <v>51</v>
      </c>
      <c r="K51" s="111">
        <v>9035</v>
      </c>
      <c r="L51" s="105">
        <f t="shared" si="0"/>
        <v>1.28</v>
      </c>
      <c r="M51" s="73">
        <f t="shared" si="1"/>
        <v>39.68</v>
      </c>
      <c r="N51" s="73">
        <f t="shared" si="16"/>
        <v>5049.6768</v>
      </c>
      <c r="O51" s="73">
        <f t="shared" si="3"/>
        <v>0.711111111111111</v>
      </c>
      <c r="P51" s="73">
        <f t="shared" si="4"/>
        <v>22.0444444444444</v>
      </c>
      <c r="Q51" s="73">
        <f t="shared" si="5"/>
        <v>4208.064</v>
      </c>
      <c r="R51" s="73">
        <f t="shared" si="6"/>
        <v>22.0444444444444</v>
      </c>
      <c r="S51" s="73">
        <f t="shared" si="7"/>
        <v>0.711111111111111</v>
      </c>
      <c r="T51" s="73">
        <f t="shared" si="8"/>
        <v>0.711111111111111</v>
      </c>
      <c r="U51" s="73">
        <f t="shared" si="9"/>
        <v>4208.064</v>
      </c>
      <c r="V51" s="114">
        <f>_xlfn.XLOOKUP(B51,[1]Sheet1!$B:$B,[1]Sheet1!$P:$P)</f>
        <v>1</v>
      </c>
      <c r="W51" s="115">
        <f t="shared" si="10"/>
        <v>0.711111111111111</v>
      </c>
      <c r="X51" s="115">
        <f t="shared" si="11"/>
        <v>22.0444444444444</v>
      </c>
      <c r="Y51" s="115">
        <f t="shared" si="17"/>
        <v>4208.064</v>
      </c>
      <c r="Z51" s="114">
        <f>_xlfn.XLOOKUP(B51,[1]Sheet1!$B:$B,[1]Sheet1!$Q:$Q)</f>
        <v>0</v>
      </c>
      <c r="AA51" s="115">
        <f t="shared" si="13"/>
        <v>0</v>
      </c>
      <c r="AB51" s="115">
        <f t="shared" si="14"/>
        <v>0</v>
      </c>
      <c r="AC51" s="115">
        <f t="shared" si="15"/>
        <v>0</v>
      </c>
      <c r="AD51" s="116" t="s">
        <v>558</v>
      </c>
    </row>
    <row r="52" ht="15" customHeight="1" spans="1:30">
      <c r="A52" s="72" t="s">
        <v>583</v>
      </c>
      <c r="B52" s="108" t="s">
        <v>258</v>
      </c>
      <c r="C52" s="108" t="s">
        <v>34</v>
      </c>
      <c r="D52" s="108" t="s">
        <v>35</v>
      </c>
      <c r="E52" s="108" t="s">
        <v>259</v>
      </c>
      <c r="F52" s="108">
        <v>59.66</v>
      </c>
      <c r="G52" s="108">
        <v>100</v>
      </c>
      <c r="H52" s="109"/>
      <c r="I52" s="108"/>
      <c r="J52" s="108">
        <v>100</v>
      </c>
      <c r="K52" s="108">
        <v>8949</v>
      </c>
      <c r="L52" s="105">
        <f t="shared" si="0"/>
        <v>2</v>
      </c>
      <c r="M52" s="73">
        <f t="shared" si="1"/>
        <v>62</v>
      </c>
      <c r="N52" s="73">
        <f t="shared" si="16"/>
        <v>3698.92</v>
      </c>
      <c r="O52" s="73">
        <f t="shared" si="3"/>
        <v>1.11111111111111</v>
      </c>
      <c r="P52" s="73">
        <f t="shared" si="4"/>
        <v>34.4444444444444</v>
      </c>
      <c r="Q52" s="73">
        <f t="shared" si="5"/>
        <v>3082.43333333333</v>
      </c>
      <c r="R52" s="73">
        <f t="shared" si="6"/>
        <v>34.4444444444444</v>
      </c>
      <c r="S52" s="73">
        <f t="shared" si="7"/>
        <v>1.11111111111111</v>
      </c>
      <c r="T52" s="73">
        <f t="shared" si="8"/>
        <v>1.11111111111111</v>
      </c>
      <c r="U52" s="73">
        <f t="shared" si="9"/>
        <v>3082.43333333333</v>
      </c>
      <c r="V52" s="75">
        <f>_xlfn.XLOOKUP(B52,[1]Sheet1!$B:$B,[1]Sheet1!$P:$P)</f>
        <v>0</v>
      </c>
      <c r="W52" s="73">
        <f t="shared" si="10"/>
        <v>0</v>
      </c>
      <c r="X52" s="73">
        <f t="shared" si="11"/>
        <v>0</v>
      </c>
      <c r="Y52" s="73">
        <f t="shared" si="17"/>
        <v>0</v>
      </c>
      <c r="Z52" s="75">
        <f>_xlfn.XLOOKUP(B52,[1]Sheet1!$B:$B,[1]Sheet1!$Q:$Q)</f>
        <v>0</v>
      </c>
      <c r="AA52" s="73">
        <f t="shared" si="13"/>
        <v>0</v>
      </c>
      <c r="AB52" s="73">
        <f t="shared" si="14"/>
        <v>0</v>
      </c>
      <c r="AC52" s="73">
        <f t="shared" si="15"/>
        <v>0</v>
      </c>
      <c r="AD52" s="68" t="s">
        <v>557</v>
      </c>
    </row>
    <row r="53" ht="15" customHeight="1" spans="1:30">
      <c r="A53" s="98" t="s">
        <v>230</v>
      </c>
      <c r="B53" s="99" t="s">
        <v>218</v>
      </c>
      <c r="C53" s="99" t="s">
        <v>34</v>
      </c>
      <c r="D53" s="99" t="s">
        <v>35</v>
      </c>
      <c r="E53" s="99" t="s">
        <v>219</v>
      </c>
      <c r="F53" s="99">
        <v>94.25</v>
      </c>
      <c r="G53" s="99">
        <v>62</v>
      </c>
      <c r="H53" s="100"/>
      <c r="I53" s="99"/>
      <c r="J53" s="99">
        <v>62</v>
      </c>
      <c r="K53" s="99">
        <v>8765</v>
      </c>
      <c r="L53" s="105">
        <f t="shared" si="0"/>
        <v>1.24</v>
      </c>
      <c r="M53" s="73">
        <f t="shared" si="1"/>
        <v>38.44</v>
      </c>
      <c r="N53" s="73">
        <f t="shared" si="16"/>
        <v>3622.97</v>
      </c>
      <c r="O53" s="73">
        <f t="shared" si="3"/>
        <v>0.688888888888889</v>
      </c>
      <c r="P53" s="73">
        <f t="shared" si="4"/>
        <v>21.3555555555556</v>
      </c>
      <c r="Q53" s="73">
        <f t="shared" si="5"/>
        <v>3019.14166666667</v>
      </c>
      <c r="R53" s="73">
        <f t="shared" si="6"/>
        <v>21.3555555555556</v>
      </c>
      <c r="S53" s="73">
        <f t="shared" si="7"/>
        <v>0.688888888888889</v>
      </c>
      <c r="T53" s="73">
        <f t="shared" si="8"/>
        <v>0.688888888888889</v>
      </c>
      <c r="U53" s="73">
        <f t="shared" si="9"/>
        <v>3019.14166666667</v>
      </c>
      <c r="V53" s="102">
        <f>_xlfn.XLOOKUP(B53,[1]Sheet1!$B:$B,[1]Sheet1!$P:$P)</f>
        <v>0</v>
      </c>
      <c r="W53" s="103">
        <f t="shared" si="10"/>
        <v>0</v>
      </c>
      <c r="X53" s="103">
        <f t="shared" si="11"/>
        <v>0</v>
      </c>
      <c r="Y53" s="103">
        <f t="shared" si="17"/>
        <v>0</v>
      </c>
      <c r="Z53" s="102">
        <f>_xlfn.XLOOKUP(B53,[1]Sheet1!$B:$B,[1]Sheet1!$Q:$Q)</f>
        <v>0</v>
      </c>
      <c r="AA53" s="103">
        <f t="shared" si="13"/>
        <v>0</v>
      </c>
      <c r="AB53" s="103">
        <f t="shared" si="14"/>
        <v>0</v>
      </c>
      <c r="AC53" s="103">
        <f t="shared" si="15"/>
        <v>0</v>
      </c>
      <c r="AD53" s="104" t="s">
        <v>545</v>
      </c>
    </row>
    <row r="54" ht="15" customHeight="1" spans="1:30">
      <c r="A54" s="110" t="s">
        <v>213</v>
      </c>
      <c r="B54" s="111" t="s">
        <v>407</v>
      </c>
      <c r="C54" s="111" t="s">
        <v>34</v>
      </c>
      <c r="D54" s="111" t="s">
        <v>51</v>
      </c>
      <c r="E54" s="111" t="s">
        <v>408</v>
      </c>
      <c r="F54" s="111">
        <v>16.54</v>
      </c>
      <c r="G54" s="111">
        <v>602</v>
      </c>
      <c r="H54" s="112">
        <v>3</v>
      </c>
      <c r="I54" s="111">
        <v>200</v>
      </c>
      <c r="J54" s="111">
        <v>404</v>
      </c>
      <c r="K54" s="111">
        <v>8708</v>
      </c>
      <c r="L54" s="105">
        <f t="shared" si="0"/>
        <v>9.04</v>
      </c>
      <c r="M54" s="73">
        <f t="shared" si="1"/>
        <v>373.24</v>
      </c>
      <c r="N54" s="73">
        <f t="shared" si="16"/>
        <v>6173.3896</v>
      </c>
      <c r="O54" s="73">
        <f t="shared" si="3"/>
        <v>3.68888888888889</v>
      </c>
      <c r="P54" s="73">
        <f t="shared" si="4"/>
        <v>207.355555555556</v>
      </c>
      <c r="Q54" s="73">
        <f t="shared" si="5"/>
        <v>5144.49133333333</v>
      </c>
      <c r="R54" s="73">
        <f t="shared" si="6"/>
        <v>207.355555555556</v>
      </c>
      <c r="S54" s="73">
        <f t="shared" si="7"/>
        <v>6.68888888888889</v>
      </c>
      <c r="T54" s="73">
        <f t="shared" si="8"/>
        <v>3.68888888888889</v>
      </c>
      <c r="U54" s="73">
        <f t="shared" si="9"/>
        <v>5144.49133333333</v>
      </c>
      <c r="V54" s="114">
        <f>_xlfn.XLOOKUP(B54,[1]Sheet1!$B:$B,[1]Sheet1!$P:$P)</f>
        <v>0.859375</v>
      </c>
      <c r="W54" s="115">
        <f t="shared" si="10"/>
        <v>5.74826388888889</v>
      </c>
      <c r="X54" s="115">
        <f t="shared" si="11"/>
        <v>178.196180555556</v>
      </c>
      <c r="Y54" s="115">
        <f t="shared" si="17"/>
        <v>4421.04723958333</v>
      </c>
      <c r="Z54" s="114">
        <f>_xlfn.XLOOKUP(B54,[1]Sheet1!$B:$B,[1]Sheet1!$Q:$Q)</f>
        <v>0.140625</v>
      </c>
      <c r="AA54" s="115">
        <f t="shared" si="13"/>
        <v>0.940625</v>
      </c>
      <c r="AB54" s="115">
        <f t="shared" si="14"/>
        <v>29.159375</v>
      </c>
      <c r="AC54" s="115">
        <f t="shared" si="15"/>
        <v>723.44409375</v>
      </c>
      <c r="AD54" s="116" t="s">
        <v>558</v>
      </c>
    </row>
    <row r="55" ht="15" customHeight="1" spans="1:30">
      <c r="A55" s="72" t="s">
        <v>284</v>
      </c>
      <c r="B55" s="108" t="s">
        <v>584</v>
      </c>
      <c r="C55" s="108" t="s">
        <v>34</v>
      </c>
      <c r="D55" s="108" t="s">
        <v>35</v>
      </c>
      <c r="E55" s="108" t="s">
        <v>41</v>
      </c>
      <c r="F55" s="108">
        <v>175.07</v>
      </c>
      <c r="G55" s="108">
        <v>45</v>
      </c>
      <c r="H55" s="109"/>
      <c r="I55" s="108"/>
      <c r="J55" s="108">
        <v>35</v>
      </c>
      <c r="K55" s="108">
        <v>8491</v>
      </c>
      <c r="L55" s="105">
        <f t="shared" si="0"/>
        <v>0.9</v>
      </c>
      <c r="M55" s="73">
        <f t="shared" si="1"/>
        <v>27.9</v>
      </c>
      <c r="N55" s="73">
        <f t="shared" si="16"/>
        <v>4884.453</v>
      </c>
      <c r="O55" s="73">
        <f t="shared" si="3"/>
        <v>0.5</v>
      </c>
      <c r="P55" s="73">
        <f t="shared" si="4"/>
        <v>15.5</v>
      </c>
      <c r="Q55" s="73">
        <f t="shared" si="5"/>
        <v>4070.3775</v>
      </c>
      <c r="R55" s="73">
        <f t="shared" si="6"/>
        <v>15.5</v>
      </c>
      <c r="S55" s="73">
        <f t="shared" si="7"/>
        <v>0.5</v>
      </c>
      <c r="T55" s="73">
        <f t="shared" si="8"/>
        <v>0.5</v>
      </c>
      <c r="U55" s="73">
        <f t="shared" si="9"/>
        <v>4070.3775</v>
      </c>
      <c r="V55" s="75">
        <f>_xlfn.XLOOKUP(B55,[1]Sheet1!$B:$B,[1]Sheet1!$P:$P)</f>
        <v>1</v>
      </c>
      <c r="W55" s="73">
        <f t="shared" si="10"/>
        <v>0.5</v>
      </c>
      <c r="X55" s="73">
        <f t="shared" si="11"/>
        <v>15.5</v>
      </c>
      <c r="Y55" s="73">
        <f t="shared" si="17"/>
        <v>4070.3775</v>
      </c>
      <c r="Z55" s="75">
        <f>_xlfn.XLOOKUP(B55,[1]Sheet1!$B:$B,[1]Sheet1!$Q:$Q)</f>
        <v>0</v>
      </c>
      <c r="AA55" s="73">
        <f t="shared" si="13"/>
        <v>0</v>
      </c>
      <c r="AB55" s="73">
        <f t="shared" si="14"/>
        <v>0</v>
      </c>
      <c r="AC55" s="73">
        <f t="shared" si="15"/>
        <v>0</v>
      </c>
      <c r="AD55" s="68" t="s">
        <v>540</v>
      </c>
    </row>
    <row r="56" ht="15" customHeight="1" spans="1:30">
      <c r="A56" s="110" t="s">
        <v>196</v>
      </c>
      <c r="B56" s="111" t="s">
        <v>229</v>
      </c>
      <c r="C56" s="111" t="s">
        <v>34</v>
      </c>
      <c r="D56" s="111" t="s">
        <v>51</v>
      </c>
      <c r="E56" s="111" t="s">
        <v>180</v>
      </c>
      <c r="F56" s="111">
        <v>80.27</v>
      </c>
      <c r="G56" s="111">
        <v>70</v>
      </c>
      <c r="H56" s="112"/>
      <c r="I56" s="111"/>
      <c r="J56" s="111">
        <v>69</v>
      </c>
      <c r="K56" s="111">
        <v>8268</v>
      </c>
      <c r="L56" s="105">
        <f t="shared" si="0"/>
        <v>1.4</v>
      </c>
      <c r="M56" s="73">
        <f t="shared" si="1"/>
        <v>43.4</v>
      </c>
      <c r="N56" s="73">
        <f t="shared" si="16"/>
        <v>3483.718</v>
      </c>
      <c r="O56" s="73">
        <f t="shared" si="3"/>
        <v>0.777777777777778</v>
      </c>
      <c r="P56" s="73">
        <f t="shared" si="4"/>
        <v>24.1111111111111</v>
      </c>
      <c r="Q56" s="73">
        <f t="shared" si="5"/>
        <v>2903.09833333333</v>
      </c>
      <c r="R56" s="73">
        <f t="shared" si="6"/>
        <v>24.1111111111111</v>
      </c>
      <c r="S56" s="73">
        <f t="shared" si="7"/>
        <v>0.777777777777778</v>
      </c>
      <c r="T56" s="73">
        <f t="shared" si="8"/>
        <v>0.777777777777778</v>
      </c>
      <c r="U56" s="73">
        <f t="shared" si="9"/>
        <v>2903.09833333333</v>
      </c>
      <c r="V56" s="114">
        <f>_xlfn.XLOOKUP(B56,[1]Sheet1!$B:$B,[1]Sheet1!$P:$P)</f>
        <v>0</v>
      </c>
      <c r="W56" s="115">
        <f t="shared" si="10"/>
        <v>0</v>
      </c>
      <c r="X56" s="115">
        <f t="shared" si="11"/>
        <v>0</v>
      </c>
      <c r="Y56" s="115">
        <f t="shared" si="17"/>
        <v>0</v>
      </c>
      <c r="Z56" s="114">
        <f>_xlfn.XLOOKUP(B56,[1]Sheet1!$B:$B,[1]Sheet1!$Q:$Q)</f>
        <v>1</v>
      </c>
      <c r="AA56" s="115">
        <f t="shared" si="13"/>
        <v>0.777777777777778</v>
      </c>
      <c r="AB56" s="115">
        <f t="shared" si="14"/>
        <v>24.1111111111111</v>
      </c>
      <c r="AC56" s="115">
        <f t="shared" si="15"/>
        <v>2903.09833333333</v>
      </c>
      <c r="AD56" s="116" t="s">
        <v>564</v>
      </c>
    </row>
    <row r="57" ht="15" customHeight="1" spans="1:30">
      <c r="A57" s="110" t="s">
        <v>59</v>
      </c>
      <c r="B57" s="111" t="s">
        <v>233</v>
      </c>
      <c r="C57" s="111" t="s">
        <v>34</v>
      </c>
      <c r="D57" s="111" t="s">
        <v>51</v>
      </c>
      <c r="E57" s="111" t="s">
        <v>234</v>
      </c>
      <c r="F57" s="111">
        <v>171.26</v>
      </c>
      <c r="G57" s="111">
        <v>52</v>
      </c>
      <c r="H57" s="112"/>
      <c r="I57" s="111"/>
      <c r="J57" s="111">
        <v>36</v>
      </c>
      <c r="K57" s="111">
        <v>8135</v>
      </c>
      <c r="L57" s="105">
        <f t="shared" si="0"/>
        <v>1.04</v>
      </c>
      <c r="M57" s="73">
        <f t="shared" si="1"/>
        <v>32.24</v>
      </c>
      <c r="N57" s="73">
        <f t="shared" si="16"/>
        <v>5521.4224</v>
      </c>
      <c r="O57" s="73">
        <f t="shared" si="3"/>
        <v>0.577777777777778</v>
      </c>
      <c r="P57" s="73">
        <f t="shared" si="4"/>
        <v>17.9111111111111</v>
      </c>
      <c r="Q57" s="73">
        <f t="shared" si="5"/>
        <v>4601.18533333333</v>
      </c>
      <c r="R57" s="73">
        <f t="shared" si="6"/>
        <v>17.9111111111111</v>
      </c>
      <c r="S57" s="73">
        <f t="shared" si="7"/>
        <v>0.577777777777778</v>
      </c>
      <c r="T57" s="73">
        <f t="shared" si="8"/>
        <v>0.577777777777778</v>
      </c>
      <c r="U57" s="73">
        <f t="shared" si="9"/>
        <v>4601.18533333333</v>
      </c>
      <c r="V57" s="114">
        <f>_xlfn.XLOOKUP(B57,[1]Sheet1!$B:$B,[1]Sheet1!$P:$P)</f>
        <v>0</v>
      </c>
      <c r="W57" s="115">
        <f t="shared" si="10"/>
        <v>0</v>
      </c>
      <c r="X57" s="115">
        <f t="shared" si="11"/>
        <v>0</v>
      </c>
      <c r="Y57" s="115">
        <f t="shared" si="17"/>
        <v>0</v>
      </c>
      <c r="Z57" s="114">
        <f>_xlfn.XLOOKUP(B57,[1]Sheet1!$B:$B,[1]Sheet1!$Q:$Q)</f>
        <v>1</v>
      </c>
      <c r="AA57" s="115">
        <f t="shared" si="13"/>
        <v>0.577777777777778</v>
      </c>
      <c r="AB57" s="115">
        <f t="shared" si="14"/>
        <v>17.9111111111111</v>
      </c>
      <c r="AC57" s="115">
        <f t="shared" si="15"/>
        <v>4601.18533333333</v>
      </c>
      <c r="AD57" s="116" t="s">
        <v>558</v>
      </c>
    </row>
    <row r="58" ht="15" customHeight="1" spans="1:30">
      <c r="A58" s="72" t="s">
        <v>336</v>
      </c>
      <c r="B58" s="108" t="s">
        <v>585</v>
      </c>
      <c r="C58" s="108" t="s">
        <v>34</v>
      </c>
      <c r="D58" s="108" t="s">
        <v>51</v>
      </c>
      <c r="E58" s="108" t="s">
        <v>165</v>
      </c>
      <c r="F58" s="108">
        <v>95.4554</v>
      </c>
      <c r="G58" s="108">
        <v>799</v>
      </c>
      <c r="H58" s="109">
        <v>14</v>
      </c>
      <c r="I58" s="108">
        <v>57</v>
      </c>
      <c r="J58" s="108">
        <v>83</v>
      </c>
      <c r="K58" s="108">
        <v>7923</v>
      </c>
      <c r="L58" s="105">
        <f t="shared" si="0"/>
        <v>1.98</v>
      </c>
      <c r="M58" s="73">
        <f t="shared" si="1"/>
        <v>495.38</v>
      </c>
      <c r="N58" s="73">
        <f t="shared" si="16"/>
        <v>47286.696052</v>
      </c>
      <c r="O58" s="73">
        <f t="shared" si="3"/>
        <v>-5.12222222222222</v>
      </c>
      <c r="P58" s="73">
        <f t="shared" si="4"/>
        <v>275.211111111111</v>
      </c>
      <c r="Q58" s="73">
        <f t="shared" si="5"/>
        <v>39405.5800433333</v>
      </c>
      <c r="R58" s="73">
        <f t="shared" si="6"/>
        <v>275.211111111111</v>
      </c>
      <c r="S58" s="73">
        <f t="shared" si="7"/>
        <v>8.87777777777778</v>
      </c>
      <c r="T58" s="73">
        <f t="shared" si="8"/>
        <v>-5.12222222222222</v>
      </c>
      <c r="U58" s="73">
        <f t="shared" si="9"/>
        <v>39405.5800433333</v>
      </c>
      <c r="V58" s="75">
        <f>_xlfn.XLOOKUP(B58,[1]Sheet1!$B:$B,[1]Sheet1!$P:$P)</f>
        <v>0.651041666666667</v>
      </c>
      <c r="W58" s="73">
        <f t="shared" si="10"/>
        <v>5.77980324074074</v>
      </c>
      <c r="X58" s="73">
        <f t="shared" si="11"/>
        <v>179.173900462963</v>
      </c>
      <c r="Y58" s="73">
        <f t="shared" si="17"/>
        <v>25654.6745073785</v>
      </c>
      <c r="Z58" s="75">
        <f>_xlfn.XLOOKUP(B58,[1]Sheet1!$B:$B,[1]Sheet1!$Q:$Q)</f>
        <v>0.348958333333333</v>
      </c>
      <c r="AA58" s="73">
        <f t="shared" si="13"/>
        <v>3.09797453703703</v>
      </c>
      <c r="AB58" s="73">
        <f t="shared" si="14"/>
        <v>96.037210648148</v>
      </c>
      <c r="AC58" s="73">
        <f t="shared" si="15"/>
        <v>13750.9055359548</v>
      </c>
      <c r="AD58" s="68"/>
    </row>
    <row r="59" ht="15" customHeight="1" spans="1:30">
      <c r="A59" s="98" t="s">
        <v>586</v>
      </c>
      <c r="B59" s="99" t="s">
        <v>285</v>
      </c>
      <c r="C59" s="99" t="s">
        <v>34</v>
      </c>
      <c r="D59" s="99" t="s">
        <v>51</v>
      </c>
      <c r="E59" s="99" t="s">
        <v>286</v>
      </c>
      <c r="F59" s="99">
        <v>19.49</v>
      </c>
      <c r="G59" s="99">
        <v>349</v>
      </c>
      <c r="H59" s="100">
        <v>1</v>
      </c>
      <c r="I59" s="99">
        <v>349</v>
      </c>
      <c r="J59" s="99">
        <v>278</v>
      </c>
      <c r="K59" s="99">
        <v>7572</v>
      </c>
      <c r="L59" s="101">
        <f t="shared" si="0"/>
        <v>5.98</v>
      </c>
      <c r="M59" s="70">
        <f t="shared" si="1"/>
        <v>216.38</v>
      </c>
      <c r="N59" s="70">
        <f t="shared" si="16"/>
        <v>4217.2462</v>
      </c>
      <c r="O59" s="70">
        <f t="shared" si="3"/>
        <v>2.87777777777778</v>
      </c>
      <c r="P59" s="70">
        <f t="shared" si="4"/>
        <v>120.211111111111</v>
      </c>
      <c r="Q59" s="70">
        <f t="shared" si="5"/>
        <v>3514.37183333333</v>
      </c>
      <c r="R59" s="70">
        <f t="shared" si="6"/>
        <v>120.211111111111</v>
      </c>
      <c r="S59" s="70">
        <f t="shared" si="7"/>
        <v>3.87777777777778</v>
      </c>
      <c r="T59" s="70">
        <f t="shared" si="8"/>
        <v>2.87777777777778</v>
      </c>
      <c r="U59" s="70">
        <f t="shared" si="9"/>
        <v>3514.37183333333</v>
      </c>
      <c r="V59" s="102">
        <f>_xlfn.XLOOKUP(B59,[1]Sheet1!$B:$B,[1]Sheet1!$P:$P)</f>
        <v>0.576923076923077</v>
      </c>
      <c r="W59" s="103">
        <f t="shared" si="10"/>
        <v>2.23717948717949</v>
      </c>
      <c r="X59" s="103">
        <f t="shared" si="11"/>
        <v>69.3525641025641</v>
      </c>
      <c r="Y59" s="103">
        <f t="shared" si="17"/>
        <v>2027.52221153846</v>
      </c>
      <c r="Z59" s="102">
        <f>_xlfn.XLOOKUP(B59,[1]Sheet1!$B:$B,[1]Sheet1!$Q:$Q)</f>
        <v>0.423076923076923</v>
      </c>
      <c r="AA59" s="103">
        <f t="shared" si="13"/>
        <v>1.64059829059829</v>
      </c>
      <c r="AB59" s="103">
        <f t="shared" si="14"/>
        <v>50.858547008547</v>
      </c>
      <c r="AC59" s="103">
        <f t="shared" si="15"/>
        <v>1486.84962179487</v>
      </c>
      <c r="AD59" s="104" t="s">
        <v>545</v>
      </c>
    </row>
    <row r="60" ht="15" customHeight="1" spans="1:30">
      <c r="A60" s="72" t="s">
        <v>217</v>
      </c>
      <c r="B60" s="108" t="s">
        <v>587</v>
      </c>
      <c r="C60" s="108" t="s">
        <v>34</v>
      </c>
      <c r="D60" s="108" t="s">
        <v>35</v>
      </c>
      <c r="E60" s="108" t="s">
        <v>192</v>
      </c>
      <c r="F60" s="108">
        <v>102.79</v>
      </c>
      <c r="G60" s="108">
        <v>50</v>
      </c>
      <c r="H60" s="109"/>
      <c r="I60" s="108"/>
      <c r="J60" s="108">
        <v>49</v>
      </c>
      <c r="K60" s="108">
        <v>7504</v>
      </c>
      <c r="L60" s="105">
        <f t="shared" si="0"/>
        <v>1</v>
      </c>
      <c r="M60" s="73">
        <f t="shared" si="1"/>
        <v>31</v>
      </c>
      <c r="N60" s="73">
        <f t="shared" si="16"/>
        <v>3186.49</v>
      </c>
      <c r="O60" s="73">
        <f t="shared" si="3"/>
        <v>0.555555555555556</v>
      </c>
      <c r="P60" s="73">
        <f t="shared" si="4"/>
        <v>17.2222222222222</v>
      </c>
      <c r="Q60" s="73">
        <f t="shared" si="5"/>
        <v>2655.40833333333</v>
      </c>
      <c r="R60" s="73">
        <f t="shared" si="6"/>
        <v>17.2222222222222</v>
      </c>
      <c r="S60" s="73">
        <f t="shared" si="7"/>
        <v>0.555555555555556</v>
      </c>
      <c r="T60" s="73">
        <f t="shared" si="8"/>
        <v>0.555555555555556</v>
      </c>
      <c r="U60" s="73">
        <f t="shared" si="9"/>
        <v>2655.40833333333</v>
      </c>
      <c r="V60" s="75">
        <f>_xlfn.XLOOKUP(B60,[1]Sheet1!$B:$B,[1]Sheet1!$P:$P)</f>
        <v>0</v>
      </c>
      <c r="W60" s="73">
        <f t="shared" si="10"/>
        <v>0</v>
      </c>
      <c r="X60" s="73">
        <f t="shared" si="11"/>
        <v>0</v>
      </c>
      <c r="Y60" s="73">
        <f t="shared" si="17"/>
        <v>0</v>
      </c>
      <c r="Z60" s="75">
        <f>_xlfn.XLOOKUP(B60,[1]Sheet1!$B:$B,[1]Sheet1!$Q:$Q)</f>
        <v>1</v>
      </c>
      <c r="AA60" s="73">
        <f t="shared" si="13"/>
        <v>0.555555555555556</v>
      </c>
      <c r="AB60" s="73">
        <f t="shared" si="14"/>
        <v>17.2222222222222</v>
      </c>
      <c r="AC60" s="73">
        <f t="shared" si="15"/>
        <v>2655.40833333333</v>
      </c>
      <c r="AD60" s="68" t="s">
        <v>557</v>
      </c>
    </row>
    <row r="61" ht="15" customHeight="1" spans="1:30">
      <c r="A61" s="72" t="s">
        <v>266</v>
      </c>
      <c r="B61" s="108" t="s">
        <v>588</v>
      </c>
      <c r="C61" s="108" t="s">
        <v>34</v>
      </c>
      <c r="D61" s="108" t="s">
        <v>35</v>
      </c>
      <c r="E61" s="108" t="s">
        <v>259</v>
      </c>
      <c r="F61" s="108">
        <v>50.85</v>
      </c>
      <c r="G61" s="108">
        <v>99</v>
      </c>
      <c r="H61" s="109"/>
      <c r="I61" s="108"/>
      <c r="J61" s="108">
        <v>98</v>
      </c>
      <c r="K61" s="108">
        <v>7450</v>
      </c>
      <c r="L61" s="105">
        <f t="shared" si="0"/>
        <v>1.98</v>
      </c>
      <c r="M61" s="73">
        <f t="shared" si="1"/>
        <v>61.38</v>
      </c>
      <c r="N61" s="73">
        <f t="shared" si="16"/>
        <v>3121.173</v>
      </c>
      <c r="O61" s="73">
        <f t="shared" si="3"/>
        <v>1.1</v>
      </c>
      <c r="P61" s="73">
        <f t="shared" si="4"/>
        <v>34.1</v>
      </c>
      <c r="Q61" s="73">
        <f t="shared" si="5"/>
        <v>2600.9775</v>
      </c>
      <c r="R61" s="73">
        <f t="shared" si="6"/>
        <v>34.1</v>
      </c>
      <c r="S61" s="73">
        <f t="shared" si="7"/>
        <v>1.1</v>
      </c>
      <c r="T61" s="73">
        <f t="shared" si="8"/>
        <v>1.1</v>
      </c>
      <c r="U61" s="73">
        <f t="shared" si="9"/>
        <v>2600.9775</v>
      </c>
      <c r="V61" s="75">
        <f>_xlfn.XLOOKUP(B61,[1]Sheet1!$B:$B,[1]Sheet1!$P:$P)</f>
        <v>0</v>
      </c>
      <c r="W61" s="73">
        <f t="shared" si="10"/>
        <v>0</v>
      </c>
      <c r="X61" s="73">
        <f t="shared" si="11"/>
        <v>0</v>
      </c>
      <c r="Y61" s="73">
        <f t="shared" si="17"/>
        <v>0</v>
      </c>
      <c r="Z61" s="75">
        <f>_xlfn.XLOOKUP(B61,[1]Sheet1!$B:$B,[1]Sheet1!$Q:$Q)</f>
        <v>0</v>
      </c>
      <c r="AA61" s="73">
        <f t="shared" si="13"/>
        <v>0</v>
      </c>
      <c r="AB61" s="73">
        <f t="shared" si="14"/>
        <v>0</v>
      </c>
      <c r="AC61" s="73">
        <f t="shared" si="15"/>
        <v>0</v>
      </c>
      <c r="AD61" s="68" t="s">
        <v>557</v>
      </c>
    </row>
    <row r="62" ht="15" customHeight="1" spans="1:30">
      <c r="A62" s="110" t="s">
        <v>228</v>
      </c>
      <c r="B62" s="111" t="s">
        <v>425</v>
      </c>
      <c r="C62" s="111" t="s">
        <v>34</v>
      </c>
      <c r="D62" s="111" t="s">
        <v>51</v>
      </c>
      <c r="E62" s="111" t="s">
        <v>426</v>
      </c>
      <c r="F62" s="111">
        <v>27.04</v>
      </c>
      <c r="G62" s="111">
        <v>195</v>
      </c>
      <c r="H62" s="112"/>
      <c r="I62" s="111"/>
      <c r="J62" s="111">
        <v>180</v>
      </c>
      <c r="K62" s="111">
        <v>7139</v>
      </c>
      <c r="L62" s="105">
        <f t="shared" si="0"/>
        <v>3.9</v>
      </c>
      <c r="M62" s="73">
        <f t="shared" si="1"/>
        <v>120.9</v>
      </c>
      <c r="N62" s="73">
        <f t="shared" si="16"/>
        <v>3269.136</v>
      </c>
      <c r="O62" s="73">
        <f t="shared" si="3"/>
        <v>2.16666666666667</v>
      </c>
      <c r="P62" s="73">
        <f t="shared" si="4"/>
        <v>67.1666666666667</v>
      </c>
      <c r="Q62" s="73">
        <f t="shared" si="5"/>
        <v>2724.28</v>
      </c>
      <c r="R62" s="73">
        <f t="shared" si="6"/>
        <v>67.1666666666667</v>
      </c>
      <c r="S62" s="73">
        <f t="shared" si="7"/>
        <v>2.16666666666667</v>
      </c>
      <c r="T62" s="73">
        <f t="shared" si="8"/>
        <v>2.16666666666667</v>
      </c>
      <c r="U62" s="73">
        <f t="shared" si="9"/>
        <v>2724.28</v>
      </c>
      <c r="V62" s="114">
        <f>_xlfn.XLOOKUP(B62,[1]Sheet1!$B:$B,[1]Sheet1!$P:$P)</f>
        <v>0.333333333333333</v>
      </c>
      <c r="W62" s="115">
        <f t="shared" si="10"/>
        <v>0.722222222222221</v>
      </c>
      <c r="X62" s="115">
        <f t="shared" si="11"/>
        <v>22.3888888888889</v>
      </c>
      <c r="Y62" s="115">
        <f t="shared" si="17"/>
        <v>908.093333333332</v>
      </c>
      <c r="Z62" s="114">
        <f>_xlfn.XLOOKUP(B62,[1]Sheet1!$B:$B,[1]Sheet1!$Q:$Q)</f>
        <v>0.666666666666667</v>
      </c>
      <c r="AA62" s="115">
        <f t="shared" si="13"/>
        <v>1.44444444444444</v>
      </c>
      <c r="AB62" s="115">
        <f t="shared" si="14"/>
        <v>44.7777777777778</v>
      </c>
      <c r="AC62" s="115">
        <f t="shared" si="15"/>
        <v>1816.18666666667</v>
      </c>
      <c r="AD62" s="116" t="s">
        <v>558</v>
      </c>
    </row>
    <row r="63" ht="15" customHeight="1" spans="1:30">
      <c r="A63" s="72" t="s">
        <v>311</v>
      </c>
      <c r="B63" s="108" t="s">
        <v>589</v>
      </c>
      <c r="C63" s="108" t="s">
        <v>34</v>
      </c>
      <c r="D63" s="108" t="s">
        <v>35</v>
      </c>
      <c r="E63" s="108" t="s">
        <v>41</v>
      </c>
      <c r="F63" s="108">
        <v>90.58</v>
      </c>
      <c r="G63" s="108">
        <v>413</v>
      </c>
      <c r="H63" s="109">
        <v>6</v>
      </c>
      <c r="I63" s="108">
        <v>68</v>
      </c>
      <c r="J63" s="108">
        <v>77</v>
      </c>
      <c r="K63" s="108">
        <v>6975</v>
      </c>
      <c r="L63" s="105">
        <f t="shared" si="0"/>
        <v>2.26</v>
      </c>
      <c r="M63" s="73">
        <f t="shared" si="1"/>
        <v>256.06</v>
      </c>
      <c r="N63" s="73">
        <f t="shared" si="16"/>
        <v>23193.9148</v>
      </c>
      <c r="O63" s="73">
        <f t="shared" si="3"/>
        <v>-1.41111111111111</v>
      </c>
      <c r="P63" s="73">
        <f t="shared" si="4"/>
        <v>142.255555555556</v>
      </c>
      <c r="Q63" s="73">
        <f t="shared" si="5"/>
        <v>19328.2623333333</v>
      </c>
      <c r="R63" s="73">
        <f t="shared" si="6"/>
        <v>142.255555555556</v>
      </c>
      <c r="S63" s="73">
        <f t="shared" si="7"/>
        <v>4.58888888888889</v>
      </c>
      <c r="T63" s="73">
        <f t="shared" si="8"/>
        <v>-1.41111111111111</v>
      </c>
      <c r="U63" s="73">
        <f t="shared" si="9"/>
        <v>19328.2623333333</v>
      </c>
      <c r="V63" s="75">
        <f>_xlfn.XLOOKUP(B63,[1]Sheet1!$B:$B,[1]Sheet1!$P:$P)</f>
        <v>0.506849315068493</v>
      </c>
      <c r="W63" s="73">
        <f t="shared" si="10"/>
        <v>2.32587519025875</v>
      </c>
      <c r="X63" s="73">
        <f t="shared" si="11"/>
        <v>72.1021308980213</v>
      </c>
      <c r="Y63" s="73">
        <f t="shared" si="17"/>
        <v>9796.51652511415</v>
      </c>
      <c r="Z63" s="75">
        <f>_xlfn.XLOOKUP(B63,[1]Sheet1!$B:$B,[1]Sheet1!$Q:$Q)</f>
        <v>0.493150684931507</v>
      </c>
      <c r="AA63" s="73">
        <f t="shared" si="13"/>
        <v>2.26301369863014</v>
      </c>
      <c r="AB63" s="73">
        <f t="shared" si="14"/>
        <v>70.1534246575343</v>
      </c>
      <c r="AC63" s="73">
        <f t="shared" si="15"/>
        <v>9531.74580821918</v>
      </c>
      <c r="AD63" s="68" t="s">
        <v>537</v>
      </c>
    </row>
    <row r="64" ht="15" customHeight="1" spans="1:30">
      <c r="A64" s="98" t="s">
        <v>223</v>
      </c>
      <c r="B64" s="99" t="s">
        <v>242</v>
      </c>
      <c r="C64" s="99" t="s">
        <v>34</v>
      </c>
      <c r="D64" s="99" t="s">
        <v>51</v>
      </c>
      <c r="E64" s="99" t="s">
        <v>243</v>
      </c>
      <c r="F64" s="99">
        <v>44.15</v>
      </c>
      <c r="G64" s="99">
        <v>110</v>
      </c>
      <c r="H64" s="100"/>
      <c r="I64" s="99"/>
      <c r="J64" s="99">
        <v>104</v>
      </c>
      <c r="K64" s="99">
        <v>6777</v>
      </c>
      <c r="L64" s="101">
        <f t="shared" si="0"/>
        <v>2.2</v>
      </c>
      <c r="M64" s="70">
        <f t="shared" si="1"/>
        <v>68.2</v>
      </c>
      <c r="N64" s="70">
        <f t="shared" si="16"/>
        <v>3011.03</v>
      </c>
      <c r="O64" s="70">
        <f t="shared" si="3"/>
        <v>1.22222222222222</v>
      </c>
      <c r="P64" s="70">
        <f t="shared" si="4"/>
        <v>37.8888888888889</v>
      </c>
      <c r="Q64" s="70">
        <f t="shared" si="5"/>
        <v>2509.19166666667</v>
      </c>
      <c r="R64" s="70">
        <f t="shared" si="6"/>
        <v>37.8888888888889</v>
      </c>
      <c r="S64" s="70">
        <f t="shared" si="7"/>
        <v>1.22222222222222</v>
      </c>
      <c r="T64" s="70">
        <f t="shared" si="8"/>
        <v>1.22222222222222</v>
      </c>
      <c r="U64" s="70">
        <f t="shared" si="9"/>
        <v>2509.19166666667</v>
      </c>
      <c r="V64" s="102">
        <f>_xlfn.XLOOKUP(B64,[1]Sheet1!$B:$B,[1]Sheet1!$P:$P)</f>
        <v>0</v>
      </c>
      <c r="W64" s="103">
        <f t="shared" si="10"/>
        <v>0</v>
      </c>
      <c r="X64" s="103">
        <f t="shared" si="11"/>
        <v>0</v>
      </c>
      <c r="Y64" s="103">
        <f t="shared" si="17"/>
        <v>0</v>
      </c>
      <c r="Z64" s="102">
        <f>_xlfn.XLOOKUP(B64,[1]Sheet1!$B:$B,[1]Sheet1!$Q:$Q)</f>
        <v>0</v>
      </c>
      <c r="AA64" s="103">
        <f t="shared" si="13"/>
        <v>0</v>
      </c>
      <c r="AB64" s="103">
        <f t="shared" si="14"/>
        <v>0</v>
      </c>
      <c r="AC64" s="103">
        <f t="shared" si="15"/>
        <v>0</v>
      </c>
      <c r="AD64" s="104" t="s">
        <v>545</v>
      </c>
    </row>
    <row r="65" ht="15" customHeight="1" spans="1:31">
      <c r="A65" s="98" t="s">
        <v>590</v>
      </c>
      <c r="B65" s="99" t="s">
        <v>224</v>
      </c>
      <c r="C65" s="99" t="s">
        <v>34</v>
      </c>
      <c r="D65" s="99" t="s">
        <v>35</v>
      </c>
      <c r="E65" s="99" t="s">
        <v>66</v>
      </c>
      <c r="F65" s="99">
        <v>109.41</v>
      </c>
      <c r="G65" s="99">
        <v>47</v>
      </c>
      <c r="H65" s="100"/>
      <c r="I65" s="99"/>
      <c r="J65" s="99">
        <v>42</v>
      </c>
      <c r="K65" s="99">
        <v>6674</v>
      </c>
      <c r="L65" s="101">
        <f t="shared" si="0"/>
        <v>0.94</v>
      </c>
      <c r="M65" s="70">
        <f t="shared" si="1"/>
        <v>29.14</v>
      </c>
      <c r="N65" s="70">
        <f t="shared" si="16"/>
        <v>3188.2074</v>
      </c>
      <c r="O65" s="70">
        <f t="shared" si="3"/>
        <v>0.522222222222222</v>
      </c>
      <c r="P65" s="70">
        <f t="shared" si="4"/>
        <v>16.1888888888889</v>
      </c>
      <c r="Q65" s="70">
        <f t="shared" si="5"/>
        <v>2656.8395</v>
      </c>
      <c r="R65" s="70">
        <f t="shared" si="6"/>
        <v>16.1888888888889</v>
      </c>
      <c r="S65" s="70">
        <f t="shared" si="7"/>
        <v>0.522222222222222</v>
      </c>
      <c r="T65" s="70">
        <f t="shared" si="8"/>
        <v>0.522222222222222</v>
      </c>
      <c r="U65" s="70">
        <f t="shared" si="9"/>
        <v>2656.8395</v>
      </c>
      <c r="V65" s="102">
        <f>_xlfn.XLOOKUP(B65,[1]Sheet1!$B:$B,[1]Sheet1!$P:$P)</f>
        <v>1</v>
      </c>
      <c r="W65" s="103">
        <f t="shared" si="10"/>
        <v>0.522222222222222</v>
      </c>
      <c r="X65" s="103">
        <f t="shared" si="11"/>
        <v>16.1888888888889</v>
      </c>
      <c r="Y65" s="103">
        <f t="shared" si="17"/>
        <v>2656.8395</v>
      </c>
      <c r="Z65" s="102">
        <f>_xlfn.XLOOKUP(B65,[1]Sheet1!$B:$B,[1]Sheet1!$Q:$Q)</f>
        <v>0</v>
      </c>
      <c r="AA65" s="103">
        <f t="shared" si="13"/>
        <v>0</v>
      </c>
      <c r="AB65" s="103">
        <f t="shared" si="14"/>
        <v>0</v>
      </c>
      <c r="AC65" s="103">
        <f t="shared" si="15"/>
        <v>0</v>
      </c>
      <c r="AD65" s="104" t="s">
        <v>545</v>
      </c>
    </row>
    <row r="66" ht="15" customHeight="1" spans="1:31">
      <c r="A66" s="72" t="s">
        <v>591</v>
      </c>
      <c r="B66" s="108" t="s">
        <v>592</v>
      </c>
      <c r="C66" s="108" t="s">
        <v>34</v>
      </c>
      <c r="D66" s="108" t="s">
        <v>51</v>
      </c>
      <c r="E66" s="108" t="s">
        <v>165</v>
      </c>
      <c r="F66" s="108">
        <v>47.82</v>
      </c>
      <c r="G66" s="108">
        <v>251</v>
      </c>
      <c r="H66" s="109">
        <v>2</v>
      </c>
      <c r="I66" s="108">
        <v>125</v>
      </c>
      <c r="J66" s="108">
        <v>123</v>
      </c>
      <c r="K66" s="108">
        <v>6360</v>
      </c>
      <c r="L66" s="105">
        <f t="shared" si="0"/>
        <v>3.02</v>
      </c>
      <c r="M66" s="73">
        <f t="shared" si="1"/>
        <v>155.62</v>
      </c>
      <c r="N66" s="73">
        <f t="shared" si="16"/>
        <v>7441.7484</v>
      </c>
      <c r="O66" s="73">
        <f t="shared" si="3"/>
        <v>0.788888888888889</v>
      </c>
      <c r="P66" s="73">
        <f t="shared" si="4"/>
        <v>86.4555555555555</v>
      </c>
      <c r="Q66" s="73">
        <f t="shared" si="5"/>
        <v>6201.457</v>
      </c>
      <c r="R66" s="73">
        <f t="shared" si="6"/>
        <v>86.4555555555555</v>
      </c>
      <c r="S66" s="73">
        <f t="shared" si="7"/>
        <v>2.78888888888889</v>
      </c>
      <c r="T66" s="73">
        <f t="shared" si="8"/>
        <v>0.788888888888889</v>
      </c>
      <c r="U66" s="73">
        <f t="shared" si="9"/>
        <v>6201.457</v>
      </c>
      <c r="V66" s="75">
        <f>_xlfn.XLOOKUP(B66,[1]Sheet1!$B:$B,[1]Sheet1!$P:$P)</f>
        <v>0.1875</v>
      </c>
      <c r="W66" s="73">
        <f t="shared" si="10"/>
        <v>0.522916666666667</v>
      </c>
      <c r="X66" s="73">
        <f t="shared" si="11"/>
        <v>16.2104166666667</v>
      </c>
      <c r="Y66" s="73">
        <f t="shared" si="17"/>
        <v>1162.7731875</v>
      </c>
      <c r="Z66" s="75">
        <f>_xlfn.XLOOKUP(B66,[1]Sheet1!$B:$B,[1]Sheet1!$Q:$Q)</f>
        <v>0.8125</v>
      </c>
      <c r="AA66" s="73">
        <f t="shared" si="13"/>
        <v>2.26597222222222</v>
      </c>
      <c r="AB66" s="73">
        <f t="shared" si="14"/>
        <v>70.2451388888889</v>
      </c>
      <c r="AC66" s="73">
        <f t="shared" si="15"/>
        <v>5038.6838125</v>
      </c>
      <c r="AD66" s="68" t="s">
        <v>537</v>
      </c>
    </row>
    <row r="67" ht="15" customHeight="1" spans="1:31">
      <c r="A67" s="72" t="s">
        <v>241</v>
      </c>
      <c r="B67" s="108" t="s">
        <v>593</v>
      </c>
      <c r="C67" s="108" t="s">
        <v>34</v>
      </c>
      <c r="D67" s="108" t="s">
        <v>35</v>
      </c>
      <c r="E67" s="108" t="s">
        <v>192</v>
      </c>
      <c r="F67" s="108">
        <v>87.02</v>
      </c>
      <c r="G67" s="108">
        <v>50</v>
      </c>
      <c r="H67" s="109"/>
      <c r="I67" s="108"/>
      <c r="J67" s="108">
        <v>49</v>
      </c>
      <c r="K67" s="108">
        <v>6352</v>
      </c>
      <c r="L67" s="105">
        <f t="shared" si="0"/>
        <v>1</v>
      </c>
      <c r="M67" s="73">
        <f t="shared" si="1"/>
        <v>31</v>
      </c>
      <c r="N67" s="73">
        <f t="shared" si="16"/>
        <v>2697.62</v>
      </c>
      <c r="O67" s="73">
        <f t="shared" si="3"/>
        <v>0.555555555555556</v>
      </c>
      <c r="P67" s="73">
        <f t="shared" si="4"/>
        <v>17.2222222222222</v>
      </c>
      <c r="Q67" s="73">
        <f t="shared" si="5"/>
        <v>2248.01666666667</v>
      </c>
      <c r="R67" s="73">
        <f t="shared" si="6"/>
        <v>17.2222222222222</v>
      </c>
      <c r="S67" s="73">
        <f t="shared" si="7"/>
        <v>0.555555555555556</v>
      </c>
      <c r="T67" s="73">
        <f t="shared" si="8"/>
        <v>0.555555555555556</v>
      </c>
      <c r="U67" s="73">
        <f t="shared" si="9"/>
        <v>2248.01666666667</v>
      </c>
      <c r="V67" s="75">
        <f>_xlfn.XLOOKUP(B67,[1]Sheet1!$B:$B,[1]Sheet1!$P:$P)</f>
        <v>0</v>
      </c>
      <c r="W67" s="73">
        <f t="shared" si="10"/>
        <v>0</v>
      </c>
      <c r="X67" s="73">
        <f t="shared" si="11"/>
        <v>0</v>
      </c>
      <c r="Y67" s="73">
        <f t="shared" si="17"/>
        <v>0</v>
      </c>
      <c r="Z67" s="75">
        <f>_xlfn.XLOOKUP(B67,[1]Sheet1!$B:$B,[1]Sheet1!$Q:$Q)</f>
        <v>0</v>
      </c>
      <c r="AA67" s="73">
        <f t="shared" si="13"/>
        <v>0</v>
      </c>
      <c r="AB67" s="73">
        <f t="shared" si="14"/>
        <v>0</v>
      </c>
      <c r="AC67" s="73">
        <f t="shared" si="15"/>
        <v>0</v>
      </c>
      <c r="AD67" s="68" t="s">
        <v>594</v>
      </c>
    </row>
    <row r="68" ht="15" customHeight="1" spans="1:31">
      <c r="A68" s="110" t="s">
        <v>296</v>
      </c>
      <c r="B68" s="111" t="s">
        <v>437</v>
      </c>
      <c r="C68" s="111" t="s">
        <v>34</v>
      </c>
      <c r="D68" s="111" t="s">
        <v>35</v>
      </c>
      <c r="E68" s="111" t="s">
        <v>438</v>
      </c>
      <c r="F68" s="111">
        <v>116.93</v>
      </c>
      <c r="G68" s="111">
        <v>143</v>
      </c>
      <c r="H68" s="112">
        <v>1</v>
      </c>
      <c r="I68" s="111">
        <v>143</v>
      </c>
      <c r="J68" s="111">
        <v>53</v>
      </c>
      <c r="K68" s="111">
        <v>6197</v>
      </c>
      <c r="L68" s="105">
        <f t="shared" ref="L68:L131" si="18">(G68-(H68*50))/50</f>
        <v>1.86</v>
      </c>
      <c r="M68" s="73">
        <f t="shared" ref="M68:M131" si="19">31*(L68+H68)</f>
        <v>88.66</v>
      </c>
      <c r="N68" s="73">
        <f t="shared" si="16"/>
        <v>10367.0138</v>
      </c>
      <c r="O68" s="73">
        <f t="shared" ref="O68:O131" si="20">(G68-(H68*90))/90</f>
        <v>0.588888888888889</v>
      </c>
      <c r="P68" s="73">
        <f t="shared" ref="P68:P131" si="21">31*(O68+H68)</f>
        <v>49.2555555555556</v>
      </c>
      <c r="Q68" s="73">
        <f t="shared" ref="Q68:Q131" si="22">(O68+H68)*31*F68*1.5</f>
        <v>8639.17816666667</v>
      </c>
      <c r="R68" s="73">
        <f t="shared" ref="R68:R131" si="23">P68</f>
        <v>49.2555555555556</v>
      </c>
      <c r="S68" s="73">
        <f t="shared" ref="S68:S131" si="24">R68/31</f>
        <v>1.58888888888889</v>
      </c>
      <c r="T68" s="73">
        <f t="shared" ref="T68:T131" si="25">S68-H68</f>
        <v>0.588888888888889</v>
      </c>
      <c r="U68" s="73">
        <f t="shared" ref="U68:U131" si="26">Q68</f>
        <v>8639.17816666667</v>
      </c>
      <c r="V68" s="114">
        <f>_xlfn.XLOOKUP(B68,[1]Sheet1!$B:$B,[1]Sheet1!$P:$P)</f>
        <v>0.208333333333333</v>
      </c>
      <c r="W68" s="115">
        <f t="shared" ref="W68:W131" si="27">X68/31</f>
        <v>0.331018518518518</v>
      </c>
      <c r="X68" s="115">
        <f t="shared" ref="X68:X131" si="28">R68*V68</f>
        <v>10.2615740740741</v>
      </c>
      <c r="Y68" s="115">
        <f t="shared" si="17"/>
        <v>1799.82878472222</v>
      </c>
      <c r="Z68" s="114">
        <f>_xlfn.XLOOKUP(B68,[1]Sheet1!$B:$B,[1]Sheet1!$Q:$Q)</f>
        <v>0.791666666666667</v>
      </c>
      <c r="AA68" s="115">
        <f t="shared" ref="AA68:AA86" si="29">AB68/31</f>
        <v>1.25787037037037</v>
      </c>
      <c r="AB68" s="115">
        <f t="shared" ref="AB68:AB131" si="30">R68*Z68</f>
        <v>38.9939814814815</v>
      </c>
      <c r="AC68" s="115">
        <f t="shared" ref="AC68:AC131" si="31">F68*AB68*1.5</f>
        <v>6839.34938194445</v>
      </c>
      <c r="AD68" s="116" t="s">
        <v>564</v>
      </c>
    </row>
    <row r="69" ht="15" customHeight="1" spans="1:31">
      <c r="A69" s="98" t="s">
        <v>595</v>
      </c>
      <c r="B69" s="99" t="s">
        <v>319</v>
      </c>
      <c r="C69" s="99" t="s">
        <v>34</v>
      </c>
      <c r="D69" s="99" t="s">
        <v>51</v>
      </c>
      <c r="E69" s="99" t="s">
        <v>320</v>
      </c>
      <c r="F69" s="99">
        <v>157.1</v>
      </c>
      <c r="G69" s="99">
        <v>76</v>
      </c>
      <c r="H69" s="100"/>
      <c r="I69" s="99"/>
      <c r="J69" s="99">
        <v>36</v>
      </c>
      <c r="K69" s="99">
        <v>5970</v>
      </c>
      <c r="L69" s="105">
        <f t="shared" si="18"/>
        <v>1.52</v>
      </c>
      <c r="M69" s="73">
        <f t="shared" si="19"/>
        <v>47.12</v>
      </c>
      <c r="N69" s="73">
        <f t="shared" si="16"/>
        <v>7402.552</v>
      </c>
      <c r="O69" s="73">
        <f t="shared" si="20"/>
        <v>0.844444444444444</v>
      </c>
      <c r="P69" s="73">
        <f t="shared" si="21"/>
        <v>26.1777777777778</v>
      </c>
      <c r="Q69" s="73">
        <f t="shared" si="22"/>
        <v>6168.79333333333</v>
      </c>
      <c r="R69" s="73">
        <f t="shared" si="23"/>
        <v>26.1777777777778</v>
      </c>
      <c r="S69" s="73">
        <f t="shared" si="24"/>
        <v>0.844444444444444</v>
      </c>
      <c r="T69" s="73">
        <f t="shared" si="25"/>
        <v>0.844444444444444</v>
      </c>
      <c r="U69" s="73">
        <f t="shared" si="26"/>
        <v>6168.79333333333</v>
      </c>
      <c r="V69" s="102">
        <f>_xlfn.XLOOKUP(B69,[1]Sheet1!$B:$B,[1]Sheet1!$P:$P)</f>
        <v>0.333333333333333</v>
      </c>
      <c r="W69" s="103">
        <f t="shared" si="27"/>
        <v>0.281481481481481</v>
      </c>
      <c r="X69" s="103">
        <f t="shared" si="28"/>
        <v>8.72592592592592</v>
      </c>
      <c r="Y69" s="103">
        <f t="shared" si="17"/>
        <v>2056.26444444444</v>
      </c>
      <c r="Z69" s="102">
        <f>_xlfn.XLOOKUP(B69,[1]Sheet1!$B:$B,[1]Sheet1!$Q:$Q)</f>
        <v>0.666666666666667</v>
      </c>
      <c r="AA69" s="103">
        <f t="shared" si="29"/>
        <v>0.562962962962963</v>
      </c>
      <c r="AB69" s="103">
        <f t="shared" si="30"/>
        <v>17.4518518518519</v>
      </c>
      <c r="AC69" s="103">
        <f t="shared" si="31"/>
        <v>4112.52888888889</v>
      </c>
      <c r="AD69" s="104" t="s">
        <v>545</v>
      </c>
      <c r="AE69" s="68"/>
    </row>
    <row r="70" ht="15" customHeight="1" spans="1:31">
      <c r="A70" s="110" t="s">
        <v>596</v>
      </c>
      <c r="B70" s="111" t="s">
        <v>292</v>
      </c>
      <c r="C70" s="111" t="s">
        <v>34</v>
      </c>
      <c r="D70" s="111" t="s">
        <v>51</v>
      </c>
      <c r="E70" s="111" t="s">
        <v>180</v>
      </c>
      <c r="F70" s="111">
        <v>110.29</v>
      </c>
      <c r="G70" s="111">
        <v>39</v>
      </c>
      <c r="H70" s="112"/>
      <c r="I70" s="111"/>
      <c r="J70" s="111">
        <v>36</v>
      </c>
      <c r="K70" s="111">
        <v>5790</v>
      </c>
      <c r="L70" s="105">
        <f t="shared" si="18"/>
        <v>0.78</v>
      </c>
      <c r="M70" s="73">
        <f t="shared" si="19"/>
        <v>24.18</v>
      </c>
      <c r="N70" s="73">
        <f t="shared" si="16"/>
        <v>2666.8122</v>
      </c>
      <c r="O70" s="73">
        <f t="shared" si="20"/>
        <v>0.433333333333333</v>
      </c>
      <c r="P70" s="73">
        <f t="shared" si="21"/>
        <v>13.4333333333333</v>
      </c>
      <c r="Q70" s="73">
        <f t="shared" si="22"/>
        <v>2222.3435</v>
      </c>
      <c r="R70" s="73">
        <f t="shared" si="23"/>
        <v>13.4333333333333</v>
      </c>
      <c r="S70" s="73">
        <f t="shared" si="24"/>
        <v>0.433333333333333</v>
      </c>
      <c r="T70" s="73">
        <f t="shared" si="25"/>
        <v>0.433333333333333</v>
      </c>
      <c r="U70" s="73">
        <f t="shared" si="26"/>
        <v>2222.3435</v>
      </c>
      <c r="V70" s="114">
        <f>_xlfn.XLOOKUP(B70,[1]Sheet1!$B:$B,[1]Sheet1!$P:$P)</f>
        <v>0</v>
      </c>
      <c r="W70" s="115">
        <f t="shared" si="27"/>
        <v>0</v>
      </c>
      <c r="X70" s="115">
        <f t="shared" si="28"/>
        <v>0</v>
      </c>
      <c r="Y70" s="115">
        <f t="shared" si="17"/>
        <v>0</v>
      </c>
      <c r="Z70" s="114">
        <f>_xlfn.XLOOKUP(B70,[1]Sheet1!$B:$B,[1]Sheet1!$Q:$Q)</f>
        <v>1</v>
      </c>
      <c r="AA70" s="115">
        <f t="shared" si="29"/>
        <v>0.433333333333333</v>
      </c>
      <c r="AB70" s="115">
        <f t="shared" si="30"/>
        <v>13.4333333333333</v>
      </c>
      <c r="AC70" s="115">
        <f t="shared" si="31"/>
        <v>2222.3435</v>
      </c>
      <c r="AD70" s="116" t="s">
        <v>564</v>
      </c>
      <c r="AE70" s="68"/>
    </row>
    <row r="71" ht="15" customHeight="1" spans="1:31">
      <c r="A71" s="110" t="s">
        <v>466</v>
      </c>
      <c r="B71" s="111" t="s">
        <v>597</v>
      </c>
      <c r="C71" s="111" t="s">
        <v>34</v>
      </c>
      <c r="D71" s="111" t="s">
        <v>35</v>
      </c>
      <c r="E71" s="111" t="s">
        <v>598</v>
      </c>
      <c r="F71" s="111">
        <v>53.22</v>
      </c>
      <c r="G71" s="111">
        <v>152</v>
      </c>
      <c r="H71" s="112">
        <v>1</v>
      </c>
      <c r="I71" s="111">
        <v>152</v>
      </c>
      <c r="J71" s="111">
        <v>89</v>
      </c>
      <c r="K71" s="111">
        <v>5748</v>
      </c>
      <c r="L71" s="105">
        <f t="shared" si="18"/>
        <v>2.04</v>
      </c>
      <c r="M71" s="73">
        <f t="shared" si="19"/>
        <v>94.24</v>
      </c>
      <c r="N71" s="73">
        <f t="shared" si="16"/>
        <v>5015.4528</v>
      </c>
      <c r="O71" s="73">
        <f t="shared" si="20"/>
        <v>0.688888888888889</v>
      </c>
      <c r="P71" s="73">
        <f t="shared" si="21"/>
        <v>52.3555555555556</v>
      </c>
      <c r="Q71" s="73">
        <f t="shared" si="22"/>
        <v>4179.544</v>
      </c>
      <c r="R71" s="73">
        <f t="shared" si="23"/>
        <v>52.3555555555556</v>
      </c>
      <c r="S71" s="73">
        <f t="shared" si="24"/>
        <v>1.68888888888889</v>
      </c>
      <c r="T71" s="73">
        <f t="shared" si="25"/>
        <v>0.688888888888889</v>
      </c>
      <c r="U71" s="73">
        <f t="shared" si="26"/>
        <v>4179.544</v>
      </c>
      <c r="V71" s="114">
        <f>_xlfn.XLOOKUP(B71,[1]Sheet1!$B:$B,[1]Sheet1!$P:$P)</f>
        <v>0.333333333333333</v>
      </c>
      <c r="W71" s="115">
        <f t="shared" si="27"/>
        <v>0.562962962962962</v>
      </c>
      <c r="X71" s="115">
        <f t="shared" si="28"/>
        <v>17.4518518518518</v>
      </c>
      <c r="Y71" s="115">
        <f t="shared" si="17"/>
        <v>1393.18133333333</v>
      </c>
      <c r="Z71" s="114">
        <f>_xlfn.XLOOKUP(B71,[1]Sheet1!$B:$B,[1]Sheet1!$Q:$Q)</f>
        <v>0.666666666666667</v>
      </c>
      <c r="AA71" s="115">
        <f t="shared" si="29"/>
        <v>1.12592592592593</v>
      </c>
      <c r="AB71" s="115">
        <f t="shared" si="30"/>
        <v>34.9037037037037</v>
      </c>
      <c r="AC71" s="115">
        <f t="shared" si="31"/>
        <v>2786.36266666667</v>
      </c>
      <c r="AD71" s="116" t="s">
        <v>558</v>
      </c>
      <c r="AE71" s="68"/>
    </row>
    <row r="72" ht="15" customHeight="1" spans="1:31">
      <c r="A72" s="72" t="s">
        <v>450</v>
      </c>
      <c r="B72" s="108" t="s">
        <v>245</v>
      </c>
      <c r="C72" s="108" t="s">
        <v>34</v>
      </c>
      <c r="D72" s="108" t="s">
        <v>51</v>
      </c>
      <c r="E72" s="108" t="s">
        <v>80</v>
      </c>
      <c r="F72" s="108">
        <v>7.5</v>
      </c>
      <c r="G72" s="108">
        <v>1613</v>
      </c>
      <c r="H72" s="109">
        <v>17</v>
      </c>
      <c r="I72" s="108">
        <v>94</v>
      </c>
      <c r="J72" s="108">
        <v>736</v>
      </c>
      <c r="K72" s="108">
        <v>5655</v>
      </c>
      <c r="L72" s="105">
        <f t="shared" si="18"/>
        <v>15.26</v>
      </c>
      <c r="M72" s="73">
        <f t="shared" si="19"/>
        <v>1000.06</v>
      </c>
      <c r="N72" s="73">
        <f t="shared" si="16"/>
        <v>7500.45</v>
      </c>
      <c r="O72" s="73">
        <f t="shared" si="20"/>
        <v>0.922222222222222</v>
      </c>
      <c r="P72" s="73">
        <f t="shared" si="21"/>
        <v>555.588888888889</v>
      </c>
      <c r="Q72" s="73">
        <f t="shared" si="22"/>
        <v>6250.375</v>
      </c>
      <c r="R72" s="73">
        <f t="shared" si="23"/>
        <v>555.588888888889</v>
      </c>
      <c r="S72" s="73">
        <f t="shared" si="24"/>
        <v>17.9222222222222</v>
      </c>
      <c r="T72" s="73">
        <f t="shared" si="25"/>
        <v>0.922222222222221</v>
      </c>
      <c r="U72" s="73">
        <f t="shared" si="26"/>
        <v>6250.375</v>
      </c>
      <c r="V72" s="75">
        <f>_xlfn.XLOOKUP(B72,[1]Sheet1!$B:$B,[1]Sheet1!$P:$P)</f>
        <v>0.523255813953488</v>
      </c>
      <c r="W72" s="73">
        <f t="shared" si="27"/>
        <v>9.37790697674418</v>
      </c>
      <c r="X72" s="73">
        <f t="shared" si="28"/>
        <v>290.71511627907</v>
      </c>
      <c r="Y72" s="73">
        <f t="shared" si="17"/>
        <v>3270.54505813953</v>
      </c>
      <c r="Z72" s="75">
        <f>_xlfn.XLOOKUP(B72,[1]Sheet1!$B:$B,[1]Sheet1!$Q:$Q)</f>
        <v>0.476744186046512</v>
      </c>
      <c r="AA72" s="73">
        <f t="shared" si="29"/>
        <v>8.54431524547804</v>
      </c>
      <c r="AB72" s="73">
        <f t="shared" si="30"/>
        <v>264.873772609819</v>
      </c>
      <c r="AC72" s="73">
        <f t="shared" si="31"/>
        <v>2979.82994186047</v>
      </c>
      <c r="AD72" s="68" t="s">
        <v>557</v>
      </c>
      <c r="AE72" s="68"/>
    </row>
    <row r="73" ht="15" customHeight="1" spans="1:31">
      <c r="A73" s="72" t="s">
        <v>429</v>
      </c>
      <c r="B73" s="108" t="s">
        <v>347</v>
      </c>
      <c r="C73" s="108" t="s">
        <v>34</v>
      </c>
      <c r="D73" s="108" t="s">
        <v>35</v>
      </c>
      <c r="E73" s="108" t="s">
        <v>156</v>
      </c>
      <c r="F73" s="108">
        <v>169.9</v>
      </c>
      <c r="G73" s="108">
        <v>29</v>
      </c>
      <c r="H73" s="109"/>
      <c r="I73" s="108"/>
      <c r="J73" s="108">
        <v>23</v>
      </c>
      <c r="K73" s="108">
        <v>5437</v>
      </c>
      <c r="L73" s="105">
        <f t="shared" si="18"/>
        <v>0.58</v>
      </c>
      <c r="M73" s="73">
        <f t="shared" si="19"/>
        <v>17.98</v>
      </c>
      <c r="N73" s="73">
        <f t="shared" si="16"/>
        <v>3054.802</v>
      </c>
      <c r="O73" s="73">
        <f t="shared" si="20"/>
        <v>0.322222222222222</v>
      </c>
      <c r="P73" s="73">
        <f t="shared" si="21"/>
        <v>9.98888888888889</v>
      </c>
      <c r="Q73" s="73">
        <f t="shared" si="22"/>
        <v>2545.66833333333</v>
      </c>
      <c r="R73" s="73">
        <f t="shared" si="23"/>
        <v>9.98888888888889</v>
      </c>
      <c r="S73" s="73">
        <f t="shared" si="24"/>
        <v>0.322222222222222</v>
      </c>
      <c r="T73" s="73">
        <f t="shared" si="25"/>
        <v>0.322222222222222</v>
      </c>
      <c r="U73" s="73">
        <f t="shared" si="26"/>
        <v>2545.66833333333</v>
      </c>
      <c r="V73" s="75">
        <f>_xlfn.XLOOKUP(B73,[1]Sheet1!$B:$B,[1]Sheet1!$P:$P)</f>
        <v>1</v>
      </c>
      <c r="W73" s="73">
        <f t="shared" si="27"/>
        <v>0.322222222222222</v>
      </c>
      <c r="X73" s="73">
        <f t="shared" si="28"/>
        <v>9.98888888888889</v>
      </c>
      <c r="Y73" s="73">
        <f t="shared" si="17"/>
        <v>2545.66833333333</v>
      </c>
      <c r="Z73" s="75">
        <f>_xlfn.XLOOKUP(B73,[1]Sheet1!$B:$B,[1]Sheet1!$Q:$Q)</f>
        <v>0</v>
      </c>
      <c r="AA73" s="73">
        <f t="shared" si="29"/>
        <v>0</v>
      </c>
      <c r="AB73" s="73">
        <f t="shared" si="30"/>
        <v>0</v>
      </c>
      <c r="AC73" s="73">
        <f t="shared" si="31"/>
        <v>0</v>
      </c>
      <c r="AD73" s="68" t="s">
        <v>594</v>
      </c>
      <c r="AE73" s="68" t="s">
        <v>599</v>
      </c>
    </row>
    <row r="74" ht="15" customHeight="1" spans="1:31">
      <c r="A74" s="72" t="s">
        <v>484</v>
      </c>
      <c r="B74" s="108" t="s">
        <v>359</v>
      </c>
      <c r="C74" s="108" t="s">
        <v>34</v>
      </c>
      <c r="D74" s="108" t="s">
        <v>51</v>
      </c>
      <c r="E74" s="108" t="s">
        <v>203</v>
      </c>
      <c r="F74" s="108">
        <v>193.62</v>
      </c>
      <c r="G74" s="108">
        <v>58</v>
      </c>
      <c r="H74" s="109"/>
      <c r="I74" s="108"/>
      <c r="J74" s="108">
        <v>27</v>
      </c>
      <c r="K74" s="108">
        <v>5421</v>
      </c>
      <c r="L74" s="105">
        <f t="shared" si="18"/>
        <v>1.16</v>
      </c>
      <c r="M74" s="73">
        <f t="shared" si="19"/>
        <v>35.96</v>
      </c>
      <c r="N74" s="73">
        <f t="shared" si="16"/>
        <v>6962.5752</v>
      </c>
      <c r="O74" s="73">
        <f t="shared" si="20"/>
        <v>0.644444444444444</v>
      </c>
      <c r="P74" s="73">
        <f t="shared" si="21"/>
        <v>19.9777777777778</v>
      </c>
      <c r="Q74" s="73">
        <f t="shared" si="22"/>
        <v>5802.146</v>
      </c>
      <c r="R74" s="73">
        <f t="shared" si="23"/>
        <v>19.9777777777778</v>
      </c>
      <c r="S74" s="73">
        <f t="shared" si="24"/>
        <v>0.644444444444444</v>
      </c>
      <c r="T74" s="73">
        <f t="shared" si="25"/>
        <v>0.644444444444444</v>
      </c>
      <c r="U74" s="73">
        <f t="shared" si="26"/>
        <v>5802.146</v>
      </c>
      <c r="V74" s="75">
        <f>_xlfn.XLOOKUP(B74,[1]Sheet1!$B:$B,[1]Sheet1!$P:$P)</f>
        <v>0.5</v>
      </c>
      <c r="W74" s="73">
        <f t="shared" si="27"/>
        <v>0.322222222222222</v>
      </c>
      <c r="X74" s="73">
        <f t="shared" si="28"/>
        <v>9.98888888888889</v>
      </c>
      <c r="Y74" s="73">
        <f t="shared" si="17"/>
        <v>2901.073</v>
      </c>
      <c r="Z74" s="75">
        <f>_xlfn.XLOOKUP(B74,[1]Sheet1!$B:$B,[1]Sheet1!$Q:$Q)</f>
        <v>0.5</v>
      </c>
      <c r="AA74" s="73">
        <f t="shared" si="29"/>
        <v>0.322222222222222</v>
      </c>
      <c r="AB74" s="73">
        <f t="shared" si="30"/>
        <v>9.98888888888889</v>
      </c>
      <c r="AC74" s="73">
        <f t="shared" si="31"/>
        <v>2901.073</v>
      </c>
      <c r="AD74" s="68" t="s">
        <v>600</v>
      </c>
      <c r="AE74" s="68"/>
    </row>
    <row r="75" ht="15" customHeight="1" spans="1:31">
      <c r="A75" s="110" t="s">
        <v>601</v>
      </c>
      <c r="B75" s="111" t="s">
        <v>369</v>
      </c>
      <c r="C75" s="111" t="s">
        <v>34</v>
      </c>
      <c r="D75" s="111" t="s">
        <v>51</v>
      </c>
      <c r="E75" s="111" t="s">
        <v>180</v>
      </c>
      <c r="F75" s="111">
        <v>102.79</v>
      </c>
      <c r="G75" s="111">
        <v>36</v>
      </c>
      <c r="H75" s="112"/>
      <c r="I75" s="111"/>
      <c r="J75" s="111">
        <v>35</v>
      </c>
      <c r="K75" s="111">
        <v>5345</v>
      </c>
      <c r="L75" s="105">
        <f t="shared" si="18"/>
        <v>0.72</v>
      </c>
      <c r="M75" s="73">
        <f t="shared" si="19"/>
        <v>22.32</v>
      </c>
      <c r="N75" s="73">
        <f t="shared" si="16"/>
        <v>2294.2728</v>
      </c>
      <c r="O75" s="73">
        <f t="shared" si="20"/>
        <v>0.4</v>
      </c>
      <c r="P75" s="73">
        <f t="shared" si="21"/>
        <v>12.4</v>
      </c>
      <c r="Q75" s="73">
        <f t="shared" si="22"/>
        <v>1911.894</v>
      </c>
      <c r="R75" s="73">
        <f t="shared" si="23"/>
        <v>12.4</v>
      </c>
      <c r="S75" s="73">
        <f t="shared" si="24"/>
        <v>0.4</v>
      </c>
      <c r="T75" s="73">
        <f t="shared" si="25"/>
        <v>0.4</v>
      </c>
      <c r="U75" s="73">
        <f t="shared" si="26"/>
        <v>1911.894</v>
      </c>
      <c r="V75" s="114">
        <f>_xlfn.XLOOKUP(B75,[1]Sheet1!$B:$B,[1]Sheet1!$P:$P)</f>
        <v>1</v>
      </c>
      <c r="W75" s="115">
        <f t="shared" si="27"/>
        <v>0.4</v>
      </c>
      <c r="X75" s="115">
        <f t="shared" si="28"/>
        <v>12.4</v>
      </c>
      <c r="Y75" s="115">
        <f t="shared" si="17"/>
        <v>1911.894</v>
      </c>
      <c r="Z75" s="114">
        <f>_xlfn.XLOOKUP(B75,[1]Sheet1!$B:$B,[1]Sheet1!$Q:$Q)</f>
        <v>0</v>
      </c>
      <c r="AA75" s="115">
        <f t="shared" si="29"/>
        <v>0</v>
      </c>
      <c r="AB75" s="115">
        <f t="shared" si="30"/>
        <v>0</v>
      </c>
      <c r="AC75" s="115">
        <f t="shared" si="31"/>
        <v>0</v>
      </c>
      <c r="AD75" s="116" t="s">
        <v>564</v>
      </c>
      <c r="AE75" s="68"/>
    </row>
    <row r="76" ht="15" customHeight="1" spans="1:31">
      <c r="A76" s="72" t="s">
        <v>602</v>
      </c>
      <c r="B76" s="108" t="s">
        <v>467</v>
      </c>
      <c r="C76" s="108" t="s">
        <v>34</v>
      </c>
      <c r="D76" s="108" t="s">
        <v>51</v>
      </c>
      <c r="E76" s="108" t="s">
        <v>203</v>
      </c>
      <c r="F76" s="108">
        <v>93.2</v>
      </c>
      <c r="G76" s="108">
        <v>77</v>
      </c>
      <c r="H76" s="109"/>
      <c r="I76" s="108"/>
      <c r="J76" s="108">
        <v>46</v>
      </c>
      <c r="K76" s="108">
        <v>5266</v>
      </c>
      <c r="L76" s="105">
        <f t="shared" si="18"/>
        <v>1.54</v>
      </c>
      <c r="M76" s="73">
        <f t="shared" si="19"/>
        <v>47.74</v>
      </c>
      <c r="N76" s="73">
        <f t="shared" si="16"/>
        <v>4449.368</v>
      </c>
      <c r="O76" s="73">
        <f t="shared" si="20"/>
        <v>0.855555555555556</v>
      </c>
      <c r="P76" s="73">
        <f t="shared" si="21"/>
        <v>26.5222222222222</v>
      </c>
      <c r="Q76" s="73">
        <f t="shared" si="22"/>
        <v>3707.80666666667</v>
      </c>
      <c r="R76" s="73">
        <f t="shared" si="23"/>
        <v>26.5222222222222</v>
      </c>
      <c r="S76" s="73">
        <f t="shared" si="24"/>
        <v>0.855555555555556</v>
      </c>
      <c r="T76" s="73">
        <f t="shared" si="25"/>
        <v>0.855555555555556</v>
      </c>
      <c r="U76" s="73">
        <f t="shared" si="26"/>
        <v>3707.80666666667</v>
      </c>
      <c r="V76" s="75">
        <f>_xlfn.XLOOKUP(B76,[1]Sheet1!$B:$B,[1]Sheet1!$P:$P)</f>
        <v>0.888888888888889</v>
      </c>
      <c r="W76" s="73">
        <f t="shared" si="27"/>
        <v>0.760493827160494</v>
      </c>
      <c r="X76" s="73">
        <f t="shared" si="28"/>
        <v>23.5753086419753</v>
      </c>
      <c r="Y76" s="73">
        <f t="shared" si="17"/>
        <v>3295.82814814815</v>
      </c>
      <c r="Z76" s="75">
        <f>_xlfn.XLOOKUP(B76,[1]Sheet1!$B:$B,[1]Sheet1!$Q:$Q)</f>
        <v>0.111111111111111</v>
      </c>
      <c r="AA76" s="73">
        <f t="shared" si="29"/>
        <v>0.0950617283950616</v>
      </c>
      <c r="AB76" s="73">
        <f t="shared" si="30"/>
        <v>2.94691358024691</v>
      </c>
      <c r="AC76" s="73">
        <f t="shared" si="31"/>
        <v>411.978518518518</v>
      </c>
      <c r="AD76" s="68" t="s">
        <v>600</v>
      </c>
      <c r="AE76" s="68"/>
    </row>
    <row r="77" ht="15" customHeight="1" spans="1:31">
      <c r="A77" s="72" t="s">
        <v>603</v>
      </c>
      <c r="B77" s="108" t="s">
        <v>288</v>
      </c>
      <c r="C77" s="108" t="s">
        <v>34</v>
      </c>
      <c r="D77" s="108" t="s">
        <v>51</v>
      </c>
      <c r="E77" s="108" t="s">
        <v>283</v>
      </c>
      <c r="F77" s="108">
        <v>99.9308</v>
      </c>
      <c r="G77" s="108">
        <v>181</v>
      </c>
      <c r="H77" s="109">
        <v>2</v>
      </c>
      <c r="I77" s="108">
        <v>90</v>
      </c>
      <c r="J77" s="108">
        <v>52</v>
      </c>
      <c r="K77" s="108">
        <v>5196</v>
      </c>
      <c r="L77" s="105">
        <f t="shared" si="18"/>
        <v>1.62</v>
      </c>
      <c r="M77" s="73">
        <f t="shared" si="19"/>
        <v>112.22</v>
      </c>
      <c r="N77" s="73">
        <f t="shared" si="16"/>
        <v>11214.234376</v>
      </c>
      <c r="O77" s="73">
        <f t="shared" si="20"/>
        <v>0.0111111111111111</v>
      </c>
      <c r="P77" s="73">
        <f t="shared" si="21"/>
        <v>62.3444444444444</v>
      </c>
      <c r="Q77" s="73">
        <f t="shared" si="22"/>
        <v>9345.19531333333</v>
      </c>
      <c r="R77" s="73">
        <f t="shared" si="23"/>
        <v>62.3444444444444</v>
      </c>
      <c r="S77" s="73">
        <f t="shared" si="24"/>
        <v>2.01111111111111</v>
      </c>
      <c r="T77" s="73">
        <f t="shared" si="25"/>
        <v>0.0111111111111111</v>
      </c>
      <c r="U77" s="73">
        <f t="shared" si="26"/>
        <v>9345.19531333333</v>
      </c>
      <c r="V77" s="75">
        <f>_xlfn.XLOOKUP(B77,[1]Sheet1!$B:$B,[1]Sheet1!$P:$P)</f>
        <v>0.241379310344828</v>
      </c>
      <c r="W77" s="73">
        <f t="shared" si="27"/>
        <v>0.485440613026821</v>
      </c>
      <c r="X77" s="73">
        <f t="shared" si="28"/>
        <v>15.0486590038314</v>
      </c>
      <c r="Y77" s="73">
        <f t="shared" si="17"/>
        <v>2255.73679977012</v>
      </c>
      <c r="Z77" s="75">
        <f>_xlfn.XLOOKUP(B77,[1]Sheet1!$B:$B,[1]Sheet1!$Q:$Q)</f>
        <v>0.758620689655172</v>
      </c>
      <c r="AA77" s="73">
        <f t="shared" si="29"/>
        <v>1.52567049808429</v>
      </c>
      <c r="AB77" s="73">
        <f t="shared" si="30"/>
        <v>47.295785440613</v>
      </c>
      <c r="AC77" s="73">
        <f t="shared" si="31"/>
        <v>7089.45851356322</v>
      </c>
      <c r="AD77" s="68" t="s">
        <v>537</v>
      </c>
      <c r="AE77" s="68"/>
    </row>
    <row r="78" ht="15" customHeight="1" spans="1:31">
      <c r="A78" s="72" t="s">
        <v>291</v>
      </c>
      <c r="B78" s="108" t="s">
        <v>263</v>
      </c>
      <c r="C78" s="108" t="s">
        <v>34</v>
      </c>
      <c r="D78" s="108" t="s">
        <v>35</v>
      </c>
      <c r="E78" s="108" t="s">
        <v>264</v>
      </c>
      <c r="F78" s="108">
        <v>32.82</v>
      </c>
      <c r="G78" s="108">
        <v>112</v>
      </c>
      <c r="H78" s="109"/>
      <c r="I78" s="108"/>
      <c r="J78" s="108">
        <v>104</v>
      </c>
      <c r="K78" s="108">
        <v>5005</v>
      </c>
      <c r="L78" s="105">
        <f t="shared" si="18"/>
        <v>2.24</v>
      </c>
      <c r="M78" s="73">
        <f t="shared" si="19"/>
        <v>69.44</v>
      </c>
      <c r="N78" s="73">
        <f t="shared" ref="N78:N141" si="32">M78*F78</f>
        <v>2279.0208</v>
      </c>
      <c r="O78" s="73">
        <f t="shared" si="20"/>
        <v>1.24444444444444</v>
      </c>
      <c r="P78" s="73">
        <f t="shared" si="21"/>
        <v>38.5777777777778</v>
      </c>
      <c r="Q78" s="73">
        <f t="shared" si="22"/>
        <v>1899.184</v>
      </c>
      <c r="R78" s="73">
        <f t="shared" si="23"/>
        <v>38.5777777777778</v>
      </c>
      <c r="S78" s="73">
        <f t="shared" si="24"/>
        <v>1.24444444444444</v>
      </c>
      <c r="T78" s="73">
        <f t="shared" si="25"/>
        <v>1.24444444444444</v>
      </c>
      <c r="U78" s="73">
        <f t="shared" si="26"/>
        <v>1899.184</v>
      </c>
      <c r="V78" s="75">
        <f>_xlfn.XLOOKUP(B78,[1]Sheet1!$B:$B,[1]Sheet1!$P:$P)</f>
        <v>0.666666666666667</v>
      </c>
      <c r="W78" s="73">
        <f t="shared" si="27"/>
        <v>0.82962962962963</v>
      </c>
      <c r="X78" s="73">
        <f t="shared" si="28"/>
        <v>25.7185185185185</v>
      </c>
      <c r="Y78" s="73">
        <f t="shared" si="17"/>
        <v>1266.12266666667</v>
      </c>
      <c r="Z78" s="75">
        <f>_xlfn.XLOOKUP(B78,[1]Sheet1!$B:$B,[1]Sheet1!$Q:$Q)</f>
        <v>0.333333333333333</v>
      </c>
      <c r="AA78" s="73">
        <f t="shared" si="29"/>
        <v>0.414814814814814</v>
      </c>
      <c r="AB78" s="73">
        <f t="shared" si="30"/>
        <v>12.8592592592592</v>
      </c>
      <c r="AC78" s="73">
        <f t="shared" si="31"/>
        <v>633.061333333333</v>
      </c>
      <c r="AD78" s="68" t="s">
        <v>557</v>
      </c>
      <c r="AE78" s="68" t="s">
        <v>599</v>
      </c>
    </row>
    <row r="79" ht="15" customHeight="1" spans="1:31">
      <c r="A79" s="72" t="s">
        <v>604</v>
      </c>
      <c r="B79" s="108" t="s">
        <v>349</v>
      </c>
      <c r="C79" s="108" t="s">
        <v>34</v>
      </c>
      <c r="D79" s="108" t="s">
        <v>51</v>
      </c>
      <c r="E79" s="108" t="s">
        <v>195</v>
      </c>
      <c r="F79" s="108">
        <v>94.09</v>
      </c>
      <c r="G79" s="108">
        <v>138</v>
      </c>
      <c r="H79" s="109">
        <v>1</v>
      </c>
      <c r="I79" s="108">
        <v>138</v>
      </c>
      <c r="J79" s="108">
        <v>53</v>
      </c>
      <c r="K79" s="108">
        <v>4987</v>
      </c>
      <c r="L79" s="105">
        <f t="shared" si="18"/>
        <v>1.76</v>
      </c>
      <c r="M79" s="73">
        <f t="shared" si="19"/>
        <v>85.56</v>
      </c>
      <c r="N79" s="73">
        <f t="shared" si="32"/>
        <v>8050.3404</v>
      </c>
      <c r="O79" s="73">
        <f t="shared" si="20"/>
        <v>0.533333333333333</v>
      </c>
      <c r="P79" s="73">
        <f t="shared" si="21"/>
        <v>47.5333333333333</v>
      </c>
      <c r="Q79" s="73">
        <f t="shared" si="22"/>
        <v>6708.617</v>
      </c>
      <c r="R79" s="73">
        <f t="shared" si="23"/>
        <v>47.5333333333333</v>
      </c>
      <c r="S79" s="73">
        <f t="shared" si="24"/>
        <v>1.53333333333333</v>
      </c>
      <c r="T79" s="73">
        <f t="shared" si="25"/>
        <v>0.533333333333333</v>
      </c>
      <c r="U79" s="73">
        <f t="shared" si="26"/>
        <v>6708.617</v>
      </c>
      <c r="V79" s="75">
        <f>_xlfn.XLOOKUP(B79,[1]Sheet1!$B:$B,[1]Sheet1!$P:$P)</f>
        <v>0</v>
      </c>
      <c r="W79" s="73">
        <f t="shared" si="27"/>
        <v>0</v>
      </c>
      <c r="X79" s="73">
        <f t="shared" si="28"/>
        <v>0</v>
      </c>
      <c r="Y79" s="73">
        <f t="shared" si="17"/>
        <v>0</v>
      </c>
      <c r="Z79" s="75">
        <f>_xlfn.XLOOKUP(B79,[1]Sheet1!$B:$B,[1]Sheet1!$Q:$Q)</f>
        <v>1</v>
      </c>
      <c r="AA79" s="73">
        <f t="shared" si="29"/>
        <v>1.53333333333333</v>
      </c>
      <c r="AB79" s="73">
        <f t="shared" si="30"/>
        <v>47.5333333333333</v>
      </c>
      <c r="AC79" s="73">
        <f t="shared" si="31"/>
        <v>6708.617</v>
      </c>
      <c r="AD79" s="68" t="s">
        <v>540</v>
      </c>
      <c r="AE79" s="68"/>
    </row>
    <row r="80" ht="15" customHeight="1" spans="1:31">
      <c r="A80" s="72" t="s">
        <v>262</v>
      </c>
      <c r="B80" s="108" t="s">
        <v>282</v>
      </c>
      <c r="C80" s="108" t="s">
        <v>34</v>
      </c>
      <c r="D80" s="108" t="s">
        <v>51</v>
      </c>
      <c r="E80" s="108" t="s">
        <v>283</v>
      </c>
      <c r="F80" s="108">
        <v>90.64</v>
      </c>
      <c r="G80" s="108">
        <v>130</v>
      </c>
      <c r="H80" s="109">
        <v>1</v>
      </c>
      <c r="I80" s="108">
        <v>130</v>
      </c>
      <c r="J80" s="108">
        <v>55</v>
      </c>
      <c r="K80" s="108">
        <v>4985</v>
      </c>
      <c r="L80" s="105">
        <f t="shared" si="18"/>
        <v>1.6</v>
      </c>
      <c r="M80" s="73">
        <f t="shared" si="19"/>
        <v>80.6</v>
      </c>
      <c r="N80" s="73">
        <f t="shared" si="32"/>
        <v>7305.584</v>
      </c>
      <c r="O80" s="73">
        <f t="shared" si="20"/>
        <v>0.444444444444444</v>
      </c>
      <c r="P80" s="73">
        <f t="shared" si="21"/>
        <v>44.7777777777778</v>
      </c>
      <c r="Q80" s="73">
        <f t="shared" si="22"/>
        <v>6087.98666666667</v>
      </c>
      <c r="R80" s="73">
        <f t="shared" si="23"/>
        <v>44.7777777777778</v>
      </c>
      <c r="S80" s="73">
        <f t="shared" si="24"/>
        <v>1.44444444444444</v>
      </c>
      <c r="T80" s="73">
        <f t="shared" si="25"/>
        <v>0.444444444444444</v>
      </c>
      <c r="U80" s="73">
        <f t="shared" si="26"/>
        <v>6087.98666666667</v>
      </c>
      <c r="V80" s="75">
        <f>_xlfn.XLOOKUP(B80,[1]Sheet1!$B:$B,[1]Sheet1!$P:$P)</f>
        <v>0.133333333333333</v>
      </c>
      <c r="W80" s="73">
        <f t="shared" si="27"/>
        <v>0.192592592592592</v>
      </c>
      <c r="X80" s="73">
        <f t="shared" si="28"/>
        <v>5.97037037037036</v>
      </c>
      <c r="Y80" s="73">
        <f t="shared" si="17"/>
        <v>811.731555555554</v>
      </c>
      <c r="Z80" s="75">
        <f>_xlfn.XLOOKUP(B80,[1]Sheet1!$B:$B,[1]Sheet1!$Q:$Q)</f>
        <v>0.866666666666667</v>
      </c>
      <c r="AA80" s="73">
        <f t="shared" si="29"/>
        <v>1.25185185185185</v>
      </c>
      <c r="AB80" s="73">
        <f t="shared" si="30"/>
        <v>38.8074074074074</v>
      </c>
      <c r="AC80" s="73">
        <f t="shared" si="31"/>
        <v>5276.25511111111</v>
      </c>
      <c r="AD80" s="68" t="s">
        <v>537</v>
      </c>
    </row>
    <row r="81" ht="15" customHeight="1" spans="1:30">
      <c r="A81" s="72" t="s">
        <v>443</v>
      </c>
      <c r="B81" s="108" t="s">
        <v>272</v>
      </c>
      <c r="C81" s="108" t="s">
        <v>34</v>
      </c>
      <c r="D81" s="108" t="s">
        <v>35</v>
      </c>
      <c r="E81" s="108" t="s">
        <v>259</v>
      </c>
      <c r="F81" s="108">
        <v>33.12</v>
      </c>
      <c r="G81" s="108">
        <v>100</v>
      </c>
      <c r="H81" s="109"/>
      <c r="I81" s="108"/>
      <c r="J81" s="108">
        <v>100</v>
      </c>
      <c r="K81" s="108">
        <v>4968</v>
      </c>
      <c r="L81" s="105">
        <f t="shared" si="18"/>
        <v>2</v>
      </c>
      <c r="M81" s="73">
        <f t="shared" si="19"/>
        <v>62</v>
      </c>
      <c r="N81" s="73">
        <f t="shared" si="32"/>
        <v>2053.44</v>
      </c>
      <c r="O81" s="73">
        <f t="shared" si="20"/>
        <v>1.11111111111111</v>
      </c>
      <c r="P81" s="73">
        <f t="shared" si="21"/>
        <v>34.4444444444444</v>
      </c>
      <c r="Q81" s="73">
        <f t="shared" si="22"/>
        <v>1711.2</v>
      </c>
      <c r="R81" s="73">
        <f t="shared" si="23"/>
        <v>34.4444444444444</v>
      </c>
      <c r="S81" s="73">
        <f t="shared" si="24"/>
        <v>1.11111111111111</v>
      </c>
      <c r="T81" s="73">
        <f t="shared" si="25"/>
        <v>1.11111111111111</v>
      </c>
      <c r="U81" s="73">
        <f t="shared" si="26"/>
        <v>1711.2</v>
      </c>
      <c r="V81" s="75">
        <f>_xlfn.XLOOKUP(B81,[1]Sheet1!$B:$B,[1]Sheet1!$P:$P)</f>
        <v>0</v>
      </c>
      <c r="W81" s="73">
        <f t="shared" si="27"/>
        <v>0</v>
      </c>
      <c r="X81" s="73">
        <f t="shared" si="28"/>
        <v>0</v>
      </c>
      <c r="Y81" s="73">
        <f t="shared" si="17"/>
        <v>0</v>
      </c>
      <c r="Z81" s="75">
        <f>_xlfn.XLOOKUP(B81,[1]Sheet1!$B:$B,[1]Sheet1!$Q:$Q)</f>
        <v>0</v>
      </c>
      <c r="AA81" s="73">
        <f t="shared" si="29"/>
        <v>0</v>
      </c>
      <c r="AB81" s="73">
        <f t="shared" si="30"/>
        <v>0</v>
      </c>
      <c r="AC81" s="73">
        <f t="shared" si="31"/>
        <v>0</v>
      </c>
      <c r="AD81" s="68" t="s">
        <v>557</v>
      </c>
    </row>
    <row r="82" ht="15" customHeight="1" spans="1:30">
      <c r="A82" s="72" t="s">
        <v>480</v>
      </c>
      <c r="B82" s="108" t="s">
        <v>301</v>
      </c>
      <c r="C82" s="108" t="s">
        <v>34</v>
      </c>
      <c r="D82" s="108" t="s">
        <v>35</v>
      </c>
      <c r="E82" s="108" t="s">
        <v>259</v>
      </c>
      <c r="F82" s="108">
        <v>91.27</v>
      </c>
      <c r="G82" s="108">
        <v>36</v>
      </c>
      <c r="H82" s="109"/>
      <c r="I82" s="108"/>
      <c r="J82" s="108">
        <v>36</v>
      </c>
      <c r="K82" s="108">
        <v>4929</v>
      </c>
      <c r="L82" s="105">
        <f t="shared" si="18"/>
        <v>0.72</v>
      </c>
      <c r="M82" s="73">
        <f t="shared" si="19"/>
        <v>22.32</v>
      </c>
      <c r="N82" s="73">
        <f t="shared" si="32"/>
        <v>2037.1464</v>
      </c>
      <c r="O82" s="73">
        <f t="shared" si="20"/>
        <v>0.4</v>
      </c>
      <c r="P82" s="73">
        <f t="shared" si="21"/>
        <v>12.4</v>
      </c>
      <c r="Q82" s="73">
        <f t="shared" si="22"/>
        <v>1697.622</v>
      </c>
      <c r="R82" s="73">
        <f t="shared" si="23"/>
        <v>12.4</v>
      </c>
      <c r="S82" s="73">
        <f t="shared" si="24"/>
        <v>0.4</v>
      </c>
      <c r="T82" s="73">
        <f t="shared" si="25"/>
        <v>0.4</v>
      </c>
      <c r="U82" s="73">
        <f t="shared" si="26"/>
        <v>1697.622</v>
      </c>
      <c r="V82" s="75">
        <f>_xlfn.XLOOKUP(B82,[1]Sheet1!$B:$B,[1]Sheet1!$P:$P)</f>
        <v>0</v>
      </c>
      <c r="W82" s="73">
        <f t="shared" si="27"/>
        <v>0</v>
      </c>
      <c r="X82" s="73">
        <f t="shared" si="28"/>
        <v>0</v>
      </c>
      <c r="Y82" s="73">
        <f t="shared" si="17"/>
        <v>0</v>
      </c>
      <c r="Z82" s="75">
        <f>_xlfn.XLOOKUP(B82,[1]Sheet1!$B:$B,[1]Sheet1!$Q:$Q)</f>
        <v>0</v>
      </c>
      <c r="AA82" s="73">
        <f t="shared" si="29"/>
        <v>0</v>
      </c>
      <c r="AB82" s="73">
        <f t="shared" si="30"/>
        <v>0</v>
      </c>
      <c r="AC82" s="73">
        <f t="shared" si="31"/>
        <v>0</v>
      </c>
      <c r="AD82" s="68" t="s">
        <v>557</v>
      </c>
    </row>
    <row r="83" ht="15" customHeight="1" spans="1:30">
      <c r="A83" s="72" t="s">
        <v>244</v>
      </c>
      <c r="B83" s="108" t="s">
        <v>605</v>
      </c>
      <c r="C83" s="108" t="s">
        <v>34</v>
      </c>
      <c r="D83" s="108" t="s">
        <v>51</v>
      </c>
      <c r="E83" s="108" t="s">
        <v>165</v>
      </c>
      <c r="F83" s="108">
        <v>84.3667</v>
      </c>
      <c r="G83" s="108">
        <v>153</v>
      </c>
      <c r="H83" s="109">
        <v>1</v>
      </c>
      <c r="I83" s="108">
        <v>153</v>
      </c>
      <c r="J83" s="108">
        <v>58</v>
      </c>
      <c r="K83" s="108">
        <v>4893</v>
      </c>
      <c r="L83" s="105">
        <f t="shared" si="18"/>
        <v>2.06</v>
      </c>
      <c r="M83" s="73">
        <f t="shared" si="19"/>
        <v>94.86</v>
      </c>
      <c r="N83" s="73">
        <f t="shared" si="32"/>
        <v>8003.025162</v>
      </c>
      <c r="O83" s="73">
        <f t="shared" si="20"/>
        <v>0.7</v>
      </c>
      <c r="P83" s="73">
        <f t="shared" si="21"/>
        <v>52.7</v>
      </c>
      <c r="Q83" s="73">
        <f t="shared" si="22"/>
        <v>6669.187635</v>
      </c>
      <c r="R83" s="73">
        <f t="shared" si="23"/>
        <v>52.7</v>
      </c>
      <c r="S83" s="73">
        <f t="shared" si="24"/>
        <v>1.7</v>
      </c>
      <c r="T83" s="73">
        <f t="shared" si="25"/>
        <v>0.7</v>
      </c>
      <c r="U83" s="73">
        <f t="shared" si="26"/>
        <v>6669.187635</v>
      </c>
      <c r="V83" s="75">
        <f>_xlfn.XLOOKUP(B83,[1]Sheet1!$B:$B,[1]Sheet1!$P:$P)</f>
        <v>0.456521739130435</v>
      </c>
      <c r="W83" s="73">
        <f t="shared" si="27"/>
        <v>0.776086956521739</v>
      </c>
      <c r="X83" s="73">
        <f t="shared" si="28"/>
        <v>24.0586956521739</v>
      </c>
      <c r="Y83" s="73">
        <f t="shared" si="17"/>
        <v>3044.62913771739</v>
      </c>
      <c r="Z83" s="75">
        <f>_xlfn.XLOOKUP(B83,[1]Sheet1!$B:$B,[1]Sheet1!$Q:$Q)</f>
        <v>0.543478260869565</v>
      </c>
      <c r="AA83" s="73">
        <f t="shared" si="29"/>
        <v>0.92391304347826</v>
      </c>
      <c r="AB83" s="73">
        <f t="shared" si="30"/>
        <v>28.6413043478261</v>
      </c>
      <c r="AC83" s="73">
        <f t="shared" si="31"/>
        <v>3624.55849728261</v>
      </c>
      <c r="AD83" s="68" t="s">
        <v>537</v>
      </c>
    </row>
    <row r="84" ht="15" customHeight="1" spans="1:30">
      <c r="A84" s="72" t="s">
        <v>486</v>
      </c>
      <c r="B84" s="108" t="s">
        <v>444</v>
      </c>
      <c r="C84" s="108" t="s">
        <v>34</v>
      </c>
      <c r="D84" s="108" t="s">
        <v>51</v>
      </c>
      <c r="E84" s="108" t="s">
        <v>283</v>
      </c>
      <c r="F84" s="108">
        <v>90.64</v>
      </c>
      <c r="G84" s="108">
        <v>157</v>
      </c>
      <c r="H84" s="109">
        <v>2</v>
      </c>
      <c r="I84" s="108">
        <v>78</v>
      </c>
      <c r="J84" s="108">
        <v>51</v>
      </c>
      <c r="K84" s="108">
        <v>4623</v>
      </c>
      <c r="L84" s="105">
        <f t="shared" si="18"/>
        <v>1.14</v>
      </c>
      <c r="M84" s="73">
        <f t="shared" si="19"/>
        <v>97.34</v>
      </c>
      <c r="N84" s="73">
        <f t="shared" si="32"/>
        <v>8822.8976</v>
      </c>
      <c r="O84" s="73">
        <f t="shared" si="20"/>
        <v>-0.255555555555556</v>
      </c>
      <c r="P84" s="73">
        <f t="shared" si="21"/>
        <v>54.0777777777778</v>
      </c>
      <c r="Q84" s="73">
        <f t="shared" si="22"/>
        <v>7352.41466666667</v>
      </c>
      <c r="R84" s="73">
        <f t="shared" si="23"/>
        <v>54.0777777777778</v>
      </c>
      <c r="S84" s="73">
        <f t="shared" si="24"/>
        <v>1.74444444444444</v>
      </c>
      <c r="T84" s="73">
        <f t="shared" si="25"/>
        <v>-0.255555555555556</v>
      </c>
      <c r="U84" s="73">
        <f t="shared" si="26"/>
        <v>7352.41466666667</v>
      </c>
      <c r="V84" s="75">
        <f>_xlfn.XLOOKUP(B84,[1]Sheet1!$B:$B,[1]Sheet1!$P:$P)</f>
        <v>0.032258064516129</v>
      </c>
      <c r="W84" s="73">
        <f t="shared" si="27"/>
        <v>0.0562724014336917</v>
      </c>
      <c r="X84" s="73">
        <f t="shared" si="28"/>
        <v>1.74444444444444</v>
      </c>
      <c r="Y84" s="73">
        <f t="shared" si="17"/>
        <v>237.174666666666</v>
      </c>
      <c r="Z84" s="75">
        <f>_xlfn.XLOOKUP(B84,[1]Sheet1!$B:$B,[1]Sheet1!$Q:$Q)</f>
        <v>0.967741935483871</v>
      </c>
      <c r="AA84" s="73">
        <f t="shared" si="29"/>
        <v>1.68817204301075</v>
      </c>
      <c r="AB84" s="73">
        <f t="shared" si="30"/>
        <v>52.3333333333333</v>
      </c>
      <c r="AC84" s="73">
        <f t="shared" si="31"/>
        <v>7115.24</v>
      </c>
      <c r="AD84" s="68" t="s">
        <v>557</v>
      </c>
    </row>
    <row r="85" ht="15" customHeight="1" spans="1:30">
      <c r="A85" s="110" t="s">
        <v>606</v>
      </c>
      <c r="B85" s="111" t="s">
        <v>607</v>
      </c>
      <c r="C85" s="111" t="s">
        <v>34</v>
      </c>
      <c r="D85" s="111" t="s">
        <v>35</v>
      </c>
      <c r="E85" s="111" t="s">
        <v>250</v>
      </c>
      <c r="F85" s="111">
        <v>41.49</v>
      </c>
      <c r="G85" s="111">
        <v>107</v>
      </c>
      <c r="H85" s="112"/>
      <c r="I85" s="111"/>
      <c r="J85" s="111">
        <v>81</v>
      </c>
      <c r="K85" s="111">
        <v>4605</v>
      </c>
      <c r="L85" s="105">
        <f t="shared" si="18"/>
        <v>2.14</v>
      </c>
      <c r="M85" s="73">
        <f t="shared" si="19"/>
        <v>66.34</v>
      </c>
      <c r="N85" s="73">
        <f t="shared" si="32"/>
        <v>2752.4466</v>
      </c>
      <c r="O85" s="73">
        <f t="shared" si="20"/>
        <v>1.18888888888889</v>
      </c>
      <c r="P85" s="73">
        <f t="shared" si="21"/>
        <v>36.8555555555556</v>
      </c>
      <c r="Q85" s="73">
        <f t="shared" si="22"/>
        <v>2293.7055</v>
      </c>
      <c r="R85" s="73">
        <f t="shared" si="23"/>
        <v>36.8555555555556</v>
      </c>
      <c r="S85" s="73">
        <f t="shared" si="24"/>
        <v>1.18888888888889</v>
      </c>
      <c r="T85" s="73">
        <f t="shared" si="25"/>
        <v>1.18888888888889</v>
      </c>
      <c r="U85" s="73">
        <f t="shared" si="26"/>
        <v>2293.7055</v>
      </c>
      <c r="V85" s="114">
        <f>_xlfn.XLOOKUP(B85,[1]Sheet1!$B:$B,[1]Sheet1!$P:$P)</f>
        <v>1</v>
      </c>
      <c r="W85" s="115">
        <f t="shared" si="27"/>
        <v>1.18888888888889</v>
      </c>
      <c r="X85" s="115">
        <f t="shared" si="28"/>
        <v>36.8555555555556</v>
      </c>
      <c r="Y85" s="115">
        <f t="shared" si="17"/>
        <v>2293.7055</v>
      </c>
      <c r="Z85" s="114">
        <f>_xlfn.XLOOKUP(B85,[1]Sheet1!$B:$B,[1]Sheet1!$Q:$Q)</f>
        <v>0</v>
      </c>
      <c r="AA85" s="115">
        <f t="shared" si="29"/>
        <v>0</v>
      </c>
      <c r="AB85" s="115">
        <f t="shared" si="30"/>
        <v>0</v>
      </c>
      <c r="AC85" s="115">
        <f t="shared" si="31"/>
        <v>0</v>
      </c>
      <c r="AD85" s="116" t="s">
        <v>558</v>
      </c>
    </row>
    <row r="86" ht="15" customHeight="1" spans="1:30">
      <c r="A86" s="110" t="s">
        <v>448</v>
      </c>
      <c r="B86" s="111" t="s">
        <v>267</v>
      </c>
      <c r="C86" s="111" t="s">
        <v>34</v>
      </c>
      <c r="D86" s="111" t="s">
        <v>35</v>
      </c>
      <c r="E86" s="111" t="s">
        <v>250</v>
      </c>
      <c r="F86" s="111">
        <v>160.68</v>
      </c>
      <c r="G86" s="111">
        <v>29</v>
      </c>
      <c r="H86" s="112"/>
      <c r="I86" s="111"/>
      <c r="J86" s="111">
        <v>21</v>
      </c>
      <c r="K86" s="111">
        <v>4499</v>
      </c>
      <c r="L86" s="105">
        <f t="shared" si="18"/>
        <v>0.58</v>
      </c>
      <c r="M86" s="73">
        <f t="shared" si="19"/>
        <v>17.98</v>
      </c>
      <c r="N86" s="73">
        <f t="shared" si="32"/>
        <v>2889.0264</v>
      </c>
      <c r="O86" s="73">
        <f t="shared" si="20"/>
        <v>0.322222222222222</v>
      </c>
      <c r="P86" s="73">
        <f t="shared" si="21"/>
        <v>9.98888888888889</v>
      </c>
      <c r="Q86" s="73">
        <f t="shared" si="22"/>
        <v>2407.522</v>
      </c>
      <c r="R86" s="73">
        <f t="shared" si="23"/>
        <v>9.98888888888889</v>
      </c>
      <c r="S86" s="73">
        <f t="shared" si="24"/>
        <v>0.322222222222222</v>
      </c>
      <c r="T86" s="73">
        <f t="shared" si="25"/>
        <v>0.322222222222222</v>
      </c>
      <c r="U86" s="73">
        <f t="shared" si="26"/>
        <v>2407.522</v>
      </c>
      <c r="V86" s="114">
        <f>_xlfn.XLOOKUP(B86,[1]Sheet1!$B:$B,[1]Sheet1!$P:$P)</f>
        <v>0.6</v>
      </c>
      <c r="W86" s="115">
        <f t="shared" si="27"/>
        <v>0.193333333333333</v>
      </c>
      <c r="X86" s="115">
        <f t="shared" si="28"/>
        <v>5.99333333333333</v>
      </c>
      <c r="Y86" s="115">
        <f t="shared" ref="Y86:Y140" si="33">X86*F86*1.5</f>
        <v>1444.5132</v>
      </c>
      <c r="Z86" s="114">
        <f>_xlfn.XLOOKUP(B86,[1]Sheet1!$B:$B,[1]Sheet1!$Q:$Q)</f>
        <v>0.4</v>
      </c>
      <c r="AA86" s="115">
        <f t="shared" si="29"/>
        <v>0.128888888888889</v>
      </c>
      <c r="AB86" s="115">
        <f t="shared" si="30"/>
        <v>3.99555555555556</v>
      </c>
      <c r="AC86" s="115">
        <f t="shared" si="31"/>
        <v>963.0088</v>
      </c>
      <c r="AD86" s="116" t="s">
        <v>558</v>
      </c>
    </row>
    <row r="87" ht="15" customHeight="1" spans="1:30">
      <c r="A87" s="72" t="s">
        <v>608</v>
      </c>
      <c r="B87" s="108" t="s">
        <v>449</v>
      </c>
      <c r="C87" s="108" t="s">
        <v>34</v>
      </c>
      <c r="D87" s="108" t="s">
        <v>35</v>
      </c>
      <c r="E87" s="108" t="s">
        <v>335</v>
      </c>
      <c r="F87" s="108">
        <v>43.51</v>
      </c>
      <c r="G87" s="108">
        <v>85</v>
      </c>
      <c r="H87" s="109"/>
      <c r="I87" s="108"/>
      <c r="J87" s="108">
        <v>72</v>
      </c>
      <c r="K87" s="108">
        <v>4460</v>
      </c>
      <c r="L87" s="105">
        <f t="shared" si="18"/>
        <v>1.7</v>
      </c>
      <c r="M87" s="73">
        <f t="shared" si="19"/>
        <v>52.7</v>
      </c>
      <c r="N87" s="73">
        <f t="shared" si="32"/>
        <v>2292.977</v>
      </c>
      <c r="O87" s="73">
        <f t="shared" si="20"/>
        <v>0.944444444444444</v>
      </c>
      <c r="P87" s="73">
        <f t="shared" si="21"/>
        <v>29.2777777777778</v>
      </c>
      <c r="Q87" s="73">
        <f t="shared" si="22"/>
        <v>1910.81416666667</v>
      </c>
      <c r="R87" s="73">
        <f t="shared" si="23"/>
        <v>29.2777777777778</v>
      </c>
      <c r="S87" s="73">
        <f t="shared" si="24"/>
        <v>0.944444444444444</v>
      </c>
      <c r="T87" s="73">
        <f t="shared" si="25"/>
        <v>0.944444444444444</v>
      </c>
      <c r="U87" s="73">
        <f t="shared" si="26"/>
        <v>1910.81416666667</v>
      </c>
      <c r="V87" s="75">
        <f>_xlfn.XLOOKUP(B87,[1]Sheet1!$B:$B,[1]Sheet1!$P:$P)</f>
        <v>0.5</v>
      </c>
      <c r="W87" s="73">
        <f t="shared" si="27"/>
        <v>0.472222222222222</v>
      </c>
      <c r="X87" s="73">
        <f t="shared" si="28"/>
        <v>14.6388888888889</v>
      </c>
      <c r="Y87" s="73">
        <f t="shared" si="33"/>
        <v>955.407083333333</v>
      </c>
      <c r="Z87" s="75">
        <f>_xlfn.XLOOKUP(B87,[1]Sheet1!$B:$B,[1]Sheet1!$Q:$Q)</f>
        <v>0.5</v>
      </c>
      <c r="AA87" s="73">
        <v>50</v>
      </c>
      <c r="AB87" s="73">
        <f t="shared" si="30"/>
        <v>14.6388888888889</v>
      </c>
      <c r="AC87" s="73">
        <f t="shared" si="31"/>
        <v>955.407083333333</v>
      </c>
      <c r="AD87" s="68"/>
    </row>
    <row r="88" ht="15" customHeight="1" spans="1:30">
      <c r="A88" s="72" t="s">
        <v>416</v>
      </c>
      <c r="B88" s="108" t="s">
        <v>451</v>
      </c>
      <c r="C88" s="108" t="s">
        <v>34</v>
      </c>
      <c r="D88" s="108" t="s">
        <v>51</v>
      </c>
      <c r="E88" s="108" t="s">
        <v>203</v>
      </c>
      <c r="F88" s="108">
        <v>86.12</v>
      </c>
      <c r="G88" s="108">
        <v>92</v>
      </c>
      <c r="H88" s="109"/>
      <c r="I88" s="108"/>
      <c r="J88" s="108">
        <v>46</v>
      </c>
      <c r="K88" s="108">
        <v>4349</v>
      </c>
      <c r="L88" s="105">
        <f t="shared" si="18"/>
        <v>1.84</v>
      </c>
      <c r="M88" s="73">
        <f t="shared" si="19"/>
        <v>57.04</v>
      </c>
      <c r="N88" s="73">
        <f t="shared" si="32"/>
        <v>4912.2848</v>
      </c>
      <c r="O88" s="73">
        <f t="shared" si="20"/>
        <v>1.02222222222222</v>
      </c>
      <c r="P88" s="73">
        <f t="shared" si="21"/>
        <v>31.6888888888889</v>
      </c>
      <c r="Q88" s="73">
        <f t="shared" si="22"/>
        <v>4093.57066666667</v>
      </c>
      <c r="R88" s="73">
        <f t="shared" si="23"/>
        <v>31.6888888888889</v>
      </c>
      <c r="S88" s="73">
        <f t="shared" si="24"/>
        <v>1.02222222222222</v>
      </c>
      <c r="T88" s="73">
        <f t="shared" si="25"/>
        <v>1.02222222222222</v>
      </c>
      <c r="U88" s="73">
        <f t="shared" si="26"/>
        <v>4093.57066666667</v>
      </c>
      <c r="V88" s="75">
        <f>_xlfn.XLOOKUP(B88,[1]Sheet1!$B:$B,[1]Sheet1!$P:$P)</f>
        <v>0.75</v>
      </c>
      <c r="W88" s="73">
        <f t="shared" si="27"/>
        <v>0.766666666666667</v>
      </c>
      <c r="X88" s="73">
        <f t="shared" si="28"/>
        <v>23.7666666666667</v>
      </c>
      <c r="Y88" s="73">
        <f t="shared" si="33"/>
        <v>3070.178</v>
      </c>
      <c r="Z88" s="75">
        <f>_xlfn.XLOOKUP(B88,[1]Sheet1!$B:$B,[1]Sheet1!$Q:$Q)</f>
        <v>0.25</v>
      </c>
      <c r="AA88" s="73">
        <f t="shared" ref="AA88:AA151" si="34">AB88/31</f>
        <v>0.255555555555556</v>
      </c>
      <c r="AB88" s="73">
        <f t="shared" si="30"/>
        <v>7.92222222222222</v>
      </c>
      <c r="AC88" s="73">
        <f t="shared" si="31"/>
        <v>1023.39266666667</v>
      </c>
      <c r="AD88" s="68" t="s">
        <v>600</v>
      </c>
    </row>
    <row r="89" ht="15" customHeight="1" spans="1:30">
      <c r="A89" s="72" t="s">
        <v>609</v>
      </c>
      <c r="B89" s="108" t="s">
        <v>280</v>
      </c>
      <c r="C89" s="108" t="s">
        <v>34</v>
      </c>
      <c r="D89" s="108" t="s">
        <v>35</v>
      </c>
      <c r="E89" s="108" t="s">
        <v>259</v>
      </c>
      <c r="F89" s="108">
        <v>28.7</v>
      </c>
      <c r="G89" s="108">
        <v>100</v>
      </c>
      <c r="H89" s="109"/>
      <c r="I89" s="108"/>
      <c r="J89" s="108">
        <v>100</v>
      </c>
      <c r="K89" s="108">
        <v>4305</v>
      </c>
      <c r="L89" s="105">
        <f t="shared" si="18"/>
        <v>2</v>
      </c>
      <c r="M89" s="73">
        <f t="shared" si="19"/>
        <v>62</v>
      </c>
      <c r="N89" s="73">
        <f t="shared" si="32"/>
        <v>1779.4</v>
      </c>
      <c r="O89" s="73">
        <f t="shared" si="20"/>
        <v>1.11111111111111</v>
      </c>
      <c r="P89" s="73">
        <f t="shared" si="21"/>
        <v>34.4444444444444</v>
      </c>
      <c r="Q89" s="73">
        <f t="shared" si="22"/>
        <v>1482.83333333333</v>
      </c>
      <c r="R89" s="73">
        <f t="shared" si="23"/>
        <v>34.4444444444444</v>
      </c>
      <c r="S89" s="73">
        <f t="shared" si="24"/>
        <v>1.11111111111111</v>
      </c>
      <c r="T89" s="73">
        <f t="shared" si="25"/>
        <v>1.11111111111111</v>
      </c>
      <c r="U89" s="73">
        <f t="shared" si="26"/>
        <v>1482.83333333333</v>
      </c>
      <c r="V89" s="75">
        <f>_xlfn.XLOOKUP(B89,[1]Sheet1!$B:$B,[1]Sheet1!$P:$P)</f>
        <v>0</v>
      </c>
      <c r="W89" s="73">
        <f t="shared" si="27"/>
        <v>0</v>
      </c>
      <c r="X89" s="73">
        <f t="shared" si="28"/>
        <v>0</v>
      </c>
      <c r="Y89" s="73">
        <f t="shared" si="33"/>
        <v>0</v>
      </c>
      <c r="Z89" s="75">
        <f>_xlfn.XLOOKUP(B89,[1]Sheet1!$B:$B,[1]Sheet1!$Q:$Q)</f>
        <v>0</v>
      </c>
      <c r="AA89" s="73">
        <f t="shared" si="34"/>
        <v>0</v>
      </c>
      <c r="AB89" s="73">
        <f t="shared" si="30"/>
        <v>0</v>
      </c>
      <c r="AC89" s="73">
        <f t="shared" si="31"/>
        <v>0</v>
      </c>
      <c r="AD89" s="68" t="s">
        <v>557</v>
      </c>
    </row>
    <row r="90" ht="15" customHeight="1" spans="1:30">
      <c r="A90" s="72" t="s">
        <v>404</v>
      </c>
      <c r="B90" s="108" t="s">
        <v>308</v>
      </c>
      <c r="C90" s="108" t="s">
        <v>34</v>
      </c>
      <c r="D90" s="108" t="s">
        <v>51</v>
      </c>
      <c r="E90" s="108" t="s">
        <v>309</v>
      </c>
      <c r="F90" s="108">
        <v>16.07</v>
      </c>
      <c r="G90" s="108">
        <v>251</v>
      </c>
      <c r="H90" s="109">
        <v>1</v>
      </c>
      <c r="I90" s="108">
        <v>251</v>
      </c>
      <c r="J90" s="108">
        <v>193</v>
      </c>
      <c r="K90" s="108">
        <v>4275</v>
      </c>
      <c r="L90" s="105">
        <f t="shared" si="18"/>
        <v>4.02</v>
      </c>
      <c r="M90" s="73">
        <f t="shared" si="19"/>
        <v>155.62</v>
      </c>
      <c r="N90" s="73">
        <f t="shared" si="32"/>
        <v>2500.8134</v>
      </c>
      <c r="O90" s="73">
        <f t="shared" si="20"/>
        <v>1.78888888888889</v>
      </c>
      <c r="P90" s="73">
        <f t="shared" si="21"/>
        <v>86.4555555555555</v>
      </c>
      <c r="Q90" s="73">
        <f t="shared" si="22"/>
        <v>2084.01116666667</v>
      </c>
      <c r="R90" s="73">
        <f t="shared" si="23"/>
        <v>86.4555555555555</v>
      </c>
      <c r="S90" s="73">
        <f t="shared" si="24"/>
        <v>2.78888888888889</v>
      </c>
      <c r="T90" s="73">
        <f t="shared" si="25"/>
        <v>1.78888888888889</v>
      </c>
      <c r="U90" s="73">
        <f t="shared" si="26"/>
        <v>2084.01116666667</v>
      </c>
      <c r="V90" s="75">
        <f>_xlfn.XLOOKUP(B90,[1]Sheet1!$B:$B,[1]Sheet1!$P:$P)</f>
        <v>0</v>
      </c>
      <c r="W90" s="73">
        <f t="shared" si="27"/>
        <v>0</v>
      </c>
      <c r="X90" s="73">
        <f t="shared" si="28"/>
        <v>0</v>
      </c>
      <c r="Y90" s="73">
        <f t="shared" si="33"/>
        <v>0</v>
      </c>
      <c r="Z90" s="75">
        <f>_xlfn.XLOOKUP(B90,[1]Sheet1!$B:$B,[1]Sheet1!$Q:$Q)</f>
        <v>1</v>
      </c>
      <c r="AA90" s="73">
        <f t="shared" si="34"/>
        <v>2.78888888888889</v>
      </c>
      <c r="AB90" s="73">
        <f t="shared" si="30"/>
        <v>86.4555555555555</v>
      </c>
      <c r="AC90" s="73">
        <f t="shared" si="31"/>
        <v>2084.01116666667</v>
      </c>
      <c r="AD90" s="68" t="s">
        <v>557</v>
      </c>
    </row>
    <row r="91" ht="15" customHeight="1" spans="1:30">
      <c r="A91" s="72" t="s">
        <v>333</v>
      </c>
      <c r="B91" s="108" t="s">
        <v>290</v>
      </c>
      <c r="C91" s="108" t="s">
        <v>34</v>
      </c>
      <c r="D91" s="108" t="s">
        <v>35</v>
      </c>
      <c r="E91" s="108" t="s">
        <v>171</v>
      </c>
      <c r="F91" s="108">
        <v>46.18</v>
      </c>
      <c r="G91" s="108">
        <v>60</v>
      </c>
      <c r="H91" s="109"/>
      <c r="I91" s="108"/>
      <c r="J91" s="108">
        <v>60</v>
      </c>
      <c r="K91" s="108">
        <v>4156</v>
      </c>
      <c r="L91" s="105">
        <f t="shared" si="18"/>
        <v>1.2</v>
      </c>
      <c r="M91" s="73">
        <f t="shared" si="19"/>
        <v>37.2</v>
      </c>
      <c r="N91" s="73">
        <f t="shared" si="32"/>
        <v>1717.896</v>
      </c>
      <c r="O91" s="73">
        <f t="shared" si="20"/>
        <v>0.666666666666667</v>
      </c>
      <c r="P91" s="73">
        <f t="shared" si="21"/>
        <v>20.6666666666667</v>
      </c>
      <c r="Q91" s="73">
        <f t="shared" si="22"/>
        <v>1431.58</v>
      </c>
      <c r="R91" s="73">
        <f t="shared" si="23"/>
        <v>20.6666666666667</v>
      </c>
      <c r="S91" s="73">
        <f t="shared" si="24"/>
        <v>0.666666666666667</v>
      </c>
      <c r="T91" s="73">
        <f t="shared" si="25"/>
        <v>0.666666666666667</v>
      </c>
      <c r="U91" s="73">
        <f t="shared" si="26"/>
        <v>1431.58</v>
      </c>
      <c r="V91" s="75">
        <f>_xlfn.XLOOKUP(B91,[1]Sheet1!$B:$B,[1]Sheet1!$P:$P)</f>
        <v>0</v>
      </c>
      <c r="W91" s="73">
        <f t="shared" si="27"/>
        <v>0</v>
      </c>
      <c r="X91" s="73">
        <f t="shared" si="28"/>
        <v>0</v>
      </c>
      <c r="Y91" s="73">
        <f t="shared" si="33"/>
        <v>0</v>
      </c>
      <c r="Z91" s="75">
        <f>_xlfn.XLOOKUP(B91,[1]Sheet1!$B:$B,[1]Sheet1!$Q:$Q)</f>
        <v>0</v>
      </c>
      <c r="AA91" s="73">
        <f t="shared" si="34"/>
        <v>0</v>
      </c>
      <c r="AB91" s="73">
        <f t="shared" si="30"/>
        <v>0</v>
      </c>
      <c r="AC91" s="73">
        <f t="shared" si="31"/>
        <v>0</v>
      </c>
      <c r="AD91" s="68" t="s">
        <v>557</v>
      </c>
    </row>
    <row r="92" ht="15" customHeight="1" spans="1:30">
      <c r="A92" s="72" t="s">
        <v>495</v>
      </c>
      <c r="B92" s="108" t="s">
        <v>496</v>
      </c>
      <c r="C92" s="108" t="s">
        <v>34</v>
      </c>
      <c r="D92" s="108" t="s">
        <v>35</v>
      </c>
      <c r="E92" s="108" t="s">
        <v>335</v>
      </c>
      <c r="F92" s="108">
        <v>76.97</v>
      </c>
      <c r="G92" s="108">
        <v>43</v>
      </c>
      <c r="H92" s="109"/>
      <c r="I92" s="108"/>
      <c r="J92" s="108">
        <v>37</v>
      </c>
      <c r="K92" s="108">
        <v>4079</v>
      </c>
      <c r="L92" s="105">
        <f t="shared" si="18"/>
        <v>0.86</v>
      </c>
      <c r="M92" s="73">
        <f t="shared" si="19"/>
        <v>26.66</v>
      </c>
      <c r="N92" s="73">
        <f t="shared" si="32"/>
        <v>2052.0202</v>
      </c>
      <c r="O92" s="73">
        <f t="shared" si="20"/>
        <v>0.477777777777778</v>
      </c>
      <c r="P92" s="73">
        <f t="shared" si="21"/>
        <v>14.8111111111111</v>
      </c>
      <c r="Q92" s="73">
        <f t="shared" si="22"/>
        <v>1710.01683333333</v>
      </c>
      <c r="R92" s="73">
        <f t="shared" si="23"/>
        <v>14.8111111111111</v>
      </c>
      <c r="S92" s="73">
        <f t="shared" si="24"/>
        <v>0.477777777777778</v>
      </c>
      <c r="T92" s="73">
        <f t="shared" si="25"/>
        <v>0.477777777777778</v>
      </c>
      <c r="U92" s="73">
        <f t="shared" si="26"/>
        <v>1710.01683333333</v>
      </c>
      <c r="V92" s="75">
        <f>_xlfn.XLOOKUP(B92,[1]Sheet1!$B:$B,[1]Sheet1!$P:$P)</f>
        <v>1</v>
      </c>
      <c r="W92" s="73">
        <f t="shared" si="27"/>
        <v>0.477777777777778</v>
      </c>
      <c r="X92" s="73">
        <f t="shared" si="28"/>
        <v>14.8111111111111</v>
      </c>
      <c r="Y92" s="73">
        <f t="shared" si="33"/>
        <v>1710.01683333333</v>
      </c>
      <c r="Z92" s="75">
        <f>_xlfn.XLOOKUP(B92,[1]Sheet1!$B:$B,[1]Sheet1!$Q:$Q)</f>
        <v>0</v>
      </c>
      <c r="AA92" s="73">
        <f t="shared" si="34"/>
        <v>0</v>
      </c>
      <c r="AB92" s="73">
        <f t="shared" si="30"/>
        <v>0</v>
      </c>
      <c r="AC92" s="73">
        <f t="shared" si="31"/>
        <v>0</v>
      </c>
      <c r="AD92" s="68" t="s">
        <v>557</v>
      </c>
    </row>
    <row r="93" ht="15" customHeight="1" spans="1:30">
      <c r="A93" s="110" t="s">
        <v>610</v>
      </c>
      <c r="B93" s="111" t="s">
        <v>611</v>
      </c>
      <c r="C93" s="111" t="s">
        <v>34</v>
      </c>
      <c r="D93" s="111" t="s">
        <v>51</v>
      </c>
      <c r="E93" s="111" t="s">
        <v>165</v>
      </c>
      <c r="F93" s="111">
        <v>123.84</v>
      </c>
      <c r="G93" s="111">
        <v>77</v>
      </c>
      <c r="H93" s="112"/>
      <c r="I93" s="111"/>
      <c r="J93" s="111">
        <v>32</v>
      </c>
      <c r="K93" s="111">
        <v>3963</v>
      </c>
      <c r="L93" s="105">
        <f t="shared" si="18"/>
        <v>1.54</v>
      </c>
      <c r="M93" s="73">
        <f t="shared" si="19"/>
        <v>47.74</v>
      </c>
      <c r="N93" s="73">
        <f t="shared" si="32"/>
        <v>5912.1216</v>
      </c>
      <c r="O93" s="73">
        <f t="shared" si="20"/>
        <v>0.855555555555556</v>
      </c>
      <c r="P93" s="73">
        <f t="shared" si="21"/>
        <v>26.5222222222222</v>
      </c>
      <c r="Q93" s="73">
        <f t="shared" si="22"/>
        <v>4926.768</v>
      </c>
      <c r="R93" s="73">
        <f t="shared" si="23"/>
        <v>26.5222222222222</v>
      </c>
      <c r="S93" s="73">
        <f t="shared" si="24"/>
        <v>0.855555555555556</v>
      </c>
      <c r="T93" s="73">
        <f t="shared" si="25"/>
        <v>0.855555555555556</v>
      </c>
      <c r="U93" s="73">
        <f t="shared" si="26"/>
        <v>4926.768</v>
      </c>
      <c r="V93" s="114">
        <f>_xlfn.XLOOKUP(B93,[1]Sheet1!$B:$B,[1]Sheet1!$P:$P)</f>
        <v>0.9375</v>
      </c>
      <c r="W93" s="115">
        <f t="shared" si="27"/>
        <v>0.802083333333333</v>
      </c>
      <c r="X93" s="115">
        <f t="shared" si="28"/>
        <v>24.8645833333333</v>
      </c>
      <c r="Y93" s="115">
        <f t="shared" si="33"/>
        <v>4618.845</v>
      </c>
      <c r="Z93" s="114">
        <f>_xlfn.XLOOKUP(B93,[1]Sheet1!$B:$B,[1]Sheet1!$Q:$Q)</f>
        <v>0.0625</v>
      </c>
      <c r="AA93" s="115">
        <f t="shared" si="34"/>
        <v>0.0534722222222222</v>
      </c>
      <c r="AB93" s="115">
        <f t="shared" si="30"/>
        <v>1.65763888888889</v>
      </c>
      <c r="AC93" s="115">
        <f t="shared" si="31"/>
        <v>307.923</v>
      </c>
      <c r="AD93" s="116" t="s">
        <v>558</v>
      </c>
    </row>
    <row r="94" ht="15" customHeight="1" spans="1:30">
      <c r="A94" s="72" t="s">
        <v>612</v>
      </c>
      <c r="B94" s="108" t="s">
        <v>379</v>
      </c>
      <c r="C94" s="108" t="s">
        <v>34</v>
      </c>
      <c r="D94" s="108" t="s">
        <v>51</v>
      </c>
      <c r="E94" s="108" t="s">
        <v>380</v>
      </c>
      <c r="F94" s="108">
        <v>14.19</v>
      </c>
      <c r="G94" s="108">
        <v>469</v>
      </c>
      <c r="H94" s="109">
        <v>4</v>
      </c>
      <c r="I94" s="108">
        <v>117</v>
      </c>
      <c r="J94" s="108">
        <v>245</v>
      </c>
      <c r="K94" s="108">
        <v>3945</v>
      </c>
      <c r="L94" s="105">
        <f t="shared" si="18"/>
        <v>5.38</v>
      </c>
      <c r="M94" s="73">
        <f t="shared" si="19"/>
        <v>290.78</v>
      </c>
      <c r="N94" s="73">
        <f t="shared" si="32"/>
        <v>4126.1682</v>
      </c>
      <c r="O94" s="73">
        <f t="shared" si="20"/>
        <v>1.21111111111111</v>
      </c>
      <c r="P94" s="73">
        <f t="shared" si="21"/>
        <v>161.544444444444</v>
      </c>
      <c r="Q94" s="73">
        <f t="shared" si="22"/>
        <v>3438.4735</v>
      </c>
      <c r="R94" s="73">
        <f t="shared" si="23"/>
        <v>161.544444444444</v>
      </c>
      <c r="S94" s="73">
        <f t="shared" si="24"/>
        <v>5.21111111111111</v>
      </c>
      <c r="T94" s="73">
        <f t="shared" si="25"/>
        <v>1.21111111111111</v>
      </c>
      <c r="U94" s="73">
        <f t="shared" si="26"/>
        <v>3438.4735</v>
      </c>
      <c r="V94" s="75">
        <f>_xlfn.XLOOKUP(B94,[1]Sheet1!$B:$B,[1]Sheet1!$P:$P)</f>
        <v>0.5625</v>
      </c>
      <c r="W94" s="73">
        <f t="shared" si="27"/>
        <v>2.93125</v>
      </c>
      <c r="X94" s="73">
        <f t="shared" si="28"/>
        <v>90.86875</v>
      </c>
      <c r="Y94" s="73">
        <f t="shared" si="33"/>
        <v>1934.14134375</v>
      </c>
      <c r="Z94" s="75">
        <f>_xlfn.XLOOKUP(B94,[1]Sheet1!$B:$B,[1]Sheet1!$Q:$Q)</f>
        <v>0.4375</v>
      </c>
      <c r="AA94" s="73">
        <f t="shared" si="34"/>
        <v>2.27986111111111</v>
      </c>
      <c r="AB94" s="73">
        <f t="shared" si="30"/>
        <v>70.6756944444444</v>
      </c>
      <c r="AC94" s="73">
        <f t="shared" si="31"/>
        <v>1504.33215625</v>
      </c>
      <c r="AD94" s="68" t="s">
        <v>613</v>
      </c>
    </row>
    <row r="95" ht="15" customHeight="1" spans="1:30">
      <c r="A95" s="72" t="s">
        <v>458</v>
      </c>
      <c r="B95" s="108" t="s">
        <v>337</v>
      </c>
      <c r="C95" s="108" t="s">
        <v>34</v>
      </c>
      <c r="D95" s="108" t="s">
        <v>35</v>
      </c>
      <c r="E95" s="108" t="s">
        <v>338</v>
      </c>
      <c r="F95" s="108">
        <v>22.4909</v>
      </c>
      <c r="G95" s="108">
        <v>316</v>
      </c>
      <c r="H95" s="109">
        <v>3</v>
      </c>
      <c r="I95" s="108">
        <v>105</v>
      </c>
      <c r="J95" s="108">
        <v>158</v>
      </c>
      <c r="K95" s="108">
        <v>3902</v>
      </c>
      <c r="L95" s="105">
        <f t="shared" si="18"/>
        <v>3.32</v>
      </c>
      <c r="M95" s="73">
        <f t="shared" si="19"/>
        <v>195.92</v>
      </c>
      <c r="N95" s="73">
        <f t="shared" si="32"/>
        <v>4406.417128</v>
      </c>
      <c r="O95" s="73">
        <f t="shared" si="20"/>
        <v>0.511111111111111</v>
      </c>
      <c r="P95" s="73">
        <f t="shared" si="21"/>
        <v>108.844444444444</v>
      </c>
      <c r="Q95" s="73">
        <f t="shared" si="22"/>
        <v>3672.01427333333</v>
      </c>
      <c r="R95" s="73">
        <f t="shared" si="23"/>
        <v>108.844444444444</v>
      </c>
      <c r="S95" s="73">
        <f t="shared" si="24"/>
        <v>3.51111111111111</v>
      </c>
      <c r="T95" s="73">
        <f t="shared" si="25"/>
        <v>0.511111111111111</v>
      </c>
      <c r="U95" s="73">
        <f t="shared" si="26"/>
        <v>3672.01427333333</v>
      </c>
      <c r="V95" s="75">
        <f>_xlfn.XLOOKUP(B95,[1]Sheet1!$B:$B,[1]Sheet1!$P:$P)</f>
        <v>0.678571428571429</v>
      </c>
      <c r="W95" s="73">
        <f t="shared" si="27"/>
        <v>2.38253968253968</v>
      </c>
      <c r="X95" s="73">
        <f t="shared" si="28"/>
        <v>73.8587301587302</v>
      </c>
      <c r="Y95" s="73">
        <f t="shared" si="33"/>
        <v>2491.72397119048</v>
      </c>
      <c r="Z95" s="75">
        <f>_xlfn.XLOOKUP(B95,[1]Sheet1!$B:$B,[1]Sheet1!$Q:$Q)</f>
        <v>0.321428571428571</v>
      </c>
      <c r="AA95" s="73">
        <f t="shared" si="34"/>
        <v>1.12857142857143</v>
      </c>
      <c r="AB95" s="73">
        <f t="shared" si="30"/>
        <v>34.9857142857142</v>
      </c>
      <c r="AC95" s="73">
        <f t="shared" si="31"/>
        <v>1180.29030214286</v>
      </c>
      <c r="AD95" s="68" t="s">
        <v>562</v>
      </c>
    </row>
    <row r="96" ht="15" customHeight="1" spans="1:30">
      <c r="A96" s="110" t="s">
        <v>614</v>
      </c>
      <c r="B96" s="111" t="s">
        <v>405</v>
      </c>
      <c r="C96" s="111" t="s">
        <v>34</v>
      </c>
      <c r="D96" s="111" t="s">
        <v>35</v>
      </c>
      <c r="E96" s="111" t="s">
        <v>250</v>
      </c>
      <c r="F96" s="111">
        <v>146.2</v>
      </c>
      <c r="G96" s="111">
        <v>29</v>
      </c>
      <c r="H96" s="112"/>
      <c r="I96" s="111"/>
      <c r="J96" s="111">
        <v>19</v>
      </c>
      <c r="K96" s="111">
        <v>3582</v>
      </c>
      <c r="L96" s="105">
        <f t="shared" si="18"/>
        <v>0.58</v>
      </c>
      <c r="M96" s="73">
        <f t="shared" si="19"/>
        <v>17.98</v>
      </c>
      <c r="N96" s="73">
        <f t="shared" si="32"/>
        <v>2628.676</v>
      </c>
      <c r="O96" s="73">
        <f t="shared" si="20"/>
        <v>0.322222222222222</v>
      </c>
      <c r="P96" s="73">
        <f t="shared" si="21"/>
        <v>9.98888888888889</v>
      </c>
      <c r="Q96" s="73">
        <f t="shared" si="22"/>
        <v>2190.56333333333</v>
      </c>
      <c r="R96" s="73">
        <f t="shared" si="23"/>
        <v>9.98888888888889</v>
      </c>
      <c r="S96" s="73">
        <f t="shared" si="24"/>
        <v>0.322222222222222</v>
      </c>
      <c r="T96" s="73">
        <f t="shared" si="25"/>
        <v>0.322222222222222</v>
      </c>
      <c r="U96" s="73">
        <f t="shared" si="26"/>
        <v>2190.56333333333</v>
      </c>
      <c r="V96" s="114">
        <f>_xlfn.XLOOKUP(B96,[1]Sheet1!$B:$B,[1]Sheet1!$P:$P)</f>
        <v>1</v>
      </c>
      <c r="W96" s="115">
        <f t="shared" si="27"/>
        <v>0.322222222222222</v>
      </c>
      <c r="X96" s="115">
        <f t="shared" si="28"/>
        <v>9.98888888888889</v>
      </c>
      <c r="Y96" s="115">
        <f t="shared" si="33"/>
        <v>2190.56333333333</v>
      </c>
      <c r="Z96" s="114">
        <f>_xlfn.XLOOKUP(B96,[1]Sheet1!$B:$B,[1]Sheet1!$Q:$Q)</f>
        <v>0</v>
      </c>
      <c r="AA96" s="115">
        <f t="shared" si="34"/>
        <v>0</v>
      </c>
      <c r="AB96" s="115">
        <f t="shared" si="30"/>
        <v>0</v>
      </c>
      <c r="AC96" s="115">
        <f t="shared" si="31"/>
        <v>0</v>
      </c>
      <c r="AD96" s="116" t="s">
        <v>558</v>
      </c>
    </row>
    <row r="97" ht="15" customHeight="1" spans="1:31">
      <c r="A97" s="72" t="s">
        <v>350</v>
      </c>
      <c r="B97" s="108" t="s">
        <v>417</v>
      </c>
      <c r="C97" s="108" t="s">
        <v>34</v>
      </c>
      <c r="D97" s="108" t="s">
        <v>35</v>
      </c>
      <c r="E97" s="108" t="s">
        <v>335</v>
      </c>
      <c r="F97" s="108">
        <v>21.36</v>
      </c>
      <c r="G97" s="108">
        <v>162</v>
      </c>
      <c r="H97" s="109"/>
      <c r="I97" s="108"/>
      <c r="J97" s="108">
        <v>122</v>
      </c>
      <c r="K97" s="108">
        <v>3567</v>
      </c>
      <c r="L97" s="105">
        <f t="shared" si="18"/>
        <v>3.24</v>
      </c>
      <c r="M97" s="73">
        <f t="shared" si="19"/>
        <v>100.44</v>
      </c>
      <c r="N97" s="73">
        <f t="shared" si="32"/>
        <v>2145.3984</v>
      </c>
      <c r="O97" s="73">
        <f t="shared" si="20"/>
        <v>1.8</v>
      </c>
      <c r="P97" s="73">
        <f t="shared" si="21"/>
        <v>55.8</v>
      </c>
      <c r="Q97" s="73">
        <f t="shared" si="22"/>
        <v>1787.832</v>
      </c>
      <c r="R97" s="73">
        <f t="shared" si="23"/>
        <v>55.8</v>
      </c>
      <c r="S97" s="73">
        <f t="shared" si="24"/>
        <v>1.8</v>
      </c>
      <c r="T97" s="73">
        <f t="shared" si="25"/>
        <v>1.8</v>
      </c>
      <c r="U97" s="73">
        <f t="shared" si="26"/>
        <v>1787.832</v>
      </c>
      <c r="V97" s="75">
        <f>_xlfn.XLOOKUP(B97,[1]Sheet1!$B:$B,[1]Sheet1!$P:$P)</f>
        <v>0.461538461538462</v>
      </c>
      <c r="W97" s="73">
        <f t="shared" si="27"/>
        <v>0.830769230769232</v>
      </c>
      <c r="X97" s="73">
        <f t="shared" si="28"/>
        <v>25.7538461538462</v>
      </c>
      <c r="Y97" s="73">
        <f t="shared" si="33"/>
        <v>825.153230769232</v>
      </c>
      <c r="Z97" s="75">
        <f>_xlfn.XLOOKUP(B97,[1]Sheet1!$B:$B,[1]Sheet1!$Q:$Q)</f>
        <v>0.538461538461538</v>
      </c>
      <c r="AA97" s="73">
        <f t="shared" si="34"/>
        <v>0.969230769230768</v>
      </c>
      <c r="AB97" s="73">
        <f t="shared" si="30"/>
        <v>30.0461538461538</v>
      </c>
      <c r="AC97" s="73">
        <f t="shared" si="31"/>
        <v>962.678769230768</v>
      </c>
      <c r="AD97" s="68" t="s">
        <v>557</v>
      </c>
    </row>
    <row r="98" ht="15" customHeight="1" spans="1:31">
      <c r="A98" s="72" t="s">
        <v>615</v>
      </c>
      <c r="B98" s="108" t="s">
        <v>616</v>
      </c>
      <c r="C98" s="108" t="s">
        <v>34</v>
      </c>
      <c r="D98" s="108" t="s">
        <v>51</v>
      </c>
      <c r="E98" s="108" t="s">
        <v>617</v>
      </c>
      <c r="F98" s="108">
        <v>28.12</v>
      </c>
      <c r="G98" s="108">
        <v>474</v>
      </c>
      <c r="H98" s="109">
        <v>6</v>
      </c>
      <c r="I98" s="108">
        <v>79</v>
      </c>
      <c r="J98" s="108">
        <v>126</v>
      </c>
      <c r="K98" s="108">
        <v>3543</v>
      </c>
      <c r="L98" s="105">
        <f t="shared" si="18"/>
        <v>3.48</v>
      </c>
      <c r="M98" s="73">
        <f t="shared" si="19"/>
        <v>293.88</v>
      </c>
      <c r="N98" s="73">
        <f t="shared" si="32"/>
        <v>8263.9056</v>
      </c>
      <c r="O98" s="73">
        <f t="shared" si="20"/>
        <v>-0.733333333333333</v>
      </c>
      <c r="P98" s="73">
        <f t="shared" si="21"/>
        <v>163.266666666667</v>
      </c>
      <c r="Q98" s="73">
        <f t="shared" si="22"/>
        <v>6886.588</v>
      </c>
      <c r="R98" s="73">
        <f t="shared" si="23"/>
        <v>163.266666666667</v>
      </c>
      <c r="S98" s="73">
        <f t="shared" si="24"/>
        <v>5.26666666666667</v>
      </c>
      <c r="T98" s="73">
        <f t="shared" si="25"/>
        <v>-0.733333333333333</v>
      </c>
      <c r="U98" s="73">
        <f t="shared" si="26"/>
        <v>6886.588</v>
      </c>
      <c r="V98" s="75">
        <f>_xlfn.XLOOKUP(B98,[1]Sheet1!$B:$B,[1]Sheet1!$P:$P)</f>
        <v>0.716216216216216</v>
      </c>
      <c r="W98" s="73">
        <f t="shared" si="27"/>
        <v>3.77207207207207</v>
      </c>
      <c r="X98" s="73">
        <f t="shared" si="28"/>
        <v>116.934234234234</v>
      </c>
      <c r="Y98" s="73">
        <f t="shared" si="33"/>
        <v>4932.286</v>
      </c>
      <c r="Z98" s="75">
        <f>_xlfn.XLOOKUP(B98,[1]Sheet1!$B:$B,[1]Sheet1!$Q:$Q)</f>
        <v>0.283783783783784</v>
      </c>
      <c r="AA98" s="73">
        <f t="shared" si="34"/>
        <v>1.4945945945946</v>
      </c>
      <c r="AB98" s="73">
        <f t="shared" si="30"/>
        <v>46.3324324324325</v>
      </c>
      <c r="AC98" s="73">
        <f t="shared" si="31"/>
        <v>1954.302</v>
      </c>
      <c r="AD98" s="68"/>
    </row>
    <row r="99" ht="15" customHeight="1" spans="1:31">
      <c r="A99" s="72" t="s">
        <v>618</v>
      </c>
      <c r="B99" s="108" t="s">
        <v>367</v>
      </c>
      <c r="C99" s="108" t="s">
        <v>34</v>
      </c>
      <c r="D99" s="108" t="s">
        <v>35</v>
      </c>
      <c r="E99" s="108" t="s">
        <v>338</v>
      </c>
      <c r="F99" s="108">
        <v>6.6874</v>
      </c>
      <c r="G99" s="108">
        <v>564</v>
      </c>
      <c r="H99" s="109">
        <v>3</v>
      </c>
      <c r="I99" s="108">
        <v>188</v>
      </c>
      <c r="J99" s="108">
        <v>383</v>
      </c>
      <c r="K99" s="108">
        <v>3357</v>
      </c>
      <c r="L99" s="105">
        <f t="shared" si="18"/>
        <v>8.28</v>
      </c>
      <c r="M99" s="73">
        <f t="shared" si="19"/>
        <v>349.68</v>
      </c>
      <c r="N99" s="73">
        <f t="shared" si="32"/>
        <v>2338.450032</v>
      </c>
      <c r="O99" s="73">
        <f t="shared" si="20"/>
        <v>3.26666666666667</v>
      </c>
      <c r="P99" s="73">
        <f t="shared" si="21"/>
        <v>194.266666666667</v>
      </c>
      <c r="Q99" s="73">
        <f t="shared" si="22"/>
        <v>1948.70836</v>
      </c>
      <c r="R99" s="73">
        <f t="shared" si="23"/>
        <v>194.266666666667</v>
      </c>
      <c r="S99" s="73">
        <f t="shared" si="24"/>
        <v>6.26666666666667</v>
      </c>
      <c r="T99" s="73">
        <f t="shared" si="25"/>
        <v>3.26666666666667</v>
      </c>
      <c r="U99" s="73">
        <f t="shared" si="26"/>
        <v>1948.70836</v>
      </c>
      <c r="V99" s="75">
        <f>_xlfn.XLOOKUP(B99,[1]Sheet1!$B:$B,[1]Sheet1!$P:$P)</f>
        <v>1</v>
      </c>
      <c r="W99" s="73">
        <f t="shared" si="27"/>
        <v>6.26666666666667</v>
      </c>
      <c r="X99" s="73">
        <f t="shared" si="28"/>
        <v>194.266666666667</v>
      </c>
      <c r="Y99" s="73">
        <f t="shared" si="33"/>
        <v>1948.70836</v>
      </c>
      <c r="Z99" s="75">
        <f>_xlfn.XLOOKUP(B99,[1]Sheet1!$B:$B,[1]Sheet1!$Q:$Q)</f>
        <v>0</v>
      </c>
      <c r="AA99" s="73">
        <f t="shared" si="34"/>
        <v>0</v>
      </c>
      <c r="AB99" s="73">
        <f t="shared" si="30"/>
        <v>0</v>
      </c>
      <c r="AC99" s="73">
        <f t="shared" si="31"/>
        <v>0</v>
      </c>
      <c r="AD99" s="68" t="s">
        <v>562</v>
      </c>
    </row>
    <row r="100" ht="15" customHeight="1" spans="1:31">
      <c r="A100" s="72" t="s">
        <v>383</v>
      </c>
      <c r="B100" s="108" t="s">
        <v>435</v>
      </c>
      <c r="C100" s="108" t="s">
        <v>34</v>
      </c>
      <c r="D100" s="108" t="s">
        <v>35</v>
      </c>
      <c r="E100" s="108" t="s">
        <v>192</v>
      </c>
      <c r="F100" s="108">
        <v>81.71</v>
      </c>
      <c r="G100" s="108">
        <v>115</v>
      </c>
      <c r="H100" s="109">
        <v>1</v>
      </c>
      <c r="I100" s="108">
        <v>115</v>
      </c>
      <c r="J100" s="108">
        <v>40</v>
      </c>
      <c r="K100" s="108">
        <v>3268</v>
      </c>
      <c r="L100" s="105">
        <f t="shared" si="18"/>
        <v>1.3</v>
      </c>
      <c r="M100" s="73">
        <f t="shared" si="19"/>
        <v>71.3</v>
      </c>
      <c r="N100" s="73">
        <f t="shared" si="32"/>
        <v>5825.923</v>
      </c>
      <c r="O100" s="73">
        <f t="shared" si="20"/>
        <v>0.277777777777778</v>
      </c>
      <c r="P100" s="73">
        <f t="shared" si="21"/>
        <v>39.6111111111111</v>
      </c>
      <c r="Q100" s="73">
        <f t="shared" si="22"/>
        <v>4854.93583333333</v>
      </c>
      <c r="R100" s="73">
        <f t="shared" si="23"/>
        <v>39.6111111111111</v>
      </c>
      <c r="S100" s="73">
        <f t="shared" si="24"/>
        <v>1.27777777777778</v>
      </c>
      <c r="T100" s="73">
        <f t="shared" si="25"/>
        <v>0.277777777777778</v>
      </c>
      <c r="U100" s="73">
        <f t="shared" si="26"/>
        <v>4854.93583333333</v>
      </c>
      <c r="V100" s="75">
        <f>_xlfn.XLOOKUP(B100,[1]Sheet1!$B:$B,[1]Sheet1!$P:$P)</f>
        <v>1</v>
      </c>
      <c r="W100" s="73">
        <f t="shared" si="27"/>
        <v>1.27777777777778</v>
      </c>
      <c r="X100" s="73">
        <f t="shared" si="28"/>
        <v>39.6111111111111</v>
      </c>
      <c r="Y100" s="73">
        <f t="shared" si="33"/>
        <v>4854.93583333333</v>
      </c>
      <c r="Z100" s="75">
        <f>_xlfn.XLOOKUP(B100,[1]Sheet1!$B:$B,[1]Sheet1!$Q:$Q)</f>
        <v>0</v>
      </c>
      <c r="AA100" s="73">
        <f t="shared" si="34"/>
        <v>0</v>
      </c>
      <c r="AB100" s="73">
        <f t="shared" si="30"/>
        <v>0</v>
      </c>
      <c r="AC100" s="73">
        <f t="shared" si="31"/>
        <v>0</v>
      </c>
      <c r="AD100" s="68" t="s">
        <v>594</v>
      </c>
    </row>
    <row r="101" ht="15" customHeight="1" spans="1:31">
      <c r="A101" s="72" t="s">
        <v>619</v>
      </c>
      <c r="B101" s="108" t="s">
        <v>396</v>
      </c>
      <c r="C101" s="108" t="s">
        <v>34</v>
      </c>
      <c r="D101" s="108" t="s">
        <v>35</v>
      </c>
      <c r="E101" s="108" t="s">
        <v>264</v>
      </c>
      <c r="F101" s="108">
        <v>13.9</v>
      </c>
      <c r="G101" s="108">
        <v>194</v>
      </c>
      <c r="H101" s="109"/>
      <c r="I101" s="108"/>
      <c r="J101" s="108">
        <v>164</v>
      </c>
      <c r="K101" s="108">
        <v>3253</v>
      </c>
      <c r="L101" s="105">
        <f t="shared" si="18"/>
        <v>3.88</v>
      </c>
      <c r="M101" s="73">
        <f t="shared" si="19"/>
        <v>120.28</v>
      </c>
      <c r="N101" s="73">
        <f t="shared" si="32"/>
        <v>1671.892</v>
      </c>
      <c r="O101" s="73">
        <f t="shared" si="20"/>
        <v>2.15555555555556</v>
      </c>
      <c r="P101" s="73">
        <f t="shared" si="21"/>
        <v>66.8222222222222</v>
      </c>
      <c r="Q101" s="73">
        <f t="shared" si="22"/>
        <v>1393.24333333333</v>
      </c>
      <c r="R101" s="73">
        <f t="shared" si="23"/>
        <v>66.8222222222222</v>
      </c>
      <c r="S101" s="73">
        <f t="shared" si="24"/>
        <v>2.15555555555556</v>
      </c>
      <c r="T101" s="73">
        <f t="shared" si="25"/>
        <v>2.15555555555556</v>
      </c>
      <c r="U101" s="73">
        <f t="shared" si="26"/>
        <v>1393.24333333333</v>
      </c>
      <c r="V101" s="75">
        <f>_xlfn.XLOOKUP(B101,[1]Sheet1!$B:$B,[1]Sheet1!$P:$P)</f>
        <v>0.75</v>
      </c>
      <c r="W101" s="73">
        <f t="shared" si="27"/>
        <v>1.61666666666667</v>
      </c>
      <c r="X101" s="73">
        <f t="shared" si="28"/>
        <v>50.1166666666667</v>
      </c>
      <c r="Y101" s="73">
        <f t="shared" si="33"/>
        <v>1044.9325</v>
      </c>
      <c r="Z101" s="75">
        <f>_xlfn.XLOOKUP(B101,[1]Sheet1!$B:$B,[1]Sheet1!$Q:$Q)</f>
        <v>0.25</v>
      </c>
      <c r="AA101" s="73">
        <f t="shared" si="34"/>
        <v>0.538888888888889</v>
      </c>
      <c r="AB101" s="73">
        <f t="shared" si="30"/>
        <v>16.7055555555556</v>
      </c>
      <c r="AC101" s="73">
        <f t="shared" si="31"/>
        <v>348.310833333333</v>
      </c>
      <c r="AD101" s="68"/>
    </row>
    <row r="102" ht="15" customHeight="1" spans="1:31">
      <c r="A102" s="72" t="s">
        <v>620</v>
      </c>
      <c r="B102" s="108" t="s">
        <v>334</v>
      </c>
      <c r="C102" s="108" t="s">
        <v>34</v>
      </c>
      <c r="D102" s="108" t="s">
        <v>35</v>
      </c>
      <c r="E102" s="108" t="s">
        <v>335</v>
      </c>
      <c r="F102" s="108">
        <v>33.19</v>
      </c>
      <c r="G102" s="108">
        <v>87</v>
      </c>
      <c r="H102" s="109"/>
      <c r="I102" s="108"/>
      <c r="J102" s="108">
        <v>69</v>
      </c>
      <c r="K102" s="108">
        <v>3186</v>
      </c>
      <c r="L102" s="105">
        <f t="shared" si="18"/>
        <v>1.74</v>
      </c>
      <c r="M102" s="73">
        <f t="shared" si="19"/>
        <v>53.94</v>
      </c>
      <c r="N102" s="73">
        <f t="shared" si="32"/>
        <v>1790.2686</v>
      </c>
      <c r="O102" s="73">
        <f t="shared" si="20"/>
        <v>0.966666666666667</v>
      </c>
      <c r="P102" s="73">
        <f t="shared" si="21"/>
        <v>29.9666666666667</v>
      </c>
      <c r="Q102" s="73">
        <f t="shared" si="22"/>
        <v>1491.8905</v>
      </c>
      <c r="R102" s="73">
        <f t="shared" si="23"/>
        <v>29.9666666666667</v>
      </c>
      <c r="S102" s="73">
        <f t="shared" si="24"/>
        <v>0.966666666666667</v>
      </c>
      <c r="T102" s="73">
        <f t="shared" si="25"/>
        <v>0.966666666666667</v>
      </c>
      <c r="U102" s="73">
        <f t="shared" si="26"/>
        <v>1491.8905</v>
      </c>
      <c r="V102" s="75">
        <f>_xlfn.XLOOKUP(B102,[1]Sheet1!$B:$B,[1]Sheet1!$P:$P)</f>
        <v>0.428571428571429</v>
      </c>
      <c r="W102" s="73">
        <f t="shared" si="27"/>
        <v>0.414285714285715</v>
      </c>
      <c r="X102" s="73">
        <f t="shared" si="28"/>
        <v>12.8428571428572</v>
      </c>
      <c r="Y102" s="73">
        <f t="shared" si="33"/>
        <v>639.381642857143</v>
      </c>
      <c r="Z102" s="75">
        <f>_xlfn.XLOOKUP(B102,[1]Sheet1!$B:$B,[1]Sheet1!$Q:$Q)</f>
        <v>0.571428571428571</v>
      </c>
      <c r="AA102" s="73">
        <f t="shared" si="34"/>
        <v>0.552380952380952</v>
      </c>
      <c r="AB102" s="73">
        <f t="shared" si="30"/>
        <v>17.1238095238095</v>
      </c>
      <c r="AC102" s="73">
        <f t="shared" si="31"/>
        <v>852.508857142856</v>
      </c>
      <c r="AD102" s="68" t="s">
        <v>594</v>
      </c>
      <c r="AE102" s="68"/>
    </row>
    <row r="103" ht="15" customHeight="1" spans="1:31">
      <c r="A103" s="110" t="s">
        <v>366</v>
      </c>
      <c r="B103" s="111" t="s">
        <v>326</v>
      </c>
      <c r="C103" s="111" t="s">
        <v>34</v>
      </c>
      <c r="D103" s="111" t="s">
        <v>35</v>
      </c>
      <c r="E103" s="111" t="s">
        <v>327</v>
      </c>
      <c r="F103" s="111">
        <v>7.5</v>
      </c>
      <c r="G103" s="111">
        <v>295</v>
      </c>
      <c r="H103" s="112"/>
      <c r="I103" s="111"/>
      <c r="J103" s="111">
        <v>285</v>
      </c>
      <c r="K103" s="111">
        <v>3176</v>
      </c>
      <c r="L103" s="105">
        <f t="shared" si="18"/>
        <v>5.9</v>
      </c>
      <c r="M103" s="73">
        <f t="shared" si="19"/>
        <v>182.9</v>
      </c>
      <c r="N103" s="73">
        <f t="shared" si="32"/>
        <v>1371.75</v>
      </c>
      <c r="O103" s="73">
        <f t="shared" si="20"/>
        <v>3.27777777777778</v>
      </c>
      <c r="P103" s="73">
        <f t="shared" si="21"/>
        <v>101.611111111111</v>
      </c>
      <c r="Q103" s="73">
        <f t="shared" si="22"/>
        <v>1143.125</v>
      </c>
      <c r="R103" s="73">
        <f t="shared" si="23"/>
        <v>101.611111111111</v>
      </c>
      <c r="S103" s="73">
        <f t="shared" si="24"/>
        <v>3.27777777777778</v>
      </c>
      <c r="T103" s="73">
        <f t="shared" si="25"/>
        <v>3.27777777777778</v>
      </c>
      <c r="U103" s="73">
        <f t="shared" si="26"/>
        <v>1143.125</v>
      </c>
      <c r="V103" s="114">
        <f>_xlfn.XLOOKUP(B103,[1]Sheet1!$B:$B,[1]Sheet1!$P:$P)</f>
        <v>0.5</v>
      </c>
      <c r="W103" s="115">
        <f t="shared" si="27"/>
        <v>1.63888888888889</v>
      </c>
      <c r="X103" s="115">
        <f t="shared" si="28"/>
        <v>50.8055555555556</v>
      </c>
      <c r="Y103" s="115">
        <f t="shared" si="33"/>
        <v>571.5625</v>
      </c>
      <c r="Z103" s="114">
        <f>_xlfn.XLOOKUP(B103,[1]Sheet1!$B:$B,[1]Sheet1!$Q:$Q)</f>
        <v>0.5</v>
      </c>
      <c r="AA103" s="115">
        <f t="shared" si="34"/>
        <v>1.63888888888889</v>
      </c>
      <c r="AB103" s="115">
        <f t="shared" si="30"/>
        <v>50.8055555555556</v>
      </c>
      <c r="AC103" s="115">
        <f t="shared" si="31"/>
        <v>571.5625</v>
      </c>
      <c r="AD103" s="116" t="s">
        <v>558</v>
      </c>
      <c r="AE103" s="68"/>
    </row>
    <row r="104" ht="15" customHeight="1" spans="1:31">
      <c r="A104" s="72" t="s">
        <v>368</v>
      </c>
      <c r="B104" s="108" t="s">
        <v>621</v>
      </c>
      <c r="C104" s="108" t="s">
        <v>34</v>
      </c>
      <c r="D104" s="108" t="s">
        <v>51</v>
      </c>
      <c r="E104" s="108" t="s">
        <v>195</v>
      </c>
      <c r="F104" s="108">
        <v>19.06</v>
      </c>
      <c r="G104" s="108">
        <v>403</v>
      </c>
      <c r="H104" s="109">
        <v>4</v>
      </c>
      <c r="I104" s="108">
        <v>100</v>
      </c>
      <c r="J104" s="108">
        <v>162</v>
      </c>
      <c r="K104" s="108">
        <v>3088</v>
      </c>
      <c r="L104" s="105">
        <f t="shared" si="18"/>
        <v>4.06</v>
      </c>
      <c r="M104" s="73">
        <f t="shared" si="19"/>
        <v>249.86</v>
      </c>
      <c r="N104" s="73">
        <f t="shared" si="32"/>
        <v>4762.3316</v>
      </c>
      <c r="O104" s="73">
        <f t="shared" si="20"/>
        <v>0.477777777777778</v>
      </c>
      <c r="P104" s="73">
        <f t="shared" si="21"/>
        <v>138.811111111111</v>
      </c>
      <c r="Q104" s="73">
        <f t="shared" si="22"/>
        <v>3968.60966666667</v>
      </c>
      <c r="R104" s="73">
        <f t="shared" si="23"/>
        <v>138.811111111111</v>
      </c>
      <c r="S104" s="73">
        <f t="shared" si="24"/>
        <v>4.47777777777778</v>
      </c>
      <c r="T104" s="73">
        <f t="shared" si="25"/>
        <v>0.477777777777778</v>
      </c>
      <c r="U104" s="73">
        <f t="shared" si="26"/>
        <v>3968.60966666667</v>
      </c>
      <c r="V104" s="75">
        <f>_xlfn.XLOOKUP(B104,[1]Sheet1!$B:$B,[1]Sheet1!$P:$P)</f>
        <v>0.745762711864407</v>
      </c>
      <c r="W104" s="73">
        <f t="shared" si="27"/>
        <v>3.33935969868173</v>
      </c>
      <c r="X104" s="73">
        <f t="shared" si="28"/>
        <v>103.520150659134</v>
      </c>
      <c r="Y104" s="73">
        <f t="shared" si="33"/>
        <v>2959.64110734463</v>
      </c>
      <c r="Z104" s="75">
        <f>_xlfn.XLOOKUP(B104,[1]Sheet1!$B:$B,[1]Sheet1!$Q:$Q)</f>
        <v>0.254237288135593</v>
      </c>
      <c r="AA104" s="73">
        <f t="shared" si="34"/>
        <v>1.13841807909604</v>
      </c>
      <c r="AB104" s="73">
        <f t="shared" si="30"/>
        <v>35.2909604519774</v>
      </c>
      <c r="AC104" s="73">
        <f t="shared" si="31"/>
        <v>1008.96855932203</v>
      </c>
      <c r="AD104" s="68" t="s">
        <v>594</v>
      </c>
      <c r="AE104" s="68"/>
    </row>
    <row r="105" ht="15" customHeight="1" spans="1:31">
      <c r="A105" s="72" t="s">
        <v>392</v>
      </c>
      <c r="B105" s="108" t="s">
        <v>184</v>
      </c>
      <c r="C105" s="108" t="s">
        <v>34</v>
      </c>
      <c r="D105" s="108" t="s">
        <v>51</v>
      </c>
      <c r="E105" s="108" t="s">
        <v>185</v>
      </c>
      <c r="F105" s="108">
        <v>56.56</v>
      </c>
      <c r="G105" s="108">
        <v>1431</v>
      </c>
      <c r="H105" s="109">
        <v>21</v>
      </c>
      <c r="I105" s="108">
        <v>68</v>
      </c>
      <c r="J105" s="108">
        <v>54</v>
      </c>
      <c r="K105" s="108">
        <v>3054</v>
      </c>
      <c r="L105" s="105">
        <f t="shared" si="18"/>
        <v>7.62</v>
      </c>
      <c r="M105" s="73">
        <f t="shared" si="19"/>
        <v>887.22</v>
      </c>
      <c r="N105" s="73">
        <f t="shared" si="32"/>
        <v>50181.1632</v>
      </c>
      <c r="O105" s="73">
        <f t="shared" si="20"/>
        <v>-5.1</v>
      </c>
      <c r="P105" s="73">
        <f t="shared" si="21"/>
        <v>492.9</v>
      </c>
      <c r="Q105" s="73">
        <f t="shared" si="22"/>
        <v>41817.636</v>
      </c>
      <c r="R105" s="73">
        <f t="shared" si="23"/>
        <v>492.9</v>
      </c>
      <c r="S105" s="73">
        <f t="shared" si="24"/>
        <v>15.9</v>
      </c>
      <c r="T105" s="73">
        <f t="shared" si="25"/>
        <v>-5.1</v>
      </c>
      <c r="U105" s="73">
        <f t="shared" si="26"/>
        <v>41817.636</v>
      </c>
      <c r="V105" s="75">
        <f>_xlfn.XLOOKUP(B105,[1]Sheet1!$B:$B,[1]Sheet1!$P:$P)</f>
        <v>0.40997830802603</v>
      </c>
      <c r="W105" s="73">
        <f t="shared" si="27"/>
        <v>6.51865509761388</v>
      </c>
      <c r="X105" s="73">
        <f t="shared" si="28"/>
        <v>202.07830802603</v>
      </c>
      <c r="Y105" s="73">
        <f t="shared" si="33"/>
        <v>17144.3236529284</v>
      </c>
      <c r="Z105" s="75">
        <f>_xlfn.XLOOKUP(B105,[1]Sheet1!$B:$B,[1]Sheet1!$Q:$Q)</f>
        <v>0.59002169197397</v>
      </c>
      <c r="AA105" s="73">
        <f t="shared" si="34"/>
        <v>9.38134490238612</v>
      </c>
      <c r="AB105" s="73">
        <f t="shared" si="30"/>
        <v>290.82169197397</v>
      </c>
      <c r="AC105" s="73">
        <f t="shared" si="31"/>
        <v>24673.3123470716</v>
      </c>
      <c r="AD105" s="68" t="s">
        <v>537</v>
      </c>
      <c r="AE105" s="68"/>
    </row>
    <row r="106" ht="15" customHeight="1" spans="1:31">
      <c r="A106" s="72" t="s">
        <v>622</v>
      </c>
      <c r="B106" s="108" t="s">
        <v>330</v>
      </c>
      <c r="C106" s="108" t="s">
        <v>34</v>
      </c>
      <c r="D106" s="108" t="s">
        <v>35</v>
      </c>
      <c r="E106" s="108" t="s">
        <v>171</v>
      </c>
      <c r="F106" s="108">
        <v>42.85</v>
      </c>
      <c r="G106" s="108">
        <v>47</v>
      </c>
      <c r="H106" s="109"/>
      <c r="I106" s="108"/>
      <c r="J106" s="108">
        <v>47</v>
      </c>
      <c r="K106" s="108">
        <v>3021</v>
      </c>
      <c r="L106" s="105">
        <f t="shared" si="18"/>
        <v>0.94</v>
      </c>
      <c r="M106" s="73">
        <f t="shared" si="19"/>
        <v>29.14</v>
      </c>
      <c r="N106" s="73">
        <f t="shared" si="32"/>
        <v>1248.649</v>
      </c>
      <c r="O106" s="73">
        <f t="shared" si="20"/>
        <v>0.522222222222222</v>
      </c>
      <c r="P106" s="73">
        <f t="shared" si="21"/>
        <v>16.1888888888889</v>
      </c>
      <c r="Q106" s="73">
        <f t="shared" si="22"/>
        <v>1040.54083333333</v>
      </c>
      <c r="R106" s="73">
        <f t="shared" si="23"/>
        <v>16.1888888888889</v>
      </c>
      <c r="S106" s="73">
        <f t="shared" si="24"/>
        <v>0.522222222222222</v>
      </c>
      <c r="T106" s="73">
        <f t="shared" si="25"/>
        <v>0.522222222222222</v>
      </c>
      <c r="U106" s="73">
        <f t="shared" si="26"/>
        <v>1040.54083333333</v>
      </c>
      <c r="V106" s="75">
        <f>_xlfn.XLOOKUP(B106,[1]Sheet1!$B:$B,[1]Sheet1!$P:$P)</f>
        <v>0</v>
      </c>
      <c r="W106" s="73">
        <f t="shared" si="27"/>
        <v>0</v>
      </c>
      <c r="X106" s="73">
        <f t="shared" si="28"/>
        <v>0</v>
      </c>
      <c r="Y106" s="73">
        <f t="shared" si="33"/>
        <v>0</v>
      </c>
      <c r="Z106" s="75">
        <f>_xlfn.XLOOKUP(B106,[1]Sheet1!$B:$B,[1]Sheet1!$Q:$Q)</f>
        <v>0</v>
      </c>
      <c r="AA106" s="73">
        <f t="shared" si="34"/>
        <v>0</v>
      </c>
      <c r="AB106" s="73">
        <f t="shared" si="30"/>
        <v>0</v>
      </c>
      <c r="AC106" s="73">
        <f t="shared" si="31"/>
        <v>0</v>
      </c>
      <c r="AD106" s="68" t="s">
        <v>557</v>
      </c>
      <c r="AE106" s="68"/>
    </row>
    <row r="107" ht="15" customHeight="1" spans="1:31">
      <c r="A107" s="72" t="s">
        <v>314</v>
      </c>
      <c r="B107" s="108" t="s">
        <v>305</v>
      </c>
      <c r="C107" s="108" t="s">
        <v>34</v>
      </c>
      <c r="D107" s="108" t="s">
        <v>35</v>
      </c>
      <c r="E107" s="108" t="s">
        <v>306</v>
      </c>
      <c r="F107" s="108">
        <v>70.61</v>
      </c>
      <c r="G107" s="108">
        <v>36</v>
      </c>
      <c r="H107" s="109"/>
      <c r="I107" s="108"/>
      <c r="J107" s="108">
        <v>30</v>
      </c>
      <c r="K107" s="108">
        <v>3001</v>
      </c>
      <c r="L107" s="105">
        <f t="shared" si="18"/>
        <v>0.72</v>
      </c>
      <c r="M107" s="73">
        <f t="shared" si="19"/>
        <v>22.32</v>
      </c>
      <c r="N107" s="73">
        <f t="shared" si="32"/>
        <v>1576.0152</v>
      </c>
      <c r="O107" s="73">
        <f t="shared" si="20"/>
        <v>0.4</v>
      </c>
      <c r="P107" s="73">
        <f t="shared" si="21"/>
        <v>12.4</v>
      </c>
      <c r="Q107" s="73">
        <f t="shared" si="22"/>
        <v>1313.346</v>
      </c>
      <c r="R107" s="73">
        <f t="shared" si="23"/>
        <v>12.4</v>
      </c>
      <c r="S107" s="73">
        <f t="shared" si="24"/>
        <v>0.4</v>
      </c>
      <c r="T107" s="73">
        <f t="shared" si="25"/>
        <v>0.4</v>
      </c>
      <c r="U107" s="73">
        <f t="shared" si="26"/>
        <v>1313.346</v>
      </c>
      <c r="V107" s="75">
        <f>_xlfn.XLOOKUP(B107,[1]Sheet1!$B:$B,[1]Sheet1!$P:$P)</f>
        <v>0.25</v>
      </c>
      <c r="W107" s="73">
        <f t="shared" si="27"/>
        <v>0.1</v>
      </c>
      <c r="X107" s="73">
        <f t="shared" si="28"/>
        <v>3.1</v>
      </c>
      <c r="Y107" s="73">
        <f t="shared" si="33"/>
        <v>328.3365</v>
      </c>
      <c r="Z107" s="75">
        <f>_xlfn.XLOOKUP(B107,[1]Sheet1!$B:$B,[1]Sheet1!$Q:$Q)</f>
        <v>0.75</v>
      </c>
      <c r="AA107" s="73">
        <f t="shared" si="34"/>
        <v>0.3</v>
      </c>
      <c r="AB107" s="73">
        <f t="shared" si="30"/>
        <v>9.3</v>
      </c>
      <c r="AC107" s="73">
        <f t="shared" si="31"/>
        <v>985.0095</v>
      </c>
      <c r="AD107" s="68" t="s">
        <v>594</v>
      </c>
      <c r="AE107" s="68" t="s">
        <v>623</v>
      </c>
    </row>
    <row r="108" ht="15" customHeight="1" spans="1:31">
      <c r="A108" s="72" t="s">
        <v>399</v>
      </c>
      <c r="B108" s="108" t="s">
        <v>340</v>
      </c>
      <c r="C108" s="108" t="s">
        <v>34</v>
      </c>
      <c r="D108" s="108" t="s">
        <v>35</v>
      </c>
      <c r="E108" s="108" t="s">
        <v>259</v>
      </c>
      <c r="F108" s="108">
        <v>19.02</v>
      </c>
      <c r="G108" s="108">
        <v>100</v>
      </c>
      <c r="H108" s="109"/>
      <c r="I108" s="108"/>
      <c r="J108" s="108">
        <v>100</v>
      </c>
      <c r="K108" s="108">
        <v>2853</v>
      </c>
      <c r="L108" s="105">
        <f t="shared" si="18"/>
        <v>2</v>
      </c>
      <c r="M108" s="73">
        <f t="shared" si="19"/>
        <v>62</v>
      </c>
      <c r="N108" s="73">
        <f t="shared" si="32"/>
        <v>1179.24</v>
      </c>
      <c r="O108" s="73">
        <f t="shared" si="20"/>
        <v>1.11111111111111</v>
      </c>
      <c r="P108" s="73">
        <f t="shared" si="21"/>
        <v>34.4444444444444</v>
      </c>
      <c r="Q108" s="73">
        <f t="shared" si="22"/>
        <v>982.7</v>
      </c>
      <c r="R108" s="73">
        <f t="shared" si="23"/>
        <v>34.4444444444444</v>
      </c>
      <c r="S108" s="73">
        <f t="shared" si="24"/>
        <v>1.11111111111111</v>
      </c>
      <c r="T108" s="73">
        <f t="shared" si="25"/>
        <v>1.11111111111111</v>
      </c>
      <c r="U108" s="73">
        <f t="shared" si="26"/>
        <v>982.7</v>
      </c>
      <c r="V108" s="75">
        <f>_xlfn.XLOOKUP(B108,[1]Sheet1!$B:$B,[1]Sheet1!$P:$P)</f>
        <v>0</v>
      </c>
      <c r="W108" s="73">
        <f t="shared" si="27"/>
        <v>0</v>
      </c>
      <c r="X108" s="73">
        <f t="shared" si="28"/>
        <v>0</v>
      </c>
      <c r="Y108" s="73">
        <f t="shared" si="33"/>
        <v>0</v>
      </c>
      <c r="Z108" s="75">
        <f>_xlfn.XLOOKUP(B108,[1]Sheet1!$B:$B,[1]Sheet1!$Q:$Q)</f>
        <v>0</v>
      </c>
      <c r="AA108" s="73">
        <f t="shared" si="34"/>
        <v>0</v>
      </c>
      <c r="AB108" s="73">
        <f t="shared" si="30"/>
        <v>0</v>
      </c>
      <c r="AC108" s="73">
        <f t="shared" si="31"/>
        <v>0</v>
      </c>
      <c r="AD108" s="68" t="s">
        <v>557</v>
      </c>
      <c r="AE108" s="68"/>
    </row>
    <row r="109" ht="15" customHeight="1" spans="1:31">
      <c r="A109" s="72" t="s">
        <v>624</v>
      </c>
      <c r="B109" s="108" t="s">
        <v>625</v>
      </c>
      <c r="C109" s="108" t="s">
        <v>34</v>
      </c>
      <c r="D109" s="108" t="s">
        <v>51</v>
      </c>
      <c r="E109" s="108" t="s">
        <v>61</v>
      </c>
      <c r="F109" s="108">
        <v>18.76</v>
      </c>
      <c r="G109" s="108">
        <v>636</v>
      </c>
      <c r="H109" s="109">
        <v>9</v>
      </c>
      <c r="I109" s="108">
        <v>70</v>
      </c>
      <c r="J109" s="108">
        <v>146</v>
      </c>
      <c r="K109" s="108">
        <v>2739</v>
      </c>
      <c r="L109" s="105">
        <f t="shared" si="18"/>
        <v>3.72</v>
      </c>
      <c r="M109" s="73">
        <f t="shared" si="19"/>
        <v>394.32</v>
      </c>
      <c r="N109" s="73">
        <f t="shared" si="32"/>
        <v>7397.4432</v>
      </c>
      <c r="O109" s="73">
        <f t="shared" si="20"/>
        <v>-1.93333333333333</v>
      </c>
      <c r="P109" s="73">
        <f t="shared" si="21"/>
        <v>219.066666666667</v>
      </c>
      <c r="Q109" s="73">
        <f t="shared" si="22"/>
        <v>6164.536</v>
      </c>
      <c r="R109" s="73">
        <f t="shared" si="23"/>
        <v>219.066666666667</v>
      </c>
      <c r="S109" s="73">
        <f t="shared" si="24"/>
        <v>7.06666666666667</v>
      </c>
      <c r="T109" s="73">
        <f t="shared" si="25"/>
        <v>-1.93333333333333</v>
      </c>
      <c r="U109" s="73">
        <f t="shared" si="26"/>
        <v>6164.536</v>
      </c>
      <c r="V109" s="75">
        <f>_xlfn.XLOOKUP(B109,[1]Sheet1!$B:$B,[1]Sheet1!$P:$P)</f>
        <v>0.564935064935065</v>
      </c>
      <c r="W109" s="73">
        <f t="shared" si="27"/>
        <v>3.99220779220779</v>
      </c>
      <c r="X109" s="73">
        <f t="shared" si="28"/>
        <v>123.758441558442</v>
      </c>
      <c r="Y109" s="73">
        <f t="shared" si="33"/>
        <v>3482.56254545455</v>
      </c>
      <c r="Z109" s="75">
        <f>_xlfn.XLOOKUP(B109,[1]Sheet1!$B:$B,[1]Sheet1!$Q:$Q)</f>
        <v>0.435064935064935</v>
      </c>
      <c r="AA109" s="73">
        <f t="shared" si="34"/>
        <v>3.07445887445887</v>
      </c>
      <c r="AB109" s="73">
        <f t="shared" si="30"/>
        <v>95.3082251082251</v>
      </c>
      <c r="AC109" s="73">
        <f t="shared" si="31"/>
        <v>2681.97345454545</v>
      </c>
      <c r="AD109" s="68" t="s">
        <v>537</v>
      </c>
      <c r="AE109" s="68"/>
    </row>
    <row r="110" ht="15" customHeight="1" spans="1:31">
      <c r="A110" s="110" t="s">
        <v>422</v>
      </c>
      <c r="B110" s="111" t="s">
        <v>374</v>
      </c>
      <c r="C110" s="111" t="s">
        <v>34</v>
      </c>
      <c r="D110" s="111" t="s">
        <v>51</v>
      </c>
      <c r="E110" s="111" t="s">
        <v>211</v>
      </c>
      <c r="F110" s="111">
        <v>36.17</v>
      </c>
      <c r="G110" s="111">
        <v>50</v>
      </c>
      <c r="H110" s="112"/>
      <c r="I110" s="111"/>
      <c r="J110" s="111">
        <v>50</v>
      </c>
      <c r="K110" s="111">
        <v>2713</v>
      </c>
      <c r="L110" s="105">
        <f t="shared" si="18"/>
        <v>1</v>
      </c>
      <c r="M110" s="73">
        <f t="shared" si="19"/>
        <v>31</v>
      </c>
      <c r="N110" s="73">
        <f t="shared" si="32"/>
        <v>1121.27</v>
      </c>
      <c r="O110" s="73">
        <f t="shared" si="20"/>
        <v>0.555555555555556</v>
      </c>
      <c r="P110" s="73">
        <f t="shared" si="21"/>
        <v>17.2222222222222</v>
      </c>
      <c r="Q110" s="73">
        <f t="shared" si="22"/>
        <v>934.391666666667</v>
      </c>
      <c r="R110" s="73">
        <f t="shared" si="23"/>
        <v>17.2222222222222</v>
      </c>
      <c r="S110" s="73">
        <f t="shared" si="24"/>
        <v>0.555555555555556</v>
      </c>
      <c r="T110" s="73">
        <f t="shared" si="25"/>
        <v>0.555555555555556</v>
      </c>
      <c r="U110" s="73">
        <f t="shared" si="26"/>
        <v>934.391666666667</v>
      </c>
      <c r="V110" s="114">
        <f>_xlfn.XLOOKUP(B110,[1]Sheet1!$B:$B,[1]Sheet1!$P:$P)</f>
        <v>0</v>
      </c>
      <c r="W110" s="115">
        <f t="shared" si="27"/>
        <v>0</v>
      </c>
      <c r="X110" s="115">
        <f t="shared" si="28"/>
        <v>0</v>
      </c>
      <c r="Y110" s="115">
        <f t="shared" si="33"/>
        <v>0</v>
      </c>
      <c r="Z110" s="114">
        <f>_xlfn.XLOOKUP(B110,[1]Sheet1!$B:$B,[1]Sheet1!$Q:$Q)</f>
        <v>0</v>
      </c>
      <c r="AA110" s="115">
        <f t="shared" si="34"/>
        <v>0</v>
      </c>
      <c r="AB110" s="115">
        <f t="shared" si="30"/>
        <v>0</v>
      </c>
      <c r="AC110" s="115">
        <f t="shared" si="31"/>
        <v>0</v>
      </c>
      <c r="AD110" s="116" t="s">
        <v>564</v>
      </c>
      <c r="AE110" s="68"/>
    </row>
    <row r="111" ht="15" customHeight="1" spans="1:31">
      <c r="A111" s="98" t="s">
        <v>626</v>
      </c>
      <c r="B111" s="99" t="s">
        <v>393</v>
      </c>
      <c r="C111" s="99" t="s">
        <v>34</v>
      </c>
      <c r="D111" s="99" t="s">
        <v>35</v>
      </c>
      <c r="E111" s="99" t="s">
        <v>394</v>
      </c>
      <c r="F111" s="99">
        <v>8.18</v>
      </c>
      <c r="G111" s="99">
        <v>569</v>
      </c>
      <c r="H111" s="100">
        <v>5</v>
      </c>
      <c r="I111" s="99">
        <v>113</v>
      </c>
      <c r="J111" s="99">
        <v>293</v>
      </c>
      <c r="K111" s="99">
        <v>2691</v>
      </c>
      <c r="L111" s="101">
        <f t="shared" si="18"/>
        <v>6.38</v>
      </c>
      <c r="M111" s="70">
        <f t="shared" si="19"/>
        <v>352.78</v>
      </c>
      <c r="N111" s="70">
        <f t="shared" si="32"/>
        <v>2885.7404</v>
      </c>
      <c r="O111" s="70">
        <f t="shared" si="20"/>
        <v>1.32222222222222</v>
      </c>
      <c r="P111" s="70">
        <f t="shared" si="21"/>
        <v>195.988888888889</v>
      </c>
      <c r="Q111" s="70">
        <f t="shared" si="22"/>
        <v>2404.78366666667</v>
      </c>
      <c r="R111" s="70">
        <f t="shared" si="23"/>
        <v>195.988888888889</v>
      </c>
      <c r="S111" s="70">
        <f t="shared" si="24"/>
        <v>6.32222222222222</v>
      </c>
      <c r="T111" s="70">
        <f t="shared" si="25"/>
        <v>1.32222222222222</v>
      </c>
      <c r="U111" s="70">
        <f t="shared" si="26"/>
        <v>2404.78366666667</v>
      </c>
      <c r="V111" s="102">
        <f>_xlfn.XLOOKUP(B111,[1]Sheet1!$B:$B,[1]Sheet1!$P:$P)</f>
        <v>0.194805194805195</v>
      </c>
      <c r="W111" s="103">
        <f t="shared" si="27"/>
        <v>1.23160173160173</v>
      </c>
      <c r="X111" s="103">
        <f t="shared" si="28"/>
        <v>38.1796536796537</v>
      </c>
      <c r="Y111" s="103">
        <f t="shared" si="33"/>
        <v>468.464350649351</v>
      </c>
      <c r="Z111" s="102">
        <f>_xlfn.XLOOKUP(B111,[1]Sheet1!$B:$B,[1]Sheet1!$Q:$Q)</f>
        <v>0.805194805194805</v>
      </c>
      <c r="AA111" s="103">
        <f t="shared" si="34"/>
        <v>5.09062049062049</v>
      </c>
      <c r="AB111" s="103">
        <f t="shared" si="30"/>
        <v>157.809235209235</v>
      </c>
      <c r="AC111" s="103">
        <f t="shared" si="31"/>
        <v>1936.31931601732</v>
      </c>
      <c r="AD111" s="104" t="s">
        <v>545</v>
      </c>
      <c r="AE111" s="68"/>
    </row>
    <row r="112" ht="15" customHeight="1" spans="1:31">
      <c r="A112" s="98" t="s">
        <v>627</v>
      </c>
      <c r="B112" s="99" t="s">
        <v>353</v>
      </c>
      <c r="C112" s="99" t="s">
        <v>34</v>
      </c>
      <c r="D112" s="99" t="s">
        <v>35</v>
      </c>
      <c r="E112" s="99" t="s">
        <v>354</v>
      </c>
      <c r="F112" s="99">
        <v>86.63</v>
      </c>
      <c r="G112" s="99">
        <v>20</v>
      </c>
      <c r="H112" s="100"/>
      <c r="I112" s="99"/>
      <c r="J112" s="99">
        <v>20</v>
      </c>
      <c r="K112" s="99">
        <v>2599</v>
      </c>
      <c r="L112" s="101">
        <f t="shared" si="18"/>
        <v>0.4</v>
      </c>
      <c r="M112" s="70">
        <f t="shared" si="19"/>
        <v>12.4</v>
      </c>
      <c r="N112" s="70">
        <f t="shared" si="32"/>
        <v>1074.212</v>
      </c>
      <c r="O112" s="70">
        <f t="shared" si="20"/>
        <v>0.222222222222222</v>
      </c>
      <c r="P112" s="70">
        <f t="shared" si="21"/>
        <v>6.88888888888889</v>
      </c>
      <c r="Q112" s="70">
        <f t="shared" si="22"/>
        <v>895.176666666667</v>
      </c>
      <c r="R112" s="70">
        <f t="shared" si="23"/>
        <v>6.88888888888889</v>
      </c>
      <c r="S112" s="70">
        <f t="shared" si="24"/>
        <v>0.222222222222222</v>
      </c>
      <c r="T112" s="70">
        <f t="shared" si="25"/>
        <v>0.222222222222222</v>
      </c>
      <c r="U112" s="70">
        <f t="shared" si="26"/>
        <v>895.176666666667</v>
      </c>
      <c r="V112" s="102">
        <f>_xlfn.XLOOKUP(B112,[1]Sheet1!$B:$B,[1]Sheet1!$P:$P)</f>
        <v>0</v>
      </c>
      <c r="W112" s="103">
        <f t="shared" si="27"/>
        <v>0</v>
      </c>
      <c r="X112" s="103">
        <f t="shared" si="28"/>
        <v>0</v>
      </c>
      <c r="Y112" s="103">
        <f t="shared" si="33"/>
        <v>0</v>
      </c>
      <c r="Z112" s="102">
        <f>_xlfn.XLOOKUP(B112,[1]Sheet1!$B:$B,[1]Sheet1!$Q:$Q)</f>
        <v>0</v>
      </c>
      <c r="AA112" s="103">
        <f t="shared" si="34"/>
        <v>0</v>
      </c>
      <c r="AB112" s="103">
        <f t="shared" si="30"/>
        <v>0</v>
      </c>
      <c r="AC112" s="103">
        <f t="shared" si="31"/>
        <v>0</v>
      </c>
      <c r="AD112" s="104" t="s">
        <v>545</v>
      </c>
      <c r="AE112" s="68"/>
    </row>
    <row r="113" ht="15" customHeight="1" spans="1:31">
      <c r="A113" s="72" t="s">
        <v>628</v>
      </c>
      <c r="B113" s="108" t="s">
        <v>361</v>
      </c>
      <c r="C113" s="108" t="s">
        <v>34</v>
      </c>
      <c r="D113" s="108" t="s">
        <v>35</v>
      </c>
      <c r="E113" s="108" t="s">
        <v>362</v>
      </c>
      <c r="F113" s="108">
        <v>4.47</v>
      </c>
      <c r="G113" s="108">
        <v>390</v>
      </c>
      <c r="H113" s="109"/>
      <c r="I113" s="108"/>
      <c r="J113" s="108">
        <v>385</v>
      </c>
      <c r="K113" s="108">
        <v>2572</v>
      </c>
      <c r="L113" s="105">
        <f t="shared" si="18"/>
        <v>7.8</v>
      </c>
      <c r="M113" s="73">
        <f t="shared" si="19"/>
        <v>241.8</v>
      </c>
      <c r="N113" s="73">
        <f t="shared" si="32"/>
        <v>1080.846</v>
      </c>
      <c r="O113" s="73">
        <f t="shared" si="20"/>
        <v>4.33333333333333</v>
      </c>
      <c r="P113" s="73">
        <f t="shared" si="21"/>
        <v>134.333333333333</v>
      </c>
      <c r="Q113" s="73">
        <f t="shared" si="22"/>
        <v>900.705</v>
      </c>
      <c r="R113" s="73">
        <f t="shared" si="23"/>
        <v>134.333333333333</v>
      </c>
      <c r="S113" s="73">
        <f t="shared" si="24"/>
        <v>4.33333333333333</v>
      </c>
      <c r="T113" s="73">
        <f t="shared" si="25"/>
        <v>4.33333333333333</v>
      </c>
      <c r="U113" s="73">
        <f t="shared" si="26"/>
        <v>900.705</v>
      </c>
      <c r="V113" s="75">
        <f>_xlfn.XLOOKUP(B113,[1]Sheet1!$B:$B,[1]Sheet1!$P:$P)</f>
        <v>0</v>
      </c>
      <c r="W113" s="73">
        <f t="shared" si="27"/>
        <v>0</v>
      </c>
      <c r="X113" s="73">
        <f t="shared" si="28"/>
        <v>0</v>
      </c>
      <c r="Y113" s="73">
        <f t="shared" si="33"/>
        <v>0</v>
      </c>
      <c r="Z113" s="75">
        <f>_xlfn.XLOOKUP(B113,[1]Sheet1!$B:$B,[1]Sheet1!$Q:$Q)</f>
        <v>1</v>
      </c>
      <c r="AA113" s="73">
        <f t="shared" si="34"/>
        <v>4.33333333333333</v>
      </c>
      <c r="AB113" s="73">
        <f t="shared" si="30"/>
        <v>134.333333333333</v>
      </c>
      <c r="AC113" s="73">
        <f t="shared" si="31"/>
        <v>900.705</v>
      </c>
      <c r="AD113" s="68" t="s">
        <v>557</v>
      </c>
      <c r="AE113" s="68"/>
    </row>
    <row r="114" ht="15" customHeight="1" spans="1:31">
      <c r="A114" s="110" t="s">
        <v>629</v>
      </c>
      <c r="B114" s="111" t="s">
        <v>630</v>
      </c>
      <c r="C114" s="111" t="s">
        <v>34</v>
      </c>
      <c r="D114" s="111" t="s">
        <v>51</v>
      </c>
      <c r="E114" s="111" t="s">
        <v>408</v>
      </c>
      <c r="F114" s="111">
        <v>23.45</v>
      </c>
      <c r="G114" s="111">
        <v>264</v>
      </c>
      <c r="H114" s="112">
        <v>3</v>
      </c>
      <c r="I114" s="111">
        <v>88</v>
      </c>
      <c r="J114" s="111">
        <v>108</v>
      </c>
      <c r="K114" s="111">
        <v>2533</v>
      </c>
      <c r="L114" s="105">
        <f t="shared" si="18"/>
        <v>2.28</v>
      </c>
      <c r="M114" s="73">
        <f t="shared" si="19"/>
        <v>163.68</v>
      </c>
      <c r="N114" s="73">
        <f t="shared" si="32"/>
        <v>3838.296</v>
      </c>
      <c r="O114" s="73">
        <f t="shared" si="20"/>
        <v>-0.0666666666666667</v>
      </c>
      <c r="P114" s="73">
        <f t="shared" si="21"/>
        <v>90.9333333333333</v>
      </c>
      <c r="Q114" s="73">
        <f t="shared" si="22"/>
        <v>3198.58</v>
      </c>
      <c r="R114" s="73">
        <f t="shared" si="23"/>
        <v>90.9333333333333</v>
      </c>
      <c r="S114" s="73">
        <f t="shared" si="24"/>
        <v>2.93333333333333</v>
      </c>
      <c r="T114" s="73">
        <f t="shared" si="25"/>
        <v>-0.0666666666666669</v>
      </c>
      <c r="U114" s="73">
        <f t="shared" si="26"/>
        <v>3198.58</v>
      </c>
      <c r="V114" s="114">
        <f>_xlfn.XLOOKUP(B114,[1]Sheet1!$B:$B,[1]Sheet1!$P:$P)</f>
        <v>0.68</v>
      </c>
      <c r="W114" s="115">
        <f t="shared" si="27"/>
        <v>1.99466666666667</v>
      </c>
      <c r="X114" s="115">
        <f t="shared" si="28"/>
        <v>61.8346666666667</v>
      </c>
      <c r="Y114" s="115">
        <f t="shared" si="33"/>
        <v>2175.0344</v>
      </c>
      <c r="Z114" s="114">
        <f>_xlfn.XLOOKUP(B114,[1]Sheet1!$B:$B,[1]Sheet1!$Q:$Q)</f>
        <v>0.32</v>
      </c>
      <c r="AA114" s="115">
        <f t="shared" si="34"/>
        <v>0.938666666666667</v>
      </c>
      <c r="AB114" s="115">
        <f t="shared" si="30"/>
        <v>29.0986666666667</v>
      </c>
      <c r="AC114" s="115">
        <f t="shared" si="31"/>
        <v>1023.5456</v>
      </c>
      <c r="AD114" s="116" t="s">
        <v>558</v>
      </c>
      <c r="AE114" s="68"/>
    </row>
    <row r="115" ht="15" customHeight="1" spans="1:31">
      <c r="A115" s="72" t="s">
        <v>631</v>
      </c>
      <c r="B115" s="108" t="s">
        <v>487</v>
      </c>
      <c r="C115" s="108" t="s">
        <v>34</v>
      </c>
      <c r="D115" s="108" t="s">
        <v>35</v>
      </c>
      <c r="E115" s="108" t="s">
        <v>141</v>
      </c>
      <c r="F115" s="108">
        <v>31.97</v>
      </c>
      <c r="G115" s="108">
        <v>91</v>
      </c>
      <c r="H115" s="109"/>
      <c r="I115" s="108"/>
      <c r="J115" s="108">
        <v>60</v>
      </c>
      <c r="K115" s="108">
        <v>2478</v>
      </c>
      <c r="L115" s="105">
        <f t="shared" si="18"/>
        <v>1.82</v>
      </c>
      <c r="M115" s="73">
        <f t="shared" si="19"/>
        <v>56.42</v>
      </c>
      <c r="N115" s="73">
        <f t="shared" si="32"/>
        <v>1803.7474</v>
      </c>
      <c r="O115" s="73">
        <f t="shared" si="20"/>
        <v>1.01111111111111</v>
      </c>
      <c r="P115" s="73">
        <f t="shared" si="21"/>
        <v>31.3444444444444</v>
      </c>
      <c r="Q115" s="73">
        <f t="shared" si="22"/>
        <v>1503.12283333333</v>
      </c>
      <c r="R115" s="73">
        <f t="shared" si="23"/>
        <v>31.3444444444444</v>
      </c>
      <c r="S115" s="73">
        <f t="shared" si="24"/>
        <v>1.01111111111111</v>
      </c>
      <c r="T115" s="73">
        <f t="shared" si="25"/>
        <v>1.01111111111111</v>
      </c>
      <c r="U115" s="73">
        <f t="shared" si="26"/>
        <v>1503.12283333333</v>
      </c>
      <c r="V115" s="75">
        <f>_xlfn.XLOOKUP(B115,[1]Sheet1!$B:$B,[1]Sheet1!$P:$P)</f>
        <v>0.333333333333333</v>
      </c>
      <c r="W115" s="73">
        <f t="shared" si="27"/>
        <v>0.337037037037037</v>
      </c>
      <c r="X115" s="73">
        <f t="shared" si="28"/>
        <v>10.4481481481481</v>
      </c>
      <c r="Y115" s="73">
        <f t="shared" si="33"/>
        <v>501.040944444444</v>
      </c>
      <c r="Z115" s="75">
        <f>_xlfn.XLOOKUP(B115,[1]Sheet1!$B:$B,[1]Sheet1!$Q:$Q)</f>
        <v>0.666666666666667</v>
      </c>
      <c r="AA115" s="73">
        <f t="shared" si="34"/>
        <v>0.674074074074074</v>
      </c>
      <c r="AB115" s="73">
        <f t="shared" si="30"/>
        <v>20.8962962962963</v>
      </c>
      <c r="AC115" s="73">
        <f t="shared" si="31"/>
        <v>1002.08188888889</v>
      </c>
      <c r="AD115" s="68" t="s">
        <v>557</v>
      </c>
      <c r="AE115" s="68"/>
    </row>
    <row r="116" ht="15" customHeight="1" spans="1:31">
      <c r="A116" s="72" t="s">
        <v>352</v>
      </c>
      <c r="B116" s="108" t="s">
        <v>351</v>
      </c>
      <c r="C116" s="108" t="s">
        <v>34</v>
      </c>
      <c r="D116" s="108" t="s">
        <v>35</v>
      </c>
      <c r="E116" s="108" t="s">
        <v>264</v>
      </c>
      <c r="F116" s="108">
        <v>28.1</v>
      </c>
      <c r="G116" s="108">
        <v>90</v>
      </c>
      <c r="H116" s="109"/>
      <c r="I116" s="108"/>
      <c r="J116" s="108">
        <v>65</v>
      </c>
      <c r="K116" s="108">
        <v>2459</v>
      </c>
      <c r="L116" s="105">
        <f t="shared" si="18"/>
        <v>1.8</v>
      </c>
      <c r="M116" s="73">
        <f t="shared" si="19"/>
        <v>55.8</v>
      </c>
      <c r="N116" s="73">
        <f t="shared" si="32"/>
        <v>1567.98</v>
      </c>
      <c r="O116" s="73">
        <f t="shared" si="20"/>
        <v>1</v>
      </c>
      <c r="P116" s="73">
        <f t="shared" si="21"/>
        <v>31</v>
      </c>
      <c r="Q116" s="73">
        <f t="shared" si="22"/>
        <v>1306.65</v>
      </c>
      <c r="R116" s="73">
        <f t="shared" si="23"/>
        <v>31</v>
      </c>
      <c r="S116" s="73">
        <f t="shared" si="24"/>
        <v>1</v>
      </c>
      <c r="T116" s="73">
        <f t="shared" si="25"/>
        <v>1</v>
      </c>
      <c r="U116" s="73">
        <f t="shared" si="26"/>
        <v>1306.65</v>
      </c>
      <c r="V116" s="75">
        <f>_xlfn.XLOOKUP(B116,[1]Sheet1!$B:$B,[1]Sheet1!$P:$P)</f>
        <v>0.666666666666667</v>
      </c>
      <c r="W116" s="73">
        <f t="shared" si="27"/>
        <v>0.666666666666667</v>
      </c>
      <c r="X116" s="73">
        <f t="shared" si="28"/>
        <v>20.6666666666667</v>
      </c>
      <c r="Y116" s="73">
        <f t="shared" si="33"/>
        <v>871.1</v>
      </c>
      <c r="Z116" s="75">
        <f>_xlfn.XLOOKUP(B116,[1]Sheet1!$B:$B,[1]Sheet1!$Q:$Q)</f>
        <v>0.333333333333333</v>
      </c>
      <c r="AA116" s="73">
        <f t="shared" si="34"/>
        <v>0.333333333333333</v>
      </c>
      <c r="AB116" s="73">
        <f t="shared" si="30"/>
        <v>10.3333333333333</v>
      </c>
      <c r="AC116" s="73">
        <f t="shared" si="31"/>
        <v>435.55</v>
      </c>
      <c r="AD116" s="68" t="s">
        <v>632</v>
      </c>
      <c r="AE116" s="68"/>
    </row>
    <row r="117" ht="15" customHeight="1" spans="1:31">
      <c r="A117" s="110" t="s">
        <v>325</v>
      </c>
      <c r="B117" s="111" t="s">
        <v>421</v>
      </c>
      <c r="C117" s="111" t="s">
        <v>34</v>
      </c>
      <c r="D117" s="111" t="s">
        <v>35</v>
      </c>
      <c r="E117" s="111" t="s">
        <v>306</v>
      </c>
      <c r="F117" s="111">
        <v>127.38</v>
      </c>
      <c r="G117" s="111">
        <v>14</v>
      </c>
      <c r="H117" s="112"/>
      <c r="I117" s="111"/>
      <c r="J117" s="111">
        <v>13</v>
      </c>
      <c r="K117" s="111">
        <v>2420</v>
      </c>
      <c r="L117" s="105">
        <f t="shared" si="18"/>
        <v>0.28</v>
      </c>
      <c r="M117" s="73">
        <f t="shared" si="19"/>
        <v>8.68</v>
      </c>
      <c r="N117" s="73">
        <f t="shared" si="32"/>
        <v>1105.6584</v>
      </c>
      <c r="O117" s="73">
        <f t="shared" si="20"/>
        <v>0.155555555555556</v>
      </c>
      <c r="P117" s="73">
        <f t="shared" si="21"/>
        <v>4.82222222222222</v>
      </c>
      <c r="Q117" s="73">
        <f t="shared" si="22"/>
        <v>921.382</v>
      </c>
      <c r="R117" s="73">
        <f t="shared" si="23"/>
        <v>4.82222222222222</v>
      </c>
      <c r="S117" s="73">
        <f t="shared" si="24"/>
        <v>0.155555555555556</v>
      </c>
      <c r="T117" s="73">
        <f t="shared" si="25"/>
        <v>0.155555555555556</v>
      </c>
      <c r="U117" s="73">
        <f t="shared" si="26"/>
        <v>921.382</v>
      </c>
      <c r="V117" s="114">
        <f>_xlfn.XLOOKUP(B117,[1]Sheet1!$B:$B,[1]Sheet1!$P:$P)</f>
        <v>0</v>
      </c>
      <c r="W117" s="115">
        <f t="shared" si="27"/>
        <v>0</v>
      </c>
      <c r="X117" s="115">
        <f t="shared" si="28"/>
        <v>0</v>
      </c>
      <c r="Y117" s="115">
        <f t="shared" si="33"/>
        <v>0</v>
      </c>
      <c r="Z117" s="114">
        <f>_xlfn.XLOOKUP(B117,[1]Sheet1!$B:$B,[1]Sheet1!$Q:$Q)</f>
        <v>0</v>
      </c>
      <c r="AA117" s="115">
        <f t="shared" si="34"/>
        <v>0</v>
      </c>
      <c r="AB117" s="115">
        <f t="shared" si="30"/>
        <v>0</v>
      </c>
      <c r="AC117" s="115">
        <f t="shared" si="31"/>
        <v>0</v>
      </c>
      <c r="AD117" s="116" t="s">
        <v>564</v>
      </c>
      <c r="AE117" s="68"/>
    </row>
    <row r="118" ht="15" customHeight="1" spans="1:31">
      <c r="A118" s="72" t="s">
        <v>232</v>
      </c>
      <c r="B118" s="108" t="s">
        <v>633</v>
      </c>
      <c r="C118" s="108" t="s">
        <v>34</v>
      </c>
      <c r="D118" s="108" t="s">
        <v>51</v>
      </c>
      <c r="E118" s="108" t="s">
        <v>195</v>
      </c>
      <c r="F118" s="108">
        <v>18.56</v>
      </c>
      <c r="G118" s="108">
        <v>755</v>
      </c>
      <c r="H118" s="109">
        <v>12</v>
      </c>
      <c r="I118" s="108">
        <v>62</v>
      </c>
      <c r="J118" s="108">
        <v>130</v>
      </c>
      <c r="K118" s="108">
        <v>2413</v>
      </c>
      <c r="L118" s="105">
        <f t="shared" si="18"/>
        <v>3.1</v>
      </c>
      <c r="M118" s="73">
        <f t="shared" si="19"/>
        <v>468.1</v>
      </c>
      <c r="N118" s="73">
        <f t="shared" si="32"/>
        <v>8687.936</v>
      </c>
      <c r="O118" s="73">
        <f t="shared" si="20"/>
        <v>-3.61111111111111</v>
      </c>
      <c r="P118" s="73">
        <f t="shared" si="21"/>
        <v>260.055555555556</v>
      </c>
      <c r="Q118" s="73">
        <f t="shared" si="22"/>
        <v>7239.94666666667</v>
      </c>
      <c r="R118" s="73">
        <f t="shared" si="23"/>
        <v>260.055555555556</v>
      </c>
      <c r="S118" s="73">
        <f t="shared" si="24"/>
        <v>8.38888888888889</v>
      </c>
      <c r="T118" s="73">
        <f t="shared" si="25"/>
        <v>-3.61111111111111</v>
      </c>
      <c r="U118" s="73">
        <f t="shared" si="26"/>
        <v>7239.94666666667</v>
      </c>
      <c r="V118" s="75">
        <f>_xlfn.XLOOKUP(B118,[1]Sheet1!$B:$B,[1]Sheet1!$P:$P)</f>
        <v>0.545454545454545</v>
      </c>
      <c r="W118" s="73">
        <f t="shared" si="27"/>
        <v>4.57575757575757</v>
      </c>
      <c r="X118" s="73">
        <f t="shared" si="28"/>
        <v>141.848484848485</v>
      </c>
      <c r="Y118" s="73">
        <f t="shared" si="33"/>
        <v>3949.06181818181</v>
      </c>
      <c r="Z118" s="75">
        <f>_xlfn.XLOOKUP(B118,[1]Sheet1!$B:$B,[1]Sheet1!$Q:$Q)</f>
        <v>0.454545454545455</v>
      </c>
      <c r="AA118" s="73">
        <f t="shared" si="34"/>
        <v>3.81313131313132</v>
      </c>
      <c r="AB118" s="73">
        <f t="shared" si="30"/>
        <v>118.207070707071</v>
      </c>
      <c r="AC118" s="73">
        <f t="shared" si="31"/>
        <v>3290.88484848485</v>
      </c>
      <c r="AD118" s="68" t="s">
        <v>594</v>
      </c>
      <c r="AE118" s="68"/>
    </row>
    <row r="119" ht="15" customHeight="1" spans="1:31">
      <c r="A119" s="110" t="s">
        <v>329</v>
      </c>
      <c r="B119" s="111" t="s">
        <v>634</v>
      </c>
      <c r="C119" s="111" t="s">
        <v>34</v>
      </c>
      <c r="D119" s="111" t="s">
        <v>51</v>
      </c>
      <c r="E119" s="111" t="s">
        <v>408</v>
      </c>
      <c r="F119" s="111">
        <v>25.61</v>
      </c>
      <c r="G119" s="111">
        <v>616</v>
      </c>
      <c r="H119" s="112">
        <v>10</v>
      </c>
      <c r="I119" s="111">
        <v>61</v>
      </c>
      <c r="J119" s="111">
        <v>90</v>
      </c>
      <c r="K119" s="111">
        <v>2305</v>
      </c>
      <c r="L119" s="105">
        <f t="shared" si="18"/>
        <v>2.32</v>
      </c>
      <c r="M119" s="73">
        <f t="shared" si="19"/>
        <v>381.92</v>
      </c>
      <c r="N119" s="73">
        <f t="shared" si="32"/>
        <v>9780.9712</v>
      </c>
      <c r="O119" s="73">
        <f t="shared" si="20"/>
        <v>-3.15555555555556</v>
      </c>
      <c r="P119" s="73">
        <f t="shared" si="21"/>
        <v>212.177777777778</v>
      </c>
      <c r="Q119" s="73">
        <f t="shared" si="22"/>
        <v>8150.80933333333</v>
      </c>
      <c r="R119" s="73">
        <f t="shared" si="23"/>
        <v>212.177777777778</v>
      </c>
      <c r="S119" s="73">
        <f t="shared" si="24"/>
        <v>6.84444444444444</v>
      </c>
      <c r="T119" s="73">
        <f t="shared" si="25"/>
        <v>-3.15555555555555</v>
      </c>
      <c r="U119" s="73">
        <f t="shared" si="26"/>
        <v>8150.80933333333</v>
      </c>
      <c r="V119" s="114">
        <f>_xlfn.XLOOKUP(B119,[1]Sheet1!$B:$B,[1]Sheet1!$P:$P)</f>
        <v>0.662251655629139</v>
      </c>
      <c r="W119" s="115">
        <f t="shared" si="27"/>
        <v>4.532744665195</v>
      </c>
      <c r="X119" s="115">
        <f t="shared" si="28"/>
        <v>140.515084621045</v>
      </c>
      <c r="Y119" s="115">
        <f t="shared" si="33"/>
        <v>5397.88697571744</v>
      </c>
      <c r="Z119" s="114">
        <f>_xlfn.XLOOKUP(B119,[1]Sheet1!$B:$B,[1]Sheet1!$Q:$Q)</f>
        <v>0.337748344370861</v>
      </c>
      <c r="AA119" s="115">
        <f t="shared" si="34"/>
        <v>2.31169977924945</v>
      </c>
      <c r="AB119" s="115">
        <f t="shared" si="30"/>
        <v>71.6626931567329</v>
      </c>
      <c r="AC119" s="115">
        <f t="shared" si="31"/>
        <v>2752.92235761589</v>
      </c>
      <c r="AD119" s="116" t="s">
        <v>558</v>
      </c>
    </row>
    <row r="120" ht="15" customHeight="1" spans="1:31">
      <c r="A120" s="98" t="s">
        <v>635</v>
      </c>
      <c r="B120" s="99" t="s">
        <v>364</v>
      </c>
      <c r="C120" s="99" t="s">
        <v>34</v>
      </c>
      <c r="D120" s="99" t="s">
        <v>35</v>
      </c>
      <c r="E120" s="99" t="s">
        <v>365</v>
      </c>
      <c r="F120" s="99">
        <v>47.82</v>
      </c>
      <c r="G120" s="99">
        <v>39</v>
      </c>
      <c r="H120" s="100"/>
      <c r="I120" s="99"/>
      <c r="J120" s="99">
        <v>33</v>
      </c>
      <c r="K120" s="99">
        <v>2248</v>
      </c>
      <c r="L120" s="105">
        <f t="shared" si="18"/>
        <v>0.78</v>
      </c>
      <c r="M120" s="73">
        <f t="shared" si="19"/>
        <v>24.18</v>
      </c>
      <c r="N120" s="73">
        <f t="shared" si="32"/>
        <v>1156.2876</v>
      </c>
      <c r="O120" s="73">
        <f t="shared" si="20"/>
        <v>0.433333333333333</v>
      </c>
      <c r="P120" s="73">
        <f t="shared" si="21"/>
        <v>13.4333333333333</v>
      </c>
      <c r="Q120" s="73">
        <f t="shared" si="22"/>
        <v>963.573</v>
      </c>
      <c r="R120" s="73">
        <f t="shared" si="23"/>
        <v>13.4333333333333</v>
      </c>
      <c r="S120" s="73">
        <f t="shared" si="24"/>
        <v>0.433333333333333</v>
      </c>
      <c r="T120" s="73">
        <f t="shared" si="25"/>
        <v>0.433333333333333</v>
      </c>
      <c r="U120" s="73">
        <f t="shared" si="26"/>
        <v>963.573</v>
      </c>
      <c r="V120" s="102">
        <f>_xlfn.XLOOKUP(B120,[1]Sheet1!$B:$B,[1]Sheet1!$P:$P)</f>
        <v>1</v>
      </c>
      <c r="W120" s="103">
        <f t="shared" si="27"/>
        <v>0.433333333333333</v>
      </c>
      <c r="X120" s="103">
        <f t="shared" si="28"/>
        <v>13.4333333333333</v>
      </c>
      <c r="Y120" s="103">
        <f t="shared" si="33"/>
        <v>963.573</v>
      </c>
      <c r="Z120" s="102">
        <f>_xlfn.XLOOKUP(B120,[1]Sheet1!$B:$B,[1]Sheet1!$Q:$Q)</f>
        <v>0</v>
      </c>
      <c r="AA120" s="103">
        <f t="shared" si="34"/>
        <v>0</v>
      </c>
      <c r="AB120" s="103">
        <f t="shared" si="30"/>
        <v>0</v>
      </c>
      <c r="AC120" s="103">
        <f t="shared" si="31"/>
        <v>0</v>
      </c>
      <c r="AD120" s="104" t="s">
        <v>545</v>
      </c>
    </row>
    <row r="121" ht="15" customHeight="1" spans="1:31">
      <c r="A121" s="72" t="s">
        <v>636</v>
      </c>
      <c r="B121" s="108" t="s">
        <v>148</v>
      </c>
      <c r="C121" s="108" t="s">
        <v>34</v>
      </c>
      <c r="D121" s="108" t="s">
        <v>35</v>
      </c>
      <c r="E121" s="108" t="s">
        <v>106</v>
      </c>
      <c r="F121" s="108">
        <v>35.09</v>
      </c>
      <c r="G121" s="108">
        <v>1703</v>
      </c>
      <c r="H121" s="109">
        <v>32</v>
      </c>
      <c r="I121" s="108">
        <v>53</v>
      </c>
      <c r="J121" s="108">
        <v>64</v>
      </c>
      <c r="K121" s="108">
        <v>2246</v>
      </c>
      <c r="L121" s="105">
        <f t="shared" si="18"/>
        <v>2.06</v>
      </c>
      <c r="M121" s="73">
        <f t="shared" si="19"/>
        <v>1055.86</v>
      </c>
      <c r="N121" s="73">
        <f t="shared" si="32"/>
        <v>37050.1274</v>
      </c>
      <c r="O121" s="73">
        <f t="shared" si="20"/>
        <v>-13.0777777777778</v>
      </c>
      <c r="P121" s="73">
        <f t="shared" si="21"/>
        <v>586.588888888889</v>
      </c>
      <c r="Q121" s="73">
        <f t="shared" si="22"/>
        <v>30875.1061666667</v>
      </c>
      <c r="R121" s="73">
        <f t="shared" si="23"/>
        <v>586.588888888889</v>
      </c>
      <c r="S121" s="73">
        <f t="shared" si="24"/>
        <v>18.9222222222222</v>
      </c>
      <c r="T121" s="73">
        <f t="shared" si="25"/>
        <v>-13.0777777777778</v>
      </c>
      <c r="U121" s="73">
        <f t="shared" si="26"/>
        <v>30875.1061666667</v>
      </c>
      <c r="V121" s="75">
        <f>_xlfn.XLOOKUP(B121,[1]Sheet1!$B:$B,[1]Sheet1!$P:$P)</f>
        <v>0.592592592592593</v>
      </c>
      <c r="W121" s="73">
        <f t="shared" si="27"/>
        <v>11.2131687242798</v>
      </c>
      <c r="X121" s="73">
        <f t="shared" si="28"/>
        <v>347.608230452675</v>
      </c>
      <c r="Y121" s="73">
        <f t="shared" si="33"/>
        <v>18296.3592098766</v>
      </c>
      <c r="Z121" s="75">
        <f>_xlfn.XLOOKUP(B121,[1]Sheet1!$B:$B,[1]Sheet1!$Q:$Q)</f>
        <v>0.407407407407407</v>
      </c>
      <c r="AA121" s="73">
        <f t="shared" si="34"/>
        <v>7.70905349794238</v>
      </c>
      <c r="AB121" s="73">
        <f t="shared" si="30"/>
        <v>238.980658436214</v>
      </c>
      <c r="AC121" s="73">
        <f t="shared" si="31"/>
        <v>12578.7469567901</v>
      </c>
      <c r="AD121" s="68" t="s">
        <v>550</v>
      </c>
    </row>
    <row r="122" ht="15" customHeight="1" spans="1:31">
      <c r="A122" s="98" t="s">
        <v>370</v>
      </c>
      <c r="B122" s="99" t="s">
        <v>384</v>
      </c>
      <c r="C122" s="99" t="s">
        <v>34</v>
      </c>
      <c r="D122" s="99" t="s">
        <v>51</v>
      </c>
      <c r="E122" s="99" t="s">
        <v>309</v>
      </c>
      <c r="F122" s="99">
        <v>17.3</v>
      </c>
      <c r="G122" s="99">
        <v>144</v>
      </c>
      <c r="H122" s="100"/>
      <c r="I122" s="99"/>
      <c r="J122" s="99">
        <v>96</v>
      </c>
      <c r="K122" s="99">
        <v>2154</v>
      </c>
      <c r="L122" s="101">
        <f t="shared" si="18"/>
        <v>2.88</v>
      </c>
      <c r="M122" s="70">
        <f t="shared" si="19"/>
        <v>89.28</v>
      </c>
      <c r="N122" s="70">
        <f t="shared" si="32"/>
        <v>1544.544</v>
      </c>
      <c r="O122" s="70">
        <f t="shared" si="20"/>
        <v>1.6</v>
      </c>
      <c r="P122" s="70">
        <f t="shared" si="21"/>
        <v>49.6</v>
      </c>
      <c r="Q122" s="70">
        <f t="shared" si="22"/>
        <v>1287.12</v>
      </c>
      <c r="R122" s="70">
        <f t="shared" si="23"/>
        <v>49.6</v>
      </c>
      <c r="S122" s="70">
        <f t="shared" si="24"/>
        <v>1.6</v>
      </c>
      <c r="T122" s="70">
        <f t="shared" si="25"/>
        <v>1.6</v>
      </c>
      <c r="U122" s="70">
        <f t="shared" si="26"/>
        <v>1287.12</v>
      </c>
      <c r="V122" s="102">
        <f>_xlfn.XLOOKUP(B122,[1]Sheet1!$B:$B,[1]Sheet1!$P:$P)</f>
        <v>0.842105263157895</v>
      </c>
      <c r="W122" s="103">
        <f t="shared" si="27"/>
        <v>1.34736842105263</v>
      </c>
      <c r="X122" s="103">
        <f t="shared" si="28"/>
        <v>41.7684210526316</v>
      </c>
      <c r="Y122" s="103">
        <f t="shared" si="33"/>
        <v>1083.89052631579</v>
      </c>
      <c r="Z122" s="102">
        <f>_xlfn.XLOOKUP(B122,[1]Sheet1!$B:$B,[1]Sheet1!$Q:$Q)</f>
        <v>0.157894736842105</v>
      </c>
      <c r="AA122" s="103">
        <f t="shared" si="34"/>
        <v>0.252631578947368</v>
      </c>
      <c r="AB122" s="103">
        <f t="shared" si="30"/>
        <v>7.83157894736841</v>
      </c>
      <c r="AC122" s="103">
        <f t="shared" si="31"/>
        <v>203.22947368421</v>
      </c>
      <c r="AD122" s="104" t="s">
        <v>545</v>
      </c>
    </row>
    <row r="123" ht="15" customHeight="1" spans="1:31">
      <c r="A123" s="72" t="s">
        <v>637</v>
      </c>
      <c r="B123" s="108" t="s">
        <v>638</v>
      </c>
      <c r="C123" s="108" t="s">
        <v>34</v>
      </c>
      <c r="D123" s="108" t="s">
        <v>51</v>
      </c>
      <c r="E123" s="108" t="s">
        <v>617</v>
      </c>
      <c r="F123" s="108">
        <v>16.53</v>
      </c>
      <c r="G123" s="108">
        <v>633</v>
      </c>
      <c r="H123" s="109">
        <v>10</v>
      </c>
      <c r="I123" s="108">
        <v>63</v>
      </c>
      <c r="J123" s="108">
        <v>130</v>
      </c>
      <c r="K123" s="108">
        <v>2149</v>
      </c>
      <c r="L123" s="105">
        <f t="shared" si="18"/>
        <v>2.66</v>
      </c>
      <c r="M123" s="73">
        <f t="shared" si="19"/>
        <v>392.46</v>
      </c>
      <c r="N123" s="73">
        <f t="shared" si="32"/>
        <v>6487.3638</v>
      </c>
      <c r="O123" s="73">
        <f t="shared" si="20"/>
        <v>-2.96666666666667</v>
      </c>
      <c r="P123" s="73">
        <f t="shared" si="21"/>
        <v>218.033333333333</v>
      </c>
      <c r="Q123" s="73">
        <f t="shared" si="22"/>
        <v>5406.1365</v>
      </c>
      <c r="R123" s="73">
        <f t="shared" si="23"/>
        <v>218.033333333333</v>
      </c>
      <c r="S123" s="73">
        <f t="shared" si="24"/>
        <v>7.03333333333333</v>
      </c>
      <c r="T123" s="73">
        <f t="shared" si="25"/>
        <v>-2.96666666666667</v>
      </c>
      <c r="U123" s="73">
        <f t="shared" si="26"/>
        <v>5406.1365</v>
      </c>
      <c r="V123" s="75">
        <f>_xlfn.XLOOKUP(B123,[1]Sheet1!$B:$B,[1]Sheet1!$P:$P)</f>
        <v>0.452702702702703</v>
      </c>
      <c r="W123" s="73">
        <f t="shared" si="27"/>
        <v>3.18400900900901</v>
      </c>
      <c r="X123" s="73">
        <f t="shared" si="28"/>
        <v>98.7042792792793</v>
      </c>
      <c r="Y123" s="73">
        <f t="shared" si="33"/>
        <v>2447.37260472973</v>
      </c>
      <c r="Z123" s="75">
        <f>_xlfn.XLOOKUP(B123,[1]Sheet1!$B:$B,[1]Sheet1!$Q:$Q)</f>
        <v>0.547297297297297</v>
      </c>
      <c r="AA123" s="73">
        <f t="shared" si="34"/>
        <v>3.84932432432432</v>
      </c>
      <c r="AB123" s="73">
        <f t="shared" si="30"/>
        <v>119.329054054054</v>
      </c>
      <c r="AC123" s="73">
        <f t="shared" si="31"/>
        <v>2958.76389527027</v>
      </c>
      <c r="AD123" s="68"/>
    </row>
    <row r="124" ht="15" customHeight="1" spans="1:31">
      <c r="A124" s="98" t="s">
        <v>639</v>
      </c>
      <c r="B124" s="99" t="s">
        <v>315</v>
      </c>
      <c r="C124" s="99" t="s">
        <v>34</v>
      </c>
      <c r="D124" s="99" t="s">
        <v>51</v>
      </c>
      <c r="E124" s="99" t="s">
        <v>316</v>
      </c>
      <c r="F124" s="99">
        <v>102.36</v>
      </c>
      <c r="G124" s="99">
        <v>58</v>
      </c>
      <c r="H124" s="100"/>
      <c r="I124" s="99"/>
      <c r="J124" s="99">
        <v>20</v>
      </c>
      <c r="K124" s="99">
        <v>2047</v>
      </c>
      <c r="L124" s="101">
        <f t="shared" si="18"/>
        <v>1.16</v>
      </c>
      <c r="M124" s="70">
        <f t="shared" si="19"/>
        <v>35.96</v>
      </c>
      <c r="N124" s="70">
        <f t="shared" si="32"/>
        <v>3680.8656</v>
      </c>
      <c r="O124" s="70">
        <f t="shared" si="20"/>
        <v>0.644444444444444</v>
      </c>
      <c r="P124" s="70">
        <f t="shared" si="21"/>
        <v>19.9777777777778</v>
      </c>
      <c r="Q124" s="70">
        <f t="shared" si="22"/>
        <v>3067.388</v>
      </c>
      <c r="R124" s="70">
        <f t="shared" si="23"/>
        <v>19.9777777777778</v>
      </c>
      <c r="S124" s="70">
        <f t="shared" si="24"/>
        <v>0.644444444444444</v>
      </c>
      <c r="T124" s="70">
        <f t="shared" si="25"/>
        <v>0.644444444444444</v>
      </c>
      <c r="U124" s="70">
        <f t="shared" si="26"/>
        <v>3067.388</v>
      </c>
      <c r="V124" s="102">
        <f>_xlfn.XLOOKUP(B124,[1]Sheet1!$B:$B,[1]Sheet1!$P:$P)</f>
        <v>0</v>
      </c>
      <c r="W124" s="103">
        <f t="shared" si="27"/>
        <v>0</v>
      </c>
      <c r="X124" s="103">
        <f t="shared" si="28"/>
        <v>0</v>
      </c>
      <c r="Y124" s="103">
        <f t="shared" si="33"/>
        <v>0</v>
      </c>
      <c r="Z124" s="102">
        <f>_xlfn.XLOOKUP(B124,[1]Sheet1!$B:$B,[1]Sheet1!$Q:$Q)</f>
        <v>1</v>
      </c>
      <c r="AA124" s="103">
        <f t="shared" si="34"/>
        <v>0.644444444444444</v>
      </c>
      <c r="AB124" s="103">
        <f t="shared" si="30"/>
        <v>19.9777777777778</v>
      </c>
      <c r="AC124" s="103">
        <f t="shared" si="31"/>
        <v>3067.388</v>
      </c>
      <c r="AD124" s="104" t="s">
        <v>545</v>
      </c>
    </row>
    <row r="125" ht="15" customHeight="1" spans="1:31">
      <c r="A125" s="110" t="s">
        <v>412</v>
      </c>
      <c r="B125" s="111" t="s">
        <v>345</v>
      </c>
      <c r="C125" s="111" t="s">
        <v>34</v>
      </c>
      <c r="D125" s="111" t="s">
        <v>35</v>
      </c>
      <c r="E125" s="111" t="s">
        <v>306</v>
      </c>
      <c r="F125" s="111">
        <v>57.5</v>
      </c>
      <c r="G125" s="111">
        <v>33</v>
      </c>
      <c r="H125" s="112"/>
      <c r="I125" s="111"/>
      <c r="J125" s="111">
        <v>25</v>
      </c>
      <c r="K125" s="111">
        <v>1955</v>
      </c>
      <c r="L125" s="105">
        <f t="shared" si="18"/>
        <v>0.66</v>
      </c>
      <c r="M125" s="73">
        <f t="shared" si="19"/>
        <v>20.46</v>
      </c>
      <c r="N125" s="73">
        <f t="shared" si="32"/>
        <v>1176.45</v>
      </c>
      <c r="O125" s="73">
        <f t="shared" si="20"/>
        <v>0.366666666666667</v>
      </c>
      <c r="P125" s="73">
        <f t="shared" si="21"/>
        <v>11.3666666666667</v>
      </c>
      <c r="Q125" s="73">
        <f t="shared" si="22"/>
        <v>980.375</v>
      </c>
      <c r="R125" s="73">
        <f t="shared" si="23"/>
        <v>11.3666666666667</v>
      </c>
      <c r="S125" s="73">
        <f t="shared" si="24"/>
        <v>0.366666666666667</v>
      </c>
      <c r="T125" s="73">
        <f t="shared" si="25"/>
        <v>0.366666666666667</v>
      </c>
      <c r="U125" s="73">
        <f t="shared" si="26"/>
        <v>980.375</v>
      </c>
      <c r="V125" s="114">
        <f>_xlfn.XLOOKUP(B125,[1]Sheet1!$B:$B,[1]Sheet1!$P:$P)</f>
        <v>1</v>
      </c>
      <c r="W125" s="115">
        <f t="shared" si="27"/>
        <v>0.366666666666667</v>
      </c>
      <c r="X125" s="115">
        <f t="shared" si="28"/>
        <v>11.3666666666667</v>
      </c>
      <c r="Y125" s="115">
        <f t="shared" si="33"/>
        <v>980.375</v>
      </c>
      <c r="Z125" s="114">
        <f>_xlfn.XLOOKUP(B125,[1]Sheet1!$B:$B,[1]Sheet1!$Q:$Q)</f>
        <v>0</v>
      </c>
      <c r="AA125" s="115">
        <f t="shared" si="34"/>
        <v>0</v>
      </c>
      <c r="AB125" s="115">
        <f t="shared" si="30"/>
        <v>0</v>
      </c>
      <c r="AC125" s="115">
        <f t="shared" si="31"/>
        <v>0</v>
      </c>
      <c r="AD125" s="116" t="s">
        <v>564</v>
      </c>
    </row>
    <row r="126" ht="15" customHeight="1" spans="1:31">
      <c r="A126" s="72" t="s">
        <v>363</v>
      </c>
      <c r="B126" s="108" t="s">
        <v>640</v>
      </c>
      <c r="C126" s="108" t="s">
        <v>34</v>
      </c>
      <c r="D126" s="108" t="s">
        <v>35</v>
      </c>
      <c r="E126" s="108" t="s">
        <v>141</v>
      </c>
      <c r="F126" s="108">
        <v>20.85</v>
      </c>
      <c r="G126" s="108">
        <v>149</v>
      </c>
      <c r="H126" s="109">
        <v>1</v>
      </c>
      <c r="I126" s="108">
        <v>149</v>
      </c>
      <c r="J126" s="108">
        <v>78</v>
      </c>
      <c r="K126" s="108">
        <v>1845</v>
      </c>
      <c r="L126" s="105">
        <f t="shared" si="18"/>
        <v>1.98</v>
      </c>
      <c r="M126" s="73">
        <f t="shared" si="19"/>
        <v>92.38</v>
      </c>
      <c r="N126" s="73">
        <f t="shared" si="32"/>
        <v>1926.123</v>
      </c>
      <c r="O126" s="73">
        <f t="shared" si="20"/>
        <v>0.655555555555556</v>
      </c>
      <c r="P126" s="73">
        <f t="shared" si="21"/>
        <v>51.3222222222222</v>
      </c>
      <c r="Q126" s="73">
        <f t="shared" si="22"/>
        <v>1605.1025</v>
      </c>
      <c r="R126" s="73">
        <f t="shared" si="23"/>
        <v>51.3222222222222</v>
      </c>
      <c r="S126" s="73">
        <f t="shared" si="24"/>
        <v>1.65555555555556</v>
      </c>
      <c r="T126" s="73">
        <f t="shared" si="25"/>
        <v>0.655555555555555</v>
      </c>
      <c r="U126" s="73">
        <f t="shared" si="26"/>
        <v>1605.1025</v>
      </c>
      <c r="V126" s="75">
        <f>_xlfn.XLOOKUP(B126,[1]Sheet1!$B:$B,[1]Sheet1!$P:$P)</f>
        <v>0.461538461538462</v>
      </c>
      <c r="W126" s="73">
        <f t="shared" si="27"/>
        <v>0.764102564102565</v>
      </c>
      <c r="X126" s="73">
        <f t="shared" si="28"/>
        <v>23.6871794871795</v>
      </c>
      <c r="Y126" s="73">
        <f t="shared" si="33"/>
        <v>740.816538461539</v>
      </c>
      <c r="Z126" s="75">
        <f>_xlfn.XLOOKUP(B126,[1]Sheet1!$B:$B,[1]Sheet1!$Q:$Q)</f>
        <v>0.538461538461538</v>
      </c>
      <c r="AA126" s="73">
        <f t="shared" si="34"/>
        <v>0.891452991452991</v>
      </c>
      <c r="AB126" s="73">
        <f t="shared" si="30"/>
        <v>27.6350427350427</v>
      </c>
      <c r="AC126" s="73">
        <f t="shared" si="31"/>
        <v>864.285961538461</v>
      </c>
      <c r="AD126" s="68" t="s">
        <v>594</v>
      </c>
    </row>
    <row r="127" ht="15" customHeight="1" spans="1:31">
      <c r="A127" s="98" t="s">
        <v>641</v>
      </c>
      <c r="B127" s="99" t="s">
        <v>402</v>
      </c>
      <c r="C127" s="99" t="s">
        <v>34</v>
      </c>
      <c r="D127" s="99" t="s">
        <v>35</v>
      </c>
      <c r="E127" s="99" t="s">
        <v>403</v>
      </c>
      <c r="F127" s="99">
        <v>15.82</v>
      </c>
      <c r="G127" s="99">
        <v>78</v>
      </c>
      <c r="H127" s="100"/>
      <c r="I127" s="99"/>
      <c r="J127" s="99">
        <v>77</v>
      </c>
      <c r="K127" s="99">
        <v>1819</v>
      </c>
      <c r="L127" s="101">
        <f t="shared" si="18"/>
        <v>1.56</v>
      </c>
      <c r="M127" s="70">
        <f t="shared" si="19"/>
        <v>48.36</v>
      </c>
      <c r="N127" s="70">
        <f t="shared" si="32"/>
        <v>765.0552</v>
      </c>
      <c r="O127" s="70">
        <f t="shared" si="20"/>
        <v>0.866666666666667</v>
      </c>
      <c r="P127" s="70">
        <f t="shared" si="21"/>
        <v>26.8666666666667</v>
      </c>
      <c r="Q127" s="70">
        <f t="shared" si="22"/>
        <v>637.546</v>
      </c>
      <c r="R127" s="70">
        <f t="shared" si="23"/>
        <v>26.8666666666667</v>
      </c>
      <c r="S127" s="70">
        <f t="shared" si="24"/>
        <v>0.866666666666667</v>
      </c>
      <c r="T127" s="70">
        <f t="shared" si="25"/>
        <v>0.866666666666667</v>
      </c>
      <c r="U127" s="70">
        <f t="shared" si="26"/>
        <v>637.546</v>
      </c>
      <c r="V127" s="102">
        <f>_xlfn.XLOOKUP(B127,[1]Sheet1!$B:$B,[1]Sheet1!$P:$P)</f>
        <v>0</v>
      </c>
      <c r="W127" s="103">
        <f t="shared" si="27"/>
        <v>0</v>
      </c>
      <c r="X127" s="103">
        <f t="shared" si="28"/>
        <v>0</v>
      </c>
      <c r="Y127" s="103">
        <f t="shared" si="33"/>
        <v>0</v>
      </c>
      <c r="Z127" s="102">
        <f>_xlfn.XLOOKUP(B127,[1]Sheet1!$B:$B,[1]Sheet1!$Q:$Q)</f>
        <v>0</v>
      </c>
      <c r="AA127" s="103">
        <f t="shared" si="34"/>
        <v>0</v>
      </c>
      <c r="AB127" s="103">
        <f t="shared" si="30"/>
        <v>0</v>
      </c>
      <c r="AC127" s="103">
        <f t="shared" si="31"/>
        <v>0</v>
      </c>
      <c r="AD127" s="104" t="s">
        <v>545</v>
      </c>
    </row>
    <row r="128" ht="15" customHeight="1" spans="1:31">
      <c r="A128" s="98" t="s">
        <v>360</v>
      </c>
      <c r="B128" s="99" t="s">
        <v>430</v>
      </c>
      <c r="C128" s="99" t="s">
        <v>34</v>
      </c>
      <c r="D128" s="99" t="s">
        <v>35</v>
      </c>
      <c r="E128" s="99" t="s">
        <v>431</v>
      </c>
      <c r="F128" s="99">
        <v>20.33</v>
      </c>
      <c r="G128" s="99">
        <v>225</v>
      </c>
      <c r="H128" s="100">
        <v>2</v>
      </c>
      <c r="I128" s="99">
        <v>112</v>
      </c>
      <c r="J128" s="99">
        <v>85</v>
      </c>
      <c r="K128" s="99">
        <v>1728</v>
      </c>
      <c r="L128" s="101">
        <f t="shared" si="18"/>
        <v>2.5</v>
      </c>
      <c r="M128" s="70">
        <f t="shared" si="19"/>
        <v>139.5</v>
      </c>
      <c r="N128" s="70">
        <f t="shared" si="32"/>
        <v>2836.035</v>
      </c>
      <c r="O128" s="70">
        <f t="shared" si="20"/>
        <v>0.5</v>
      </c>
      <c r="P128" s="70">
        <f t="shared" si="21"/>
        <v>77.5</v>
      </c>
      <c r="Q128" s="70">
        <f t="shared" si="22"/>
        <v>2363.3625</v>
      </c>
      <c r="R128" s="70">
        <f t="shared" si="23"/>
        <v>77.5</v>
      </c>
      <c r="S128" s="70">
        <f t="shared" si="24"/>
        <v>2.5</v>
      </c>
      <c r="T128" s="70">
        <f t="shared" si="25"/>
        <v>0.5</v>
      </c>
      <c r="U128" s="70">
        <f t="shared" si="26"/>
        <v>2363.3625</v>
      </c>
      <c r="V128" s="102">
        <f>_xlfn.XLOOKUP(B128,[1]Sheet1!$B:$B,[1]Sheet1!$P:$P)</f>
        <v>0.714285714285714</v>
      </c>
      <c r="W128" s="103">
        <f t="shared" si="27"/>
        <v>1.78571428571428</v>
      </c>
      <c r="X128" s="103">
        <f t="shared" si="28"/>
        <v>55.3571428571428</v>
      </c>
      <c r="Y128" s="103">
        <f t="shared" si="33"/>
        <v>1688.11607142857</v>
      </c>
      <c r="Z128" s="102">
        <f>_xlfn.XLOOKUP(B128,[1]Sheet1!$B:$B,[1]Sheet1!$Q:$Q)</f>
        <v>0.285714285714286</v>
      </c>
      <c r="AA128" s="103">
        <f t="shared" si="34"/>
        <v>0.714285714285715</v>
      </c>
      <c r="AB128" s="103">
        <f t="shared" si="30"/>
        <v>22.1428571428572</v>
      </c>
      <c r="AC128" s="103">
        <f t="shared" si="31"/>
        <v>675.246428571429</v>
      </c>
      <c r="AD128" s="104" t="s">
        <v>545</v>
      </c>
    </row>
    <row r="129" ht="15" customHeight="1" spans="1:30">
      <c r="A129" s="72" t="s">
        <v>389</v>
      </c>
      <c r="B129" s="108" t="s">
        <v>356</v>
      </c>
      <c r="C129" s="108" t="s">
        <v>34</v>
      </c>
      <c r="D129" s="108" t="s">
        <v>51</v>
      </c>
      <c r="E129" s="108" t="s">
        <v>357</v>
      </c>
      <c r="F129" s="108">
        <v>115.92</v>
      </c>
      <c r="G129" s="108">
        <v>17</v>
      </c>
      <c r="H129" s="109"/>
      <c r="I129" s="108"/>
      <c r="J129" s="108">
        <v>11</v>
      </c>
      <c r="K129" s="108">
        <v>1623</v>
      </c>
      <c r="L129" s="105">
        <f t="shared" si="18"/>
        <v>0.34</v>
      </c>
      <c r="M129" s="73">
        <f t="shared" si="19"/>
        <v>10.54</v>
      </c>
      <c r="N129" s="73">
        <f t="shared" si="32"/>
        <v>1221.7968</v>
      </c>
      <c r="O129" s="73">
        <f t="shared" si="20"/>
        <v>0.188888888888889</v>
      </c>
      <c r="P129" s="73">
        <f t="shared" si="21"/>
        <v>5.85555555555556</v>
      </c>
      <c r="Q129" s="73">
        <f t="shared" si="22"/>
        <v>1018.164</v>
      </c>
      <c r="R129" s="73">
        <f t="shared" si="23"/>
        <v>5.85555555555556</v>
      </c>
      <c r="S129" s="73">
        <f t="shared" si="24"/>
        <v>0.188888888888889</v>
      </c>
      <c r="T129" s="73">
        <f t="shared" si="25"/>
        <v>0.188888888888889</v>
      </c>
      <c r="U129" s="73">
        <f t="shared" si="26"/>
        <v>1018.164</v>
      </c>
      <c r="V129" s="75">
        <f>_xlfn.XLOOKUP(B129,[1]Sheet1!$B:$B,[1]Sheet1!$P:$P)</f>
        <v>0</v>
      </c>
      <c r="W129" s="73">
        <f t="shared" si="27"/>
        <v>0</v>
      </c>
      <c r="X129" s="73">
        <f t="shared" si="28"/>
        <v>0</v>
      </c>
      <c r="Y129" s="73">
        <f t="shared" si="33"/>
        <v>0</v>
      </c>
      <c r="Z129" s="75">
        <f>_xlfn.XLOOKUP(B129,[1]Sheet1!$B:$B,[1]Sheet1!$Q:$Q)</f>
        <v>0</v>
      </c>
      <c r="AA129" s="73">
        <f t="shared" si="34"/>
        <v>0</v>
      </c>
      <c r="AB129" s="73">
        <f t="shared" si="30"/>
        <v>0</v>
      </c>
      <c r="AC129" s="73">
        <f t="shared" si="31"/>
        <v>0</v>
      </c>
      <c r="AD129" s="68" t="s">
        <v>557</v>
      </c>
    </row>
    <row r="130" ht="15" customHeight="1" spans="1:30">
      <c r="A130" s="98" t="s">
        <v>378</v>
      </c>
      <c r="B130" s="99" t="s">
        <v>642</v>
      </c>
      <c r="C130" s="99" t="s">
        <v>34</v>
      </c>
      <c r="D130" s="99" t="s">
        <v>35</v>
      </c>
      <c r="E130" s="99" t="s">
        <v>171</v>
      </c>
      <c r="F130" s="99">
        <v>38.57</v>
      </c>
      <c r="G130" s="99">
        <v>32</v>
      </c>
      <c r="H130" s="100"/>
      <c r="I130" s="99"/>
      <c r="J130" s="99">
        <v>29</v>
      </c>
      <c r="K130" s="99">
        <v>1620</v>
      </c>
      <c r="L130" s="101">
        <f t="shared" si="18"/>
        <v>0.64</v>
      </c>
      <c r="M130" s="70">
        <f t="shared" si="19"/>
        <v>19.84</v>
      </c>
      <c r="N130" s="70">
        <f t="shared" si="32"/>
        <v>765.2288</v>
      </c>
      <c r="O130" s="70">
        <f t="shared" si="20"/>
        <v>0.355555555555556</v>
      </c>
      <c r="P130" s="70">
        <f t="shared" si="21"/>
        <v>11.0222222222222</v>
      </c>
      <c r="Q130" s="70">
        <f t="shared" si="22"/>
        <v>637.690666666667</v>
      </c>
      <c r="R130" s="70">
        <f t="shared" si="23"/>
        <v>11.0222222222222</v>
      </c>
      <c r="S130" s="70">
        <f t="shared" si="24"/>
        <v>0.355555555555556</v>
      </c>
      <c r="T130" s="70">
        <f t="shared" si="25"/>
        <v>0.355555555555556</v>
      </c>
      <c r="U130" s="70">
        <f t="shared" si="26"/>
        <v>637.690666666667</v>
      </c>
      <c r="V130" s="102">
        <f>_xlfn.XLOOKUP(B130,[1]Sheet1!$B:$B,[1]Sheet1!$P:$P)</f>
        <v>0.5</v>
      </c>
      <c r="W130" s="103">
        <f t="shared" si="27"/>
        <v>0.177777777777778</v>
      </c>
      <c r="X130" s="103">
        <f t="shared" si="28"/>
        <v>5.51111111111111</v>
      </c>
      <c r="Y130" s="103">
        <f t="shared" si="33"/>
        <v>318.845333333333</v>
      </c>
      <c r="Z130" s="102">
        <f>_xlfn.XLOOKUP(B130,[1]Sheet1!$B:$B,[1]Sheet1!$Q:$Q)</f>
        <v>0.5</v>
      </c>
      <c r="AA130" s="103">
        <f t="shared" si="34"/>
        <v>0.177777777777778</v>
      </c>
      <c r="AB130" s="103">
        <f t="shared" si="30"/>
        <v>5.51111111111111</v>
      </c>
      <c r="AC130" s="103">
        <f t="shared" si="31"/>
        <v>318.845333333333</v>
      </c>
      <c r="AD130" s="104" t="s">
        <v>545</v>
      </c>
    </row>
    <row r="131" ht="15" customHeight="1" spans="1:30">
      <c r="A131" s="72" t="s">
        <v>355</v>
      </c>
      <c r="B131" s="108" t="s">
        <v>643</v>
      </c>
      <c r="C131" s="108" t="s">
        <v>34</v>
      </c>
      <c r="D131" s="108" t="s">
        <v>51</v>
      </c>
      <c r="E131" s="108" t="s">
        <v>203</v>
      </c>
      <c r="F131" s="108">
        <v>202.17</v>
      </c>
      <c r="G131" s="108">
        <v>23</v>
      </c>
      <c r="H131" s="109"/>
      <c r="I131" s="108"/>
      <c r="J131" s="108">
        <v>8</v>
      </c>
      <c r="K131" s="108">
        <v>1617</v>
      </c>
      <c r="L131" s="105">
        <f t="shared" si="18"/>
        <v>0.46</v>
      </c>
      <c r="M131" s="73">
        <f t="shared" si="19"/>
        <v>14.26</v>
      </c>
      <c r="N131" s="73">
        <f t="shared" si="32"/>
        <v>2882.9442</v>
      </c>
      <c r="O131" s="73">
        <f t="shared" si="20"/>
        <v>0.255555555555556</v>
      </c>
      <c r="P131" s="73">
        <f t="shared" si="21"/>
        <v>7.92222222222222</v>
      </c>
      <c r="Q131" s="73">
        <f t="shared" si="22"/>
        <v>2402.4535</v>
      </c>
      <c r="R131" s="73">
        <f t="shared" si="23"/>
        <v>7.92222222222222</v>
      </c>
      <c r="S131" s="73">
        <f t="shared" si="24"/>
        <v>0.255555555555556</v>
      </c>
      <c r="T131" s="73">
        <f t="shared" si="25"/>
        <v>0.255555555555556</v>
      </c>
      <c r="U131" s="73">
        <f t="shared" si="26"/>
        <v>2402.4535</v>
      </c>
      <c r="V131" s="75">
        <f>_xlfn.XLOOKUP(B131,[1]Sheet1!$B:$B,[1]Sheet1!$P:$P)</f>
        <v>0.333333333333333</v>
      </c>
      <c r="W131" s="73">
        <f t="shared" si="27"/>
        <v>0.0851851851851851</v>
      </c>
      <c r="X131" s="73">
        <f t="shared" si="28"/>
        <v>2.64074074074074</v>
      </c>
      <c r="Y131" s="73">
        <f t="shared" si="33"/>
        <v>800.817833333332</v>
      </c>
      <c r="Z131" s="75">
        <f>_xlfn.XLOOKUP(B131,[1]Sheet1!$B:$B,[1]Sheet1!$Q:$Q)</f>
        <v>0.666666666666667</v>
      </c>
      <c r="AA131" s="73">
        <f t="shared" si="34"/>
        <v>0.17037037037037</v>
      </c>
      <c r="AB131" s="73">
        <f t="shared" si="30"/>
        <v>5.28148148148148</v>
      </c>
      <c r="AC131" s="73">
        <f t="shared" si="31"/>
        <v>1601.63566666667</v>
      </c>
      <c r="AD131" s="68" t="s">
        <v>600</v>
      </c>
    </row>
    <row r="132" ht="20" customHeight="1" spans="1:30">
      <c r="A132" s="72" t="s">
        <v>644</v>
      </c>
      <c r="B132" s="108" t="s">
        <v>410</v>
      </c>
      <c r="C132" s="108" t="s">
        <v>34</v>
      </c>
      <c r="D132" s="108" t="s">
        <v>35</v>
      </c>
      <c r="E132" s="108" t="s">
        <v>411</v>
      </c>
      <c r="F132" s="108">
        <v>12.1</v>
      </c>
      <c r="G132" s="108">
        <v>96</v>
      </c>
      <c r="H132" s="109"/>
      <c r="I132" s="108"/>
      <c r="J132" s="108">
        <v>90</v>
      </c>
      <c r="K132" s="108">
        <v>1603</v>
      </c>
      <c r="L132" s="105">
        <f t="shared" ref="L132:L182" si="35">(G132-(H132*50))/50</f>
        <v>1.92</v>
      </c>
      <c r="M132" s="73">
        <f t="shared" ref="M132:M182" si="36">31*(L132+H132)</f>
        <v>59.52</v>
      </c>
      <c r="N132" s="73">
        <f t="shared" si="32"/>
        <v>720.192</v>
      </c>
      <c r="O132" s="73">
        <f t="shared" ref="O132:O182" si="37">(G132-(H132*90))/90</f>
        <v>1.06666666666667</v>
      </c>
      <c r="P132" s="73">
        <f t="shared" ref="P132:P182" si="38">31*(O132+H132)</f>
        <v>33.0666666666667</v>
      </c>
      <c r="Q132" s="73">
        <f t="shared" ref="Q132:Q182" si="39">(O132+H132)*31*F132*1.5</f>
        <v>600.16</v>
      </c>
      <c r="R132" s="73">
        <f t="shared" ref="R132:R182" si="40">P132</f>
        <v>33.0666666666667</v>
      </c>
      <c r="S132" s="73">
        <f t="shared" ref="S132:S182" si="41">R132/31</f>
        <v>1.06666666666667</v>
      </c>
      <c r="T132" s="73">
        <f t="shared" ref="T132:T182" si="42">S132-H132</f>
        <v>1.06666666666667</v>
      </c>
      <c r="U132" s="73">
        <f t="shared" ref="U132:U182" si="43">Q132</f>
        <v>600.16</v>
      </c>
      <c r="V132" s="75">
        <f>_xlfn.XLOOKUP(B132,[1]Sheet1!$B:$B,[1]Sheet1!$P:$P)</f>
        <v>0</v>
      </c>
      <c r="W132" s="73">
        <f t="shared" ref="W132:W182" si="44">X132/31</f>
        <v>0</v>
      </c>
      <c r="X132" s="73">
        <f t="shared" ref="X132:X182" si="45">R132*V132</f>
        <v>0</v>
      </c>
      <c r="Y132" s="73">
        <f t="shared" si="33"/>
        <v>0</v>
      </c>
      <c r="Z132" s="75">
        <f>_xlfn.XLOOKUP(B132,[1]Sheet1!$B:$B,[1]Sheet1!$Q:$Q)</f>
        <v>1</v>
      </c>
      <c r="AA132" s="73">
        <f t="shared" si="34"/>
        <v>1.06666666666667</v>
      </c>
      <c r="AB132" s="73">
        <f t="shared" ref="AB132:AB182" si="46">R132*Z132</f>
        <v>33.0666666666667</v>
      </c>
      <c r="AC132" s="73">
        <f t="shared" ref="AC132:AC182" si="47">F132*AB132*1.5</f>
        <v>600.16</v>
      </c>
      <c r="AD132" s="68" t="s">
        <v>557</v>
      </c>
    </row>
    <row r="133" ht="20" customHeight="1" spans="1:30">
      <c r="A133" s="72" t="s">
        <v>322</v>
      </c>
      <c r="B133" s="108" t="s">
        <v>645</v>
      </c>
      <c r="C133" s="108" t="s">
        <v>34</v>
      </c>
      <c r="D133" s="108" t="s">
        <v>35</v>
      </c>
      <c r="E133" s="108" t="s">
        <v>156</v>
      </c>
      <c r="F133" s="108">
        <v>132.57</v>
      </c>
      <c r="G133" s="108">
        <v>12</v>
      </c>
      <c r="H133" s="109"/>
      <c r="I133" s="108"/>
      <c r="J133" s="108">
        <v>9</v>
      </c>
      <c r="K133" s="108">
        <v>1591</v>
      </c>
      <c r="L133" s="105">
        <f t="shared" si="35"/>
        <v>0.24</v>
      </c>
      <c r="M133" s="73">
        <f t="shared" si="36"/>
        <v>7.44</v>
      </c>
      <c r="N133" s="73">
        <f t="shared" si="32"/>
        <v>986.3208</v>
      </c>
      <c r="O133" s="73">
        <f t="shared" si="37"/>
        <v>0.133333333333333</v>
      </c>
      <c r="P133" s="73">
        <f t="shared" si="38"/>
        <v>4.13333333333333</v>
      </c>
      <c r="Q133" s="73">
        <f t="shared" si="39"/>
        <v>821.934</v>
      </c>
      <c r="R133" s="73">
        <f t="shared" si="40"/>
        <v>4.13333333333333</v>
      </c>
      <c r="S133" s="73">
        <f t="shared" si="41"/>
        <v>0.133333333333333</v>
      </c>
      <c r="T133" s="73">
        <f t="shared" si="42"/>
        <v>0.133333333333333</v>
      </c>
      <c r="U133" s="73">
        <f t="shared" si="43"/>
        <v>821.934</v>
      </c>
      <c r="V133" s="75">
        <f>_xlfn.XLOOKUP(B133,[1]Sheet1!$B:$B,[1]Sheet1!$P:$P)</f>
        <v>1</v>
      </c>
      <c r="W133" s="73">
        <f t="shared" si="44"/>
        <v>0.133333333333333</v>
      </c>
      <c r="X133" s="73">
        <f t="shared" si="45"/>
        <v>4.13333333333333</v>
      </c>
      <c r="Y133" s="73">
        <f t="shared" si="33"/>
        <v>821.934</v>
      </c>
      <c r="Z133" s="75">
        <f>_xlfn.XLOOKUP(B133,[1]Sheet1!$B:$B,[1]Sheet1!$Q:$Q)</f>
        <v>0</v>
      </c>
      <c r="AA133" s="73">
        <f t="shared" si="34"/>
        <v>0</v>
      </c>
      <c r="AB133" s="73">
        <f t="shared" si="46"/>
        <v>0</v>
      </c>
      <c r="AC133" s="73">
        <f t="shared" si="47"/>
        <v>0</v>
      </c>
      <c r="AD133" s="68"/>
    </row>
    <row r="134" ht="20" customHeight="1" spans="1:30">
      <c r="A134" s="72" t="s">
        <v>281</v>
      </c>
      <c r="B134" s="108" t="s">
        <v>461</v>
      </c>
      <c r="C134" s="108" t="s">
        <v>34</v>
      </c>
      <c r="D134" s="108" t="s">
        <v>35</v>
      </c>
      <c r="E134" s="108" t="s">
        <v>264</v>
      </c>
      <c r="F134" s="108">
        <v>12.37</v>
      </c>
      <c r="G134" s="108">
        <v>89</v>
      </c>
      <c r="H134" s="109"/>
      <c r="I134" s="108"/>
      <c r="J134" s="108">
        <v>86</v>
      </c>
      <c r="K134" s="108">
        <v>1577</v>
      </c>
      <c r="L134" s="105">
        <f t="shared" si="35"/>
        <v>1.78</v>
      </c>
      <c r="M134" s="73">
        <f t="shared" si="36"/>
        <v>55.18</v>
      </c>
      <c r="N134" s="73">
        <f t="shared" si="32"/>
        <v>682.5766</v>
      </c>
      <c r="O134" s="73">
        <f t="shared" si="37"/>
        <v>0.988888888888889</v>
      </c>
      <c r="P134" s="73">
        <f t="shared" si="38"/>
        <v>30.6555555555556</v>
      </c>
      <c r="Q134" s="73">
        <f t="shared" si="39"/>
        <v>568.813833333333</v>
      </c>
      <c r="R134" s="73">
        <f t="shared" si="40"/>
        <v>30.6555555555556</v>
      </c>
      <c r="S134" s="73">
        <f t="shared" si="41"/>
        <v>0.988888888888889</v>
      </c>
      <c r="T134" s="73">
        <f t="shared" si="42"/>
        <v>0.988888888888889</v>
      </c>
      <c r="U134" s="73">
        <f t="shared" si="43"/>
        <v>568.813833333333</v>
      </c>
      <c r="V134" s="75">
        <f>_xlfn.XLOOKUP(B134,[1]Sheet1!$B:$B,[1]Sheet1!$P:$P)</f>
        <v>1</v>
      </c>
      <c r="W134" s="73">
        <f t="shared" si="44"/>
        <v>0.988888888888889</v>
      </c>
      <c r="X134" s="73">
        <f t="shared" si="45"/>
        <v>30.6555555555556</v>
      </c>
      <c r="Y134" s="73">
        <f t="shared" si="33"/>
        <v>568.813833333333</v>
      </c>
      <c r="Z134" s="75">
        <f>_xlfn.XLOOKUP(B134,[1]Sheet1!$B:$B,[1]Sheet1!$Q:$Q)</f>
        <v>0</v>
      </c>
      <c r="AA134" s="73">
        <f t="shared" si="34"/>
        <v>0</v>
      </c>
      <c r="AB134" s="73">
        <f t="shared" si="46"/>
        <v>0</v>
      </c>
      <c r="AC134" s="73">
        <f t="shared" si="47"/>
        <v>0</v>
      </c>
      <c r="AD134" s="68"/>
    </row>
    <row r="135" ht="20" customHeight="1" spans="1:30">
      <c r="A135" s="98" t="s">
        <v>375</v>
      </c>
      <c r="B135" s="99" t="s">
        <v>376</v>
      </c>
      <c r="C135" s="99" t="s">
        <v>34</v>
      </c>
      <c r="D135" s="99" t="s">
        <v>35</v>
      </c>
      <c r="E135" s="99" t="s">
        <v>377</v>
      </c>
      <c r="F135" s="99">
        <v>22.23</v>
      </c>
      <c r="G135" s="99">
        <v>65</v>
      </c>
      <c r="H135" s="100"/>
      <c r="I135" s="99"/>
      <c r="J135" s="99">
        <v>50</v>
      </c>
      <c r="K135" s="99">
        <v>1534</v>
      </c>
      <c r="L135" s="101">
        <f t="shared" si="35"/>
        <v>1.3</v>
      </c>
      <c r="M135" s="70">
        <f t="shared" si="36"/>
        <v>40.3</v>
      </c>
      <c r="N135" s="70">
        <f t="shared" si="32"/>
        <v>895.869</v>
      </c>
      <c r="O135" s="70">
        <f t="shared" si="37"/>
        <v>0.722222222222222</v>
      </c>
      <c r="P135" s="70">
        <f t="shared" si="38"/>
        <v>22.3888888888889</v>
      </c>
      <c r="Q135" s="70">
        <f t="shared" si="39"/>
        <v>746.5575</v>
      </c>
      <c r="R135" s="70">
        <f t="shared" si="40"/>
        <v>22.3888888888889</v>
      </c>
      <c r="S135" s="70">
        <f t="shared" si="41"/>
        <v>0.722222222222222</v>
      </c>
      <c r="T135" s="70">
        <f t="shared" si="42"/>
        <v>0.722222222222222</v>
      </c>
      <c r="U135" s="70">
        <f t="shared" si="43"/>
        <v>746.5575</v>
      </c>
      <c r="V135" s="102">
        <f>_xlfn.XLOOKUP(B135,[1]Sheet1!$B:$B,[1]Sheet1!$P:$P)</f>
        <v>1</v>
      </c>
      <c r="W135" s="103">
        <f t="shared" si="44"/>
        <v>0.722222222222222</v>
      </c>
      <c r="X135" s="103">
        <f t="shared" si="45"/>
        <v>22.3888888888889</v>
      </c>
      <c r="Y135" s="103">
        <f t="shared" si="33"/>
        <v>746.5575</v>
      </c>
      <c r="Z135" s="102">
        <f>_xlfn.XLOOKUP(B135,[1]Sheet1!$B:$B,[1]Sheet1!$Q:$Q)</f>
        <v>0</v>
      </c>
      <c r="AA135" s="103">
        <f t="shared" si="34"/>
        <v>0</v>
      </c>
      <c r="AB135" s="103">
        <f t="shared" si="46"/>
        <v>0</v>
      </c>
      <c r="AC135" s="103">
        <f t="shared" si="47"/>
        <v>0</v>
      </c>
      <c r="AD135" s="104" t="s">
        <v>545</v>
      </c>
    </row>
    <row r="136" ht="20" customHeight="1" spans="1:30">
      <c r="A136" s="72" t="s">
        <v>646</v>
      </c>
      <c r="B136" s="108" t="s">
        <v>413</v>
      </c>
      <c r="C136" s="108" t="s">
        <v>34</v>
      </c>
      <c r="D136" s="108" t="s">
        <v>35</v>
      </c>
      <c r="E136" s="108" t="s">
        <v>171</v>
      </c>
      <c r="F136" s="108">
        <v>43.14</v>
      </c>
      <c r="G136" s="108">
        <v>36</v>
      </c>
      <c r="H136" s="109"/>
      <c r="I136" s="108"/>
      <c r="J136" s="108">
        <v>26</v>
      </c>
      <c r="K136" s="108">
        <v>1510</v>
      </c>
      <c r="L136" s="105">
        <f t="shared" si="35"/>
        <v>0.72</v>
      </c>
      <c r="M136" s="73">
        <f t="shared" si="36"/>
        <v>22.32</v>
      </c>
      <c r="N136" s="73">
        <f t="shared" si="32"/>
        <v>962.8848</v>
      </c>
      <c r="O136" s="73">
        <f t="shared" si="37"/>
        <v>0.4</v>
      </c>
      <c r="P136" s="73">
        <f t="shared" si="38"/>
        <v>12.4</v>
      </c>
      <c r="Q136" s="73">
        <f t="shared" si="39"/>
        <v>802.404</v>
      </c>
      <c r="R136" s="73">
        <f t="shared" si="40"/>
        <v>12.4</v>
      </c>
      <c r="S136" s="73">
        <f t="shared" si="41"/>
        <v>0.4</v>
      </c>
      <c r="T136" s="73">
        <f t="shared" si="42"/>
        <v>0.4</v>
      </c>
      <c r="U136" s="73">
        <f t="shared" si="43"/>
        <v>802.404</v>
      </c>
      <c r="V136" s="75">
        <f>_xlfn.XLOOKUP(B136,[1]Sheet1!$B:$B,[1]Sheet1!$P:$P)</f>
        <v>0</v>
      </c>
      <c r="W136" s="73">
        <f t="shared" si="44"/>
        <v>0</v>
      </c>
      <c r="X136" s="73">
        <f t="shared" si="45"/>
        <v>0</v>
      </c>
      <c r="Y136" s="73">
        <f t="shared" si="33"/>
        <v>0</v>
      </c>
      <c r="Z136" s="75">
        <f>_xlfn.XLOOKUP(B136,[1]Sheet1!$B:$B,[1]Sheet1!$Q:$Q)</f>
        <v>0</v>
      </c>
      <c r="AA136" s="73">
        <f t="shared" si="34"/>
        <v>0</v>
      </c>
      <c r="AB136" s="73">
        <f t="shared" si="46"/>
        <v>0</v>
      </c>
      <c r="AC136" s="73">
        <f t="shared" si="47"/>
        <v>0</v>
      </c>
      <c r="AD136" s="68"/>
    </row>
    <row r="137" ht="20" customHeight="1" spans="1:30">
      <c r="A137" s="98" t="s">
        <v>304</v>
      </c>
      <c r="B137" s="99" t="s">
        <v>446</v>
      </c>
      <c r="C137" s="99" t="s">
        <v>34</v>
      </c>
      <c r="D137" s="99" t="s">
        <v>35</v>
      </c>
      <c r="E137" s="99" t="s">
        <v>447</v>
      </c>
      <c r="F137" s="99">
        <v>19.1</v>
      </c>
      <c r="G137" s="99">
        <v>52</v>
      </c>
      <c r="H137" s="100"/>
      <c r="I137" s="99"/>
      <c r="J137" s="99">
        <v>52</v>
      </c>
      <c r="K137" s="99">
        <v>1490</v>
      </c>
      <c r="L137" s="105">
        <f t="shared" si="35"/>
        <v>1.04</v>
      </c>
      <c r="M137" s="73">
        <f t="shared" si="36"/>
        <v>32.24</v>
      </c>
      <c r="N137" s="73">
        <f t="shared" si="32"/>
        <v>615.784</v>
      </c>
      <c r="O137" s="73">
        <f t="shared" si="37"/>
        <v>0.577777777777778</v>
      </c>
      <c r="P137" s="73">
        <f t="shared" si="38"/>
        <v>17.9111111111111</v>
      </c>
      <c r="Q137" s="73">
        <f t="shared" si="39"/>
        <v>513.153333333333</v>
      </c>
      <c r="R137" s="73">
        <f t="shared" si="40"/>
        <v>17.9111111111111</v>
      </c>
      <c r="S137" s="73">
        <f t="shared" si="41"/>
        <v>0.577777777777778</v>
      </c>
      <c r="T137" s="73">
        <f t="shared" si="42"/>
        <v>0.577777777777778</v>
      </c>
      <c r="U137" s="73">
        <f t="shared" si="43"/>
        <v>513.153333333333</v>
      </c>
      <c r="V137" s="102">
        <f>_xlfn.XLOOKUP(B137,[1]Sheet1!$B:$B,[1]Sheet1!$P:$P)</f>
        <v>0</v>
      </c>
      <c r="W137" s="103">
        <f t="shared" si="44"/>
        <v>0</v>
      </c>
      <c r="X137" s="103">
        <f t="shared" si="45"/>
        <v>0</v>
      </c>
      <c r="Y137" s="103">
        <f t="shared" si="33"/>
        <v>0</v>
      </c>
      <c r="Z137" s="102">
        <f>_xlfn.XLOOKUP(B137,[1]Sheet1!$B:$B,[1]Sheet1!$Q:$Q)</f>
        <v>0</v>
      </c>
      <c r="AA137" s="103">
        <f t="shared" si="34"/>
        <v>0</v>
      </c>
      <c r="AB137" s="103">
        <f t="shared" si="46"/>
        <v>0</v>
      </c>
      <c r="AC137" s="103">
        <f t="shared" si="47"/>
        <v>0</v>
      </c>
      <c r="AD137" s="104" t="s">
        <v>545</v>
      </c>
    </row>
    <row r="138" ht="20" customHeight="1" spans="1:30">
      <c r="A138" s="72" t="s">
        <v>149</v>
      </c>
      <c r="B138" s="108" t="s">
        <v>647</v>
      </c>
      <c r="C138" s="108" t="s">
        <v>34</v>
      </c>
      <c r="D138" s="108" t="s">
        <v>35</v>
      </c>
      <c r="E138" s="108" t="s">
        <v>106</v>
      </c>
      <c r="F138" s="108">
        <v>78.27</v>
      </c>
      <c r="G138" s="108">
        <v>198</v>
      </c>
      <c r="H138" s="109">
        <v>3</v>
      </c>
      <c r="I138" s="108">
        <v>66</v>
      </c>
      <c r="J138" s="108">
        <v>18</v>
      </c>
      <c r="K138" s="108">
        <v>1409</v>
      </c>
      <c r="L138" s="105">
        <f t="shared" si="35"/>
        <v>0.96</v>
      </c>
      <c r="M138" s="73">
        <f t="shared" si="36"/>
        <v>122.76</v>
      </c>
      <c r="N138" s="73">
        <f t="shared" si="32"/>
        <v>9608.4252</v>
      </c>
      <c r="O138" s="73">
        <f t="shared" si="37"/>
        <v>-0.8</v>
      </c>
      <c r="P138" s="73">
        <f t="shared" si="38"/>
        <v>68.2</v>
      </c>
      <c r="Q138" s="73">
        <f t="shared" si="39"/>
        <v>8007.021</v>
      </c>
      <c r="R138" s="73">
        <f t="shared" si="40"/>
        <v>68.2</v>
      </c>
      <c r="S138" s="73">
        <f t="shared" si="41"/>
        <v>2.2</v>
      </c>
      <c r="T138" s="73">
        <f t="shared" si="42"/>
        <v>-0.8</v>
      </c>
      <c r="U138" s="73">
        <f t="shared" si="43"/>
        <v>8007.021</v>
      </c>
      <c r="V138" s="75">
        <f>_xlfn.XLOOKUP(B138,[1]Sheet1!$B:$B,[1]Sheet1!$P:$P)</f>
        <v>0.723076923076923</v>
      </c>
      <c r="W138" s="73">
        <f t="shared" si="44"/>
        <v>1.59076923076923</v>
      </c>
      <c r="X138" s="73">
        <f t="shared" si="45"/>
        <v>49.3138461538461</v>
      </c>
      <c r="Y138" s="73">
        <f t="shared" si="33"/>
        <v>5789.69210769231</v>
      </c>
      <c r="Z138" s="75">
        <f>_xlfn.XLOOKUP(B138,[1]Sheet1!$B:$B,[1]Sheet1!$Q:$Q)</f>
        <v>0.276923076923077</v>
      </c>
      <c r="AA138" s="73">
        <f t="shared" si="34"/>
        <v>0.609230769230769</v>
      </c>
      <c r="AB138" s="73">
        <f t="shared" si="46"/>
        <v>18.8861538461539</v>
      </c>
      <c r="AC138" s="73">
        <f t="shared" si="47"/>
        <v>2217.32889230769</v>
      </c>
      <c r="AD138" s="68" t="s">
        <v>550</v>
      </c>
    </row>
    <row r="139" ht="20" customHeight="1" spans="1:30">
      <c r="A139" s="72" t="s">
        <v>648</v>
      </c>
      <c r="B139" s="108" t="s">
        <v>649</v>
      </c>
      <c r="C139" s="108" t="s">
        <v>34</v>
      </c>
      <c r="D139" s="108" t="s">
        <v>35</v>
      </c>
      <c r="E139" s="108" t="s">
        <v>431</v>
      </c>
      <c r="F139" s="108">
        <v>9.52</v>
      </c>
      <c r="G139" s="108">
        <v>229</v>
      </c>
      <c r="H139" s="109">
        <v>2</v>
      </c>
      <c r="I139" s="108">
        <v>114</v>
      </c>
      <c r="J139" s="108">
        <v>126</v>
      </c>
      <c r="K139" s="108">
        <v>1404</v>
      </c>
      <c r="L139" s="105">
        <f t="shared" si="35"/>
        <v>2.58</v>
      </c>
      <c r="M139" s="73">
        <f t="shared" si="36"/>
        <v>141.98</v>
      </c>
      <c r="N139" s="73">
        <f t="shared" si="32"/>
        <v>1351.6496</v>
      </c>
      <c r="O139" s="73">
        <f t="shared" si="37"/>
        <v>0.544444444444444</v>
      </c>
      <c r="P139" s="73">
        <f t="shared" si="38"/>
        <v>78.8777777777778</v>
      </c>
      <c r="Q139" s="73">
        <f t="shared" si="39"/>
        <v>1126.37466666667</v>
      </c>
      <c r="R139" s="73">
        <f t="shared" si="40"/>
        <v>78.8777777777778</v>
      </c>
      <c r="S139" s="73">
        <f t="shared" si="41"/>
        <v>2.54444444444444</v>
      </c>
      <c r="T139" s="73">
        <f t="shared" si="42"/>
        <v>0.544444444444444</v>
      </c>
      <c r="U139" s="73">
        <f t="shared" si="43"/>
        <v>1126.37466666667</v>
      </c>
      <c r="V139" s="75">
        <f>_xlfn.XLOOKUP(B139,[1]Sheet1!$B:$B,[1]Sheet1!$P:$P)</f>
        <v>0.972222222222222</v>
      </c>
      <c r="W139" s="73">
        <f t="shared" si="44"/>
        <v>2.47376543209876</v>
      </c>
      <c r="X139" s="73">
        <f t="shared" si="45"/>
        <v>76.6867283950617</v>
      </c>
      <c r="Y139" s="73">
        <f t="shared" si="33"/>
        <v>1095.08648148148</v>
      </c>
      <c r="Z139" s="75">
        <f>_xlfn.XLOOKUP(B139,[1]Sheet1!$B:$B,[1]Sheet1!$Q:$Q)</f>
        <v>0.0277777777777778</v>
      </c>
      <c r="AA139" s="73">
        <f t="shared" si="34"/>
        <v>0.0706790123456791</v>
      </c>
      <c r="AB139" s="73">
        <f t="shared" si="46"/>
        <v>2.19104938271605</v>
      </c>
      <c r="AC139" s="73">
        <f t="shared" si="47"/>
        <v>31.2881851851852</v>
      </c>
      <c r="AD139" s="68" t="s">
        <v>594</v>
      </c>
    </row>
    <row r="140" ht="20" customHeight="1" spans="1:30">
      <c r="A140" s="72" t="s">
        <v>409</v>
      </c>
      <c r="B140" s="108" t="s">
        <v>453</v>
      </c>
      <c r="C140" s="108" t="s">
        <v>34</v>
      </c>
      <c r="D140" s="108" t="s">
        <v>35</v>
      </c>
      <c r="E140" s="108" t="s">
        <v>156</v>
      </c>
      <c r="F140" s="108">
        <v>21.28</v>
      </c>
      <c r="G140" s="108">
        <v>43</v>
      </c>
      <c r="H140" s="109"/>
      <c r="I140" s="108"/>
      <c r="J140" s="108">
        <v>43</v>
      </c>
      <c r="K140" s="108">
        <v>1373</v>
      </c>
      <c r="L140" s="105">
        <f t="shared" si="35"/>
        <v>0.86</v>
      </c>
      <c r="M140" s="73">
        <f t="shared" si="36"/>
        <v>26.66</v>
      </c>
      <c r="N140" s="73">
        <f t="shared" si="32"/>
        <v>567.3248</v>
      </c>
      <c r="O140" s="73">
        <f t="shared" si="37"/>
        <v>0.477777777777778</v>
      </c>
      <c r="P140" s="73">
        <f t="shared" si="38"/>
        <v>14.8111111111111</v>
      </c>
      <c r="Q140" s="73">
        <f t="shared" si="39"/>
        <v>472.770666666667</v>
      </c>
      <c r="R140" s="73">
        <f t="shared" si="40"/>
        <v>14.8111111111111</v>
      </c>
      <c r="S140" s="73">
        <f t="shared" si="41"/>
        <v>0.477777777777778</v>
      </c>
      <c r="T140" s="73">
        <f t="shared" si="42"/>
        <v>0.477777777777778</v>
      </c>
      <c r="U140" s="73">
        <f t="shared" si="43"/>
        <v>472.770666666667</v>
      </c>
      <c r="V140" s="75">
        <f>_xlfn.XLOOKUP(B140,[1]Sheet1!$B:$B,[1]Sheet1!$P:$P)</f>
        <v>0</v>
      </c>
      <c r="W140" s="73">
        <f t="shared" si="44"/>
        <v>0</v>
      </c>
      <c r="X140" s="73">
        <f t="shared" si="45"/>
        <v>0</v>
      </c>
      <c r="Y140" s="73">
        <f t="shared" si="33"/>
        <v>0</v>
      </c>
      <c r="Z140" s="75">
        <f>_xlfn.XLOOKUP(B140,[1]Sheet1!$B:$B,[1]Sheet1!$Q:$Q)</f>
        <v>0</v>
      </c>
      <c r="AA140" s="73">
        <f t="shared" si="34"/>
        <v>0</v>
      </c>
      <c r="AB140" s="73">
        <f t="shared" si="46"/>
        <v>0</v>
      </c>
      <c r="AC140" s="73">
        <f t="shared" si="47"/>
        <v>0</v>
      </c>
      <c r="AD140" s="68" t="s">
        <v>557</v>
      </c>
    </row>
    <row r="141" ht="20" customHeight="1" spans="1:30">
      <c r="A141" s="72" t="s">
        <v>420</v>
      </c>
      <c r="B141" s="108" t="s">
        <v>650</v>
      </c>
      <c r="C141" s="108" t="s">
        <v>34</v>
      </c>
      <c r="D141" s="108" t="s">
        <v>35</v>
      </c>
      <c r="E141" s="108" t="s">
        <v>141</v>
      </c>
      <c r="F141" s="108">
        <v>24.9</v>
      </c>
      <c r="G141" s="108">
        <v>88</v>
      </c>
      <c r="H141" s="109"/>
      <c r="I141" s="108"/>
      <c r="J141" s="108">
        <v>47</v>
      </c>
      <c r="K141" s="108">
        <v>1345</v>
      </c>
      <c r="L141" s="105">
        <f t="shared" si="35"/>
        <v>1.76</v>
      </c>
      <c r="M141" s="73">
        <f t="shared" si="36"/>
        <v>54.56</v>
      </c>
      <c r="N141" s="73">
        <f t="shared" si="32"/>
        <v>1358.544</v>
      </c>
      <c r="O141" s="73">
        <f t="shared" si="37"/>
        <v>0.977777777777778</v>
      </c>
      <c r="P141" s="73">
        <f t="shared" si="38"/>
        <v>30.3111111111111</v>
      </c>
      <c r="Q141" s="73">
        <f t="shared" si="39"/>
        <v>1132.12</v>
      </c>
      <c r="R141" s="73">
        <f t="shared" si="40"/>
        <v>30.3111111111111</v>
      </c>
      <c r="S141" s="73">
        <f t="shared" si="41"/>
        <v>0.977777777777778</v>
      </c>
      <c r="T141" s="73">
        <f t="shared" si="42"/>
        <v>0.977777777777778</v>
      </c>
      <c r="U141" s="73">
        <f t="shared" si="43"/>
        <v>1132.12</v>
      </c>
      <c r="V141" s="75">
        <f>_xlfn.XLOOKUP(B141,[1]Sheet1!$B:$B,[1]Sheet1!$P:$P)</f>
        <v>0.4</v>
      </c>
      <c r="W141" s="73">
        <f t="shared" si="44"/>
        <v>0.391111111111111</v>
      </c>
      <c r="X141" s="73">
        <f t="shared" si="45"/>
        <v>12.1244444444444</v>
      </c>
      <c r="Y141" s="73">
        <v>50</v>
      </c>
      <c r="Z141" s="75">
        <f>_xlfn.XLOOKUP(B141,[1]Sheet1!$B:$B,[1]Sheet1!$Q:$Q)</f>
        <v>0.6</v>
      </c>
      <c r="AA141" s="73">
        <f t="shared" si="34"/>
        <v>0.586666666666667</v>
      </c>
      <c r="AB141" s="73">
        <f t="shared" si="46"/>
        <v>18.1866666666667</v>
      </c>
      <c r="AC141" s="73">
        <f t="shared" si="47"/>
        <v>679.272</v>
      </c>
      <c r="AD141" s="68" t="s">
        <v>557</v>
      </c>
    </row>
    <row r="142" ht="20" customHeight="1" spans="1:30">
      <c r="A142" s="72" t="s">
        <v>344</v>
      </c>
      <c r="B142" s="108" t="s">
        <v>390</v>
      </c>
      <c r="C142" s="108" t="s">
        <v>34</v>
      </c>
      <c r="D142" s="108" t="s">
        <v>35</v>
      </c>
      <c r="E142" s="108" t="s">
        <v>391</v>
      </c>
      <c r="F142" s="108">
        <v>336.11</v>
      </c>
      <c r="G142" s="108">
        <v>4</v>
      </c>
      <c r="H142" s="109"/>
      <c r="I142" s="108"/>
      <c r="J142" s="108">
        <v>3</v>
      </c>
      <c r="K142" s="108">
        <v>1344</v>
      </c>
      <c r="L142" s="105">
        <f t="shared" si="35"/>
        <v>0.08</v>
      </c>
      <c r="M142" s="73">
        <f t="shared" si="36"/>
        <v>2.48</v>
      </c>
      <c r="N142" s="73">
        <f t="shared" ref="N142:N182" si="48">M142*F142</f>
        <v>833.5528</v>
      </c>
      <c r="O142" s="73">
        <f t="shared" si="37"/>
        <v>0.0444444444444444</v>
      </c>
      <c r="P142" s="73">
        <f t="shared" si="38"/>
        <v>1.37777777777778</v>
      </c>
      <c r="Q142" s="73">
        <f t="shared" si="39"/>
        <v>694.627333333333</v>
      </c>
      <c r="R142" s="73">
        <f t="shared" si="40"/>
        <v>1.37777777777778</v>
      </c>
      <c r="S142" s="73">
        <f t="shared" si="41"/>
        <v>0.0444444444444444</v>
      </c>
      <c r="T142" s="73">
        <f t="shared" si="42"/>
        <v>0.0444444444444444</v>
      </c>
      <c r="U142" s="73">
        <f t="shared" si="43"/>
        <v>694.627333333333</v>
      </c>
      <c r="V142" s="75">
        <f>_xlfn.XLOOKUP(B142,[1]Sheet1!$B:$B,[1]Sheet1!$P:$P)</f>
        <v>1</v>
      </c>
      <c r="W142" s="73">
        <f t="shared" si="44"/>
        <v>0.0444444444444444</v>
      </c>
      <c r="X142" s="73">
        <f t="shared" si="45"/>
        <v>1.37777777777778</v>
      </c>
      <c r="Y142" s="73">
        <f t="shared" ref="Y142:Y182" si="49">X142*F142*1.5</f>
        <v>694.627333333333</v>
      </c>
      <c r="Z142" s="75">
        <f>_xlfn.XLOOKUP(B142,[1]Sheet1!$B:$B,[1]Sheet1!$Q:$Q)</f>
        <v>0</v>
      </c>
      <c r="AA142" s="73">
        <f t="shared" si="34"/>
        <v>0</v>
      </c>
      <c r="AB142" s="73">
        <f t="shared" si="46"/>
        <v>0</v>
      </c>
      <c r="AC142" s="73">
        <f t="shared" si="47"/>
        <v>0</v>
      </c>
      <c r="AD142" s="68" t="s">
        <v>557</v>
      </c>
    </row>
    <row r="143" ht="20" customHeight="1" spans="1:30">
      <c r="A143" s="98" t="s">
        <v>401</v>
      </c>
      <c r="B143" s="99" t="s">
        <v>371</v>
      </c>
      <c r="C143" s="99" t="s">
        <v>34</v>
      </c>
      <c r="D143" s="99" t="s">
        <v>35</v>
      </c>
      <c r="E143" s="99" t="s">
        <v>372</v>
      </c>
      <c r="F143" s="99">
        <v>48.8763</v>
      </c>
      <c r="G143" s="99">
        <v>32</v>
      </c>
      <c r="H143" s="100"/>
      <c r="I143" s="99"/>
      <c r="J143" s="99">
        <v>21</v>
      </c>
      <c r="K143" s="99">
        <v>1320</v>
      </c>
      <c r="L143" s="72">
        <f t="shared" si="35"/>
        <v>0.64</v>
      </c>
      <c r="M143" s="72">
        <f t="shared" si="36"/>
        <v>19.84</v>
      </c>
      <c r="N143" s="72">
        <f t="shared" si="48"/>
        <v>969.705792</v>
      </c>
      <c r="O143" s="72">
        <f t="shared" si="37"/>
        <v>0.355555555555556</v>
      </c>
      <c r="P143" s="72">
        <f t="shared" si="38"/>
        <v>11.0222222222222</v>
      </c>
      <c r="Q143" s="72">
        <f t="shared" si="39"/>
        <v>808.08816</v>
      </c>
      <c r="R143" s="73">
        <f t="shared" si="40"/>
        <v>11.0222222222222</v>
      </c>
      <c r="S143" s="73">
        <f t="shared" si="41"/>
        <v>0.355555555555556</v>
      </c>
      <c r="T143" s="73">
        <f t="shared" si="42"/>
        <v>0.355555555555556</v>
      </c>
      <c r="U143" s="73">
        <f t="shared" si="43"/>
        <v>808.08816</v>
      </c>
      <c r="V143" s="102">
        <f>_xlfn.XLOOKUP(B143,[1]Sheet1!$B:$B,[1]Sheet1!$P:$P)</f>
        <v>0</v>
      </c>
      <c r="W143" s="103">
        <f t="shared" si="44"/>
        <v>0</v>
      </c>
      <c r="X143" s="103">
        <f t="shared" si="45"/>
        <v>0</v>
      </c>
      <c r="Y143" s="103">
        <f t="shared" si="49"/>
        <v>0</v>
      </c>
      <c r="Z143" s="102">
        <f>_xlfn.XLOOKUP(B143,[1]Sheet1!$B:$B,[1]Sheet1!$Q:$Q)</f>
        <v>1</v>
      </c>
      <c r="AA143" s="103">
        <f t="shared" si="34"/>
        <v>0.355555555555556</v>
      </c>
      <c r="AB143" s="103">
        <f t="shared" si="46"/>
        <v>11.0222222222222</v>
      </c>
      <c r="AC143" s="103">
        <f t="shared" si="47"/>
        <v>808.08816</v>
      </c>
      <c r="AD143" s="104" t="s">
        <v>545</v>
      </c>
    </row>
    <row r="144" ht="20" customHeight="1" spans="1:30">
      <c r="A144" s="110" t="s">
        <v>651</v>
      </c>
      <c r="B144" s="111" t="s">
        <v>483</v>
      </c>
      <c r="C144" s="111" t="s">
        <v>34</v>
      </c>
      <c r="D144" s="111" t="s">
        <v>51</v>
      </c>
      <c r="E144" s="111" t="s">
        <v>426</v>
      </c>
      <c r="F144" s="111">
        <v>14.46</v>
      </c>
      <c r="G144" s="111">
        <v>145</v>
      </c>
      <c r="H144" s="112">
        <v>1</v>
      </c>
      <c r="I144" s="111">
        <v>145</v>
      </c>
      <c r="J144" s="111">
        <v>74</v>
      </c>
      <c r="K144" s="111">
        <v>1193</v>
      </c>
      <c r="L144" s="105">
        <f t="shared" si="35"/>
        <v>1.9</v>
      </c>
      <c r="M144" s="73">
        <f t="shared" si="36"/>
        <v>89.9</v>
      </c>
      <c r="N144" s="73">
        <f t="shared" si="48"/>
        <v>1299.954</v>
      </c>
      <c r="O144" s="73">
        <f t="shared" si="37"/>
        <v>0.611111111111111</v>
      </c>
      <c r="P144" s="73">
        <f t="shared" si="38"/>
        <v>49.9444444444444</v>
      </c>
      <c r="Q144" s="73">
        <f t="shared" si="39"/>
        <v>1083.295</v>
      </c>
      <c r="R144" s="73">
        <f t="shared" si="40"/>
        <v>49.9444444444444</v>
      </c>
      <c r="S144" s="73">
        <f t="shared" si="41"/>
        <v>1.61111111111111</v>
      </c>
      <c r="T144" s="73">
        <f t="shared" si="42"/>
        <v>0.611111111111111</v>
      </c>
      <c r="U144" s="73">
        <f t="shared" si="43"/>
        <v>1083.295</v>
      </c>
      <c r="V144" s="114">
        <f>_xlfn.XLOOKUP(B144,[1]Sheet1!$B:$B,[1]Sheet1!$P:$P)</f>
        <v>0.5</v>
      </c>
      <c r="W144" s="115">
        <f t="shared" si="44"/>
        <v>0.805555555555556</v>
      </c>
      <c r="X144" s="115">
        <f t="shared" si="45"/>
        <v>24.9722222222222</v>
      </c>
      <c r="Y144" s="115">
        <f t="shared" si="49"/>
        <v>541.6475</v>
      </c>
      <c r="Z144" s="114">
        <f>_xlfn.XLOOKUP(B144,[1]Sheet1!$B:$B,[1]Sheet1!$Q:$Q)</f>
        <v>0.5</v>
      </c>
      <c r="AA144" s="115">
        <f t="shared" si="34"/>
        <v>0.805555555555556</v>
      </c>
      <c r="AB144" s="115">
        <f t="shared" si="46"/>
        <v>24.9722222222222</v>
      </c>
      <c r="AC144" s="115">
        <f t="shared" si="47"/>
        <v>541.6475</v>
      </c>
      <c r="AD144" s="116" t="s">
        <v>558</v>
      </c>
    </row>
    <row r="145" ht="20" customHeight="1" spans="1:32">
      <c r="A145" s="110" t="s">
        <v>652</v>
      </c>
      <c r="B145" s="111" t="s">
        <v>423</v>
      </c>
      <c r="C145" s="111" t="s">
        <v>34</v>
      </c>
      <c r="D145" s="111" t="s">
        <v>35</v>
      </c>
      <c r="E145" s="111" t="s">
        <v>335</v>
      </c>
      <c r="F145" s="111">
        <v>33.19</v>
      </c>
      <c r="G145" s="111">
        <v>68</v>
      </c>
      <c r="H145" s="112"/>
      <c r="I145" s="111"/>
      <c r="J145" s="111">
        <v>33</v>
      </c>
      <c r="K145" s="111">
        <v>1178</v>
      </c>
      <c r="L145" s="105">
        <f t="shared" si="35"/>
        <v>1.36</v>
      </c>
      <c r="M145" s="73">
        <f t="shared" si="36"/>
        <v>42.16</v>
      </c>
      <c r="N145" s="73">
        <f t="shared" si="48"/>
        <v>1399.2904</v>
      </c>
      <c r="O145" s="73">
        <f t="shared" si="37"/>
        <v>0.755555555555556</v>
      </c>
      <c r="P145" s="73">
        <f t="shared" si="38"/>
        <v>23.4222222222222</v>
      </c>
      <c r="Q145" s="73">
        <f t="shared" si="39"/>
        <v>1166.07533333333</v>
      </c>
      <c r="R145" s="73">
        <f t="shared" si="40"/>
        <v>23.4222222222222</v>
      </c>
      <c r="S145" s="73">
        <f t="shared" si="41"/>
        <v>0.755555555555556</v>
      </c>
      <c r="T145" s="73">
        <f t="shared" si="42"/>
        <v>0.755555555555556</v>
      </c>
      <c r="U145" s="73">
        <f t="shared" si="43"/>
        <v>1166.07533333333</v>
      </c>
      <c r="V145" s="114">
        <f>_xlfn.XLOOKUP(B145,[1]Sheet1!$B:$B,[1]Sheet1!$P:$P)</f>
        <v>0.888888888888889</v>
      </c>
      <c r="W145" s="115">
        <f t="shared" si="44"/>
        <v>0.671604938271605</v>
      </c>
      <c r="X145" s="115">
        <f t="shared" si="45"/>
        <v>20.8197530864198</v>
      </c>
      <c r="Y145" s="115">
        <f t="shared" si="49"/>
        <v>1036.51140740741</v>
      </c>
      <c r="Z145" s="114">
        <f>_xlfn.XLOOKUP(B145,[1]Sheet1!$B:$B,[1]Sheet1!$Q:$Q)</f>
        <v>0.111111111111111</v>
      </c>
      <c r="AA145" s="115">
        <f t="shared" si="34"/>
        <v>0.0839506172839505</v>
      </c>
      <c r="AB145" s="115">
        <f t="shared" si="46"/>
        <v>2.60246913580247</v>
      </c>
      <c r="AC145" s="115">
        <f t="shared" si="47"/>
        <v>129.563925925926</v>
      </c>
      <c r="AD145" s="116" t="s">
        <v>564</v>
      </c>
    </row>
    <row r="146" ht="20" customHeight="1" spans="1:32">
      <c r="A146" s="72" t="s">
        <v>515</v>
      </c>
      <c r="B146" s="108" t="s">
        <v>653</v>
      </c>
      <c r="C146" s="108" t="s">
        <v>34</v>
      </c>
      <c r="D146" s="108" t="s">
        <v>35</v>
      </c>
      <c r="E146" s="108" t="s">
        <v>141</v>
      </c>
      <c r="F146" s="108">
        <v>15.47</v>
      </c>
      <c r="G146" s="108">
        <v>172</v>
      </c>
      <c r="H146" s="109">
        <v>1</v>
      </c>
      <c r="I146" s="108">
        <v>172</v>
      </c>
      <c r="J146" s="108">
        <v>76</v>
      </c>
      <c r="K146" s="108">
        <v>1176</v>
      </c>
      <c r="L146" s="105">
        <f t="shared" si="35"/>
        <v>2.44</v>
      </c>
      <c r="M146" s="73">
        <f t="shared" si="36"/>
        <v>106.64</v>
      </c>
      <c r="N146" s="73">
        <f t="shared" si="48"/>
        <v>1649.7208</v>
      </c>
      <c r="O146" s="73">
        <f t="shared" si="37"/>
        <v>0.911111111111111</v>
      </c>
      <c r="P146" s="73">
        <f t="shared" si="38"/>
        <v>59.2444444444444</v>
      </c>
      <c r="Q146" s="73">
        <f t="shared" si="39"/>
        <v>1374.76733333333</v>
      </c>
      <c r="R146" s="73">
        <f t="shared" si="40"/>
        <v>59.2444444444444</v>
      </c>
      <c r="S146" s="73">
        <f t="shared" si="41"/>
        <v>1.91111111111111</v>
      </c>
      <c r="T146" s="73">
        <f t="shared" si="42"/>
        <v>0.911111111111111</v>
      </c>
      <c r="U146" s="73">
        <f t="shared" si="43"/>
        <v>1374.76733333333</v>
      </c>
      <c r="V146" s="75">
        <f>_xlfn.XLOOKUP(B146,[1]Sheet1!$B:$B,[1]Sheet1!$P:$P)</f>
        <v>0.238095238095238</v>
      </c>
      <c r="W146" s="73">
        <f t="shared" si="44"/>
        <v>0.455026455026455</v>
      </c>
      <c r="X146" s="73">
        <f t="shared" si="45"/>
        <v>14.1058201058201</v>
      </c>
      <c r="Y146" s="73">
        <f t="shared" si="49"/>
        <v>327.325555555555</v>
      </c>
      <c r="Z146" s="75">
        <f>_xlfn.XLOOKUP(B146,[1]Sheet1!$B:$B,[1]Sheet1!$Q:$Q)</f>
        <v>0.761904761904762</v>
      </c>
      <c r="AA146" s="73">
        <f t="shared" si="34"/>
        <v>1.45608465608466</v>
      </c>
      <c r="AB146" s="73">
        <f t="shared" si="46"/>
        <v>45.1386243386243</v>
      </c>
      <c r="AC146" s="73">
        <f t="shared" si="47"/>
        <v>1047.44177777778</v>
      </c>
      <c r="AD146" s="68" t="s">
        <v>594</v>
      </c>
    </row>
    <row r="147" ht="20" customHeight="1" spans="1:32">
      <c r="A147" s="72" t="s">
        <v>654</v>
      </c>
      <c r="B147" s="108" t="s">
        <v>440</v>
      </c>
      <c r="C147" s="108" t="s">
        <v>34</v>
      </c>
      <c r="D147" s="108" t="s">
        <v>51</v>
      </c>
      <c r="E147" s="108" t="s">
        <v>80</v>
      </c>
      <c r="F147" s="108">
        <v>9.83</v>
      </c>
      <c r="G147" s="108">
        <v>92</v>
      </c>
      <c r="H147" s="109"/>
      <c r="I147" s="108"/>
      <c r="J147" s="108">
        <v>82</v>
      </c>
      <c r="K147" s="108">
        <v>1170</v>
      </c>
      <c r="L147" s="105">
        <f t="shared" si="35"/>
        <v>1.84</v>
      </c>
      <c r="M147" s="73">
        <f t="shared" si="36"/>
        <v>57.04</v>
      </c>
      <c r="N147" s="73">
        <f t="shared" si="48"/>
        <v>560.7032</v>
      </c>
      <c r="O147" s="73">
        <f t="shared" si="37"/>
        <v>1.02222222222222</v>
      </c>
      <c r="P147" s="73">
        <f t="shared" si="38"/>
        <v>31.6888888888889</v>
      </c>
      <c r="Q147" s="73">
        <f t="shared" si="39"/>
        <v>467.252666666667</v>
      </c>
      <c r="R147" s="73">
        <f t="shared" si="40"/>
        <v>31.6888888888889</v>
      </c>
      <c r="S147" s="73">
        <f t="shared" si="41"/>
        <v>1.02222222222222</v>
      </c>
      <c r="T147" s="73">
        <f t="shared" si="42"/>
        <v>1.02222222222222</v>
      </c>
      <c r="U147" s="73">
        <f t="shared" si="43"/>
        <v>467.252666666667</v>
      </c>
      <c r="V147" s="75">
        <f>_xlfn.XLOOKUP(B147,[1]Sheet1!$B:$B,[1]Sheet1!$P:$P)</f>
        <v>1</v>
      </c>
      <c r="W147" s="73">
        <f t="shared" si="44"/>
        <v>1.02222222222222</v>
      </c>
      <c r="X147" s="73">
        <f t="shared" si="45"/>
        <v>31.6888888888889</v>
      </c>
      <c r="Y147" s="73">
        <f t="shared" si="49"/>
        <v>467.252666666667</v>
      </c>
      <c r="Z147" s="75">
        <f>_xlfn.XLOOKUP(B147,[1]Sheet1!$B:$B,[1]Sheet1!$Q:$Q)</f>
        <v>0</v>
      </c>
      <c r="AA147" s="73">
        <f t="shared" si="34"/>
        <v>0</v>
      </c>
      <c r="AB147" s="73">
        <f t="shared" si="46"/>
        <v>0</v>
      </c>
      <c r="AC147" s="73">
        <f t="shared" si="47"/>
        <v>0</v>
      </c>
      <c r="AD147" s="68" t="s">
        <v>594</v>
      </c>
    </row>
    <row r="148" ht="20" customHeight="1" spans="1:32">
      <c r="A148" s="72" t="s">
        <v>655</v>
      </c>
      <c r="B148" s="108" t="s">
        <v>656</v>
      </c>
      <c r="C148" s="108" t="s">
        <v>34</v>
      </c>
      <c r="D148" s="108" t="s">
        <v>51</v>
      </c>
      <c r="E148" s="108" t="s">
        <v>239</v>
      </c>
      <c r="F148" s="108">
        <v>83.18</v>
      </c>
      <c r="G148" s="108">
        <v>70</v>
      </c>
      <c r="H148" s="109">
        <v>1</v>
      </c>
      <c r="I148" s="108">
        <v>70</v>
      </c>
      <c r="J148" s="108">
        <v>14</v>
      </c>
      <c r="K148" s="108">
        <v>1165</v>
      </c>
      <c r="L148" s="105">
        <f t="shared" si="35"/>
        <v>0.4</v>
      </c>
      <c r="M148" s="73">
        <f t="shared" si="36"/>
        <v>43.4</v>
      </c>
      <c r="N148" s="73">
        <f t="shared" si="48"/>
        <v>3610.012</v>
      </c>
      <c r="O148" s="73">
        <f t="shared" si="37"/>
        <v>-0.222222222222222</v>
      </c>
      <c r="P148" s="73">
        <f t="shared" si="38"/>
        <v>24.1111111111111</v>
      </c>
      <c r="Q148" s="73">
        <f t="shared" si="39"/>
        <v>3008.34333333333</v>
      </c>
      <c r="R148" s="73">
        <f t="shared" si="40"/>
        <v>24.1111111111111</v>
      </c>
      <c r="S148" s="73">
        <f t="shared" si="41"/>
        <v>0.777777777777778</v>
      </c>
      <c r="T148" s="73">
        <f t="shared" si="42"/>
        <v>-0.222222222222222</v>
      </c>
      <c r="U148" s="73">
        <f t="shared" si="43"/>
        <v>3008.34333333333</v>
      </c>
      <c r="V148" s="75">
        <f>_xlfn.XLOOKUP(B148,[1]Sheet1!$B:$B,[1]Sheet1!$P:$P)</f>
        <v>0</v>
      </c>
      <c r="W148" s="73">
        <f t="shared" si="44"/>
        <v>0</v>
      </c>
      <c r="X148" s="73">
        <f t="shared" si="45"/>
        <v>0</v>
      </c>
      <c r="Y148" s="73">
        <f t="shared" si="49"/>
        <v>0</v>
      </c>
      <c r="Z148" s="75">
        <f>_xlfn.XLOOKUP(B148,[1]Sheet1!$B:$B,[1]Sheet1!$Q:$Q)</f>
        <v>1</v>
      </c>
      <c r="AA148" s="73">
        <f t="shared" si="34"/>
        <v>0.777777777777778</v>
      </c>
      <c r="AB148" s="73">
        <f t="shared" si="46"/>
        <v>24.1111111111111</v>
      </c>
      <c r="AC148" s="73">
        <f t="shared" si="47"/>
        <v>3008.34333333333</v>
      </c>
      <c r="AD148" s="68" t="s">
        <v>557</v>
      </c>
    </row>
    <row r="149" ht="20" customHeight="1" spans="1:32">
      <c r="A149" s="110" t="s">
        <v>657</v>
      </c>
      <c r="B149" s="111" t="s">
        <v>481</v>
      </c>
      <c r="C149" s="111" t="s">
        <v>34</v>
      </c>
      <c r="D149" s="111" t="s">
        <v>35</v>
      </c>
      <c r="E149" s="111" t="s">
        <v>335</v>
      </c>
      <c r="F149" s="111">
        <v>21.36</v>
      </c>
      <c r="G149" s="111">
        <v>138</v>
      </c>
      <c r="H149" s="112">
        <v>1</v>
      </c>
      <c r="I149" s="111">
        <v>138</v>
      </c>
      <c r="J149" s="111">
        <v>50</v>
      </c>
      <c r="K149" s="111">
        <v>1068</v>
      </c>
      <c r="L149" s="105">
        <f t="shared" si="35"/>
        <v>1.76</v>
      </c>
      <c r="M149" s="73">
        <f t="shared" si="36"/>
        <v>85.56</v>
      </c>
      <c r="N149" s="73">
        <f t="shared" si="48"/>
        <v>1827.5616</v>
      </c>
      <c r="O149" s="73">
        <f t="shared" si="37"/>
        <v>0.533333333333333</v>
      </c>
      <c r="P149" s="73">
        <f t="shared" si="38"/>
        <v>47.5333333333333</v>
      </c>
      <c r="Q149" s="73">
        <f t="shared" si="39"/>
        <v>1522.968</v>
      </c>
      <c r="R149" s="73">
        <f t="shared" si="40"/>
        <v>47.5333333333333</v>
      </c>
      <c r="S149" s="73">
        <f t="shared" si="41"/>
        <v>1.53333333333333</v>
      </c>
      <c r="T149" s="73">
        <f t="shared" si="42"/>
        <v>0.533333333333333</v>
      </c>
      <c r="U149" s="73">
        <f t="shared" si="43"/>
        <v>1522.968</v>
      </c>
      <c r="V149" s="114">
        <f>_xlfn.XLOOKUP(B149,[1]Sheet1!$B:$B,[1]Sheet1!$P:$P)</f>
        <v>0.741935483870968</v>
      </c>
      <c r="W149" s="115">
        <f t="shared" si="44"/>
        <v>1.13763440860215</v>
      </c>
      <c r="X149" s="115">
        <f t="shared" si="45"/>
        <v>35.2666666666667</v>
      </c>
      <c r="Y149" s="115">
        <f t="shared" si="49"/>
        <v>1129.944</v>
      </c>
      <c r="Z149" s="114">
        <f>_xlfn.XLOOKUP(B149,[1]Sheet1!$B:$B,[1]Sheet1!$Q:$Q)</f>
        <v>0.258064516129032</v>
      </c>
      <c r="AA149" s="115">
        <f t="shared" si="34"/>
        <v>0.395698924731182</v>
      </c>
      <c r="AB149" s="115">
        <f t="shared" si="46"/>
        <v>12.2666666666667</v>
      </c>
      <c r="AC149" s="115">
        <f t="shared" si="47"/>
        <v>393.024</v>
      </c>
      <c r="AD149" s="116" t="s">
        <v>558</v>
      </c>
    </row>
    <row r="150" ht="20" customHeight="1" spans="1:32">
      <c r="A150" s="72" t="s">
        <v>445</v>
      </c>
      <c r="B150" s="108" t="s">
        <v>455</v>
      </c>
      <c r="C150" s="108" t="s">
        <v>34</v>
      </c>
      <c r="D150" s="108" t="s">
        <v>35</v>
      </c>
      <c r="E150" s="108" t="s">
        <v>306</v>
      </c>
      <c r="F150" s="108">
        <v>176.39</v>
      </c>
      <c r="G150" s="108">
        <v>4</v>
      </c>
      <c r="H150" s="109"/>
      <c r="I150" s="108"/>
      <c r="J150" s="108">
        <v>4</v>
      </c>
      <c r="K150" s="108">
        <v>1058</v>
      </c>
      <c r="L150" s="105">
        <f t="shared" si="35"/>
        <v>0.08</v>
      </c>
      <c r="M150" s="73">
        <f t="shared" si="36"/>
        <v>2.48</v>
      </c>
      <c r="N150" s="73">
        <f t="shared" si="48"/>
        <v>437.4472</v>
      </c>
      <c r="O150" s="73">
        <f t="shared" si="37"/>
        <v>0.0444444444444444</v>
      </c>
      <c r="P150" s="73">
        <f t="shared" si="38"/>
        <v>1.37777777777778</v>
      </c>
      <c r="Q150" s="73">
        <f t="shared" si="39"/>
        <v>364.539333333333</v>
      </c>
      <c r="R150" s="73">
        <f t="shared" si="40"/>
        <v>1.37777777777778</v>
      </c>
      <c r="S150" s="73">
        <f t="shared" si="41"/>
        <v>0.0444444444444444</v>
      </c>
      <c r="T150" s="73">
        <f t="shared" si="42"/>
        <v>0.0444444444444444</v>
      </c>
      <c r="U150" s="73">
        <f t="shared" si="43"/>
        <v>364.539333333333</v>
      </c>
      <c r="V150" s="75">
        <f>_xlfn.XLOOKUP(B150,[1]Sheet1!$B:$B,[1]Sheet1!$P:$P)</f>
        <v>0</v>
      </c>
      <c r="W150" s="73">
        <f t="shared" si="44"/>
        <v>0</v>
      </c>
      <c r="X150" s="73">
        <f t="shared" si="45"/>
        <v>0</v>
      </c>
      <c r="Y150" s="73">
        <f t="shared" si="49"/>
        <v>0</v>
      </c>
      <c r="Z150" s="75">
        <f>_xlfn.XLOOKUP(B150,[1]Sheet1!$B:$B,[1]Sheet1!$Q:$Q)</f>
        <v>0</v>
      </c>
      <c r="AA150" s="73">
        <f t="shared" si="34"/>
        <v>0</v>
      </c>
      <c r="AB150" s="73">
        <f t="shared" si="46"/>
        <v>0</v>
      </c>
      <c r="AC150" s="73">
        <f t="shared" si="47"/>
        <v>0</v>
      </c>
      <c r="AD150" s="68" t="s">
        <v>594</v>
      </c>
    </row>
    <row r="151" ht="20" customHeight="1" spans="1:32">
      <c r="A151" s="72" t="s">
        <v>658</v>
      </c>
      <c r="B151" s="108" t="s">
        <v>297</v>
      </c>
      <c r="C151" s="108" t="s">
        <v>34</v>
      </c>
      <c r="D151" s="108" t="s">
        <v>35</v>
      </c>
      <c r="E151" s="108" t="s">
        <v>298</v>
      </c>
      <c r="F151" s="108">
        <v>339.1</v>
      </c>
      <c r="G151" s="108">
        <v>13</v>
      </c>
      <c r="H151" s="109"/>
      <c r="I151" s="108"/>
      <c r="J151" s="108">
        <v>3</v>
      </c>
      <c r="K151" s="108">
        <v>1017</v>
      </c>
      <c r="L151" s="105">
        <f t="shared" si="35"/>
        <v>0.26</v>
      </c>
      <c r="M151" s="73">
        <f t="shared" si="36"/>
        <v>8.06</v>
      </c>
      <c r="N151" s="73">
        <f t="shared" si="48"/>
        <v>2733.146</v>
      </c>
      <c r="O151" s="73">
        <f t="shared" si="37"/>
        <v>0.144444444444444</v>
      </c>
      <c r="P151" s="73">
        <f t="shared" si="38"/>
        <v>4.47777777777778</v>
      </c>
      <c r="Q151" s="73">
        <f t="shared" si="39"/>
        <v>2277.62166666667</v>
      </c>
      <c r="R151" s="73">
        <f t="shared" si="40"/>
        <v>4.47777777777778</v>
      </c>
      <c r="S151" s="73">
        <f t="shared" si="41"/>
        <v>0.144444444444444</v>
      </c>
      <c r="T151" s="73">
        <f t="shared" si="42"/>
        <v>0.144444444444444</v>
      </c>
      <c r="U151" s="73">
        <f t="shared" si="43"/>
        <v>2277.62166666667</v>
      </c>
      <c r="V151" s="75">
        <f>_xlfn.XLOOKUP(B151,[1]Sheet1!$B:$B,[1]Sheet1!$P:$P)</f>
        <v>0</v>
      </c>
      <c r="W151" s="73">
        <f t="shared" si="44"/>
        <v>0</v>
      </c>
      <c r="X151" s="73">
        <f t="shared" si="45"/>
        <v>0</v>
      </c>
      <c r="Y151" s="73">
        <f t="shared" si="49"/>
        <v>0</v>
      </c>
      <c r="Z151" s="75">
        <f>_xlfn.XLOOKUP(B151,[1]Sheet1!$B:$B,[1]Sheet1!$Q:$Q)</f>
        <v>0</v>
      </c>
      <c r="AA151" s="73">
        <f t="shared" si="34"/>
        <v>0</v>
      </c>
      <c r="AB151" s="73">
        <f t="shared" si="46"/>
        <v>0</v>
      </c>
      <c r="AC151" s="73">
        <f t="shared" si="47"/>
        <v>0</v>
      </c>
      <c r="AD151" s="68" t="s">
        <v>557</v>
      </c>
    </row>
    <row r="152" ht="20" customHeight="1" spans="1:32">
      <c r="A152" s="72" t="s">
        <v>659</v>
      </c>
      <c r="B152" s="108" t="s">
        <v>660</v>
      </c>
      <c r="C152" s="108" t="s">
        <v>34</v>
      </c>
      <c r="D152" s="108" t="s">
        <v>35</v>
      </c>
      <c r="E152" s="108" t="s">
        <v>661</v>
      </c>
      <c r="F152" s="108">
        <v>20.7648</v>
      </c>
      <c r="G152" s="108">
        <v>87</v>
      </c>
      <c r="H152" s="109"/>
      <c r="I152" s="108"/>
      <c r="J152" s="108">
        <v>44</v>
      </c>
      <c r="K152" s="108">
        <v>1007</v>
      </c>
      <c r="L152" s="105">
        <f t="shared" si="35"/>
        <v>1.74</v>
      </c>
      <c r="M152" s="73">
        <f t="shared" si="36"/>
        <v>53.94</v>
      </c>
      <c r="N152" s="73">
        <f t="shared" si="48"/>
        <v>1120.053312</v>
      </c>
      <c r="O152" s="73">
        <f t="shared" si="37"/>
        <v>0.966666666666667</v>
      </c>
      <c r="P152" s="73">
        <f t="shared" si="38"/>
        <v>29.9666666666667</v>
      </c>
      <c r="Q152" s="73">
        <f t="shared" si="39"/>
        <v>933.37776</v>
      </c>
      <c r="R152" s="73">
        <f t="shared" si="40"/>
        <v>29.9666666666667</v>
      </c>
      <c r="S152" s="73">
        <f t="shared" si="41"/>
        <v>0.966666666666667</v>
      </c>
      <c r="T152" s="73">
        <f t="shared" si="42"/>
        <v>0.966666666666667</v>
      </c>
      <c r="U152" s="73">
        <f t="shared" si="43"/>
        <v>933.37776</v>
      </c>
      <c r="V152" s="75">
        <f>_xlfn.XLOOKUP(B152,[1]Sheet1!$B:$B,[1]Sheet1!$P:$P)</f>
        <v>0.333333333333333</v>
      </c>
      <c r="W152" s="73">
        <f t="shared" si="44"/>
        <v>0.322222222222222</v>
      </c>
      <c r="X152" s="73">
        <f t="shared" si="45"/>
        <v>9.98888888888888</v>
      </c>
      <c r="Y152" s="73">
        <f t="shared" si="49"/>
        <v>311.12592</v>
      </c>
      <c r="Z152" s="75">
        <f>_xlfn.XLOOKUP(B152,[1]Sheet1!$B:$B,[1]Sheet1!$Q:$Q)</f>
        <v>0.666666666666667</v>
      </c>
      <c r="AA152" s="73">
        <f t="shared" ref="AA152:AA182" si="50">AB152/31</f>
        <v>0.644444444444445</v>
      </c>
      <c r="AB152" s="73">
        <f t="shared" si="46"/>
        <v>19.9777777777778</v>
      </c>
      <c r="AC152" s="73">
        <f t="shared" si="47"/>
        <v>622.25184</v>
      </c>
      <c r="AD152" s="68" t="s">
        <v>557</v>
      </c>
    </row>
    <row r="153" ht="20" customHeight="1" spans="1:32">
      <c r="A153" s="72" t="s">
        <v>468</v>
      </c>
      <c r="B153" s="108" t="s">
        <v>662</v>
      </c>
      <c r="C153" s="108" t="s">
        <v>34</v>
      </c>
      <c r="D153" s="108" t="s">
        <v>51</v>
      </c>
      <c r="E153" s="108" t="s">
        <v>316</v>
      </c>
      <c r="F153" s="108">
        <v>233.51</v>
      </c>
      <c r="G153" s="108">
        <v>4</v>
      </c>
      <c r="H153" s="109"/>
      <c r="I153" s="108"/>
      <c r="J153" s="108">
        <v>3</v>
      </c>
      <c r="K153" s="108">
        <v>934</v>
      </c>
      <c r="L153" s="105">
        <f t="shared" si="35"/>
        <v>0.08</v>
      </c>
      <c r="M153" s="73">
        <f t="shared" si="36"/>
        <v>2.48</v>
      </c>
      <c r="N153" s="73">
        <f t="shared" si="48"/>
        <v>579.1048</v>
      </c>
      <c r="O153" s="73">
        <f t="shared" si="37"/>
        <v>0.0444444444444444</v>
      </c>
      <c r="P153" s="73">
        <f t="shared" si="38"/>
        <v>1.37777777777778</v>
      </c>
      <c r="Q153" s="73">
        <f t="shared" si="39"/>
        <v>482.587333333333</v>
      </c>
      <c r="R153" s="73">
        <f t="shared" si="40"/>
        <v>1.37777777777778</v>
      </c>
      <c r="S153" s="73">
        <f t="shared" si="41"/>
        <v>0.0444444444444444</v>
      </c>
      <c r="T153" s="73">
        <f t="shared" si="42"/>
        <v>0.0444444444444444</v>
      </c>
      <c r="U153" s="73">
        <f t="shared" si="43"/>
        <v>482.587333333333</v>
      </c>
      <c r="V153" s="75">
        <f>_xlfn.XLOOKUP(B153,[1]Sheet1!$B:$B,[1]Sheet1!$P:$P)</f>
        <v>0</v>
      </c>
      <c r="W153" s="73">
        <f t="shared" si="44"/>
        <v>0</v>
      </c>
      <c r="X153" s="73">
        <f t="shared" si="45"/>
        <v>0</v>
      </c>
      <c r="Y153" s="73">
        <f t="shared" si="49"/>
        <v>0</v>
      </c>
      <c r="Z153" s="75">
        <f>_xlfn.XLOOKUP(B153,[1]Sheet1!$B:$B,[1]Sheet1!$Q:$Q)</f>
        <v>1</v>
      </c>
      <c r="AA153" s="73">
        <f t="shared" si="50"/>
        <v>0.0444444444444444</v>
      </c>
      <c r="AB153" s="73">
        <f t="shared" si="46"/>
        <v>1.37777777777778</v>
      </c>
      <c r="AC153" s="73">
        <f t="shared" si="47"/>
        <v>482.587333333333</v>
      </c>
      <c r="AD153" s="68" t="s">
        <v>594</v>
      </c>
    </row>
    <row r="154" ht="20" customHeight="1" spans="1:32">
      <c r="A154" s="72" t="s">
        <v>452</v>
      </c>
      <c r="B154" s="108" t="s">
        <v>663</v>
      </c>
      <c r="C154" s="108" t="s">
        <v>34</v>
      </c>
      <c r="D154" s="108" t="s">
        <v>35</v>
      </c>
      <c r="E154" s="108" t="s">
        <v>141</v>
      </c>
      <c r="F154" s="108">
        <v>31.97</v>
      </c>
      <c r="G154" s="108">
        <v>76</v>
      </c>
      <c r="H154" s="109">
        <v>1</v>
      </c>
      <c r="I154" s="108">
        <v>76</v>
      </c>
      <c r="J154" s="108">
        <v>26</v>
      </c>
      <c r="K154" s="108">
        <v>831</v>
      </c>
      <c r="L154" s="105">
        <f t="shared" si="35"/>
        <v>0.52</v>
      </c>
      <c r="M154" s="73">
        <f t="shared" si="36"/>
        <v>47.12</v>
      </c>
      <c r="N154" s="73">
        <f t="shared" si="48"/>
        <v>1506.4264</v>
      </c>
      <c r="O154" s="73">
        <f t="shared" si="37"/>
        <v>-0.155555555555556</v>
      </c>
      <c r="P154" s="73">
        <f t="shared" si="38"/>
        <v>26.1777777777778</v>
      </c>
      <c r="Q154" s="73">
        <f t="shared" si="39"/>
        <v>1255.35533333333</v>
      </c>
      <c r="R154" s="73">
        <f t="shared" si="40"/>
        <v>26.1777777777778</v>
      </c>
      <c r="S154" s="73">
        <f t="shared" si="41"/>
        <v>0.844444444444444</v>
      </c>
      <c r="T154" s="73">
        <f t="shared" si="42"/>
        <v>-0.155555555555556</v>
      </c>
      <c r="U154" s="73">
        <f t="shared" si="43"/>
        <v>1255.35533333333</v>
      </c>
      <c r="V154" s="75">
        <f>_xlfn.XLOOKUP(B154,[1]Sheet1!$B:$B,[1]Sheet1!$P:$P)</f>
        <v>0.2</v>
      </c>
      <c r="W154" s="73">
        <f t="shared" si="44"/>
        <v>0.168888888888889</v>
      </c>
      <c r="X154" s="73">
        <f t="shared" si="45"/>
        <v>5.23555555555556</v>
      </c>
      <c r="Y154" s="73">
        <f t="shared" si="49"/>
        <v>251.071066666667</v>
      </c>
      <c r="Z154" s="75">
        <f>_xlfn.XLOOKUP(B154,[1]Sheet1!$B:$B,[1]Sheet1!$Q:$Q)</f>
        <v>0.8</v>
      </c>
      <c r="AA154" s="73">
        <f t="shared" si="50"/>
        <v>0.675555555555556</v>
      </c>
      <c r="AB154" s="73">
        <f t="shared" si="46"/>
        <v>20.9422222222222</v>
      </c>
      <c r="AC154" s="73">
        <f t="shared" si="47"/>
        <v>1004.28426666667</v>
      </c>
      <c r="AD154" s="68" t="s">
        <v>594</v>
      </c>
    </row>
    <row r="155" ht="20" customHeight="1" spans="1:32">
      <c r="A155" s="72" t="s">
        <v>169</v>
      </c>
      <c r="B155" s="108" t="s">
        <v>664</v>
      </c>
      <c r="C155" s="108" t="s">
        <v>34</v>
      </c>
      <c r="D155" s="108" t="s">
        <v>51</v>
      </c>
      <c r="E155" s="108" t="s">
        <v>320</v>
      </c>
      <c r="F155" s="108">
        <v>36.08</v>
      </c>
      <c r="G155" s="108">
        <v>278</v>
      </c>
      <c r="H155" s="109">
        <v>5</v>
      </c>
      <c r="I155" s="108">
        <v>55</v>
      </c>
      <c r="J155" s="108">
        <v>23</v>
      </c>
      <c r="K155" s="108">
        <v>830</v>
      </c>
      <c r="L155" s="105">
        <f t="shared" si="35"/>
        <v>0.56</v>
      </c>
      <c r="M155" s="73">
        <f t="shared" si="36"/>
        <v>172.36</v>
      </c>
      <c r="N155" s="73">
        <f t="shared" si="48"/>
        <v>6218.7488</v>
      </c>
      <c r="O155" s="73">
        <f t="shared" si="37"/>
        <v>-1.91111111111111</v>
      </c>
      <c r="P155" s="73">
        <f t="shared" si="38"/>
        <v>95.7555555555555</v>
      </c>
      <c r="Q155" s="73">
        <f t="shared" si="39"/>
        <v>5182.29066666667</v>
      </c>
      <c r="R155" s="73">
        <f t="shared" si="40"/>
        <v>95.7555555555555</v>
      </c>
      <c r="S155" s="73">
        <f t="shared" si="41"/>
        <v>3.08888888888889</v>
      </c>
      <c r="T155" s="73">
        <f t="shared" si="42"/>
        <v>-1.91111111111111</v>
      </c>
      <c r="U155" s="73">
        <f t="shared" si="43"/>
        <v>5182.29066666667</v>
      </c>
      <c r="V155" s="75">
        <f>_xlfn.XLOOKUP(B155,[1]Sheet1!$B:$B,[1]Sheet1!$P:$P)</f>
        <v>0.5</v>
      </c>
      <c r="W155" s="73">
        <f t="shared" si="44"/>
        <v>1.54444444444444</v>
      </c>
      <c r="X155" s="73">
        <f t="shared" si="45"/>
        <v>47.8777777777778</v>
      </c>
      <c r="Y155" s="73">
        <f t="shared" si="49"/>
        <v>2591.14533333333</v>
      </c>
      <c r="Z155" s="75">
        <f>_xlfn.XLOOKUP(B155,[1]Sheet1!$B:$B,[1]Sheet1!$Q:$Q)</f>
        <v>0.5</v>
      </c>
      <c r="AA155" s="73">
        <f t="shared" si="50"/>
        <v>1.54444444444444</v>
      </c>
      <c r="AB155" s="73">
        <f t="shared" si="46"/>
        <v>47.8777777777778</v>
      </c>
      <c r="AC155" s="73">
        <f t="shared" si="47"/>
        <v>2591.14533333333</v>
      </c>
      <c r="AD155" s="68" t="s">
        <v>665</v>
      </c>
    </row>
    <row r="156" ht="20" customHeight="1" spans="1:32">
      <c r="A156" s="110" t="s">
        <v>454</v>
      </c>
      <c r="B156" s="111" t="s">
        <v>485</v>
      </c>
      <c r="C156" s="111" t="s">
        <v>34</v>
      </c>
      <c r="D156" s="111" t="s">
        <v>35</v>
      </c>
      <c r="E156" s="111" t="s">
        <v>250</v>
      </c>
      <c r="F156" s="111">
        <v>63.58</v>
      </c>
      <c r="G156" s="111">
        <v>43</v>
      </c>
      <c r="H156" s="112"/>
      <c r="I156" s="111"/>
      <c r="J156" s="111">
        <v>12</v>
      </c>
      <c r="K156" s="111">
        <v>763</v>
      </c>
      <c r="L156" s="105">
        <f t="shared" si="35"/>
        <v>0.86</v>
      </c>
      <c r="M156" s="73">
        <f t="shared" si="36"/>
        <v>26.66</v>
      </c>
      <c r="N156" s="73">
        <f t="shared" si="48"/>
        <v>1695.0428</v>
      </c>
      <c r="O156" s="73">
        <f t="shared" si="37"/>
        <v>0.477777777777778</v>
      </c>
      <c r="P156" s="73">
        <f t="shared" si="38"/>
        <v>14.8111111111111</v>
      </c>
      <c r="Q156" s="73">
        <f t="shared" si="39"/>
        <v>1412.53566666667</v>
      </c>
      <c r="R156" s="73">
        <f t="shared" si="40"/>
        <v>14.8111111111111</v>
      </c>
      <c r="S156" s="73">
        <f t="shared" si="41"/>
        <v>0.477777777777778</v>
      </c>
      <c r="T156" s="73">
        <f t="shared" si="42"/>
        <v>0.477777777777778</v>
      </c>
      <c r="U156" s="73">
        <f t="shared" si="43"/>
        <v>1412.53566666667</v>
      </c>
      <c r="V156" s="114">
        <f>_xlfn.XLOOKUP(B156,[1]Sheet1!$B:$B,[1]Sheet1!$P:$P)</f>
        <v>0</v>
      </c>
      <c r="W156" s="115">
        <f t="shared" si="44"/>
        <v>0</v>
      </c>
      <c r="X156" s="115">
        <f t="shared" si="45"/>
        <v>0</v>
      </c>
      <c r="Y156" s="115">
        <f t="shared" si="49"/>
        <v>0</v>
      </c>
      <c r="Z156" s="114">
        <f>_xlfn.XLOOKUP(B156,[1]Sheet1!$B:$B,[1]Sheet1!$Q:$Q)</f>
        <v>1</v>
      </c>
      <c r="AA156" s="115">
        <f t="shared" si="50"/>
        <v>0.477777777777778</v>
      </c>
      <c r="AB156" s="115">
        <f t="shared" si="46"/>
        <v>14.8111111111111</v>
      </c>
      <c r="AC156" s="115">
        <f t="shared" si="47"/>
        <v>1412.53566666667</v>
      </c>
      <c r="AD156" s="116" t="s">
        <v>558</v>
      </c>
    </row>
    <row r="157" ht="20" customHeight="1" spans="1:32">
      <c r="A157" s="110" t="s">
        <v>666</v>
      </c>
      <c r="B157" s="111" t="s">
        <v>400</v>
      </c>
      <c r="C157" s="111" t="s">
        <v>34</v>
      </c>
      <c r="D157" s="111" t="s">
        <v>35</v>
      </c>
      <c r="E157" s="111" t="s">
        <v>250</v>
      </c>
      <c r="F157" s="111">
        <v>151.83</v>
      </c>
      <c r="G157" s="111">
        <v>13</v>
      </c>
      <c r="H157" s="112"/>
      <c r="I157" s="111"/>
      <c r="J157" s="111">
        <v>5</v>
      </c>
      <c r="K157" s="111">
        <v>759</v>
      </c>
      <c r="L157" s="105">
        <f t="shared" si="35"/>
        <v>0.26</v>
      </c>
      <c r="M157" s="73">
        <f t="shared" si="36"/>
        <v>8.06</v>
      </c>
      <c r="N157" s="73">
        <f t="shared" si="48"/>
        <v>1223.7498</v>
      </c>
      <c r="O157" s="73">
        <f t="shared" si="37"/>
        <v>0.144444444444444</v>
      </c>
      <c r="P157" s="73">
        <f t="shared" si="38"/>
        <v>4.47777777777778</v>
      </c>
      <c r="Q157" s="73">
        <f t="shared" si="39"/>
        <v>1019.7915</v>
      </c>
      <c r="R157" s="73">
        <f t="shared" si="40"/>
        <v>4.47777777777778</v>
      </c>
      <c r="S157" s="73">
        <f t="shared" si="41"/>
        <v>0.144444444444444</v>
      </c>
      <c r="T157" s="73">
        <f t="shared" si="42"/>
        <v>0.144444444444444</v>
      </c>
      <c r="U157" s="73">
        <f t="shared" si="43"/>
        <v>1019.7915</v>
      </c>
      <c r="V157" s="114">
        <f>_xlfn.XLOOKUP(B157,[1]Sheet1!$B:$B,[1]Sheet1!$P:$P)</f>
        <v>0.25</v>
      </c>
      <c r="W157" s="115">
        <f t="shared" si="44"/>
        <v>0.0361111111111111</v>
      </c>
      <c r="X157" s="115">
        <f t="shared" si="45"/>
        <v>1.11944444444444</v>
      </c>
      <c r="Y157" s="115">
        <f t="shared" si="49"/>
        <v>254.947875</v>
      </c>
      <c r="Z157" s="114">
        <f>_xlfn.XLOOKUP(B157,[1]Sheet1!$B:$B,[1]Sheet1!$Q:$Q)</f>
        <v>0.75</v>
      </c>
      <c r="AA157" s="115">
        <f t="shared" si="50"/>
        <v>0.108333333333333</v>
      </c>
      <c r="AB157" s="115">
        <f t="shared" si="46"/>
        <v>3.35833333333333</v>
      </c>
      <c r="AC157" s="115">
        <f t="shared" si="47"/>
        <v>764.843625</v>
      </c>
      <c r="AD157" s="116" t="s">
        <v>558</v>
      </c>
      <c r="AE157" s="87"/>
      <c r="AF157" s="87"/>
    </row>
    <row r="158" ht="20" customHeight="1" spans="1:32">
      <c r="A158" s="72" t="s">
        <v>307</v>
      </c>
      <c r="B158" s="108" t="s">
        <v>442</v>
      </c>
      <c r="C158" s="108" t="s">
        <v>34</v>
      </c>
      <c r="D158" s="108" t="s">
        <v>35</v>
      </c>
      <c r="E158" s="108" t="s">
        <v>391</v>
      </c>
      <c r="F158" s="108">
        <v>247.4</v>
      </c>
      <c r="G158" s="108">
        <v>74</v>
      </c>
      <c r="H158" s="109">
        <v>1</v>
      </c>
      <c r="I158" s="108">
        <v>74</v>
      </c>
      <c r="J158" s="108">
        <v>3</v>
      </c>
      <c r="K158" s="108">
        <v>742</v>
      </c>
      <c r="L158" s="105">
        <f t="shared" si="35"/>
        <v>0.48</v>
      </c>
      <c r="M158" s="73">
        <f t="shared" si="36"/>
        <v>45.88</v>
      </c>
      <c r="N158" s="73">
        <f t="shared" si="48"/>
        <v>11350.712</v>
      </c>
      <c r="O158" s="73">
        <f t="shared" si="37"/>
        <v>-0.177777777777778</v>
      </c>
      <c r="P158" s="73">
        <f t="shared" si="38"/>
        <v>25.4888888888889</v>
      </c>
      <c r="Q158" s="73">
        <f t="shared" si="39"/>
        <v>9458.92666666667</v>
      </c>
      <c r="R158" s="73">
        <f t="shared" si="40"/>
        <v>25.4888888888889</v>
      </c>
      <c r="S158" s="73">
        <f t="shared" si="41"/>
        <v>0.822222222222222</v>
      </c>
      <c r="T158" s="73">
        <f t="shared" si="42"/>
        <v>-0.177777777777778</v>
      </c>
      <c r="U158" s="73">
        <f t="shared" si="43"/>
        <v>9458.92666666667</v>
      </c>
      <c r="V158" s="75">
        <f>_xlfn.XLOOKUP(B158,[1]Sheet1!$B:$B,[1]Sheet1!$P:$P)</f>
        <v>1</v>
      </c>
      <c r="W158" s="73">
        <f t="shared" si="44"/>
        <v>0.822222222222222</v>
      </c>
      <c r="X158" s="73">
        <f t="shared" si="45"/>
        <v>25.4888888888889</v>
      </c>
      <c r="Y158" s="73">
        <f t="shared" si="49"/>
        <v>9458.92666666667</v>
      </c>
      <c r="Z158" s="75">
        <f>_xlfn.XLOOKUP(B158,[1]Sheet1!$B:$B,[1]Sheet1!$Q:$Q)</f>
        <v>0</v>
      </c>
      <c r="AA158" s="73">
        <f t="shared" si="50"/>
        <v>0</v>
      </c>
      <c r="AB158" s="73">
        <f t="shared" si="46"/>
        <v>0</v>
      </c>
      <c r="AC158" s="73">
        <f t="shared" si="47"/>
        <v>0</v>
      </c>
      <c r="AD158" s="68" t="s">
        <v>557</v>
      </c>
      <c r="AE158" s="87"/>
      <c r="AF158" s="87"/>
    </row>
    <row r="159" ht="20" customHeight="1" spans="1:32">
      <c r="A159" s="110" t="s">
        <v>667</v>
      </c>
      <c r="B159" s="111" t="s">
        <v>518</v>
      </c>
      <c r="C159" s="111" t="s">
        <v>34</v>
      </c>
      <c r="D159" s="111" t="s">
        <v>51</v>
      </c>
      <c r="E159" s="111" t="s">
        <v>313</v>
      </c>
      <c r="F159" s="111">
        <v>3.8201</v>
      </c>
      <c r="G159" s="111">
        <v>346</v>
      </c>
      <c r="H159" s="112">
        <v>3</v>
      </c>
      <c r="I159" s="111">
        <v>115</v>
      </c>
      <c r="J159" s="111">
        <v>171</v>
      </c>
      <c r="K159" s="111">
        <v>712</v>
      </c>
      <c r="L159" s="105">
        <f t="shared" si="35"/>
        <v>3.92</v>
      </c>
      <c r="M159" s="73">
        <f t="shared" si="36"/>
        <v>214.52</v>
      </c>
      <c r="N159" s="73">
        <f t="shared" si="48"/>
        <v>819.487852</v>
      </c>
      <c r="O159" s="73">
        <f t="shared" si="37"/>
        <v>0.844444444444444</v>
      </c>
      <c r="P159" s="73">
        <f t="shared" si="38"/>
        <v>119.177777777778</v>
      </c>
      <c r="Q159" s="73">
        <f t="shared" si="39"/>
        <v>682.906543333333</v>
      </c>
      <c r="R159" s="73">
        <f t="shared" si="40"/>
        <v>119.177777777778</v>
      </c>
      <c r="S159" s="73">
        <f t="shared" si="41"/>
        <v>3.84444444444444</v>
      </c>
      <c r="T159" s="73">
        <f t="shared" si="42"/>
        <v>0.844444444444445</v>
      </c>
      <c r="U159" s="73">
        <f t="shared" si="43"/>
        <v>682.906543333333</v>
      </c>
      <c r="V159" s="114">
        <f>_xlfn.XLOOKUP(B159,[1]Sheet1!$B:$B,[1]Sheet1!$P:$P)</f>
        <v>0.675675675675676</v>
      </c>
      <c r="W159" s="115">
        <f t="shared" si="44"/>
        <v>2.5975975975976</v>
      </c>
      <c r="X159" s="115">
        <f t="shared" si="45"/>
        <v>80.5255255255256</v>
      </c>
      <c r="Y159" s="115">
        <f t="shared" si="49"/>
        <v>461.42334009009</v>
      </c>
      <c r="Z159" s="114">
        <f>_xlfn.XLOOKUP(B159,[1]Sheet1!$B:$B,[1]Sheet1!$Q:$Q)</f>
        <v>0.324324324324324</v>
      </c>
      <c r="AA159" s="115">
        <f t="shared" si="50"/>
        <v>1.24684684684685</v>
      </c>
      <c r="AB159" s="115">
        <f t="shared" si="46"/>
        <v>38.6522522522522</v>
      </c>
      <c r="AC159" s="115">
        <f t="shared" si="47"/>
        <v>221.483203243243</v>
      </c>
      <c r="AD159" s="116" t="s">
        <v>558</v>
      </c>
      <c r="AE159" s="87"/>
      <c r="AF159" s="87"/>
    </row>
    <row r="160" ht="20" customHeight="1" spans="1:32">
      <c r="A160" s="72" t="s">
        <v>668</v>
      </c>
      <c r="B160" s="108" t="s">
        <v>60</v>
      </c>
      <c r="C160" s="108" t="s">
        <v>34</v>
      </c>
      <c r="D160" s="108" t="s">
        <v>51</v>
      </c>
      <c r="E160" s="108" t="s">
        <v>61</v>
      </c>
      <c r="F160" s="108">
        <v>175.48</v>
      </c>
      <c r="G160" s="108">
        <v>115</v>
      </c>
      <c r="H160" s="109">
        <v>2</v>
      </c>
      <c r="I160" s="108">
        <v>57</v>
      </c>
      <c r="J160" s="108">
        <v>4</v>
      </c>
      <c r="K160" s="108">
        <v>702</v>
      </c>
      <c r="L160" s="105">
        <f t="shared" si="35"/>
        <v>0.3</v>
      </c>
      <c r="M160" s="73">
        <f t="shared" si="36"/>
        <v>71.3</v>
      </c>
      <c r="N160" s="73">
        <f t="shared" si="48"/>
        <v>12511.724</v>
      </c>
      <c r="O160" s="73">
        <f t="shared" si="37"/>
        <v>-0.722222222222222</v>
      </c>
      <c r="P160" s="73">
        <f t="shared" si="38"/>
        <v>39.6111111111111</v>
      </c>
      <c r="Q160" s="73">
        <f t="shared" si="39"/>
        <v>10426.4366666667</v>
      </c>
      <c r="R160" s="73">
        <f t="shared" si="40"/>
        <v>39.6111111111111</v>
      </c>
      <c r="S160" s="73">
        <f t="shared" si="41"/>
        <v>1.27777777777778</v>
      </c>
      <c r="T160" s="73">
        <f t="shared" si="42"/>
        <v>-0.722222222222222</v>
      </c>
      <c r="U160" s="73">
        <f t="shared" si="43"/>
        <v>10426.4366666667</v>
      </c>
      <c r="V160" s="75">
        <f>_xlfn.XLOOKUP(B160,[1]Sheet1!$B:$B,[1]Sheet1!$P:$P)</f>
        <v>0.5</v>
      </c>
      <c r="W160" s="73">
        <f t="shared" si="44"/>
        <v>0.638888888888889</v>
      </c>
      <c r="X160" s="73">
        <f t="shared" si="45"/>
        <v>19.8055555555556</v>
      </c>
      <c r="Y160" s="73">
        <f t="shared" si="49"/>
        <v>5213.21833333333</v>
      </c>
      <c r="Z160" s="75">
        <f>_xlfn.XLOOKUP(B160,[1]Sheet1!$B:$B,[1]Sheet1!$Q:$Q)</f>
        <v>0.5</v>
      </c>
      <c r="AA160" s="73">
        <f t="shared" si="50"/>
        <v>0.638888888888889</v>
      </c>
      <c r="AB160" s="73">
        <f t="shared" si="46"/>
        <v>19.8055555555556</v>
      </c>
      <c r="AC160" s="73">
        <f t="shared" si="47"/>
        <v>5213.21833333333</v>
      </c>
      <c r="AD160" s="68"/>
      <c r="AE160" s="87"/>
      <c r="AF160" s="87"/>
    </row>
    <row r="161" ht="20" customHeight="1" spans="1:32">
      <c r="A161" s="72" t="s">
        <v>439</v>
      </c>
      <c r="B161" s="108" t="s">
        <v>473</v>
      </c>
      <c r="C161" s="108" t="s">
        <v>34</v>
      </c>
      <c r="D161" s="108" t="s">
        <v>35</v>
      </c>
      <c r="E161" s="108" t="s">
        <v>474</v>
      </c>
      <c r="F161" s="108">
        <v>55.39</v>
      </c>
      <c r="G161" s="108">
        <v>8</v>
      </c>
      <c r="H161" s="109"/>
      <c r="I161" s="108"/>
      <c r="J161" s="108">
        <v>8</v>
      </c>
      <c r="K161" s="108">
        <v>665</v>
      </c>
      <c r="L161" s="105">
        <f t="shared" si="35"/>
        <v>0.16</v>
      </c>
      <c r="M161" s="73">
        <f t="shared" si="36"/>
        <v>4.96</v>
      </c>
      <c r="N161" s="73">
        <f t="shared" si="48"/>
        <v>274.7344</v>
      </c>
      <c r="O161" s="73">
        <f t="shared" si="37"/>
        <v>0.0888888888888889</v>
      </c>
      <c r="P161" s="73">
        <f t="shared" si="38"/>
        <v>2.75555555555556</v>
      </c>
      <c r="Q161" s="73">
        <f t="shared" si="39"/>
        <v>228.945333333333</v>
      </c>
      <c r="R161" s="73">
        <f t="shared" si="40"/>
        <v>2.75555555555556</v>
      </c>
      <c r="S161" s="73">
        <f t="shared" si="41"/>
        <v>0.0888888888888889</v>
      </c>
      <c r="T161" s="73">
        <f t="shared" si="42"/>
        <v>0.0888888888888889</v>
      </c>
      <c r="U161" s="73">
        <f t="shared" si="43"/>
        <v>228.945333333333</v>
      </c>
      <c r="V161" s="75">
        <f>_xlfn.XLOOKUP(B161,[1]Sheet1!$B:$B,[1]Sheet1!$P:$P)</f>
        <v>0</v>
      </c>
      <c r="W161" s="73">
        <f t="shared" si="44"/>
        <v>0</v>
      </c>
      <c r="X161" s="73">
        <f t="shared" si="45"/>
        <v>0</v>
      </c>
      <c r="Y161" s="73">
        <f t="shared" si="49"/>
        <v>0</v>
      </c>
      <c r="Z161" s="75">
        <f>_xlfn.XLOOKUP(B161,[1]Sheet1!$B:$B,[1]Sheet1!$Q:$Q)</f>
        <v>0</v>
      </c>
      <c r="AA161" s="73">
        <f t="shared" si="50"/>
        <v>0</v>
      </c>
      <c r="AB161" s="73">
        <f t="shared" si="46"/>
        <v>0</v>
      </c>
      <c r="AC161" s="73">
        <f t="shared" si="47"/>
        <v>0</v>
      </c>
      <c r="AD161" s="68" t="s">
        <v>594</v>
      </c>
      <c r="AE161" s="87" t="s">
        <v>669</v>
      </c>
      <c r="AF161" s="87"/>
    </row>
    <row r="162" ht="20" customHeight="1" spans="1:32">
      <c r="A162" s="72" t="s">
        <v>501</v>
      </c>
      <c r="B162" s="108" t="s">
        <v>670</v>
      </c>
      <c r="C162" s="108" t="s">
        <v>34</v>
      </c>
      <c r="D162" s="108" t="s">
        <v>51</v>
      </c>
      <c r="E162" s="108" t="s">
        <v>320</v>
      </c>
      <c r="F162" s="108">
        <v>62.89</v>
      </c>
      <c r="G162" s="108">
        <v>41</v>
      </c>
      <c r="H162" s="109"/>
      <c r="I162" s="108"/>
      <c r="J162" s="108">
        <v>10</v>
      </c>
      <c r="K162" s="108">
        <v>629</v>
      </c>
      <c r="L162" s="105">
        <f t="shared" si="35"/>
        <v>0.82</v>
      </c>
      <c r="M162" s="73">
        <f t="shared" si="36"/>
        <v>25.42</v>
      </c>
      <c r="N162" s="73">
        <f t="shared" si="48"/>
        <v>1598.6638</v>
      </c>
      <c r="O162" s="73">
        <f t="shared" si="37"/>
        <v>0.455555555555556</v>
      </c>
      <c r="P162" s="73">
        <f t="shared" si="38"/>
        <v>14.1222222222222</v>
      </c>
      <c r="Q162" s="73">
        <f t="shared" si="39"/>
        <v>1332.21983333333</v>
      </c>
      <c r="R162" s="73">
        <f t="shared" si="40"/>
        <v>14.1222222222222</v>
      </c>
      <c r="S162" s="73">
        <f t="shared" si="41"/>
        <v>0.455555555555556</v>
      </c>
      <c r="T162" s="73">
        <f t="shared" si="42"/>
        <v>0.455555555555556</v>
      </c>
      <c r="U162" s="73">
        <f t="shared" si="43"/>
        <v>1332.21983333333</v>
      </c>
      <c r="V162" s="75">
        <f>_xlfn.XLOOKUP(B162,[1]Sheet1!$B:$B,[1]Sheet1!$P:$P)</f>
        <v>0.25</v>
      </c>
      <c r="W162" s="73">
        <f t="shared" si="44"/>
        <v>0.113888888888889</v>
      </c>
      <c r="X162" s="73">
        <f t="shared" si="45"/>
        <v>3.53055555555556</v>
      </c>
      <c r="Y162" s="73">
        <f t="shared" si="49"/>
        <v>333.054958333333</v>
      </c>
      <c r="Z162" s="75">
        <f>_xlfn.XLOOKUP(B162,[1]Sheet1!$B:$B,[1]Sheet1!$Q:$Q)</f>
        <v>0.75</v>
      </c>
      <c r="AA162" s="73">
        <f t="shared" si="50"/>
        <v>0.341666666666667</v>
      </c>
      <c r="AB162" s="73">
        <f t="shared" si="46"/>
        <v>10.5916666666667</v>
      </c>
      <c r="AC162" s="73">
        <f t="shared" si="47"/>
        <v>999.164875</v>
      </c>
      <c r="AD162" s="68" t="s">
        <v>665</v>
      </c>
      <c r="AE162" s="87"/>
      <c r="AF162" s="87"/>
    </row>
    <row r="163" ht="20" customHeight="1" spans="1:32">
      <c r="A163" s="72" t="s">
        <v>517</v>
      </c>
      <c r="B163" s="108" t="s">
        <v>671</v>
      </c>
      <c r="C163" s="108" t="s">
        <v>34</v>
      </c>
      <c r="D163" s="108" t="s">
        <v>35</v>
      </c>
      <c r="E163" s="108" t="s">
        <v>106</v>
      </c>
      <c r="F163" s="108">
        <v>27.68</v>
      </c>
      <c r="G163" s="108">
        <v>453</v>
      </c>
      <c r="H163" s="109">
        <v>8</v>
      </c>
      <c r="I163" s="108">
        <v>56</v>
      </c>
      <c r="J163" s="108">
        <v>20</v>
      </c>
      <c r="K163" s="108">
        <v>554</v>
      </c>
      <c r="L163" s="105">
        <f t="shared" si="35"/>
        <v>1.06</v>
      </c>
      <c r="M163" s="73">
        <f t="shared" si="36"/>
        <v>280.86</v>
      </c>
      <c r="N163" s="73">
        <f t="shared" si="48"/>
        <v>7774.2048</v>
      </c>
      <c r="O163" s="73">
        <f t="shared" si="37"/>
        <v>-2.96666666666667</v>
      </c>
      <c r="P163" s="73">
        <f t="shared" si="38"/>
        <v>156.033333333333</v>
      </c>
      <c r="Q163" s="73">
        <f t="shared" si="39"/>
        <v>6478.504</v>
      </c>
      <c r="R163" s="73">
        <f t="shared" si="40"/>
        <v>156.033333333333</v>
      </c>
      <c r="S163" s="73">
        <f t="shared" si="41"/>
        <v>5.03333333333333</v>
      </c>
      <c r="T163" s="73">
        <f t="shared" si="42"/>
        <v>-2.96666666666667</v>
      </c>
      <c r="U163" s="73">
        <f t="shared" si="43"/>
        <v>6478.504</v>
      </c>
      <c r="V163" s="75">
        <f>_xlfn.XLOOKUP(B163,[1]Sheet1!$B:$B,[1]Sheet1!$P:$P)</f>
        <v>0.556521739130435</v>
      </c>
      <c r="W163" s="73">
        <f t="shared" si="44"/>
        <v>2.80115942028986</v>
      </c>
      <c r="X163" s="73">
        <f t="shared" si="45"/>
        <v>86.8359420289855</v>
      </c>
      <c r="Y163" s="73">
        <f t="shared" si="49"/>
        <v>3605.42831304348</v>
      </c>
      <c r="Z163" s="75">
        <f>_xlfn.XLOOKUP(B163,[1]Sheet1!$B:$B,[1]Sheet1!$Q:$Q)</f>
        <v>0.443478260869565</v>
      </c>
      <c r="AA163" s="73">
        <f t="shared" si="50"/>
        <v>2.23217391304348</v>
      </c>
      <c r="AB163" s="73">
        <f t="shared" si="46"/>
        <v>69.1973913043478</v>
      </c>
      <c r="AC163" s="73">
        <f t="shared" si="47"/>
        <v>2873.07568695652</v>
      </c>
      <c r="AD163" s="68" t="s">
        <v>550</v>
      </c>
      <c r="AE163" s="87"/>
      <c r="AF163" s="87"/>
    </row>
    <row r="164" ht="20" customHeight="1" spans="1:32">
      <c r="A164" s="72" t="s">
        <v>672</v>
      </c>
      <c r="B164" s="108" t="s">
        <v>673</v>
      </c>
      <c r="C164" s="108" t="s">
        <v>34</v>
      </c>
      <c r="D164" s="108" t="s">
        <v>35</v>
      </c>
      <c r="E164" s="108" t="s">
        <v>106</v>
      </c>
      <c r="F164" s="108">
        <v>18.64</v>
      </c>
      <c r="G164" s="108">
        <v>474</v>
      </c>
      <c r="H164" s="109">
        <v>8</v>
      </c>
      <c r="I164" s="108">
        <v>59</v>
      </c>
      <c r="J164" s="108">
        <v>29</v>
      </c>
      <c r="K164" s="108">
        <v>541</v>
      </c>
      <c r="L164" s="105">
        <f t="shared" si="35"/>
        <v>1.48</v>
      </c>
      <c r="M164" s="73">
        <f t="shared" si="36"/>
        <v>293.88</v>
      </c>
      <c r="N164" s="73">
        <f t="shared" si="48"/>
        <v>5477.9232</v>
      </c>
      <c r="O164" s="73">
        <f t="shared" si="37"/>
        <v>-2.73333333333333</v>
      </c>
      <c r="P164" s="73">
        <f t="shared" si="38"/>
        <v>163.266666666667</v>
      </c>
      <c r="Q164" s="73">
        <f t="shared" si="39"/>
        <v>4564.936</v>
      </c>
      <c r="R164" s="73">
        <f t="shared" si="40"/>
        <v>163.266666666667</v>
      </c>
      <c r="S164" s="73">
        <f t="shared" si="41"/>
        <v>5.26666666666667</v>
      </c>
      <c r="T164" s="73">
        <f t="shared" si="42"/>
        <v>-2.73333333333333</v>
      </c>
      <c r="U164" s="73">
        <f t="shared" si="43"/>
        <v>4564.936</v>
      </c>
      <c r="V164" s="75">
        <f>_xlfn.XLOOKUP(B164,[1]Sheet1!$B:$B,[1]Sheet1!$P:$P)</f>
        <v>0.693548387096774</v>
      </c>
      <c r="W164" s="73">
        <f t="shared" si="44"/>
        <v>3.65268817204301</v>
      </c>
      <c r="X164" s="73">
        <f t="shared" si="45"/>
        <v>113.233333333333</v>
      </c>
      <c r="Y164" s="73">
        <f t="shared" si="49"/>
        <v>3166.004</v>
      </c>
      <c r="Z164" s="75">
        <f>_xlfn.XLOOKUP(B164,[1]Sheet1!$B:$B,[1]Sheet1!$Q:$Q)</f>
        <v>0.306451612903226</v>
      </c>
      <c r="AA164" s="73">
        <f t="shared" si="50"/>
        <v>1.61397849462366</v>
      </c>
      <c r="AB164" s="73">
        <f t="shared" si="46"/>
        <v>50.0333333333334</v>
      </c>
      <c r="AC164" s="73">
        <f t="shared" si="47"/>
        <v>1398.932</v>
      </c>
      <c r="AD164" s="68" t="s">
        <v>550</v>
      </c>
      <c r="AE164" s="87"/>
      <c r="AF164" s="87"/>
    </row>
    <row r="165" ht="20" customHeight="1" spans="1:32">
      <c r="A165" s="72" t="s">
        <v>472</v>
      </c>
      <c r="B165" s="108" t="s">
        <v>478</v>
      </c>
      <c r="C165" s="108" t="s">
        <v>34</v>
      </c>
      <c r="D165" s="108" t="s">
        <v>35</v>
      </c>
      <c r="E165" s="108" t="s">
        <v>479</v>
      </c>
      <c r="F165" s="108">
        <v>6.99</v>
      </c>
      <c r="G165" s="108">
        <v>44</v>
      </c>
      <c r="H165" s="109"/>
      <c r="I165" s="108"/>
      <c r="J165" s="108">
        <v>43</v>
      </c>
      <c r="K165" s="108">
        <v>447</v>
      </c>
      <c r="L165" s="105">
        <f t="shared" si="35"/>
        <v>0.88</v>
      </c>
      <c r="M165" s="73">
        <f t="shared" si="36"/>
        <v>27.28</v>
      </c>
      <c r="N165" s="73">
        <f t="shared" si="48"/>
        <v>190.6872</v>
      </c>
      <c r="O165" s="73">
        <f t="shared" si="37"/>
        <v>0.488888888888889</v>
      </c>
      <c r="P165" s="73">
        <f t="shared" si="38"/>
        <v>15.1555555555556</v>
      </c>
      <c r="Q165" s="73">
        <f t="shared" si="39"/>
        <v>158.906</v>
      </c>
      <c r="R165" s="73">
        <f t="shared" si="40"/>
        <v>15.1555555555556</v>
      </c>
      <c r="S165" s="73">
        <f t="shared" si="41"/>
        <v>0.488888888888889</v>
      </c>
      <c r="T165" s="73">
        <f t="shared" si="42"/>
        <v>0.488888888888889</v>
      </c>
      <c r="U165" s="73">
        <f t="shared" si="43"/>
        <v>158.906</v>
      </c>
      <c r="V165" s="75">
        <f>_xlfn.XLOOKUP(B165,[1]Sheet1!$B:$B,[1]Sheet1!$P:$P)</f>
        <v>0</v>
      </c>
      <c r="W165" s="73">
        <f t="shared" si="44"/>
        <v>0</v>
      </c>
      <c r="X165" s="73">
        <f t="shared" si="45"/>
        <v>0</v>
      </c>
      <c r="Y165" s="73">
        <f t="shared" si="49"/>
        <v>0</v>
      </c>
      <c r="Z165" s="75">
        <f>_xlfn.XLOOKUP(B165,[1]Sheet1!$B:$B,[1]Sheet1!$Q:$Q)</f>
        <v>0</v>
      </c>
      <c r="AA165" s="73">
        <f t="shared" si="50"/>
        <v>0</v>
      </c>
      <c r="AB165" s="73">
        <f t="shared" si="46"/>
        <v>0</v>
      </c>
      <c r="AC165" s="73">
        <f t="shared" si="47"/>
        <v>0</v>
      </c>
      <c r="AD165" s="68"/>
      <c r="AE165" s="87"/>
      <c r="AF165" s="87"/>
    </row>
    <row r="166" ht="20" customHeight="1" spans="1:32">
      <c r="A166" s="72" t="s">
        <v>674</v>
      </c>
      <c r="B166" s="108" t="s">
        <v>675</v>
      </c>
      <c r="C166" s="108" t="s">
        <v>34</v>
      </c>
      <c r="D166" s="108" t="s">
        <v>51</v>
      </c>
      <c r="E166" s="108" t="s">
        <v>165</v>
      </c>
      <c r="F166" s="108">
        <v>55.2259</v>
      </c>
      <c r="G166" s="108">
        <v>134</v>
      </c>
      <c r="H166" s="109">
        <v>2</v>
      </c>
      <c r="I166" s="108">
        <v>67</v>
      </c>
      <c r="J166" s="108">
        <v>8</v>
      </c>
      <c r="K166" s="108">
        <v>442</v>
      </c>
      <c r="L166" s="105">
        <f t="shared" si="35"/>
        <v>0.68</v>
      </c>
      <c r="M166" s="73">
        <f t="shared" si="36"/>
        <v>83.08</v>
      </c>
      <c r="N166" s="73">
        <f t="shared" si="48"/>
        <v>4588.167772</v>
      </c>
      <c r="O166" s="73">
        <f t="shared" si="37"/>
        <v>-0.511111111111111</v>
      </c>
      <c r="P166" s="73">
        <f t="shared" si="38"/>
        <v>46.1555555555556</v>
      </c>
      <c r="Q166" s="73">
        <f t="shared" si="39"/>
        <v>3823.47314333333</v>
      </c>
      <c r="R166" s="73">
        <f t="shared" si="40"/>
        <v>46.1555555555556</v>
      </c>
      <c r="S166" s="73">
        <f t="shared" si="41"/>
        <v>1.48888888888889</v>
      </c>
      <c r="T166" s="73">
        <f t="shared" si="42"/>
        <v>-0.511111111111111</v>
      </c>
      <c r="U166" s="73">
        <f t="shared" si="43"/>
        <v>3823.47314333333</v>
      </c>
      <c r="V166" s="75">
        <f>_xlfn.XLOOKUP(B166,[1]Sheet1!$B:$B,[1]Sheet1!$P:$P)</f>
        <v>0.631578947368421</v>
      </c>
      <c r="W166" s="73">
        <f t="shared" si="44"/>
        <v>0.940350877192982</v>
      </c>
      <c r="X166" s="73">
        <f t="shared" si="45"/>
        <v>29.1508771929825</v>
      </c>
      <c r="Y166" s="73">
        <f t="shared" si="49"/>
        <v>2414.82514315789</v>
      </c>
      <c r="Z166" s="75">
        <f>_xlfn.XLOOKUP(B166,[1]Sheet1!$B:$B,[1]Sheet1!$Q:$Q)</f>
        <v>0.368421052631579</v>
      </c>
      <c r="AA166" s="73">
        <f t="shared" si="50"/>
        <v>0.548538011695907</v>
      </c>
      <c r="AB166" s="73">
        <f t="shared" si="46"/>
        <v>17.0046783625731</v>
      </c>
      <c r="AC166" s="73">
        <f t="shared" si="47"/>
        <v>1408.64800017544</v>
      </c>
      <c r="AD166" s="68"/>
      <c r="AE166" s="87"/>
      <c r="AF166" s="87"/>
    </row>
    <row r="167" ht="20" customHeight="1" spans="1:32">
      <c r="A167" s="72" t="s">
        <v>477</v>
      </c>
      <c r="B167" s="108" t="s">
        <v>463</v>
      </c>
      <c r="C167" s="108" t="s">
        <v>34</v>
      </c>
      <c r="D167" s="108" t="s">
        <v>35</v>
      </c>
      <c r="E167" s="108" t="s">
        <v>264</v>
      </c>
      <c r="F167" s="108">
        <v>21.67</v>
      </c>
      <c r="G167" s="108">
        <v>38</v>
      </c>
      <c r="H167" s="109"/>
      <c r="I167" s="108"/>
      <c r="J167" s="108">
        <v>15</v>
      </c>
      <c r="K167" s="108">
        <v>325</v>
      </c>
      <c r="L167" s="105">
        <f t="shared" si="35"/>
        <v>0.76</v>
      </c>
      <c r="M167" s="73">
        <f t="shared" si="36"/>
        <v>23.56</v>
      </c>
      <c r="N167" s="73">
        <f t="shared" si="48"/>
        <v>510.5452</v>
      </c>
      <c r="O167" s="73">
        <f t="shared" si="37"/>
        <v>0.422222222222222</v>
      </c>
      <c r="P167" s="73">
        <f t="shared" si="38"/>
        <v>13.0888888888889</v>
      </c>
      <c r="Q167" s="73">
        <f t="shared" si="39"/>
        <v>425.454333333333</v>
      </c>
      <c r="R167" s="73">
        <f t="shared" si="40"/>
        <v>13.0888888888889</v>
      </c>
      <c r="S167" s="73">
        <f t="shared" si="41"/>
        <v>0.422222222222222</v>
      </c>
      <c r="T167" s="73">
        <f t="shared" si="42"/>
        <v>0.422222222222222</v>
      </c>
      <c r="U167" s="73">
        <f t="shared" si="43"/>
        <v>425.454333333333</v>
      </c>
      <c r="V167" s="75">
        <f>_xlfn.XLOOKUP(B167,[1]Sheet1!$B:$B,[1]Sheet1!$P:$P)</f>
        <v>1</v>
      </c>
      <c r="W167" s="73">
        <f t="shared" si="44"/>
        <v>0.422222222222222</v>
      </c>
      <c r="X167" s="73">
        <f t="shared" si="45"/>
        <v>13.0888888888889</v>
      </c>
      <c r="Y167" s="73">
        <f t="shared" si="49"/>
        <v>425.454333333333</v>
      </c>
      <c r="Z167" s="75">
        <f>_xlfn.XLOOKUP(B167,[1]Sheet1!$B:$B,[1]Sheet1!$Q:$Q)</f>
        <v>0</v>
      </c>
      <c r="AA167" s="73">
        <f t="shared" si="50"/>
        <v>0</v>
      </c>
      <c r="AB167" s="73">
        <f t="shared" si="46"/>
        <v>0</v>
      </c>
      <c r="AC167" s="73">
        <f t="shared" si="47"/>
        <v>0</v>
      </c>
      <c r="AD167" s="68"/>
      <c r="AE167" s="87"/>
      <c r="AF167" s="87"/>
    </row>
    <row r="168" ht="20" customHeight="1" spans="1:32">
      <c r="A168" s="98" t="s">
        <v>676</v>
      </c>
      <c r="B168" s="99" t="s">
        <v>677</v>
      </c>
      <c r="C168" s="99" t="s">
        <v>34</v>
      </c>
      <c r="D168" s="99" t="s">
        <v>35</v>
      </c>
      <c r="E168" s="99" t="s">
        <v>525</v>
      </c>
      <c r="F168" s="99">
        <v>57.89</v>
      </c>
      <c r="G168" s="99">
        <v>80</v>
      </c>
      <c r="H168" s="100">
        <v>1</v>
      </c>
      <c r="I168" s="99">
        <v>80</v>
      </c>
      <c r="J168" s="99">
        <v>4</v>
      </c>
      <c r="K168" s="99">
        <v>232</v>
      </c>
      <c r="L168" s="101">
        <f t="shared" si="35"/>
        <v>0.6</v>
      </c>
      <c r="M168" s="70">
        <f t="shared" si="36"/>
        <v>49.6</v>
      </c>
      <c r="N168" s="70">
        <f t="shared" si="48"/>
        <v>2871.344</v>
      </c>
      <c r="O168" s="70">
        <f t="shared" si="37"/>
        <v>-0.111111111111111</v>
      </c>
      <c r="P168" s="70">
        <f t="shared" si="38"/>
        <v>27.5555555555556</v>
      </c>
      <c r="Q168" s="70">
        <f t="shared" si="39"/>
        <v>2392.78666666667</v>
      </c>
      <c r="R168" s="70">
        <f t="shared" si="40"/>
        <v>27.5555555555556</v>
      </c>
      <c r="S168" s="70">
        <f t="shared" si="41"/>
        <v>0.888888888888889</v>
      </c>
      <c r="T168" s="70">
        <f t="shared" si="42"/>
        <v>-0.111111111111111</v>
      </c>
      <c r="U168" s="70">
        <f t="shared" si="43"/>
        <v>2392.78666666667</v>
      </c>
      <c r="V168" s="102">
        <f>_xlfn.XLOOKUP(B168,[1]Sheet1!$B:$B,[1]Sheet1!$P:$P)</f>
        <v>0.526315789473684</v>
      </c>
      <c r="W168" s="103">
        <f t="shared" si="44"/>
        <v>0.467836257309941</v>
      </c>
      <c r="X168" s="103">
        <f t="shared" si="45"/>
        <v>14.5029239766082</v>
      </c>
      <c r="Y168" s="103">
        <f t="shared" si="49"/>
        <v>1259.36140350877</v>
      </c>
      <c r="Z168" s="102">
        <f>_xlfn.XLOOKUP(B168,[1]Sheet1!$B:$B,[1]Sheet1!$Q:$Q)</f>
        <v>0.473684210526316</v>
      </c>
      <c r="AA168" s="103">
        <f t="shared" si="50"/>
        <v>0.421052631578948</v>
      </c>
      <c r="AB168" s="103">
        <f t="shared" si="46"/>
        <v>13.0526315789474</v>
      </c>
      <c r="AC168" s="103">
        <f t="shared" si="47"/>
        <v>1133.4252631579</v>
      </c>
      <c r="AD168" s="104" t="s">
        <v>545</v>
      </c>
      <c r="AE168" s="87"/>
      <c r="AF168" s="87"/>
    </row>
    <row r="169" ht="20" customHeight="1" spans="1:32">
      <c r="A169" s="98" t="s">
        <v>678</v>
      </c>
      <c r="B169" s="99" t="s">
        <v>499</v>
      </c>
      <c r="C169" s="99" t="s">
        <v>34</v>
      </c>
      <c r="D169" s="99" t="s">
        <v>35</v>
      </c>
      <c r="E169" s="99" t="s">
        <v>500</v>
      </c>
      <c r="F169" s="99">
        <v>66.1</v>
      </c>
      <c r="G169" s="99">
        <v>2</v>
      </c>
      <c r="H169" s="100"/>
      <c r="I169" s="99"/>
      <c r="J169" s="99">
        <v>2</v>
      </c>
      <c r="K169" s="99">
        <v>198</v>
      </c>
      <c r="L169" s="105">
        <f t="shared" si="35"/>
        <v>0.04</v>
      </c>
      <c r="M169" s="73">
        <f t="shared" si="36"/>
        <v>1.24</v>
      </c>
      <c r="N169" s="73">
        <f t="shared" si="48"/>
        <v>81.964</v>
      </c>
      <c r="O169" s="73">
        <f t="shared" si="37"/>
        <v>0.0222222222222222</v>
      </c>
      <c r="P169" s="73">
        <f t="shared" si="38"/>
        <v>0.688888888888889</v>
      </c>
      <c r="Q169" s="73">
        <f t="shared" si="39"/>
        <v>68.3033333333333</v>
      </c>
      <c r="R169" s="73">
        <f t="shared" si="40"/>
        <v>0.688888888888889</v>
      </c>
      <c r="S169" s="73">
        <f t="shared" si="41"/>
        <v>0.0222222222222222</v>
      </c>
      <c r="T169" s="73">
        <f t="shared" si="42"/>
        <v>0.0222222222222222</v>
      </c>
      <c r="U169" s="73">
        <f t="shared" si="43"/>
        <v>68.3033333333333</v>
      </c>
      <c r="V169" s="102">
        <f>_xlfn.XLOOKUP(B169,[1]Sheet1!$B:$B,[1]Sheet1!$P:$P)</f>
        <v>0</v>
      </c>
      <c r="W169" s="103">
        <f t="shared" si="44"/>
        <v>0</v>
      </c>
      <c r="X169" s="103">
        <f t="shared" si="45"/>
        <v>0</v>
      </c>
      <c r="Y169" s="103">
        <f t="shared" si="49"/>
        <v>0</v>
      </c>
      <c r="Z169" s="102">
        <f>_xlfn.XLOOKUP(B169,[1]Sheet1!$B:$B,[1]Sheet1!$Q:$Q)</f>
        <v>0</v>
      </c>
      <c r="AA169" s="103">
        <f t="shared" si="50"/>
        <v>0</v>
      </c>
      <c r="AB169" s="103">
        <f t="shared" si="46"/>
        <v>0</v>
      </c>
      <c r="AC169" s="103">
        <f t="shared" si="47"/>
        <v>0</v>
      </c>
      <c r="AD169" s="104" t="s">
        <v>545</v>
      </c>
    </row>
    <row r="170" ht="20" customHeight="1" spans="1:32">
      <c r="A170" s="72" t="s">
        <v>679</v>
      </c>
      <c r="B170" s="108" t="s">
        <v>507</v>
      </c>
      <c r="C170" s="108" t="s">
        <v>34</v>
      </c>
      <c r="D170" s="108" t="s">
        <v>35</v>
      </c>
      <c r="E170" s="108" t="s">
        <v>160</v>
      </c>
      <c r="F170" s="108">
        <v>108.96</v>
      </c>
      <c r="G170" s="108">
        <v>1</v>
      </c>
      <c r="H170" s="109"/>
      <c r="I170" s="108"/>
      <c r="J170" s="108">
        <v>1</v>
      </c>
      <c r="K170" s="108">
        <v>163</v>
      </c>
      <c r="L170" s="105">
        <f t="shared" si="35"/>
        <v>0.02</v>
      </c>
      <c r="M170" s="73">
        <f t="shared" si="36"/>
        <v>0.62</v>
      </c>
      <c r="N170" s="73">
        <f t="shared" si="48"/>
        <v>67.5552</v>
      </c>
      <c r="O170" s="73">
        <f t="shared" si="37"/>
        <v>0.0111111111111111</v>
      </c>
      <c r="P170" s="73">
        <f t="shared" si="38"/>
        <v>0.344444444444444</v>
      </c>
      <c r="Q170" s="73">
        <f t="shared" si="39"/>
        <v>56.296</v>
      </c>
      <c r="R170" s="73">
        <f t="shared" si="40"/>
        <v>0.344444444444444</v>
      </c>
      <c r="S170" s="73">
        <f t="shared" si="41"/>
        <v>0.0111111111111111</v>
      </c>
      <c r="T170" s="73">
        <f t="shared" si="42"/>
        <v>0.0111111111111111</v>
      </c>
      <c r="U170" s="73">
        <f t="shared" si="43"/>
        <v>56.296</v>
      </c>
      <c r="V170" s="75">
        <f>_xlfn.XLOOKUP(B170,[1]Sheet1!$B:$B,[1]Sheet1!$P:$P)</f>
        <v>0</v>
      </c>
      <c r="W170" s="73">
        <f t="shared" si="44"/>
        <v>0</v>
      </c>
      <c r="X170" s="73">
        <f t="shared" si="45"/>
        <v>0</v>
      </c>
      <c r="Y170" s="73">
        <f t="shared" si="49"/>
        <v>0</v>
      </c>
      <c r="Z170" s="75">
        <f>_xlfn.XLOOKUP(B170,[1]Sheet1!$B:$B,[1]Sheet1!$Q:$Q)</f>
        <v>0</v>
      </c>
      <c r="AA170" s="73">
        <f t="shared" si="50"/>
        <v>0</v>
      </c>
      <c r="AB170" s="73">
        <f t="shared" si="46"/>
        <v>0</v>
      </c>
      <c r="AC170" s="73">
        <f t="shared" si="47"/>
        <v>0</v>
      </c>
      <c r="AD170" s="68"/>
      <c r="AE170" s="61"/>
      <c r="AF170" s="61"/>
    </row>
    <row r="171" ht="20" customHeight="1" spans="1:32">
      <c r="A171" s="72" t="s">
        <v>680</v>
      </c>
      <c r="B171" s="108" t="s">
        <v>520</v>
      </c>
      <c r="C171" s="108" t="s">
        <v>34</v>
      </c>
      <c r="D171" s="108" t="s">
        <v>35</v>
      </c>
      <c r="E171" s="108" t="s">
        <v>324</v>
      </c>
      <c r="F171" s="108">
        <v>32.82</v>
      </c>
      <c r="G171" s="108">
        <v>3</v>
      </c>
      <c r="H171" s="109"/>
      <c r="I171" s="108"/>
      <c r="J171" s="108">
        <v>3</v>
      </c>
      <c r="K171" s="108">
        <v>148</v>
      </c>
      <c r="L171" s="105">
        <f t="shared" si="35"/>
        <v>0.06</v>
      </c>
      <c r="M171" s="73">
        <f t="shared" si="36"/>
        <v>1.86</v>
      </c>
      <c r="N171" s="73">
        <f t="shared" si="48"/>
        <v>61.0452</v>
      </c>
      <c r="O171" s="73">
        <f t="shared" si="37"/>
        <v>0.0333333333333333</v>
      </c>
      <c r="P171" s="73">
        <f t="shared" si="38"/>
        <v>1.03333333333333</v>
      </c>
      <c r="Q171" s="73">
        <f t="shared" si="39"/>
        <v>50.871</v>
      </c>
      <c r="R171" s="73">
        <f t="shared" si="40"/>
        <v>1.03333333333333</v>
      </c>
      <c r="S171" s="73">
        <f t="shared" si="41"/>
        <v>0.0333333333333333</v>
      </c>
      <c r="T171" s="73">
        <f t="shared" si="42"/>
        <v>0.0333333333333333</v>
      </c>
      <c r="U171" s="73">
        <f t="shared" si="43"/>
        <v>50.871</v>
      </c>
      <c r="V171" s="75">
        <f>_xlfn.XLOOKUP(B171,[1]Sheet1!$B:$B,[1]Sheet1!$P:$P)</f>
        <v>0</v>
      </c>
      <c r="W171" s="73">
        <f t="shared" si="44"/>
        <v>0</v>
      </c>
      <c r="X171" s="73">
        <f t="shared" si="45"/>
        <v>0</v>
      </c>
      <c r="Y171" s="73">
        <f t="shared" si="49"/>
        <v>0</v>
      </c>
      <c r="Z171" s="75">
        <f>_xlfn.XLOOKUP(B171,[1]Sheet1!$B:$B,[1]Sheet1!$Q:$Q)</f>
        <v>0</v>
      </c>
      <c r="AA171" s="73">
        <f t="shared" si="50"/>
        <v>0</v>
      </c>
      <c r="AB171" s="73">
        <f t="shared" si="46"/>
        <v>0</v>
      </c>
      <c r="AC171" s="73">
        <f t="shared" si="47"/>
        <v>0</v>
      </c>
      <c r="AD171" s="68"/>
      <c r="AE171" s="61"/>
      <c r="AF171" s="61"/>
    </row>
    <row r="172" ht="20" customHeight="1" spans="1:32">
      <c r="A172" s="72" t="s">
        <v>681</v>
      </c>
      <c r="B172" s="108" t="s">
        <v>511</v>
      </c>
      <c r="C172" s="108" t="s">
        <v>34</v>
      </c>
      <c r="D172" s="108" t="s">
        <v>35</v>
      </c>
      <c r="E172" s="108" t="s">
        <v>324</v>
      </c>
      <c r="F172" s="108">
        <v>88.74</v>
      </c>
      <c r="G172" s="108">
        <v>1</v>
      </c>
      <c r="H172" s="109"/>
      <c r="I172" s="108"/>
      <c r="J172" s="108">
        <v>1</v>
      </c>
      <c r="K172" s="108">
        <v>133</v>
      </c>
      <c r="L172" s="105">
        <f t="shared" si="35"/>
        <v>0.02</v>
      </c>
      <c r="M172" s="73">
        <f t="shared" si="36"/>
        <v>0.62</v>
      </c>
      <c r="N172" s="73">
        <f t="shared" si="48"/>
        <v>55.0188</v>
      </c>
      <c r="O172" s="73">
        <f t="shared" si="37"/>
        <v>0.0111111111111111</v>
      </c>
      <c r="P172" s="73">
        <f t="shared" si="38"/>
        <v>0.344444444444444</v>
      </c>
      <c r="Q172" s="73">
        <f t="shared" si="39"/>
        <v>45.849</v>
      </c>
      <c r="R172" s="73">
        <f t="shared" si="40"/>
        <v>0.344444444444444</v>
      </c>
      <c r="S172" s="73">
        <f t="shared" si="41"/>
        <v>0.0111111111111111</v>
      </c>
      <c r="T172" s="73">
        <f t="shared" si="42"/>
        <v>0.0111111111111111</v>
      </c>
      <c r="U172" s="73">
        <f t="shared" si="43"/>
        <v>45.849</v>
      </c>
      <c r="V172" s="75">
        <f>_xlfn.XLOOKUP(B172,[1]Sheet1!$B:$B,[1]Sheet1!$P:$P)</f>
        <v>0</v>
      </c>
      <c r="W172" s="73">
        <f t="shared" si="44"/>
        <v>0</v>
      </c>
      <c r="X172" s="73">
        <f t="shared" si="45"/>
        <v>0</v>
      </c>
      <c r="Y172" s="73">
        <f t="shared" si="49"/>
        <v>0</v>
      </c>
      <c r="Z172" s="75">
        <f>_xlfn.XLOOKUP(B172,[1]Sheet1!$B:$B,[1]Sheet1!$Q:$Q)</f>
        <v>0</v>
      </c>
      <c r="AA172" s="73">
        <f t="shared" si="50"/>
        <v>0</v>
      </c>
      <c r="AB172" s="73">
        <f t="shared" si="46"/>
        <v>0</v>
      </c>
      <c r="AC172" s="73">
        <f t="shared" si="47"/>
        <v>0</v>
      </c>
      <c r="AD172" s="68"/>
      <c r="AE172" s="61"/>
      <c r="AF172" s="61"/>
    </row>
    <row r="173" ht="20" customHeight="1" spans="1:32">
      <c r="A173" s="72" t="s">
        <v>532</v>
      </c>
      <c r="B173" s="108" t="s">
        <v>509</v>
      </c>
      <c r="C173" s="108" t="s">
        <v>34</v>
      </c>
      <c r="D173" s="108" t="s">
        <v>35</v>
      </c>
      <c r="E173" s="108" t="s">
        <v>160</v>
      </c>
      <c r="F173" s="108">
        <v>86.28</v>
      </c>
      <c r="G173" s="108">
        <v>1</v>
      </c>
      <c r="H173" s="109"/>
      <c r="I173" s="108"/>
      <c r="J173" s="108">
        <v>1</v>
      </c>
      <c r="K173" s="108">
        <v>129</v>
      </c>
      <c r="L173" s="105">
        <f t="shared" si="35"/>
        <v>0.02</v>
      </c>
      <c r="M173" s="73">
        <f t="shared" si="36"/>
        <v>0.62</v>
      </c>
      <c r="N173" s="73">
        <f t="shared" si="48"/>
        <v>53.4936</v>
      </c>
      <c r="O173" s="73">
        <f t="shared" si="37"/>
        <v>0.0111111111111111</v>
      </c>
      <c r="P173" s="73">
        <f t="shared" si="38"/>
        <v>0.344444444444444</v>
      </c>
      <c r="Q173" s="73">
        <f t="shared" si="39"/>
        <v>44.578</v>
      </c>
      <c r="R173" s="73">
        <f t="shared" si="40"/>
        <v>0.344444444444444</v>
      </c>
      <c r="S173" s="73">
        <f t="shared" si="41"/>
        <v>0.0111111111111111</v>
      </c>
      <c r="T173" s="73">
        <f t="shared" si="42"/>
        <v>0.0111111111111111</v>
      </c>
      <c r="U173" s="73">
        <f t="shared" si="43"/>
        <v>44.578</v>
      </c>
      <c r="V173" s="75">
        <f>_xlfn.XLOOKUP(B173,[1]Sheet1!$B:$B,[1]Sheet1!$P:$P)</f>
        <v>0</v>
      </c>
      <c r="W173" s="73">
        <f t="shared" si="44"/>
        <v>0</v>
      </c>
      <c r="X173" s="73">
        <f t="shared" si="45"/>
        <v>0</v>
      </c>
      <c r="Y173" s="73">
        <f t="shared" si="49"/>
        <v>0</v>
      </c>
      <c r="Z173" s="75">
        <f>_xlfn.XLOOKUP(B173,[1]Sheet1!$B:$B,[1]Sheet1!$Q:$Q)</f>
        <v>0</v>
      </c>
      <c r="AA173" s="73">
        <f t="shared" si="50"/>
        <v>0</v>
      </c>
      <c r="AB173" s="73">
        <f t="shared" si="46"/>
        <v>0</v>
      </c>
      <c r="AC173" s="73">
        <f t="shared" si="47"/>
        <v>0</v>
      </c>
      <c r="AD173" s="68" t="s">
        <v>594</v>
      </c>
      <c r="AE173" s="87" t="s">
        <v>682</v>
      </c>
      <c r="AF173" s="61"/>
    </row>
    <row r="174" ht="20" customHeight="1" spans="1:32">
      <c r="A174" s="98" t="s">
        <v>506</v>
      </c>
      <c r="B174" s="99" t="s">
        <v>514</v>
      </c>
      <c r="C174" s="99" t="s">
        <v>34</v>
      </c>
      <c r="D174" s="99" t="s">
        <v>51</v>
      </c>
      <c r="E174" s="99" t="s">
        <v>185</v>
      </c>
      <c r="F174" s="99">
        <v>71.23</v>
      </c>
      <c r="G174" s="99">
        <v>1</v>
      </c>
      <c r="H174" s="100"/>
      <c r="I174" s="99"/>
      <c r="J174" s="99">
        <v>1</v>
      </c>
      <c r="K174" s="99">
        <v>107</v>
      </c>
      <c r="L174" s="105">
        <f t="shared" si="35"/>
        <v>0.02</v>
      </c>
      <c r="M174" s="73">
        <f t="shared" si="36"/>
        <v>0.62</v>
      </c>
      <c r="N174" s="73">
        <f t="shared" si="48"/>
        <v>44.1626</v>
      </c>
      <c r="O174" s="73">
        <f t="shared" si="37"/>
        <v>0.0111111111111111</v>
      </c>
      <c r="P174" s="73">
        <f t="shared" si="38"/>
        <v>0.344444444444444</v>
      </c>
      <c r="Q174" s="73">
        <f t="shared" si="39"/>
        <v>36.8021666666667</v>
      </c>
      <c r="R174" s="73">
        <f t="shared" si="40"/>
        <v>0.344444444444444</v>
      </c>
      <c r="S174" s="73">
        <f t="shared" si="41"/>
        <v>0.0111111111111111</v>
      </c>
      <c r="T174" s="73">
        <f t="shared" si="42"/>
        <v>0.0111111111111111</v>
      </c>
      <c r="U174" s="73">
        <f t="shared" si="43"/>
        <v>36.8021666666667</v>
      </c>
      <c r="V174" s="102">
        <f>_xlfn.XLOOKUP(B174,[1]Sheet1!$B:$B,[1]Sheet1!$P:$P)</f>
        <v>0</v>
      </c>
      <c r="W174" s="103">
        <f t="shared" si="44"/>
        <v>0</v>
      </c>
      <c r="X174" s="103">
        <f t="shared" si="45"/>
        <v>0</v>
      </c>
      <c r="Y174" s="103">
        <f t="shared" si="49"/>
        <v>0</v>
      </c>
      <c r="Z174" s="102">
        <f>_xlfn.XLOOKUP(B174,[1]Sheet1!$B:$B,[1]Sheet1!$Q:$Q)</f>
        <v>0</v>
      </c>
      <c r="AA174" s="103">
        <f t="shared" si="50"/>
        <v>0</v>
      </c>
      <c r="AB174" s="103">
        <f t="shared" si="46"/>
        <v>0</v>
      </c>
      <c r="AC174" s="103">
        <f t="shared" si="47"/>
        <v>0</v>
      </c>
      <c r="AD174" s="104" t="s">
        <v>545</v>
      </c>
      <c r="AE174" s="87"/>
      <c r="AF174" s="61"/>
    </row>
    <row r="175" ht="20" customHeight="1" spans="1:32">
      <c r="A175" s="98" t="s">
        <v>683</v>
      </c>
      <c r="B175" s="99" t="s">
        <v>295</v>
      </c>
      <c r="C175" s="99" t="s">
        <v>34</v>
      </c>
      <c r="D175" s="99" t="s">
        <v>35</v>
      </c>
      <c r="E175" s="99" t="s">
        <v>219</v>
      </c>
      <c r="F175" s="99">
        <v>37.32</v>
      </c>
      <c r="G175" s="99">
        <v>183</v>
      </c>
      <c r="H175" s="100">
        <v>3</v>
      </c>
      <c r="I175" s="99">
        <v>61</v>
      </c>
      <c r="J175" s="99">
        <v>2</v>
      </c>
      <c r="K175" s="99">
        <v>75</v>
      </c>
      <c r="L175" s="105">
        <f t="shared" si="35"/>
        <v>0.66</v>
      </c>
      <c r="M175" s="73">
        <f t="shared" si="36"/>
        <v>113.46</v>
      </c>
      <c r="N175" s="73">
        <f t="shared" si="48"/>
        <v>4234.3272</v>
      </c>
      <c r="O175" s="73">
        <f t="shared" si="37"/>
        <v>-0.966666666666667</v>
      </c>
      <c r="P175" s="73">
        <f t="shared" si="38"/>
        <v>63.0333333333333</v>
      </c>
      <c r="Q175" s="73">
        <f t="shared" si="39"/>
        <v>3528.606</v>
      </c>
      <c r="R175" s="73">
        <f t="shared" si="40"/>
        <v>63.0333333333333</v>
      </c>
      <c r="S175" s="73">
        <f t="shared" si="41"/>
        <v>2.03333333333333</v>
      </c>
      <c r="T175" s="73">
        <f t="shared" si="42"/>
        <v>-0.966666666666667</v>
      </c>
      <c r="U175" s="73">
        <f t="shared" si="43"/>
        <v>3528.606</v>
      </c>
      <c r="V175" s="102">
        <f>_xlfn.XLOOKUP(B175,[1]Sheet1!$B:$B,[1]Sheet1!$P:$P)</f>
        <v>0.716981132075472</v>
      </c>
      <c r="W175" s="103">
        <f t="shared" si="44"/>
        <v>1.45786163522013</v>
      </c>
      <c r="X175" s="103">
        <f t="shared" si="45"/>
        <v>45.1937106918239</v>
      </c>
      <c r="Y175" s="103">
        <f t="shared" si="49"/>
        <v>2529.9439245283</v>
      </c>
      <c r="Z175" s="102">
        <f>_xlfn.XLOOKUP(B175,[1]Sheet1!$B:$B,[1]Sheet1!$Q:$Q)</f>
        <v>0.283018867924528</v>
      </c>
      <c r="AA175" s="103">
        <f t="shared" si="50"/>
        <v>0.575471698113207</v>
      </c>
      <c r="AB175" s="103">
        <f t="shared" si="46"/>
        <v>17.8396226415094</v>
      </c>
      <c r="AC175" s="103">
        <f t="shared" si="47"/>
        <v>998.662075471697</v>
      </c>
      <c r="AD175" s="104" t="s">
        <v>545</v>
      </c>
      <c r="AE175" s="87" t="s">
        <v>684</v>
      </c>
      <c r="AF175" s="61"/>
    </row>
    <row r="176" ht="20" customHeight="1" spans="1:32">
      <c r="A176" s="98" t="s">
        <v>685</v>
      </c>
      <c r="B176" s="99" t="s">
        <v>524</v>
      </c>
      <c r="C176" s="99" t="s">
        <v>34</v>
      </c>
      <c r="D176" s="99" t="s">
        <v>35</v>
      </c>
      <c r="E176" s="99" t="s">
        <v>525</v>
      </c>
      <c r="F176" s="99">
        <v>35.76</v>
      </c>
      <c r="G176" s="99">
        <v>1</v>
      </c>
      <c r="H176" s="100"/>
      <c r="I176" s="99"/>
      <c r="J176" s="99">
        <v>1</v>
      </c>
      <c r="K176" s="99">
        <v>54</v>
      </c>
      <c r="L176" s="101">
        <f t="shared" si="35"/>
        <v>0.02</v>
      </c>
      <c r="M176" s="70">
        <f t="shared" si="36"/>
        <v>0.62</v>
      </c>
      <c r="N176" s="70">
        <f t="shared" si="48"/>
        <v>22.1712</v>
      </c>
      <c r="O176" s="70">
        <f t="shared" si="37"/>
        <v>0.0111111111111111</v>
      </c>
      <c r="P176" s="70">
        <f t="shared" si="38"/>
        <v>0.344444444444444</v>
      </c>
      <c r="Q176" s="70">
        <f t="shared" si="39"/>
        <v>18.476</v>
      </c>
      <c r="R176" s="70">
        <f t="shared" si="40"/>
        <v>0.344444444444444</v>
      </c>
      <c r="S176" s="70">
        <f t="shared" si="41"/>
        <v>0.0111111111111111</v>
      </c>
      <c r="T176" s="70">
        <f t="shared" si="42"/>
        <v>0.0111111111111111</v>
      </c>
      <c r="U176" s="70">
        <f t="shared" si="43"/>
        <v>18.476</v>
      </c>
      <c r="V176" s="102">
        <f>_xlfn.XLOOKUP(B176,[1]Sheet1!$B:$B,[1]Sheet1!$P:$P)</f>
        <v>0</v>
      </c>
      <c r="W176" s="103">
        <f t="shared" si="44"/>
        <v>0</v>
      </c>
      <c r="X176" s="103">
        <f t="shared" si="45"/>
        <v>0</v>
      </c>
      <c r="Y176" s="103">
        <f t="shared" si="49"/>
        <v>0</v>
      </c>
      <c r="Z176" s="102">
        <f>_xlfn.XLOOKUP(B176,[1]Sheet1!$B:$B,[1]Sheet1!$Q:$Q)</f>
        <v>0</v>
      </c>
      <c r="AA176" s="103">
        <f t="shared" si="50"/>
        <v>0</v>
      </c>
      <c r="AB176" s="103">
        <f t="shared" si="46"/>
        <v>0</v>
      </c>
      <c r="AC176" s="103">
        <f t="shared" si="47"/>
        <v>0</v>
      </c>
      <c r="AD176" s="104" t="s">
        <v>545</v>
      </c>
      <c r="AE176" s="87"/>
      <c r="AF176" s="61"/>
    </row>
    <row r="177" ht="20" customHeight="1" spans="1:32">
      <c r="A177" s="72" t="s">
        <v>513</v>
      </c>
      <c r="B177" s="108" t="s">
        <v>270</v>
      </c>
      <c r="C177" s="108" t="s">
        <v>34</v>
      </c>
      <c r="D177" s="108" t="s">
        <v>35</v>
      </c>
      <c r="E177" s="108" t="s">
        <v>110</v>
      </c>
      <c r="F177" s="108">
        <v>20.82</v>
      </c>
      <c r="G177" s="108">
        <v>2</v>
      </c>
      <c r="H177" s="109"/>
      <c r="I177" s="108"/>
      <c r="J177" s="108">
        <v>1</v>
      </c>
      <c r="K177" s="108">
        <v>21</v>
      </c>
      <c r="L177" s="105">
        <f t="shared" si="35"/>
        <v>0.04</v>
      </c>
      <c r="M177" s="73">
        <f t="shared" si="36"/>
        <v>1.24</v>
      </c>
      <c r="N177" s="73">
        <f t="shared" si="48"/>
        <v>25.8168</v>
      </c>
      <c r="O177" s="73">
        <f t="shared" si="37"/>
        <v>0.0222222222222222</v>
      </c>
      <c r="P177" s="73">
        <f t="shared" si="38"/>
        <v>0.688888888888889</v>
      </c>
      <c r="Q177" s="73">
        <f t="shared" si="39"/>
        <v>21.514</v>
      </c>
      <c r="R177" s="73">
        <f t="shared" si="40"/>
        <v>0.688888888888889</v>
      </c>
      <c r="S177" s="73">
        <f t="shared" si="41"/>
        <v>0.0222222222222222</v>
      </c>
      <c r="T177" s="73">
        <f t="shared" si="42"/>
        <v>0.0222222222222222</v>
      </c>
      <c r="U177" s="73">
        <f t="shared" si="43"/>
        <v>21.514</v>
      </c>
      <c r="V177" s="75">
        <f>_xlfn.XLOOKUP(B177,[1]Sheet1!$B:$B,[1]Sheet1!$P:$P)</f>
        <v>0</v>
      </c>
      <c r="W177" s="73">
        <f t="shared" si="44"/>
        <v>0</v>
      </c>
      <c r="X177" s="73">
        <f t="shared" si="45"/>
        <v>0</v>
      </c>
      <c r="Y177" s="73">
        <f t="shared" si="49"/>
        <v>0</v>
      </c>
      <c r="Z177" s="75">
        <f>_xlfn.XLOOKUP(B177,[1]Sheet1!$B:$B,[1]Sheet1!$Q:$Q)</f>
        <v>0</v>
      </c>
      <c r="AA177" s="73">
        <f t="shared" si="50"/>
        <v>0</v>
      </c>
      <c r="AB177" s="73">
        <f t="shared" si="46"/>
        <v>0</v>
      </c>
      <c r="AC177" s="73">
        <f t="shared" si="47"/>
        <v>0</v>
      </c>
      <c r="AD177" s="68" t="s">
        <v>537</v>
      </c>
      <c r="AE177" s="87"/>
      <c r="AF177" s="61"/>
    </row>
    <row r="178" customHeight="1" spans="1:32">
      <c r="H178" s="117"/>
      <c r="AE178" s="61"/>
      <c r="AF178" s="6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AF177" etc:filterBottomFollowUsedRange="0">
    <sortState ref="A3:AF177">
      <sortCondition ref="K3" descending="1"/>
    </sortState>
    <extLst/>
  </autoFilter>
  <mergeCells count="3">
    <mergeCell ref="R1:U2"/>
    <mergeCell ref="V1:Y2"/>
    <mergeCell ref="Z1:AC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83"/>
  <sheetViews>
    <sheetView workbookViewId="0">
      <pane ySplit="3" topLeftCell="A4" activePane="bottomLeft" state="frozen"/>
      <selection/>
      <selection pane="bottomLeft" activeCell="B173" sqref="B173"/>
    </sheetView>
  </sheetViews>
  <sheetFormatPr defaultColWidth="9" defaultRowHeight="11.25" customHeight="1"/>
  <cols>
    <col min="1" max="1" width="9" style="7" hidden="1" customWidth="1"/>
    <col min="2" max="2" width="24.3333333333333" style="7" customWidth="1"/>
    <col min="3" max="5" width="9" style="7" customWidth="1"/>
    <col min="6" max="10" width="6.66666666666667" style="7" customWidth="1"/>
    <col min="11" max="11" width="6.66666666666667" style="24" customWidth="1"/>
    <col min="12" max="14" width="8.66666666666667" style="7" hidden="1" customWidth="1"/>
    <col min="15" max="17" width="7.5" style="7" hidden="1" customWidth="1"/>
    <col min="18" max="21" width="7.25" style="7" customWidth="1"/>
    <col min="22" max="22" width="7.5" style="7" customWidth="1"/>
    <col min="23" max="23" width="7.25" style="7" customWidth="1"/>
    <col min="24" max="25" width="7.5" style="7" customWidth="1"/>
    <col min="26" max="26" width="8.875" style="7" customWidth="1"/>
    <col min="27" max="27" width="8.25" customWidth="1"/>
    <col min="28" max="28" width="7.5" style="7" customWidth="1"/>
    <col min="29" max="29" width="7" style="7" customWidth="1"/>
    <col min="30" max="30" width="11.5" style="61" customWidth="1"/>
  </cols>
  <sheetData>
    <row r="1" customHeight="1" spans="1:30">
      <c r="R1" s="8" t="s">
        <v>534</v>
      </c>
      <c r="S1" s="8"/>
      <c r="T1" s="8"/>
      <c r="U1" s="8"/>
      <c r="V1" s="26" t="s">
        <v>1</v>
      </c>
      <c r="W1" s="26"/>
      <c r="X1" s="26"/>
      <c r="Y1" s="62"/>
      <c r="Z1" s="28" t="s">
        <v>2</v>
      </c>
      <c r="AA1" s="28"/>
      <c r="AB1" s="28"/>
      <c r="AC1" s="29"/>
    </row>
    <row r="2" customHeight="1" spans="1:30">
      <c r="R2" s="8"/>
      <c r="S2" s="8"/>
      <c r="T2" s="8"/>
      <c r="U2" s="8"/>
      <c r="V2" s="32"/>
      <c r="W2" s="32"/>
      <c r="X2" s="32"/>
      <c r="Y2" s="63"/>
      <c r="Z2" s="34"/>
      <c r="AA2" s="34"/>
      <c r="AB2" s="34"/>
      <c r="AC2" s="35"/>
    </row>
    <row r="3" ht="27" customHeight="1" spans="1:30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38" t="s">
        <v>13</v>
      </c>
      <c r="L3" s="17" t="s">
        <v>14</v>
      </c>
      <c r="M3" s="17" t="s">
        <v>15</v>
      </c>
      <c r="N3" s="17" t="s">
        <v>16</v>
      </c>
      <c r="O3" s="18" t="s">
        <v>17</v>
      </c>
      <c r="P3" s="18" t="s">
        <v>18</v>
      </c>
      <c r="Q3" s="18" t="s">
        <v>535</v>
      </c>
      <c r="R3" s="8" t="s">
        <v>20</v>
      </c>
      <c r="S3" s="8" t="s">
        <v>21</v>
      </c>
      <c r="T3" s="8" t="s">
        <v>22</v>
      </c>
      <c r="U3" s="8" t="s">
        <v>23</v>
      </c>
      <c r="V3" s="39" t="s">
        <v>24</v>
      </c>
      <c r="W3" s="39" t="s">
        <v>21</v>
      </c>
      <c r="X3" s="39" t="s">
        <v>25</v>
      </c>
      <c r="Y3" s="40" t="s">
        <v>26</v>
      </c>
      <c r="Z3" s="43" t="s">
        <v>24</v>
      </c>
      <c r="AA3" s="43" t="s">
        <v>21</v>
      </c>
      <c r="AB3" s="43" t="s">
        <v>25</v>
      </c>
      <c r="AC3" s="44" t="s">
        <v>27</v>
      </c>
      <c r="AD3" s="64" t="s">
        <v>536</v>
      </c>
    </row>
    <row r="4" ht="15" customHeight="1" spans="1:30">
      <c r="A4" s="1" t="s">
        <v>131</v>
      </c>
      <c r="B4" s="65" t="s">
        <v>132</v>
      </c>
      <c r="C4" s="65" t="s">
        <v>34</v>
      </c>
      <c r="D4" s="65" t="s">
        <v>35</v>
      </c>
      <c r="E4" s="65" t="s">
        <v>106</v>
      </c>
      <c r="F4" s="65">
        <v>43.6</v>
      </c>
      <c r="G4" s="65">
        <v>3149</v>
      </c>
      <c r="H4" s="65">
        <v>5</v>
      </c>
      <c r="I4" s="65">
        <v>629</v>
      </c>
      <c r="J4" s="65">
        <v>2876</v>
      </c>
      <c r="K4" s="65">
        <v>183316</v>
      </c>
      <c r="L4" s="66">
        <f t="shared" ref="L4:L8" si="0">(G4-(H4*50))/50</f>
        <v>57.98</v>
      </c>
      <c r="M4" s="66">
        <f t="shared" ref="M4:M67" si="1">31*(L4+H4)</f>
        <v>1952.38</v>
      </c>
      <c r="N4" s="66">
        <f t="shared" ref="N4:N12" si="2">M4*F4</f>
        <v>85123.768</v>
      </c>
      <c r="O4" s="66">
        <f t="shared" ref="O4:O67" si="3">(G4-(H4*90))/90</f>
        <v>29.9888888888889</v>
      </c>
      <c r="P4" s="66">
        <f t="shared" ref="P4:P67" si="4">31*(O4+H4)</f>
        <v>1084.65555555556</v>
      </c>
      <c r="Q4" s="66">
        <f t="shared" ref="Q4:Q67" si="5">(O4+H4)*31*F4*1.5</f>
        <v>70936.4733333333</v>
      </c>
      <c r="R4" s="66">
        <f t="shared" ref="R4:R67" si="6">P4</f>
        <v>1084.65555555556</v>
      </c>
      <c r="S4" s="66">
        <f t="shared" ref="S4:S67" si="7">R4/31</f>
        <v>34.9888888888889</v>
      </c>
      <c r="T4" s="66">
        <f t="shared" ref="T4:T67" si="8">S4-H4</f>
        <v>29.9888888888889</v>
      </c>
      <c r="U4" s="66">
        <f t="shared" ref="U4:U67" si="9">Q4</f>
        <v>70936.4733333333</v>
      </c>
      <c r="V4" s="67">
        <v>0.6</v>
      </c>
      <c r="W4" s="66">
        <f t="shared" ref="W4:W67" si="10">X4/31</f>
        <v>20.9933333333334</v>
      </c>
      <c r="X4" s="66">
        <f t="shared" ref="X4:X67" si="11">R4*V4</f>
        <v>650.793333333336</v>
      </c>
      <c r="Y4" s="66">
        <f t="shared" ref="Y4:Y67" si="12">X4*F4*1.5</f>
        <v>42561.8840000002</v>
      </c>
      <c r="Z4" s="67">
        <v>0.4</v>
      </c>
      <c r="AA4" s="66">
        <f t="shared" ref="AA4:AA67" si="13">AB4/31</f>
        <v>13.9955555555556</v>
      </c>
      <c r="AB4" s="66">
        <f t="shared" ref="AB4:AB67" si="14">R4*Z4</f>
        <v>433.862222222224</v>
      </c>
      <c r="AC4" s="66">
        <f t="shared" ref="AC4:AC67" si="15">F4*AB4*1.5</f>
        <v>28374.5893333335</v>
      </c>
      <c r="AD4" s="68" t="s">
        <v>547</v>
      </c>
    </row>
    <row r="5" ht="15" customHeight="1" spans="1:30">
      <c r="A5" s="1" t="s">
        <v>538</v>
      </c>
      <c r="B5" s="65" t="s">
        <v>546</v>
      </c>
      <c r="C5" s="65" t="s">
        <v>34</v>
      </c>
      <c r="D5" s="65" t="s">
        <v>35</v>
      </c>
      <c r="E5" s="65" t="s">
        <v>141</v>
      </c>
      <c r="F5" s="65">
        <v>93.8</v>
      </c>
      <c r="G5" s="65">
        <v>2163</v>
      </c>
      <c r="H5" s="65">
        <v>19</v>
      </c>
      <c r="I5" s="65">
        <v>113</v>
      </c>
      <c r="J5" s="65">
        <v>1208</v>
      </c>
      <c r="K5" s="65">
        <v>134134</v>
      </c>
      <c r="L5" s="66">
        <f t="shared" si="0"/>
        <v>24.26</v>
      </c>
      <c r="M5" s="66">
        <f t="shared" si="1"/>
        <v>1341.06</v>
      </c>
      <c r="N5" s="66">
        <f t="shared" si="2"/>
        <v>125791.428</v>
      </c>
      <c r="O5" s="66">
        <f t="shared" si="3"/>
        <v>5.03333333333333</v>
      </c>
      <c r="P5" s="66">
        <f t="shared" si="4"/>
        <v>745.033333333333</v>
      </c>
      <c r="Q5" s="66">
        <f t="shared" si="5"/>
        <v>104826.19</v>
      </c>
      <c r="R5" s="66">
        <f t="shared" si="6"/>
        <v>745.033333333333</v>
      </c>
      <c r="S5" s="66">
        <f t="shared" si="7"/>
        <v>24.0333333333333</v>
      </c>
      <c r="T5" s="66">
        <f t="shared" si="8"/>
        <v>5.03333333333333</v>
      </c>
      <c r="U5" s="66">
        <f t="shared" si="9"/>
        <v>104826.19</v>
      </c>
      <c r="V5" s="67">
        <v>0.7</v>
      </c>
      <c r="W5" s="66">
        <f t="shared" si="10"/>
        <v>16.8233333333333</v>
      </c>
      <c r="X5" s="66">
        <f t="shared" si="11"/>
        <v>521.523333333333</v>
      </c>
      <c r="Y5" s="66">
        <f t="shared" si="12"/>
        <v>73378.333</v>
      </c>
      <c r="Z5" s="67">
        <v>0.3</v>
      </c>
      <c r="AA5" s="66">
        <f t="shared" si="13"/>
        <v>7.21</v>
      </c>
      <c r="AB5" s="66">
        <f t="shared" si="14"/>
        <v>223.51</v>
      </c>
      <c r="AC5" s="66">
        <f t="shared" si="15"/>
        <v>31447.857</v>
      </c>
      <c r="AD5" s="68" t="s">
        <v>547</v>
      </c>
    </row>
    <row r="6" ht="15" customHeight="1" spans="1:30">
      <c r="A6" s="1" t="s">
        <v>147</v>
      </c>
      <c r="B6" s="65" t="s">
        <v>148</v>
      </c>
      <c r="C6" s="65" t="s">
        <v>34</v>
      </c>
      <c r="D6" s="65" t="s">
        <v>35</v>
      </c>
      <c r="E6" s="65" t="s">
        <v>106</v>
      </c>
      <c r="F6" s="65">
        <v>34.01</v>
      </c>
      <c r="G6" s="65">
        <v>2746</v>
      </c>
      <c r="H6" s="65">
        <v>9</v>
      </c>
      <c r="I6" s="65">
        <v>305</v>
      </c>
      <c r="J6" s="65">
        <v>2288</v>
      </c>
      <c r="K6" s="65">
        <v>110481</v>
      </c>
      <c r="L6" s="66">
        <f t="shared" si="0"/>
        <v>45.92</v>
      </c>
      <c r="M6" s="66">
        <f t="shared" si="1"/>
        <v>1702.52</v>
      </c>
      <c r="N6" s="66">
        <f t="shared" si="2"/>
        <v>57902.7052</v>
      </c>
      <c r="O6" s="66">
        <f t="shared" si="3"/>
        <v>21.5111111111111</v>
      </c>
      <c r="P6" s="66">
        <f t="shared" si="4"/>
        <v>945.844444444445</v>
      </c>
      <c r="Q6" s="66">
        <f t="shared" si="5"/>
        <v>48252.2543333333</v>
      </c>
      <c r="R6" s="66">
        <f t="shared" si="6"/>
        <v>945.844444444445</v>
      </c>
      <c r="S6" s="66">
        <f t="shared" si="7"/>
        <v>30.5111111111111</v>
      </c>
      <c r="T6" s="66">
        <f t="shared" si="8"/>
        <v>21.5111111111111</v>
      </c>
      <c r="U6" s="66">
        <f t="shared" si="9"/>
        <v>48252.2543333333</v>
      </c>
      <c r="V6" s="67">
        <v>0.6</v>
      </c>
      <c r="W6" s="66">
        <f t="shared" si="10"/>
        <v>18.3066666666667</v>
      </c>
      <c r="X6" s="66">
        <f t="shared" si="11"/>
        <v>567.506666666667</v>
      </c>
      <c r="Y6" s="66">
        <f t="shared" si="12"/>
        <v>28951.3526</v>
      </c>
      <c r="Z6" s="67">
        <v>0.4</v>
      </c>
      <c r="AA6" s="66">
        <f t="shared" si="13"/>
        <v>12.2044444444445</v>
      </c>
      <c r="AB6" s="66">
        <f t="shared" si="14"/>
        <v>378.337777777778</v>
      </c>
      <c r="AC6" s="66">
        <f t="shared" si="15"/>
        <v>19300.9017333333</v>
      </c>
      <c r="AD6" s="68" t="s">
        <v>547</v>
      </c>
    </row>
    <row r="7" ht="15" customHeight="1" spans="1:30">
      <c r="A7" s="1" t="s">
        <v>55</v>
      </c>
      <c r="B7" s="65" t="s">
        <v>56</v>
      </c>
      <c r="C7" s="65" t="s">
        <v>34</v>
      </c>
      <c r="D7" s="65" t="s">
        <v>35</v>
      </c>
      <c r="E7" s="65" t="s">
        <v>57</v>
      </c>
      <c r="F7" s="65">
        <v>211.75</v>
      </c>
      <c r="G7" s="65">
        <v>1465</v>
      </c>
      <c r="H7" s="65">
        <v>20</v>
      </c>
      <c r="I7" s="65">
        <v>73</v>
      </c>
      <c r="J7" s="65">
        <v>464</v>
      </c>
      <c r="K7" s="65">
        <v>98252</v>
      </c>
      <c r="L7" s="66">
        <f t="shared" si="0"/>
        <v>9.3</v>
      </c>
      <c r="M7" s="66">
        <f t="shared" si="1"/>
        <v>908.3</v>
      </c>
      <c r="N7" s="66">
        <f t="shared" si="2"/>
        <v>192332.525</v>
      </c>
      <c r="O7" s="66">
        <f t="shared" si="3"/>
        <v>-3.72222222222222</v>
      </c>
      <c r="P7" s="66">
        <f t="shared" si="4"/>
        <v>504.611111111111</v>
      </c>
      <c r="Q7" s="66">
        <f t="shared" si="5"/>
        <v>160277.104166667</v>
      </c>
      <c r="R7" s="66">
        <f t="shared" si="6"/>
        <v>504.611111111111</v>
      </c>
      <c r="S7" s="66">
        <f t="shared" si="7"/>
        <v>16.2777777777778</v>
      </c>
      <c r="T7" s="66">
        <f t="shared" si="8"/>
        <v>-3.72222222222222</v>
      </c>
      <c r="U7" s="66">
        <f t="shared" si="9"/>
        <v>160277.104166667</v>
      </c>
      <c r="V7" s="67">
        <v>0.4</v>
      </c>
      <c r="W7" s="66">
        <f t="shared" si="10"/>
        <v>6.51111111111111</v>
      </c>
      <c r="X7" s="66">
        <f t="shared" si="11"/>
        <v>201.844444444444</v>
      </c>
      <c r="Y7" s="66">
        <f t="shared" si="12"/>
        <v>64110.8416666667</v>
      </c>
      <c r="Z7" s="67">
        <v>0.6</v>
      </c>
      <c r="AA7" s="66">
        <f t="shared" si="13"/>
        <v>9.76666666666666</v>
      </c>
      <c r="AB7" s="66">
        <f t="shared" si="14"/>
        <v>302.766666666667</v>
      </c>
      <c r="AC7" s="66">
        <f t="shared" si="15"/>
        <v>96166.2625</v>
      </c>
      <c r="AD7" s="68" t="s">
        <v>547</v>
      </c>
    </row>
    <row r="8" ht="15" customHeight="1" spans="1:30">
      <c r="A8" s="1" t="s">
        <v>544</v>
      </c>
      <c r="B8" s="65" t="s">
        <v>560</v>
      </c>
      <c r="C8" s="65" t="s">
        <v>34</v>
      </c>
      <c r="D8" s="65" t="s">
        <v>35</v>
      </c>
      <c r="E8" s="65" t="s">
        <v>141</v>
      </c>
      <c r="F8" s="65">
        <v>78.76</v>
      </c>
      <c r="G8" s="65">
        <v>1563</v>
      </c>
      <c r="H8" s="65">
        <v>14</v>
      </c>
      <c r="I8" s="65">
        <v>111</v>
      </c>
      <c r="J8" s="65">
        <v>820</v>
      </c>
      <c r="K8" s="65">
        <v>73444</v>
      </c>
      <c r="L8" s="66">
        <f t="shared" si="0"/>
        <v>17.26</v>
      </c>
      <c r="M8" s="66">
        <f t="shared" si="1"/>
        <v>969.06</v>
      </c>
      <c r="N8" s="66">
        <f t="shared" si="2"/>
        <v>76323.1656</v>
      </c>
      <c r="O8" s="66">
        <f t="shared" si="3"/>
        <v>3.36666666666667</v>
      </c>
      <c r="P8" s="66">
        <f t="shared" si="4"/>
        <v>538.366666666667</v>
      </c>
      <c r="Q8" s="66">
        <f t="shared" si="5"/>
        <v>63602.638</v>
      </c>
      <c r="R8" s="66">
        <f t="shared" si="6"/>
        <v>538.366666666667</v>
      </c>
      <c r="S8" s="66">
        <f t="shared" si="7"/>
        <v>17.3666666666667</v>
      </c>
      <c r="T8" s="66">
        <f t="shared" si="8"/>
        <v>3.36666666666667</v>
      </c>
      <c r="U8" s="66">
        <f t="shared" si="9"/>
        <v>63602.638</v>
      </c>
      <c r="V8" s="67">
        <v>0.7</v>
      </c>
      <c r="W8" s="66">
        <f t="shared" si="10"/>
        <v>12.1566666666667</v>
      </c>
      <c r="X8" s="66">
        <f t="shared" si="11"/>
        <v>376.856666666667</v>
      </c>
      <c r="Y8" s="66">
        <f t="shared" si="12"/>
        <v>44521.8466</v>
      </c>
      <c r="Z8" s="67">
        <v>0.3</v>
      </c>
      <c r="AA8" s="66">
        <f t="shared" si="13"/>
        <v>5.21</v>
      </c>
      <c r="AB8" s="66">
        <f t="shared" si="14"/>
        <v>161.51</v>
      </c>
      <c r="AC8" s="66">
        <f t="shared" si="15"/>
        <v>19080.7914</v>
      </c>
      <c r="AD8" s="68" t="s">
        <v>547</v>
      </c>
    </row>
    <row r="9" ht="15" customHeight="1" spans="1:30">
      <c r="A9" s="1" t="s">
        <v>78</v>
      </c>
      <c r="B9" s="65" t="s">
        <v>79</v>
      </c>
      <c r="C9" s="65" t="s">
        <v>34</v>
      </c>
      <c r="D9" s="65" t="s">
        <v>51</v>
      </c>
      <c r="E9" s="65" t="s">
        <v>80</v>
      </c>
      <c r="F9" s="65">
        <v>123.29</v>
      </c>
      <c r="G9" s="65">
        <v>842</v>
      </c>
      <c r="H9" s="65">
        <v>7</v>
      </c>
      <c r="I9" s="65">
        <v>120</v>
      </c>
      <c r="J9" s="65">
        <v>471</v>
      </c>
      <c r="K9" s="65">
        <v>68796</v>
      </c>
      <c r="L9" s="66">
        <f t="shared" ref="L9:L72" si="16">(G9-(H9*50))/50</f>
        <v>9.84</v>
      </c>
      <c r="M9" s="66">
        <f t="shared" si="1"/>
        <v>522.04</v>
      </c>
      <c r="N9" s="66">
        <f t="shared" si="2"/>
        <v>64362.3116</v>
      </c>
      <c r="O9" s="66">
        <f t="shared" si="3"/>
        <v>2.35555555555556</v>
      </c>
      <c r="P9" s="66">
        <f t="shared" si="4"/>
        <v>290.022222222222</v>
      </c>
      <c r="Q9" s="66">
        <f t="shared" si="5"/>
        <v>53635.2596666667</v>
      </c>
      <c r="R9" s="66">
        <f t="shared" si="6"/>
        <v>290.022222222222</v>
      </c>
      <c r="S9" s="66">
        <f t="shared" si="7"/>
        <v>9.35555555555556</v>
      </c>
      <c r="T9" s="66">
        <f t="shared" si="8"/>
        <v>2.35555555555556</v>
      </c>
      <c r="U9" s="66">
        <f t="shared" si="9"/>
        <v>53635.2596666667</v>
      </c>
      <c r="V9" s="67">
        <v>0.4</v>
      </c>
      <c r="W9" s="66">
        <f t="shared" si="10"/>
        <v>3.74222222222222</v>
      </c>
      <c r="X9" s="66">
        <f t="shared" si="11"/>
        <v>116.008888888889</v>
      </c>
      <c r="Y9" s="66">
        <f t="shared" si="12"/>
        <v>21454.1038666667</v>
      </c>
      <c r="Z9" s="67">
        <v>0.6</v>
      </c>
      <c r="AA9" s="66">
        <f t="shared" si="13"/>
        <v>5.61333333333333</v>
      </c>
      <c r="AB9" s="66">
        <f t="shared" si="14"/>
        <v>174.013333333333</v>
      </c>
      <c r="AC9" s="66">
        <f t="shared" si="15"/>
        <v>32181.1558</v>
      </c>
      <c r="AD9" s="68" t="s">
        <v>547</v>
      </c>
    </row>
    <row r="10" ht="15" customHeight="1" spans="1:30">
      <c r="A10" s="1" t="s">
        <v>104</v>
      </c>
      <c r="B10" s="65" t="s">
        <v>105</v>
      </c>
      <c r="C10" s="65" t="s">
        <v>34</v>
      </c>
      <c r="D10" s="65" t="s">
        <v>35</v>
      </c>
      <c r="E10" s="65" t="s">
        <v>106</v>
      </c>
      <c r="F10" s="65">
        <v>88.35</v>
      </c>
      <c r="G10" s="65">
        <v>742</v>
      </c>
      <c r="H10" s="65">
        <v>5</v>
      </c>
      <c r="I10" s="65">
        <v>148</v>
      </c>
      <c r="J10" s="65">
        <v>482</v>
      </c>
      <c r="K10" s="65">
        <v>54689</v>
      </c>
      <c r="L10" s="66">
        <f t="shared" si="16"/>
        <v>9.84</v>
      </c>
      <c r="M10" s="66">
        <f t="shared" si="1"/>
        <v>460.04</v>
      </c>
      <c r="N10" s="66">
        <f t="shared" si="2"/>
        <v>40644.534</v>
      </c>
      <c r="O10" s="66">
        <f t="shared" si="3"/>
        <v>3.24444444444444</v>
      </c>
      <c r="P10" s="66">
        <f t="shared" si="4"/>
        <v>255.577777777778</v>
      </c>
      <c r="Q10" s="66">
        <f t="shared" si="5"/>
        <v>33870.445</v>
      </c>
      <c r="R10" s="66">
        <f t="shared" si="6"/>
        <v>255.577777777778</v>
      </c>
      <c r="S10" s="66">
        <f t="shared" si="7"/>
        <v>8.24444444444444</v>
      </c>
      <c r="T10" s="66">
        <f t="shared" si="8"/>
        <v>3.24444444444444</v>
      </c>
      <c r="U10" s="66">
        <f t="shared" si="9"/>
        <v>33870.445</v>
      </c>
      <c r="V10" s="67">
        <v>0.8</v>
      </c>
      <c r="W10" s="66">
        <f t="shared" si="10"/>
        <v>6.59555555555556</v>
      </c>
      <c r="X10" s="66">
        <f t="shared" si="11"/>
        <v>204.462222222222</v>
      </c>
      <c r="Y10" s="66">
        <f t="shared" si="12"/>
        <v>27096.356</v>
      </c>
      <c r="Z10" s="67">
        <v>0.2</v>
      </c>
      <c r="AA10" s="66">
        <f t="shared" si="13"/>
        <v>1.64888888888889</v>
      </c>
      <c r="AB10" s="66">
        <f t="shared" si="14"/>
        <v>51.1155555555556</v>
      </c>
      <c r="AC10" s="66">
        <f t="shared" si="15"/>
        <v>6774.08900000001</v>
      </c>
      <c r="AD10" s="68" t="s">
        <v>547</v>
      </c>
    </row>
    <row r="11" ht="15" customHeight="1" spans="1:30">
      <c r="A11" s="1" t="s">
        <v>549</v>
      </c>
      <c r="B11" s="65" t="s">
        <v>570</v>
      </c>
      <c r="C11" s="65" t="s">
        <v>34</v>
      </c>
      <c r="D11" s="65" t="s">
        <v>51</v>
      </c>
      <c r="E11" s="65" t="s">
        <v>283</v>
      </c>
      <c r="F11" s="65">
        <v>76.15</v>
      </c>
      <c r="G11" s="65">
        <v>875</v>
      </c>
      <c r="H11" s="65">
        <v>6</v>
      </c>
      <c r="I11" s="65">
        <v>145</v>
      </c>
      <c r="J11" s="65">
        <v>550</v>
      </c>
      <c r="K11" s="65">
        <v>52924</v>
      </c>
      <c r="L11" s="66">
        <f t="shared" si="16"/>
        <v>11.5</v>
      </c>
      <c r="M11" s="66">
        <f t="shared" si="1"/>
        <v>542.5</v>
      </c>
      <c r="N11" s="66">
        <f t="shared" si="2"/>
        <v>41311.375</v>
      </c>
      <c r="O11" s="66">
        <f t="shared" si="3"/>
        <v>3.72222222222222</v>
      </c>
      <c r="P11" s="66">
        <f t="shared" si="4"/>
        <v>301.388888888889</v>
      </c>
      <c r="Q11" s="66">
        <f t="shared" si="5"/>
        <v>34426.1458333333</v>
      </c>
      <c r="R11" s="66">
        <f t="shared" si="6"/>
        <v>301.388888888889</v>
      </c>
      <c r="S11" s="66">
        <f t="shared" si="7"/>
        <v>9.72222222222222</v>
      </c>
      <c r="T11" s="66">
        <f t="shared" si="8"/>
        <v>3.72222222222222</v>
      </c>
      <c r="U11" s="66">
        <f t="shared" si="9"/>
        <v>34426.1458333333</v>
      </c>
      <c r="V11" s="67">
        <v>0.5</v>
      </c>
      <c r="W11" s="66">
        <f t="shared" si="10"/>
        <v>4.86111111111111</v>
      </c>
      <c r="X11" s="66">
        <f t="shared" si="11"/>
        <v>150.694444444445</v>
      </c>
      <c r="Y11" s="66">
        <f t="shared" si="12"/>
        <v>17213.0729166667</v>
      </c>
      <c r="Z11" s="67">
        <v>0.5</v>
      </c>
      <c r="AA11" s="66">
        <f t="shared" si="13"/>
        <v>4.86111111111111</v>
      </c>
      <c r="AB11" s="66">
        <f t="shared" si="14"/>
        <v>150.694444444445</v>
      </c>
      <c r="AC11" s="66">
        <f t="shared" si="15"/>
        <v>17213.0729166667</v>
      </c>
      <c r="AD11" s="68" t="s">
        <v>547</v>
      </c>
    </row>
    <row r="12" ht="15" customHeight="1" spans="1:30">
      <c r="A12" s="1" t="s">
        <v>49</v>
      </c>
      <c r="B12" s="65" t="s">
        <v>50</v>
      </c>
      <c r="C12" s="65" t="s">
        <v>34</v>
      </c>
      <c r="D12" s="65" t="s">
        <v>51</v>
      </c>
      <c r="E12" s="65" t="s">
        <v>52</v>
      </c>
      <c r="F12" s="65">
        <v>712.84</v>
      </c>
      <c r="G12" s="65">
        <v>211</v>
      </c>
      <c r="H12" s="65">
        <v>2</v>
      </c>
      <c r="I12" s="65">
        <v>105</v>
      </c>
      <c r="J12" s="65">
        <v>74</v>
      </c>
      <c r="K12" s="65">
        <v>52750</v>
      </c>
      <c r="L12" s="66">
        <f t="shared" si="16"/>
        <v>2.22</v>
      </c>
      <c r="M12" s="66">
        <f t="shared" si="1"/>
        <v>130.82</v>
      </c>
      <c r="N12" s="66">
        <f t="shared" si="2"/>
        <v>93253.7288</v>
      </c>
      <c r="O12" s="66">
        <f t="shared" si="3"/>
        <v>0.344444444444444</v>
      </c>
      <c r="P12" s="66">
        <f t="shared" si="4"/>
        <v>72.6777777777778</v>
      </c>
      <c r="Q12" s="66">
        <f t="shared" si="5"/>
        <v>77711.4406666667</v>
      </c>
      <c r="R12" s="66">
        <f t="shared" si="6"/>
        <v>72.6777777777778</v>
      </c>
      <c r="S12" s="66">
        <f t="shared" si="7"/>
        <v>2.34444444444444</v>
      </c>
      <c r="T12" s="66">
        <f t="shared" si="8"/>
        <v>0.344444444444445</v>
      </c>
      <c r="U12" s="66">
        <f t="shared" si="9"/>
        <v>77711.4406666667</v>
      </c>
      <c r="V12" s="67">
        <v>0.3</v>
      </c>
      <c r="W12" s="66">
        <f t="shared" si="10"/>
        <v>0.703333333333334</v>
      </c>
      <c r="X12" s="66">
        <f t="shared" si="11"/>
        <v>21.8033333333333</v>
      </c>
      <c r="Y12" s="66">
        <f t="shared" si="12"/>
        <v>23313.4322</v>
      </c>
      <c r="Z12" s="67">
        <v>0.7</v>
      </c>
      <c r="AA12" s="66">
        <f t="shared" si="13"/>
        <v>1.64111111111111</v>
      </c>
      <c r="AB12" s="66">
        <f t="shared" si="14"/>
        <v>50.8744444444445</v>
      </c>
      <c r="AC12" s="66">
        <f t="shared" si="15"/>
        <v>54398.0084666667</v>
      </c>
      <c r="AD12" s="68" t="s">
        <v>547</v>
      </c>
    </row>
    <row r="13" ht="15" customHeight="1" spans="1:30">
      <c r="A13" s="1" t="s">
        <v>123</v>
      </c>
      <c r="B13" s="65" t="s">
        <v>124</v>
      </c>
      <c r="C13" s="65" t="s">
        <v>34</v>
      </c>
      <c r="D13" s="65" t="s">
        <v>35</v>
      </c>
      <c r="E13" s="65" t="s">
        <v>125</v>
      </c>
      <c r="F13" s="65">
        <v>94.05</v>
      </c>
      <c r="G13" s="65">
        <v>1342</v>
      </c>
      <c r="H13" s="65">
        <v>15</v>
      </c>
      <c r="I13" s="65">
        <v>89</v>
      </c>
      <c r="J13" s="65">
        <v>552</v>
      </c>
      <c r="K13" s="65">
        <v>51916</v>
      </c>
      <c r="L13" s="66">
        <f t="shared" si="16"/>
        <v>11.84</v>
      </c>
      <c r="M13" s="66">
        <f t="shared" si="1"/>
        <v>832.04</v>
      </c>
      <c r="N13" s="66" t="s">
        <v>92</v>
      </c>
      <c r="O13" s="66">
        <f t="shared" si="3"/>
        <v>-0.0888888888888889</v>
      </c>
      <c r="P13" s="66">
        <f t="shared" si="4"/>
        <v>462.244444444444</v>
      </c>
      <c r="Q13" s="66">
        <f t="shared" si="5"/>
        <v>65211.135</v>
      </c>
      <c r="R13" s="66">
        <f t="shared" si="6"/>
        <v>462.244444444444</v>
      </c>
      <c r="S13" s="66">
        <f t="shared" si="7"/>
        <v>14.9111111111111</v>
      </c>
      <c r="T13" s="66">
        <f t="shared" si="8"/>
        <v>-0.0888888888888886</v>
      </c>
      <c r="U13" s="66">
        <f t="shared" si="9"/>
        <v>65211.135</v>
      </c>
      <c r="V13" s="67">
        <v>0.5</v>
      </c>
      <c r="W13" s="66">
        <f t="shared" si="10"/>
        <v>7.45555555555555</v>
      </c>
      <c r="X13" s="66">
        <f t="shared" si="11"/>
        <v>231.122222222222</v>
      </c>
      <c r="Y13" s="66">
        <f t="shared" si="12"/>
        <v>32605.5675</v>
      </c>
      <c r="Z13" s="67">
        <v>0.5</v>
      </c>
      <c r="AA13" s="66">
        <f t="shared" si="13"/>
        <v>7.45555555555555</v>
      </c>
      <c r="AB13" s="66">
        <f t="shared" si="14"/>
        <v>231.122222222222</v>
      </c>
      <c r="AC13" s="66">
        <f t="shared" si="15"/>
        <v>32605.5675</v>
      </c>
      <c r="AD13" s="68" t="s">
        <v>547</v>
      </c>
    </row>
    <row r="14" ht="15" customHeight="1" spans="1:30">
      <c r="A14" s="1" t="s">
        <v>96</v>
      </c>
      <c r="B14" s="65" t="s">
        <v>97</v>
      </c>
      <c r="C14" s="65" t="s">
        <v>34</v>
      </c>
      <c r="D14" s="65" t="s">
        <v>51</v>
      </c>
      <c r="E14" s="65" t="s">
        <v>61</v>
      </c>
      <c r="F14" s="65">
        <v>37.88</v>
      </c>
      <c r="G14" s="65">
        <v>1221</v>
      </c>
      <c r="H14" s="65">
        <v>5</v>
      </c>
      <c r="I14" s="65">
        <v>244</v>
      </c>
      <c r="J14" s="65">
        <v>968</v>
      </c>
      <c r="K14" s="65">
        <v>51157</v>
      </c>
      <c r="L14" s="66">
        <f t="shared" si="16"/>
        <v>19.42</v>
      </c>
      <c r="M14" s="66">
        <f t="shared" si="1"/>
        <v>757.02</v>
      </c>
      <c r="N14" s="66">
        <f t="shared" ref="N14:N77" si="17">M14*F14</f>
        <v>28675.9176</v>
      </c>
      <c r="O14" s="66">
        <f t="shared" si="3"/>
        <v>8.56666666666667</v>
      </c>
      <c r="P14" s="66">
        <f t="shared" si="4"/>
        <v>420.566666666667</v>
      </c>
      <c r="Q14" s="66">
        <f t="shared" si="5"/>
        <v>23896.598</v>
      </c>
      <c r="R14" s="66">
        <f t="shared" si="6"/>
        <v>420.566666666667</v>
      </c>
      <c r="S14" s="66">
        <f t="shared" si="7"/>
        <v>13.5666666666667</v>
      </c>
      <c r="T14" s="66">
        <f t="shared" si="8"/>
        <v>8.56666666666667</v>
      </c>
      <c r="U14" s="66">
        <f t="shared" si="9"/>
        <v>23896.598</v>
      </c>
      <c r="V14" s="67">
        <v>0.5</v>
      </c>
      <c r="W14" s="66">
        <f t="shared" si="10"/>
        <v>6.78333333333334</v>
      </c>
      <c r="X14" s="66">
        <f t="shared" si="11"/>
        <v>210.283333333334</v>
      </c>
      <c r="Y14" s="66">
        <f t="shared" si="12"/>
        <v>11948.299</v>
      </c>
      <c r="Z14" s="67">
        <v>0.5</v>
      </c>
      <c r="AA14" s="66">
        <f t="shared" si="13"/>
        <v>6.78333333333334</v>
      </c>
      <c r="AB14" s="66">
        <f t="shared" si="14"/>
        <v>210.283333333334</v>
      </c>
      <c r="AC14" s="66">
        <f t="shared" si="15"/>
        <v>11948.299</v>
      </c>
      <c r="AD14" s="68" t="s">
        <v>547</v>
      </c>
    </row>
    <row r="15" ht="15" customHeight="1" spans="1:30">
      <c r="A15" s="1" t="s">
        <v>116</v>
      </c>
      <c r="B15" s="69" t="s">
        <v>117</v>
      </c>
      <c r="C15" s="69" t="s">
        <v>34</v>
      </c>
      <c r="D15" s="69" t="s">
        <v>35</v>
      </c>
      <c r="E15" s="69" t="s">
        <v>41</v>
      </c>
      <c r="F15" s="69">
        <v>823.74</v>
      </c>
      <c r="G15" s="69">
        <v>53</v>
      </c>
      <c r="H15" s="69"/>
      <c r="I15" s="69"/>
      <c r="J15" s="69">
        <v>42</v>
      </c>
      <c r="K15" s="69">
        <v>48189</v>
      </c>
      <c r="L15" s="70">
        <f t="shared" si="16"/>
        <v>1.06</v>
      </c>
      <c r="M15" s="70">
        <f t="shared" si="1"/>
        <v>32.86</v>
      </c>
      <c r="N15" s="70">
        <f t="shared" si="17"/>
        <v>27068.0964</v>
      </c>
      <c r="O15" s="70">
        <f t="shared" si="3"/>
        <v>0.588888888888889</v>
      </c>
      <c r="P15" s="70">
        <f t="shared" si="4"/>
        <v>18.2555555555556</v>
      </c>
      <c r="Q15" s="70">
        <f t="shared" si="5"/>
        <v>22556.747</v>
      </c>
      <c r="R15" s="70">
        <f t="shared" si="6"/>
        <v>18.2555555555556</v>
      </c>
      <c r="S15" s="70">
        <f t="shared" si="7"/>
        <v>0.588888888888889</v>
      </c>
      <c r="T15" s="70">
        <f t="shared" si="8"/>
        <v>0.588888888888889</v>
      </c>
      <c r="U15" s="70">
        <f t="shared" si="9"/>
        <v>22556.747</v>
      </c>
      <c r="V15" s="71">
        <v>0.5</v>
      </c>
      <c r="W15" s="70">
        <f t="shared" si="10"/>
        <v>0.294444444444445</v>
      </c>
      <c r="X15" s="70">
        <f t="shared" si="11"/>
        <v>9.1277777777778</v>
      </c>
      <c r="Y15" s="70">
        <f t="shared" si="12"/>
        <v>11278.3735</v>
      </c>
      <c r="Z15" s="71">
        <v>0.5</v>
      </c>
      <c r="AA15" s="70">
        <f t="shared" si="13"/>
        <v>0.294444444444445</v>
      </c>
      <c r="AB15" s="70">
        <f t="shared" si="14"/>
        <v>9.1277777777778</v>
      </c>
      <c r="AC15" s="70">
        <f t="shared" si="15"/>
        <v>11278.3735</v>
      </c>
      <c r="AD15" s="61" t="s">
        <v>594</v>
      </c>
    </row>
    <row r="16" ht="15" customHeight="1" spans="1:30">
      <c r="A16" s="1" t="s">
        <v>552</v>
      </c>
      <c r="B16" s="1" t="s">
        <v>686</v>
      </c>
      <c r="C16" s="1" t="s">
        <v>34</v>
      </c>
      <c r="D16" s="1" t="s">
        <v>35</v>
      </c>
      <c r="E16" s="72" t="s">
        <v>687</v>
      </c>
      <c r="F16" s="72">
        <v>22.27</v>
      </c>
      <c r="G16" s="72">
        <v>2095</v>
      </c>
      <c r="H16" s="72">
        <v>10</v>
      </c>
      <c r="I16" s="72">
        <v>209</v>
      </c>
      <c r="J16" s="72">
        <v>1549</v>
      </c>
      <c r="K16" s="72">
        <v>46878</v>
      </c>
      <c r="L16" s="73">
        <f t="shared" si="16"/>
        <v>31.9</v>
      </c>
      <c r="M16" s="73">
        <f t="shared" si="1"/>
        <v>1298.9</v>
      </c>
      <c r="N16" s="73">
        <f t="shared" si="17"/>
        <v>28926.503</v>
      </c>
      <c r="O16" s="73">
        <f t="shared" si="3"/>
        <v>13.2777777777778</v>
      </c>
      <c r="P16" s="73">
        <f t="shared" si="4"/>
        <v>721.611111111111</v>
      </c>
      <c r="Q16" s="73">
        <f t="shared" si="5"/>
        <v>24105.4191666667</v>
      </c>
      <c r="R16" s="73">
        <f t="shared" si="6"/>
        <v>721.611111111111</v>
      </c>
      <c r="S16" s="73">
        <f t="shared" si="7"/>
        <v>23.2777777777778</v>
      </c>
      <c r="T16" s="73">
        <f t="shared" si="8"/>
        <v>13.2777777777778</v>
      </c>
      <c r="U16" s="73">
        <f t="shared" si="9"/>
        <v>24105.4191666667</v>
      </c>
      <c r="V16" s="74">
        <v>0.6</v>
      </c>
      <c r="W16" s="73">
        <f t="shared" si="10"/>
        <v>13.9666666666667</v>
      </c>
      <c r="X16" s="73">
        <f t="shared" si="11"/>
        <v>432.966666666667</v>
      </c>
      <c r="Y16" s="73">
        <f t="shared" si="12"/>
        <v>14463.2515</v>
      </c>
      <c r="Z16" s="75">
        <v>0.4</v>
      </c>
      <c r="AA16" s="73">
        <f t="shared" si="13"/>
        <v>9.31111111111111</v>
      </c>
      <c r="AB16" s="73">
        <f t="shared" si="14"/>
        <v>288.644444444444</v>
      </c>
      <c r="AC16" s="73">
        <f t="shared" si="15"/>
        <v>9642.16766666666</v>
      </c>
    </row>
    <row r="17" ht="15" customHeight="1" spans="1:30">
      <c r="A17" s="1" t="s">
        <v>553</v>
      </c>
      <c r="B17" s="65" t="s">
        <v>688</v>
      </c>
      <c r="C17" s="65" t="s">
        <v>34</v>
      </c>
      <c r="D17" s="65" t="s">
        <v>35</v>
      </c>
      <c r="E17" s="65" t="s">
        <v>106</v>
      </c>
      <c r="F17" s="65">
        <v>100.98</v>
      </c>
      <c r="G17" s="65">
        <v>646</v>
      </c>
      <c r="H17" s="65">
        <v>5</v>
      </c>
      <c r="I17" s="65">
        <v>129</v>
      </c>
      <c r="J17" s="65">
        <v>380</v>
      </c>
      <c r="K17" s="65">
        <v>46855</v>
      </c>
      <c r="L17" s="66">
        <f t="shared" si="16"/>
        <v>7.92</v>
      </c>
      <c r="M17" s="66">
        <f t="shared" si="1"/>
        <v>400.52</v>
      </c>
      <c r="N17" s="66">
        <f t="shared" si="17"/>
        <v>40444.5096</v>
      </c>
      <c r="O17" s="66">
        <f t="shared" si="3"/>
        <v>2.17777777777778</v>
      </c>
      <c r="P17" s="66">
        <f t="shared" si="4"/>
        <v>222.511111111111</v>
      </c>
      <c r="Q17" s="66">
        <f t="shared" si="5"/>
        <v>33703.758</v>
      </c>
      <c r="R17" s="66">
        <f t="shared" si="6"/>
        <v>222.511111111111</v>
      </c>
      <c r="S17" s="66">
        <f t="shared" si="7"/>
        <v>7.17777777777778</v>
      </c>
      <c r="T17" s="66">
        <f t="shared" si="8"/>
        <v>2.17777777777778</v>
      </c>
      <c r="U17" s="66">
        <f t="shared" si="9"/>
        <v>33703.758</v>
      </c>
      <c r="V17" s="67">
        <v>0.8</v>
      </c>
      <c r="W17" s="66">
        <f t="shared" si="10"/>
        <v>5.74222222222222</v>
      </c>
      <c r="X17" s="66">
        <f t="shared" si="11"/>
        <v>178.008888888889</v>
      </c>
      <c r="Y17" s="66">
        <f t="shared" si="12"/>
        <v>26963.0064</v>
      </c>
      <c r="Z17" s="67">
        <v>0.2</v>
      </c>
      <c r="AA17" s="66">
        <f t="shared" si="13"/>
        <v>1.43555555555555</v>
      </c>
      <c r="AB17" s="66">
        <f t="shared" si="14"/>
        <v>44.5022222222222</v>
      </c>
      <c r="AC17" s="66">
        <f t="shared" si="15"/>
        <v>6740.7516</v>
      </c>
      <c r="AD17" s="68" t="s">
        <v>547</v>
      </c>
    </row>
    <row r="18" ht="15" customHeight="1" spans="1:30">
      <c r="A18" s="1" t="s">
        <v>64</v>
      </c>
      <c r="B18" s="72" t="s">
        <v>65</v>
      </c>
      <c r="C18" s="76" t="s">
        <v>34</v>
      </c>
      <c r="D18" s="76" t="s">
        <v>35</v>
      </c>
      <c r="E18" s="72" t="s">
        <v>66</v>
      </c>
      <c r="F18" s="72">
        <v>93.44</v>
      </c>
      <c r="G18" s="72">
        <v>401</v>
      </c>
      <c r="H18" s="72">
        <v>1</v>
      </c>
      <c r="I18" s="72">
        <v>401</v>
      </c>
      <c r="J18" s="72">
        <v>334</v>
      </c>
      <c r="K18" s="72">
        <v>44337</v>
      </c>
      <c r="L18" s="73">
        <f t="shared" si="16"/>
        <v>7.02</v>
      </c>
      <c r="M18" s="73">
        <f t="shared" si="1"/>
        <v>248.62</v>
      </c>
      <c r="N18" s="73">
        <f t="shared" si="17"/>
        <v>23231.0528</v>
      </c>
      <c r="O18" s="73">
        <f t="shared" si="3"/>
        <v>3.45555555555556</v>
      </c>
      <c r="P18" s="73">
        <f t="shared" si="4"/>
        <v>138.122222222222</v>
      </c>
      <c r="Q18" s="73">
        <f t="shared" si="5"/>
        <v>19359.2106666667</v>
      </c>
      <c r="R18" s="73">
        <f t="shared" si="6"/>
        <v>138.122222222222</v>
      </c>
      <c r="S18" s="73">
        <f t="shared" si="7"/>
        <v>4.45555555555556</v>
      </c>
      <c r="T18" s="73">
        <f t="shared" si="8"/>
        <v>3.45555555555556</v>
      </c>
      <c r="U18" s="73">
        <f t="shared" si="9"/>
        <v>19359.2106666667</v>
      </c>
      <c r="V18" s="75">
        <v>0</v>
      </c>
      <c r="W18" s="73">
        <f t="shared" si="10"/>
        <v>0</v>
      </c>
      <c r="X18" s="73">
        <f t="shared" si="11"/>
        <v>0</v>
      </c>
      <c r="Y18" s="73">
        <f t="shared" si="12"/>
        <v>0</v>
      </c>
      <c r="Z18" s="75">
        <v>0</v>
      </c>
      <c r="AA18" s="73">
        <f t="shared" si="13"/>
        <v>0</v>
      </c>
      <c r="AB18" s="73">
        <f t="shared" si="14"/>
        <v>0</v>
      </c>
      <c r="AC18" s="73">
        <f t="shared" si="15"/>
        <v>0</v>
      </c>
    </row>
    <row r="19" ht="15" customHeight="1" spans="1:30">
      <c r="A19" s="1" t="s">
        <v>554</v>
      </c>
      <c r="B19" s="72" t="s">
        <v>572</v>
      </c>
      <c r="C19" s="77" t="s">
        <v>34</v>
      </c>
      <c r="D19" s="77" t="s">
        <v>51</v>
      </c>
      <c r="E19" s="72" t="s">
        <v>283</v>
      </c>
      <c r="F19" s="72">
        <v>76.15</v>
      </c>
      <c r="G19" s="72">
        <v>830</v>
      </c>
      <c r="H19" s="72">
        <v>7</v>
      </c>
      <c r="I19" s="72">
        <v>118</v>
      </c>
      <c r="J19" s="72">
        <v>469</v>
      </c>
      <c r="K19" s="72">
        <v>42606</v>
      </c>
      <c r="L19" s="73">
        <f t="shared" si="16"/>
        <v>9.6</v>
      </c>
      <c r="M19" s="73">
        <f t="shared" si="1"/>
        <v>514.6</v>
      </c>
      <c r="N19" s="73">
        <f t="shared" si="17"/>
        <v>39186.79</v>
      </c>
      <c r="O19" s="73">
        <f t="shared" si="3"/>
        <v>2.22222222222222</v>
      </c>
      <c r="P19" s="73">
        <f t="shared" si="4"/>
        <v>285.888888888889</v>
      </c>
      <c r="Q19" s="73">
        <f t="shared" si="5"/>
        <v>32655.6583333333</v>
      </c>
      <c r="R19" s="73">
        <f t="shared" si="6"/>
        <v>285.888888888889</v>
      </c>
      <c r="S19" s="73">
        <f t="shared" si="7"/>
        <v>9.22222222222222</v>
      </c>
      <c r="T19" s="73">
        <f t="shared" si="8"/>
        <v>2.22222222222222</v>
      </c>
      <c r="U19" s="73">
        <f t="shared" si="9"/>
        <v>32655.6583333333</v>
      </c>
      <c r="V19" s="75">
        <v>0.5</v>
      </c>
      <c r="W19" s="73">
        <f t="shared" si="10"/>
        <v>4.61111111111111</v>
      </c>
      <c r="X19" s="73">
        <f t="shared" si="11"/>
        <v>142.944444444445</v>
      </c>
      <c r="Y19" s="73">
        <f t="shared" si="12"/>
        <v>16327.8291666667</v>
      </c>
      <c r="Z19" s="75">
        <v>0.5</v>
      </c>
      <c r="AA19" s="73">
        <f t="shared" si="13"/>
        <v>4.61111111111111</v>
      </c>
      <c r="AB19" s="73">
        <f t="shared" si="14"/>
        <v>142.944444444445</v>
      </c>
      <c r="AC19" s="73">
        <f t="shared" si="15"/>
        <v>16327.8291666667</v>
      </c>
    </row>
    <row r="20" ht="15" customHeight="1" spans="1:30">
      <c r="A20" s="1" t="s">
        <v>120</v>
      </c>
      <c r="B20" s="65" t="s">
        <v>121</v>
      </c>
      <c r="C20" s="65" t="s">
        <v>34</v>
      </c>
      <c r="D20" s="65" t="s">
        <v>35</v>
      </c>
      <c r="E20" s="65" t="s">
        <v>106</v>
      </c>
      <c r="F20" s="65">
        <v>67.4</v>
      </c>
      <c r="G20" s="65">
        <v>471</v>
      </c>
      <c r="H20" s="65">
        <v>1</v>
      </c>
      <c r="I20" s="65">
        <v>471</v>
      </c>
      <c r="J20" s="65">
        <v>396</v>
      </c>
      <c r="K20" s="65">
        <v>38014</v>
      </c>
      <c r="L20" s="66">
        <f t="shared" si="16"/>
        <v>8.42</v>
      </c>
      <c r="M20" s="66">
        <f t="shared" si="1"/>
        <v>292.02</v>
      </c>
      <c r="N20" s="66">
        <f t="shared" si="17"/>
        <v>19682.148</v>
      </c>
      <c r="O20" s="66">
        <f t="shared" si="3"/>
        <v>4.23333333333333</v>
      </c>
      <c r="P20" s="66">
        <f t="shared" si="4"/>
        <v>162.233333333333</v>
      </c>
      <c r="Q20" s="66">
        <f t="shared" si="5"/>
        <v>16401.79</v>
      </c>
      <c r="R20" s="66">
        <f t="shared" si="6"/>
        <v>162.233333333333</v>
      </c>
      <c r="S20" s="66">
        <f t="shared" si="7"/>
        <v>5.23333333333333</v>
      </c>
      <c r="T20" s="66">
        <f t="shared" si="8"/>
        <v>4.23333333333333</v>
      </c>
      <c r="U20" s="66">
        <f t="shared" si="9"/>
        <v>16401.79</v>
      </c>
      <c r="V20" s="67">
        <v>0.5</v>
      </c>
      <c r="W20" s="66">
        <f t="shared" si="10"/>
        <v>2.61666666666666</v>
      </c>
      <c r="X20" s="66">
        <f t="shared" si="11"/>
        <v>81.1166666666665</v>
      </c>
      <c r="Y20" s="66">
        <f t="shared" si="12"/>
        <v>8200.89499999998</v>
      </c>
      <c r="Z20" s="67">
        <v>0.5</v>
      </c>
      <c r="AA20" s="66">
        <f t="shared" si="13"/>
        <v>2.61666666666666</v>
      </c>
      <c r="AB20" s="66">
        <f t="shared" si="14"/>
        <v>81.1166666666665</v>
      </c>
      <c r="AC20" s="66">
        <f t="shared" si="15"/>
        <v>8200.89499999998</v>
      </c>
      <c r="AD20" s="68" t="s">
        <v>547</v>
      </c>
    </row>
    <row r="21" ht="15" customHeight="1" spans="1:30">
      <c r="A21" s="1" t="s">
        <v>174</v>
      </c>
      <c r="B21" s="1" t="s">
        <v>175</v>
      </c>
      <c r="C21" s="1" t="s">
        <v>34</v>
      </c>
      <c r="D21" s="1" t="s">
        <v>35</v>
      </c>
      <c r="E21" s="72" t="s">
        <v>41</v>
      </c>
      <c r="F21" s="72">
        <v>123.29</v>
      </c>
      <c r="G21" s="72">
        <v>752</v>
      </c>
      <c r="H21" s="72">
        <v>9</v>
      </c>
      <c r="I21" s="72">
        <v>83</v>
      </c>
      <c r="J21" s="72">
        <v>287</v>
      </c>
      <c r="K21" s="72">
        <v>35384</v>
      </c>
      <c r="L21" s="73">
        <f t="shared" si="16"/>
        <v>6.04</v>
      </c>
      <c r="M21" s="73">
        <f t="shared" si="1"/>
        <v>466.24</v>
      </c>
      <c r="N21" s="73">
        <f t="shared" si="17"/>
        <v>57482.7296</v>
      </c>
      <c r="O21" s="73">
        <f t="shared" si="3"/>
        <v>-0.644444444444444</v>
      </c>
      <c r="P21" s="73">
        <f t="shared" si="4"/>
        <v>259.022222222222</v>
      </c>
      <c r="Q21" s="73">
        <f t="shared" si="5"/>
        <v>47902.2746666667</v>
      </c>
      <c r="R21" s="73">
        <f t="shared" si="6"/>
        <v>259.022222222222</v>
      </c>
      <c r="S21" s="73">
        <f t="shared" si="7"/>
        <v>8.35555555555556</v>
      </c>
      <c r="T21" s="73">
        <f t="shared" si="8"/>
        <v>-0.644444444444444</v>
      </c>
      <c r="U21" s="73">
        <f t="shared" si="9"/>
        <v>47902.2746666667</v>
      </c>
      <c r="V21" s="75">
        <v>0.4</v>
      </c>
      <c r="W21" s="73">
        <f t="shared" si="10"/>
        <v>3.34222222222222</v>
      </c>
      <c r="X21" s="73">
        <f t="shared" si="11"/>
        <v>103.608888888889</v>
      </c>
      <c r="Y21" s="73">
        <v>60</v>
      </c>
      <c r="Z21" s="74">
        <v>0.743589743589744</v>
      </c>
      <c r="AA21" s="73">
        <f t="shared" si="13"/>
        <v>6.21310541310541</v>
      </c>
      <c r="AB21" s="73">
        <f t="shared" si="14"/>
        <v>192.606267806268</v>
      </c>
      <c r="AC21" s="73">
        <f t="shared" si="15"/>
        <v>35619.6401367521</v>
      </c>
    </row>
    <row r="22" ht="15" customHeight="1" spans="1:30">
      <c r="A22" s="1" t="s">
        <v>186</v>
      </c>
      <c r="B22" s="65" t="s">
        <v>187</v>
      </c>
      <c r="C22" s="65" t="s">
        <v>34</v>
      </c>
      <c r="D22" s="65" t="s">
        <v>35</v>
      </c>
      <c r="E22" s="65" t="s">
        <v>125</v>
      </c>
      <c r="F22" s="65">
        <v>74.88</v>
      </c>
      <c r="G22" s="65">
        <v>505</v>
      </c>
      <c r="H22" s="65">
        <v>3</v>
      </c>
      <c r="I22" s="65">
        <v>168</v>
      </c>
      <c r="J22" s="65">
        <v>347</v>
      </c>
      <c r="K22" s="65">
        <v>34220</v>
      </c>
      <c r="L22" s="66">
        <f t="shared" si="16"/>
        <v>7.1</v>
      </c>
      <c r="M22" s="66">
        <f t="shared" si="1"/>
        <v>313.1</v>
      </c>
      <c r="N22" s="66">
        <f t="shared" si="17"/>
        <v>23444.928</v>
      </c>
      <c r="O22" s="66">
        <f t="shared" si="3"/>
        <v>2.61111111111111</v>
      </c>
      <c r="P22" s="66">
        <f t="shared" si="4"/>
        <v>173.944444444444</v>
      </c>
      <c r="Q22" s="66">
        <f t="shared" si="5"/>
        <v>19537.44</v>
      </c>
      <c r="R22" s="66">
        <f t="shared" si="6"/>
        <v>173.944444444444</v>
      </c>
      <c r="S22" s="66">
        <f t="shared" si="7"/>
        <v>5.61111111111111</v>
      </c>
      <c r="T22" s="66">
        <f t="shared" si="8"/>
        <v>2.61111111111111</v>
      </c>
      <c r="U22" s="66">
        <f t="shared" si="9"/>
        <v>19537.44</v>
      </c>
      <c r="V22" s="67">
        <v>0.6</v>
      </c>
      <c r="W22" s="66">
        <f t="shared" si="10"/>
        <v>3.36666666666666</v>
      </c>
      <c r="X22" s="66">
        <f t="shared" si="11"/>
        <v>104.366666666666</v>
      </c>
      <c r="Y22" s="66">
        <f t="shared" si="12"/>
        <v>11722.464</v>
      </c>
      <c r="Z22" s="67">
        <v>0.4</v>
      </c>
      <c r="AA22" s="66">
        <f t="shared" si="13"/>
        <v>2.24444444444444</v>
      </c>
      <c r="AB22" s="66">
        <f t="shared" si="14"/>
        <v>69.5777777777776</v>
      </c>
      <c r="AC22" s="66">
        <f t="shared" si="15"/>
        <v>7814.97599999998</v>
      </c>
      <c r="AD22" s="68" t="s">
        <v>547</v>
      </c>
    </row>
    <row r="23" ht="15" customHeight="1" spans="1:30">
      <c r="A23" s="1" t="s">
        <v>555</v>
      </c>
      <c r="B23" s="1" t="s">
        <v>561</v>
      </c>
      <c r="C23" s="1" t="s">
        <v>34</v>
      </c>
      <c r="D23" s="1" t="s">
        <v>35</v>
      </c>
      <c r="E23" s="72" t="s">
        <v>338</v>
      </c>
      <c r="F23" s="72">
        <v>4.1901</v>
      </c>
      <c r="G23" s="72">
        <v>10112</v>
      </c>
      <c r="H23" s="72">
        <v>81</v>
      </c>
      <c r="I23" s="72">
        <v>124</v>
      </c>
      <c r="J23" s="72">
        <v>6024</v>
      </c>
      <c r="K23" s="72">
        <v>31009</v>
      </c>
      <c r="L23" s="73">
        <f t="shared" si="16"/>
        <v>121.24</v>
      </c>
      <c r="M23" s="73">
        <f t="shared" si="1"/>
        <v>6269.44</v>
      </c>
      <c r="N23" s="73">
        <f t="shared" si="17"/>
        <v>26269.580544</v>
      </c>
      <c r="O23" s="73">
        <f t="shared" si="3"/>
        <v>31.3555555555556</v>
      </c>
      <c r="P23" s="73">
        <f t="shared" si="4"/>
        <v>3483.02222222222</v>
      </c>
      <c r="Q23" s="73">
        <f t="shared" si="5"/>
        <v>21891.31712</v>
      </c>
      <c r="R23" s="73">
        <f t="shared" si="6"/>
        <v>3483.02222222222</v>
      </c>
      <c r="S23" s="73">
        <f t="shared" si="7"/>
        <v>112.355555555556</v>
      </c>
      <c r="T23" s="73">
        <f t="shared" si="8"/>
        <v>31.3555555555556</v>
      </c>
      <c r="U23" s="73">
        <f t="shared" si="9"/>
        <v>21891.31712</v>
      </c>
      <c r="V23" s="75">
        <v>0.65</v>
      </c>
      <c r="W23" s="73">
        <f t="shared" si="10"/>
        <v>73.0311111111111</v>
      </c>
      <c r="X23" s="73">
        <f t="shared" si="11"/>
        <v>2263.96444444444</v>
      </c>
      <c r="Y23" s="73">
        <f t="shared" si="12"/>
        <v>14229.356128</v>
      </c>
      <c r="Z23" s="75">
        <v>0.35</v>
      </c>
      <c r="AA23" s="73">
        <f t="shared" si="13"/>
        <v>39.3244444444444</v>
      </c>
      <c r="AB23" s="73">
        <f t="shared" si="14"/>
        <v>1219.05777777778</v>
      </c>
      <c r="AC23" s="73">
        <f t="shared" si="15"/>
        <v>7661.96099199999</v>
      </c>
    </row>
    <row r="24" ht="15" customHeight="1" spans="1:30">
      <c r="A24" s="1" t="s">
        <v>556</v>
      </c>
      <c r="B24" s="65" t="s">
        <v>580</v>
      </c>
      <c r="C24" s="65" t="s">
        <v>34</v>
      </c>
      <c r="D24" s="65" t="s">
        <v>35</v>
      </c>
      <c r="E24" s="65" t="s">
        <v>324</v>
      </c>
      <c r="F24" s="65">
        <v>77.78</v>
      </c>
      <c r="G24" s="65">
        <v>388</v>
      </c>
      <c r="H24" s="65">
        <v>2</v>
      </c>
      <c r="I24" s="65">
        <v>194</v>
      </c>
      <c r="J24" s="65">
        <v>285</v>
      </c>
      <c r="K24" s="65">
        <v>30023</v>
      </c>
      <c r="L24" s="66">
        <f t="shared" si="16"/>
        <v>5.76</v>
      </c>
      <c r="M24" s="66">
        <f t="shared" si="1"/>
        <v>240.56</v>
      </c>
      <c r="N24" s="66">
        <f t="shared" si="17"/>
        <v>18710.7568</v>
      </c>
      <c r="O24" s="66">
        <f t="shared" si="3"/>
        <v>2.31111111111111</v>
      </c>
      <c r="P24" s="66">
        <f t="shared" si="4"/>
        <v>133.644444444444</v>
      </c>
      <c r="Q24" s="66">
        <f t="shared" si="5"/>
        <v>15592.2973333333</v>
      </c>
      <c r="R24" s="66">
        <f t="shared" si="6"/>
        <v>133.644444444444</v>
      </c>
      <c r="S24" s="66">
        <f t="shared" si="7"/>
        <v>4.31111111111111</v>
      </c>
      <c r="T24" s="66">
        <f t="shared" si="8"/>
        <v>2.31111111111111</v>
      </c>
      <c r="U24" s="66">
        <f t="shared" si="9"/>
        <v>15592.2973333333</v>
      </c>
      <c r="V24" s="67">
        <v>0.5</v>
      </c>
      <c r="W24" s="66">
        <f t="shared" si="10"/>
        <v>2.15555555555555</v>
      </c>
      <c r="X24" s="66">
        <f t="shared" si="11"/>
        <v>66.822222222222</v>
      </c>
      <c r="Y24" s="66">
        <f t="shared" si="12"/>
        <v>7796.14866666664</v>
      </c>
      <c r="Z24" s="67">
        <v>0.5</v>
      </c>
      <c r="AA24" s="66">
        <f t="shared" si="13"/>
        <v>2.15555555555555</v>
      </c>
      <c r="AB24" s="66">
        <f t="shared" si="14"/>
        <v>66.822222222222</v>
      </c>
      <c r="AC24" s="66">
        <f t="shared" si="15"/>
        <v>7796.14866666664</v>
      </c>
      <c r="AD24" s="68" t="s">
        <v>547</v>
      </c>
    </row>
    <row r="25" ht="15" customHeight="1" spans="1:30">
      <c r="A25" s="1" t="s">
        <v>188</v>
      </c>
      <c r="B25" s="65" t="s">
        <v>189</v>
      </c>
      <c r="C25" s="65" t="s">
        <v>34</v>
      </c>
      <c r="D25" s="65" t="s">
        <v>35</v>
      </c>
      <c r="E25" s="65" t="s">
        <v>160</v>
      </c>
      <c r="F25" s="65">
        <v>83.69</v>
      </c>
      <c r="G25" s="65">
        <v>816</v>
      </c>
      <c r="H25" s="65">
        <v>9</v>
      </c>
      <c r="I25" s="65">
        <v>90</v>
      </c>
      <c r="J25" s="65">
        <v>358</v>
      </c>
      <c r="K25" s="65">
        <v>29961</v>
      </c>
      <c r="L25" s="66">
        <f t="shared" si="16"/>
        <v>7.32</v>
      </c>
      <c r="M25" s="66">
        <f t="shared" si="1"/>
        <v>505.92</v>
      </c>
      <c r="N25" s="66">
        <f t="shared" si="17"/>
        <v>42340.4448</v>
      </c>
      <c r="O25" s="66">
        <f t="shared" si="3"/>
        <v>0.0666666666666667</v>
      </c>
      <c r="P25" s="66">
        <f t="shared" si="4"/>
        <v>281.066666666667</v>
      </c>
      <c r="Q25" s="66">
        <f t="shared" si="5"/>
        <v>35283.704</v>
      </c>
      <c r="R25" s="66">
        <f t="shared" si="6"/>
        <v>281.066666666667</v>
      </c>
      <c r="S25" s="66">
        <f t="shared" si="7"/>
        <v>9.06666666666667</v>
      </c>
      <c r="T25" s="66">
        <f t="shared" si="8"/>
        <v>0.0666666666666664</v>
      </c>
      <c r="U25" s="66">
        <f t="shared" si="9"/>
        <v>35283.704</v>
      </c>
      <c r="V25" s="78">
        <v>0.6</v>
      </c>
      <c r="W25" s="66">
        <f t="shared" si="10"/>
        <v>5.44000000000001</v>
      </c>
      <c r="X25" s="66">
        <f t="shared" si="11"/>
        <v>168.64</v>
      </c>
      <c r="Y25" s="66">
        <f t="shared" si="12"/>
        <v>21170.2224</v>
      </c>
      <c r="Z25" s="78">
        <v>0.4</v>
      </c>
      <c r="AA25" s="66">
        <f t="shared" si="13"/>
        <v>3.62666666666667</v>
      </c>
      <c r="AB25" s="66">
        <f t="shared" si="14"/>
        <v>112.426666666667</v>
      </c>
      <c r="AC25" s="66">
        <f t="shared" si="15"/>
        <v>14113.4816</v>
      </c>
      <c r="AD25" s="68" t="s">
        <v>547</v>
      </c>
    </row>
    <row r="26" ht="15" customHeight="1" spans="1:30">
      <c r="A26" s="1" t="s">
        <v>154</v>
      </c>
      <c r="B26" s="65" t="s">
        <v>155</v>
      </c>
      <c r="C26" s="65" t="s">
        <v>34</v>
      </c>
      <c r="D26" s="65" t="s">
        <v>35</v>
      </c>
      <c r="E26" s="65" t="s">
        <v>156</v>
      </c>
      <c r="F26" s="65">
        <v>176.53</v>
      </c>
      <c r="G26" s="65">
        <v>122</v>
      </c>
      <c r="H26" s="65"/>
      <c r="I26" s="65"/>
      <c r="J26" s="65">
        <v>106</v>
      </c>
      <c r="K26" s="65">
        <v>26921</v>
      </c>
      <c r="L26" s="66">
        <f t="shared" si="16"/>
        <v>2.44</v>
      </c>
      <c r="M26" s="66">
        <f t="shared" si="1"/>
        <v>75.64</v>
      </c>
      <c r="N26" s="66">
        <f t="shared" si="17"/>
        <v>13352.7292</v>
      </c>
      <c r="O26" s="66">
        <f t="shared" si="3"/>
        <v>1.35555555555556</v>
      </c>
      <c r="P26" s="66">
        <f t="shared" si="4"/>
        <v>42.0222222222222</v>
      </c>
      <c r="Q26" s="66">
        <f t="shared" si="5"/>
        <v>11127.2743333333</v>
      </c>
      <c r="R26" s="66">
        <f t="shared" si="6"/>
        <v>42.0222222222222</v>
      </c>
      <c r="S26" s="66">
        <f t="shared" si="7"/>
        <v>1.35555555555556</v>
      </c>
      <c r="T26" s="66">
        <f t="shared" si="8"/>
        <v>1.35555555555556</v>
      </c>
      <c r="U26" s="66">
        <f t="shared" si="9"/>
        <v>11127.2743333333</v>
      </c>
      <c r="V26" s="67">
        <v>0.5</v>
      </c>
      <c r="W26" s="66">
        <f t="shared" si="10"/>
        <v>0.677777777777777</v>
      </c>
      <c r="X26" s="66">
        <f t="shared" si="11"/>
        <v>21.0111111111111</v>
      </c>
      <c r="Y26" s="66">
        <f t="shared" si="12"/>
        <v>5563.63716666666</v>
      </c>
      <c r="Z26" s="67">
        <v>0.5</v>
      </c>
      <c r="AA26" s="66">
        <f t="shared" si="13"/>
        <v>0.677777777777777</v>
      </c>
      <c r="AB26" s="66">
        <f t="shared" si="14"/>
        <v>21.0111111111111</v>
      </c>
      <c r="AC26" s="66">
        <f t="shared" si="15"/>
        <v>5563.63716666666</v>
      </c>
      <c r="AD26" s="68" t="s">
        <v>547</v>
      </c>
    </row>
    <row r="27" ht="15" customHeight="1" spans="1:30">
      <c r="A27" s="1" t="s">
        <v>559</v>
      </c>
      <c r="B27" s="72" t="s">
        <v>689</v>
      </c>
      <c r="C27" s="77" t="s">
        <v>34</v>
      </c>
      <c r="D27" s="77" t="s">
        <v>51</v>
      </c>
      <c r="E27" s="72" t="s">
        <v>690</v>
      </c>
      <c r="F27" s="72">
        <v>160.23</v>
      </c>
      <c r="G27" s="72">
        <v>1219</v>
      </c>
      <c r="H27" s="72">
        <v>21</v>
      </c>
      <c r="I27" s="72">
        <v>58</v>
      </c>
      <c r="J27" s="72">
        <v>161</v>
      </c>
      <c r="K27" s="72">
        <v>25797</v>
      </c>
      <c r="L27" s="73">
        <f t="shared" si="16"/>
        <v>3.38</v>
      </c>
      <c r="M27" s="73">
        <f t="shared" si="1"/>
        <v>755.78</v>
      </c>
      <c r="N27" s="73">
        <f t="shared" si="17"/>
        <v>121098.6294</v>
      </c>
      <c r="O27" s="73">
        <f t="shared" si="3"/>
        <v>-7.45555555555556</v>
      </c>
      <c r="P27" s="73">
        <f t="shared" si="4"/>
        <v>419.877777777778</v>
      </c>
      <c r="Q27" s="73">
        <f t="shared" si="5"/>
        <v>100915.5245</v>
      </c>
      <c r="R27" s="73">
        <f t="shared" si="6"/>
        <v>419.877777777778</v>
      </c>
      <c r="S27" s="73">
        <f t="shared" si="7"/>
        <v>13.5444444444444</v>
      </c>
      <c r="T27" s="73">
        <f t="shared" si="8"/>
        <v>-7.45555555555556</v>
      </c>
      <c r="U27" s="73">
        <f t="shared" si="9"/>
        <v>100915.5245</v>
      </c>
      <c r="V27" s="75">
        <v>0.5</v>
      </c>
      <c r="W27" s="73">
        <f t="shared" si="10"/>
        <v>6.77222222222223</v>
      </c>
      <c r="X27" s="73">
        <f t="shared" si="11"/>
        <v>209.938888888889</v>
      </c>
      <c r="Y27" s="73">
        <f t="shared" si="12"/>
        <v>50457.76225</v>
      </c>
      <c r="Z27" s="75">
        <v>0.5</v>
      </c>
      <c r="AA27" s="73">
        <f t="shared" si="13"/>
        <v>6.77222222222223</v>
      </c>
      <c r="AB27" s="73">
        <f t="shared" si="14"/>
        <v>209.938888888889</v>
      </c>
      <c r="AC27" s="73">
        <f t="shared" si="15"/>
        <v>50457.76225</v>
      </c>
    </row>
    <row r="28" ht="15" customHeight="1" spans="1:30">
      <c r="A28" s="1" t="s">
        <v>94</v>
      </c>
      <c r="B28" s="72" t="s">
        <v>95</v>
      </c>
      <c r="C28" s="76" t="s">
        <v>34</v>
      </c>
      <c r="D28" s="76" t="s">
        <v>35</v>
      </c>
      <c r="E28" s="72" t="s">
        <v>66</v>
      </c>
      <c r="F28" s="72">
        <v>127.34</v>
      </c>
      <c r="G28" s="72">
        <v>135</v>
      </c>
      <c r="H28" s="72"/>
      <c r="I28" s="72"/>
      <c r="J28" s="72">
        <v>132</v>
      </c>
      <c r="K28" s="72">
        <v>25022</v>
      </c>
      <c r="L28" s="73">
        <f t="shared" si="16"/>
        <v>2.7</v>
      </c>
      <c r="M28" s="73">
        <f t="shared" si="1"/>
        <v>83.7</v>
      </c>
      <c r="N28" s="73">
        <f t="shared" si="17"/>
        <v>10658.358</v>
      </c>
      <c r="O28" s="73">
        <f t="shared" si="3"/>
        <v>1.5</v>
      </c>
      <c r="P28" s="73">
        <f t="shared" si="4"/>
        <v>46.5</v>
      </c>
      <c r="Q28" s="73">
        <f t="shared" si="5"/>
        <v>8881.965</v>
      </c>
      <c r="R28" s="73">
        <f t="shared" si="6"/>
        <v>46.5</v>
      </c>
      <c r="S28" s="73">
        <f t="shared" si="7"/>
        <v>1.5</v>
      </c>
      <c r="T28" s="73">
        <f t="shared" si="8"/>
        <v>1.5</v>
      </c>
      <c r="U28" s="73">
        <f t="shared" si="9"/>
        <v>8881.965</v>
      </c>
      <c r="V28" s="74">
        <v>0.85</v>
      </c>
      <c r="W28" s="73">
        <f t="shared" si="10"/>
        <v>1.275</v>
      </c>
      <c r="X28" s="73">
        <f t="shared" si="11"/>
        <v>39.525</v>
      </c>
      <c r="Y28" s="73">
        <f t="shared" si="12"/>
        <v>7549.67025</v>
      </c>
      <c r="Z28" s="74">
        <v>0.140909090909091</v>
      </c>
      <c r="AA28" s="73">
        <f t="shared" si="13"/>
        <v>0.211363636363637</v>
      </c>
      <c r="AB28" s="73">
        <f t="shared" si="14"/>
        <v>6.55227272727273</v>
      </c>
      <c r="AC28" s="73">
        <f t="shared" si="15"/>
        <v>1251.54961363636</v>
      </c>
    </row>
    <row r="29" ht="15" customHeight="1" spans="1:30">
      <c r="A29" s="1" t="s">
        <v>126</v>
      </c>
      <c r="B29" s="69" t="s">
        <v>127</v>
      </c>
      <c r="C29" s="69" t="s">
        <v>34</v>
      </c>
      <c r="D29" s="69" t="s">
        <v>51</v>
      </c>
      <c r="E29" s="69" t="s">
        <v>128</v>
      </c>
      <c r="F29" s="69">
        <v>203.25</v>
      </c>
      <c r="G29" s="69">
        <v>83</v>
      </c>
      <c r="H29" s="69"/>
      <c r="I29" s="69"/>
      <c r="J29" s="69">
        <v>78</v>
      </c>
      <c r="K29" s="69">
        <v>23374</v>
      </c>
      <c r="L29" s="70">
        <f t="shared" si="16"/>
        <v>1.66</v>
      </c>
      <c r="M29" s="70">
        <f t="shared" si="1"/>
        <v>51.46</v>
      </c>
      <c r="N29" s="70">
        <f t="shared" si="17"/>
        <v>10459.245</v>
      </c>
      <c r="O29" s="70">
        <f t="shared" si="3"/>
        <v>0.922222222222222</v>
      </c>
      <c r="P29" s="70">
        <f t="shared" si="4"/>
        <v>28.5888888888889</v>
      </c>
      <c r="Q29" s="70">
        <f t="shared" si="5"/>
        <v>8716.0375</v>
      </c>
      <c r="R29" s="70">
        <f t="shared" si="6"/>
        <v>28.5888888888889</v>
      </c>
      <c r="S29" s="70">
        <f t="shared" si="7"/>
        <v>0.922222222222222</v>
      </c>
      <c r="T29" s="70">
        <f t="shared" si="8"/>
        <v>0.922222222222222</v>
      </c>
      <c r="U29" s="70">
        <f t="shared" si="9"/>
        <v>8716.0375</v>
      </c>
      <c r="V29" s="71">
        <v>0.3</v>
      </c>
      <c r="W29" s="70">
        <f t="shared" si="10"/>
        <v>0.276666666666667</v>
      </c>
      <c r="X29" s="70">
        <f t="shared" si="11"/>
        <v>8.57666666666667</v>
      </c>
      <c r="Y29" s="70">
        <f t="shared" si="12"/>
        <v>2614.81125</v>
      </c>
      <c r="Z29" s="71">
        <v>0.7</v>
      </c>
      <c r="AA29" s="70">
        <f t="shared" si="13"/>
        <v>0.645555555555556</v>
      </c>
      <c r="AB29" s="70">
        <f t="shared" si="14"/>
        <v>20.0122222222222</v>
      </c>
      <c r="AC29" s="70">
        <f t="shared" si="15"/>
        <v>6101.22625</v>
      </c>
      <c r="AD29" s="61" t="s">
        <v>594</v>
      </c>
    </row>
    <row r="30" ht="15" customHeight="1" spans="1:30">
      <c r="A30" s="1" t="s">
        <v>348</v>
      </c>
      <c r="B30" s="72" t="s">
        <v>349</v>
      </c>
      <c r="C30" s="77" t="s">
        <v>34</v>
      </c>
      <c r="D30" s="77" t="s">
        <v>51</v>
      </c>
      <c r="E30" s="72" t="s">
        <v>195</v>
      </c>
      <c r="F30" s="72">
        <v>94.09</v>
      </c>
      <c r="G30" s="72">
        <v>189</v>
      </c>
      <c r="H30" s="72"/>
      <c r="I30" s="72"/>
      <c r="J30" s="72">
        <v>163</v>
      </c>
      <c r="K30" s="72">
        <v>22017</v>
      </c>
      <c r="L30" s="73">
        <f t="shared" si="16"/>
        <v>3.78</v>
      </c>
      <c r="M30" s="73">
        <f t="shared" si="1"/>
        <v>117.18</v>
      </c>
      <c r="N30" s="73">
        <f t="shared" si="17"/>
        <v>11025.4662</v>
      </c>
      <c r="O30" s="73">
        <f t="shared" si="3"/>
        <v>2.1</v>
      </c>
      <c r="P30" s="73">
        <f t="shared" si="4"/>
        <v>65.1</v>
      </c>
      <c r="Q30" s="73">
        <f t="shared" si="5"/>
        <v>9187.8885</v>
      </c>
      <c r="R30" s="73">
        <f t="shared" si="6"/>
        <v>65.1</v>
      </c>
      <c r="S30" s="73">
        <f t="shared" si="7"/>
        <v>2.1</v>
      </c>
      <c r="T30" s="73">
        <f t="shared" si="8"/>
        <v>2.1</v>
      </c>
      <c r="U30" s="73">
        <f t="shared" si="9"/>
        <v>9187.8885</v>
      </c>
      <c r="V30" s="75">
        <v>0.2</v>
      </c>
      <c r="W30" s="73">
        <f t="shared" si="10"/>
        <v>0.42</v>
      </c>
      <c r="X30" s="73">
        <f t="shared" si="11"/>
        <v>13.02</v>
      </c>
      <c r="Y30" s="73">
        <f t="shared" si="12"/>
        <v>1837.5777</v>
      </c>
      <c r="Z30" s="75">
        <v>0.8</v>
      </c>
      <c r="AA30" s="73">
        <f t="shared" si="13"/>
        <v>1.68</v>
      </c>
      <c r="AB30" s="73">
        <f t="shared" si="14"/>
        <v>52.08</v>
      </c>
      <c r="AC30" s="73">
        <f t="shared" si="15"/>
        <v>7350.3108</v>
      </c>
    </row>
    <row r="31" ht="15" customHeight="1" spans="1:30">
      <c r="A31" s="1" t="s">
        <v>163</v>
      </c>
      <c r="B31" s="65" t="s">
        <v>164</v>
      </c>
      <c r="C31" s="65" t="s">
        <v>34</v>
      </c>
      <c r="D31" s="65" t="s">
        <v>51</v>
      </c>
      <c r="E31" s="65" t="s">
        <v>165</v>
      </c>
      <c r="F31" s="65">
        <v>89.55</v>
      </c>
      <c r="G31" s="65">
        <v>170</v>
      </c>
      <c r="H31" s="65"/>
      <c r="I31" s="65"/>
      <c r="J31" s="65">
        <v>164</v>
      </c>
      <c r="K31" s="65">
        <v>21805</v>
      </c>
      <c r="L31" s="66">
        <f t="shared" si="16"/>
        <v>3.4</v>
      </c>
      <c r="M31" s="66">
        <f t="shared" si="1"/>
        <v>105.4</v>
      </c>
      <c r="N31" s="66">
        <f t="shared" si="17"/>
        <v>9438.57</v>
      </c>
      <c r="O31" s="66">
        <f t="shared" si="3"/>
        <v>1.88888888888889</v>
      </c>
      <c r="P31" s="66">
        <f t="shared" si="4"/>
        <v>58.5555555555556</v>
      </c>
      <c r="Q31" s="66">
        <f t="shared" si="5"/>
        <v>7865.475</v>
      </c>
      <c r="R31" s="66">
        <f t="shared" si="6"/>
        <v>58.5555555555556</v>
      </c>
      <c r="S31" s="66">
        <f t="shared" si="7"/>
        <v>1.88888888888889</v>
      </c>
      <c r="T31" s="66">
        <f t="shared" si="8"/>
        <v>1.88888888888889</v>
      </c>
      <c r="U31" s="66">
        <f t="shared" si="9"/>
        <v>7865.475</v>
      </c>
      <c r="V31" s="67">
        <v>0.7</v>
      </c>
      <c r="W31" s="66">
        <f t="shared" si="10"/>
        <v>1.32222222222222</v>
      </c>
      <c r="X31" s="66">
        <f t="shared" si="11"/>
        <v>40.9888888888889</v>
      </c>
      <c r="Y31" s="66">
        <f t="shared" si="12"/>
        <v>5505.8325</v>
      </c>
      <c r="Z31" s="67">
        <v>0.3</v>
      </c>
      <c r="AA31" s="66">
        <f t="shared" si="13"/>
        <v>0.566666666666667</v>
      </c>
      <c r="AB31" s="66">
        <f t="shared" si="14"/>
        <v>17.5666666666667</v>
      </c>
      <c r="AC31" s="66">
        <f t="shared" si="15"/>
        <v>2359.6425</v>
      </c>
      <c r="AD31" s="68" t="s">
        <v>547</v>
      </c>
    </row>
    <row r="32" ht="15" customHeight="1" spans="1:30">
      <c r="A32" s="1" t="s">
        <v>176</v>
      </c>
      <c r="B32" s="65" t="s">
        <v>177</v>
      </c>
      <c r="C32" s="65" t="s">
        <v>34</v>
      </c>
      <c r="D32" s="65" t="s">
        <v>35</v>
      </c>
      <c r="E32" s="65" t="s">
        <v>106</v>
      </c>
      <c r="F32" s="65">
        <v>79.26</v>
      </c>
      <c r="G32" s="65">
        <v>957</v>
      </c>
      <c r="H32" s="65">
        <v>13</v>
      </c>
      <c r="I32" s="65">
        <v>73</v>
      </c>
      <c r="J32" s="65">
        <v>266</v>
      </c>
      <c r="K32" s="65">
        <v>21083</v>
      </c>
      <c r="L32" s="66">
        <f t="shared" si="16"/>
        <v>6.14</v>
      </c>
      <c r="M32" s="66">
        <f t="shared" si="1"/>
        <v>593.34</v>
      </c>
      <c r="N32" s="66">
        <f t="shared" si="17"/>
        <v>47028.1284</v>
      </c>
      <c r="O32" s="66">
        <f t="shared" si="3"/>
        <v>-2.36666666666667</v>
      </c>
      <c r="P32" s="66">
        <f t="shared" si="4"/>
        <v>329.633333333333</v>
      </c>
      <c r="Q32" s="66">
        <f t="shared" si="5"/>
        <v>39190.107</v>
      </c>
      <c r="R32" s="66">
        <f t="shared" si="6"/>
        <v>329.633333333333</v>
      </c>
      <c r="S32" s="66">
        <f t="shared" si="7"/>
        <v>10.6333333333333</v>
      </c>
      <c r="T32" s="66">
        <f t="shared" si="8"/>
        <v>-2.36666666666667</v>
      </c>
      <c r="U32" s="66">
        <f t="shared" si="9"/>
        <v>39190.107</v>
      </c>
      <c r="V32" s="67">
        <v>0.5</v>
      </c>
      <c r="W32" s="66">
        <f t="shared" si="10"/>
        <v>5.31666666666666</v>
      </c>
      <c r="X32" s="66">
        <f t="shared" si="11"/>
        <v>164.816666666666</v>
      </c>
      <c r="Y32" s="66">
        <f t="shared" si="12"/>
        <v>19595.0535</v>
      </c>
      <c r="Z32" s="67">
        <v>0.5</v>
      </c>
      <c r="AA32" s="66">
        <f t="shared" si="13"/>
        <v>5.31666666666666</v>
      </c>
      <c r="AB32" s="66">
        <f t="shared" si="14"/>
        <v>164.816666666666</v>
      </c>
      <c r="AC32" s="66">
        <f t="shared" si="15"/>
        <v>19595.0535</v>
      </c>
      <c r="AD32" s="68" t="s">
        <v>547</v>
      </c>
    </row>
    <row r="33" ht="15" customHeight="1" spans="1:30">
      <c r="A33" s="1" t="s">
        <v>436</v>
      </c>
      <c r="B33" s="1" t="s">
        <v>437</v>
      </c>
      <c r="C33" s="1" t="s">
        <v>34</v>
      </c>
      <c r="D33" s="1" t="s">
        <v>35</v>
      </c>
      <c r="E33" s="72" t="s">
        <v>438</v>
      </c>
      <c r="F33" s="72">
        <v>116.93</v>
      </c>
      <c r="G33" s="72">
        <v>200</v>
      </c>
      <c r="H33" s="72">
        <v>1</v>
      </c>
      <c r="I33" s="72">
        <v>200</v>
      </c>
      <c r="J33" s="72">
        <v>127</v>
      </c>
      <c r="K33" s="72">
        <v>18826</v>
      </c>
      <c r="L33" s="73">
        <f t="shared" si="16"/>
        <v>3</v>
      </c>
      <c r="M33" s="73">
        <f t="shared" si="1"/>
        <v>124</v>
      </c>
      <c r="N33" s="73">
        <f t="shared" si="17"/>
        <v>14499.32</v>
      </c>
      <c r="O33" s="73">
        <f t="shared" si="3"/>
        <v>1.22222222222222</v>
      </c>
      <c r="P33" s="73">
        <f t="shared" si="4"/>
        <v>68.8888888888889</v>
      </c>
      <c r="Q33" s="73">
        <f t="shared" si="5"/>
        <v>12082.7666666667</v>
      </c>
      <c r="R33" s="73">
        <f t="shared" si="6"/>
        <v>68.8888888888889</v>
      </c>
      <c r="S33" s="73">
        <f t="shared" si="7"/>
        <v>2.22222222222222</v>
      </c>
      <c r="T33" s="73">
        <f t="shared" si="8"/>
        <v>1.22222222222222</v>
      </c>
      <c r="U33" s="73">
        <f t="shared" si="9"/>
        <v>12082.7666666667</v>
      </c>
      <c r="V33" s="75">
        <v>0.6</v>
      </c>
      <c r="W33" s="73">
        <f t="shared" si="10"/>
        <v>1.33333333333333</v>
      </c>
      <c r="X33" s="73">
        <f t="shared" si="11"/>
        <v>41.3333333333333</v>
      </c>
      <c r="Y33" s="73">
        <f t="shared" si="12"/>
        <v>7249.66</v>
      </c>
      <c r="Z33" s="75">
        <v>0.4</v>
      </c>
      <c r="AA33" s="73">
        <f t="shared" si="13"/>
        <v>0.888888888888889</v>
      </c>
      <c r="AB33" s="73">
        <f t="shared" si="14"/>
        <v>27.5555555555556</v>
      </c>
      <c r="AC33" s="73">
        <f t="shared" si="15"/>
        <v>4833.10666666667</v>
      </c>
    </row>
    <row r="34" ht="15" customHeight="1" spans="1:30">
      <c r="A34" s="1" t="s">
        <v>206</v>
      </c>
      <c r="B34" s="69" t="s">
        <v>207</v>
      </c>
      <c r="C34" s="69" t="s">
        <v>34</v>
      </c>
      <c r="D34" s="69" t="s">
        <v>35</v>
      </c>
      <c r="E34" s="69" t="s">
        <v>41</v>
      </c>
      <c r="F34" s="69">
        <v>616.96</v>
      </c>
      <c r="G34" s="69">
        <v>33</v>
      </c>
      <c r="H34" s="69"/>
      <c r="I34" s="69"/>
      <c r="J34" s="69">
        <v>23</v>
      </c>
      <c r="K34" s="69">
        <v>18817</v>
      </c>
      <c r="L34" s="70">
        <f t="shared" si="16"/>
        <v>0.66</v>
      </c>
      <c r="M34" s="70">
        <f t="shared" si="1"/>
        <v>20.46</v>
      </c>
      <c r="N34" s="70">
        <f t="shared" si="17"/>
        <v>12623.0016</v>
      </c>
      <c r="O34" s="70">
        <f t="shared" si="3"/>
        <v>0.366666666666667</v>
      </c>
      <c r="P34" s="70">
        <f t="shared" si="4"/>
        <v>11.3666666666667</v>
      </c>
      <c r="Q34" s="70">
        <f t="shared" si="5"/>
        <v>10519.168</v>
      </c>
      <c r="R34" s="70">
        <f t="shared" si="6"/>
        <v>11.3666666666667</v>
      </c>
      <c r="S34" s="70">
        <f t="shared" si="7"/>
        <v>0.366666666666667</v>
      </c>
      <c r="T34" s="70">
        <f t="shared" si="8"/>
        <v>0.366666666666667</v>
      </c>
      <c r="U34" s="70">
        <f t="shared" si="9"/>
        <v>10519.168</v>
      </c>
      <c r="V34" s="71">
        <v>0.5</v>
      </c>
      <c r="W34" s="70">
        <f t="shared" si="10"/>
        <v>0.183333333333334</v>
      </c>
      <c r="X34" s="70">
        <f t="shared" si="11"/>
        <v>5.68333333333335</v>
      </c>
      <c r="Y34" s="70">
        <f t="shared" si="12"/>
        <v>5259.58400000002</v>
      </c>
      <c r="Z34" s="71">
        <v>0.5</v>
      </c>
      <c r="AA34" s="70">
        <f t="shared" si="13"/>
        <v>0.183333333333334</v>
      </c>
      <c r="AB34" s="70">
        <f t="shared" si="14"/>
        <v>5.68333333333335</v>
      </c>
      <c r="AC34" s="70">
        <f t="shared" si="15"/>
        <v>5259.58400000002</v>
      </c>
      <c r="AD34" s="61" t="s">
        <v>594</v>
      </c>
    </row>
    <row r="35" ht="15" customHeight="1" spans="1:30">
      <c r="A35" s="1" t="s">
        <v>563</v>
      </c>
      <c r="B35" s="65" t="s">
        <v>671</v>
      </c>
      <c r="C35" s="65" t="s">
        <v>34</v>
      </c>
      <c r="D35" s="65" t="s">
        <v>35</v>
      </c>
      <c r="E35" s="65" t="s">
        <v>106</v>
      </c>
      <c r="F35" s="65">
        <v>27.45</v>
      </c>
      <c r="G35" s="65">
        <v>717</v>
      </c>
      <c r="H35" s="65">
        <v>4</v>
      </c>
      <c r="I35" s="65">
        <v>179</v>
      </c>
      <c r="J35" s="65">
        <v>502</v>
      </c>
      <c r="K35" s="65">
        <v>18309</v>
      </c>
      <c r="L35" s="66">
        <f t="shared" si="16"/>
        <v>10.34</v>
      </c>
      <c r="M35" s="66">
        <f t="shared" si="1"/>
        <v>444.54</v>
      </c>
      <c r="N35" s="66">
        <f t="shared" si="17"/>
        <v>12202.623</v>
      </c>
      <c r="O35" s="66">
        <f t="shared" si="3"/>
        <v>3.96666666666667</v>
      </c>
      <c r="P35" s="66">
        <f t="shared" si="4"/>
        <v>246.966666666667</v>
      </c>
      <c r="Q35" s="66">
        <f t="shared" si="5"/>
        <v>10168.8525</v>
      </c>
      <c r="R35" s="66">
        <f t="shared" si="6"/>
        <v>246.966666666667</v>
      </c>
      <c r="S35" s="66">
        <f t="shared" si="7"/>
        <v>7.96666666666667</v>
      </c>
      <c r="T35" s="66">
        <f t="shared" si="8"/>
        <v>3.96666666666667</v>
      </c>
      <c r="U35" s="66">
        <f t="shared" si="9"/>
        <v>10168.8525</v>
      </c>
      <c r="V35" s="67">
        <v>0.5</v>
      </c>
      <c r="W35" s="66">
        <f t="shared" si="10"/>
        <v>3.98333333333334</v>
      </c>
      <c r="X35" s="66">
        <f t="shared" si="11"/>
        <v>123.483333333334</v>
      </c>
      <c r="Y35" s="66">
        <f t="shared" si="12"/>
        <v>5084.42625000001</v>
      </c>
      <c r="Z35" s="67">
        <v>0.5</v>
      </c>
      <c r="AA35" s="66">
        <f t="shared" si="13"/>
        <v>3.98333333333334</v>
      </c>
      <c r="AB35" s="66">
        <f t="shared" si="14"/>
        <v>123.483333333334</v>
      </c>
      <c r="AC35" s="66">
        <f t="shared" si="15"/>
        <v>5084.42625000001</v>
      </c>
      <c r="AD35" s="68" t="s">
        <v>547</v>
      </c>
    </row>
    <row r="36" ht="15" customHeight="1" spans="1:30">
      <c r="A36" s="1" t="s">
        <v>565</v>
      </c>
      <c r="B36" s="65" t="s">
        <v>647</v>
      </c>
      <c r="C36" s="65" t="s">
        <v>34</v>
      </c>
      <c r="D36" s="65" t="s">
        <v>35</v>
      </c>
      <c r="E36" s="65" t="s">
        <v>106</v>
      </c>
      <c r="F36" s="65">
        <v>77.79</v>
      </c>
      <c r="G36" s="65">
        <v>308</v>
      </c>
      <c r="H36" s="65">
        <v>2</v>
      </c>
      <c r="I36" s="65">
        <v>154</v>
      </c>
      <c r="J36" s="65">
        <v>182</v>
      </c>
      <c r="K36" s="65">
        <v>17308</v>
      </c>
      <c r="L36" s="66">
        <f t="shared" si="16"/>
        <v>4.16</v>
      </c>
      <c r="M36" s="66">
        <f t="shared" si="1"/>
        <v>190.96</v>
      </c>
      <c r="N36" s="66">
        <f t="shared" si="17"/>
        <v>14854.7784</v>
      </c>
      <c r="O36" s="66">
        <f t="shared" si="3"/>
        <v>1.42222222222222</v>
      </c>
      <c r="P36" s="66">
        <f t="shared" si="4"/>
        <v>106.088888888889</v>
      </c>
      <c r="Q36" s="66">
        <f t="shared" si="5"/>
        <v>12378.982</v>
      </c>
      <c r="R36" s="66">
        <f t="shared" si="6"/>
        <v>106.088888888889</v>
      </c>
      <c r="S36" s="66">
        <f t="shared" si="7"/>
        <v>3.42222222222222</v>
      </c>
      <c r="T36" s="66">
        <f t="shared" si="8"/>
        <v>1.42222222222222</v>
      </c>
      <c r="U36" s="66">
        <f t="shared" si="9"/>
        <v>12378.982</v>
      </c>
      <c r="V36" s="67">
        <v>0.5</v>
      </c>
      <c r="W36" s="66">
        <f t="shared" si="10"/>
        <v>1.71111111111111</v>
      </c>
      <c r="X36" s="66">
        <f t="shared" si="11"/>
        <v>53.0444444444445</v>
      </c>
      <c r="Y36" s="66">
        <f t="shared" si="12"/>
        <v>6189.49100000001</v>
      </c>
      <c r="Z36" s="67">
        <v>0.5</v>
      </c>
      <c r="AA36" s="66">
        <f t="shared" si="13"/>
        <v>1.71111111111111</v>
      </c>
      <c r="AB36" s="66">
        <f t="shared" si="14"/>
        <v>53.0444444444445</v>
      </c>
      <c r="AC36" s="66">
        <f t="shared" si="15"/>
        <v>6189.49100000001</v>
      </c>
      <c r="AD36" s="68" t="s">
        <v>547</v>
      </c>
    </row>
    <row r="37" ht="15" customHeight="1" spans="1:30">
      <c r="A37" s="1" t="s">
        <v>567</v>
      </c>
      <c r="B37" s="65" t="s">
        <v>691</v>
      </c>
      <c r="C37" s="65" t="s">
        <v>34</v>
      </c>
      <c r="D37" s="65" t="s">
        <v>35</v>
      </c>
      <c r="E37" s="65" t="s">
        <v>106</v>
      </c>
      <c r="F37" s="65">
        <v>48.74</v>
      </c>
      <c r="G37" s="65">
        <v>505</v>
      </c>
      <c r="H37" s="65">
        <v>4</v>
      </c>
      <c r="I37" s="65">
        <v>126</v>
      </c>
      <c r="J37" s="65">
        <v>293</v>
      </c>
      <c r="K37" s="65">
        <v>17303</v>
      </c>
      <c r="L37" s="66">
        <f t="shared" si="16"/>
        <v>6.1</v>
      </c>
      <c r="M37" s="66">
        <f t="shared" si="1"/>
        <v>313.1</v>
      </c>
      <c r="N37" s="66">
        <f t="shared" si="17"/>
        <v>15260.494</v>
      </c>
      <c r="O37" s="66">
        <f t="shared" si="3"/>
        <v>1.61111111111111</v>
      </c>
      <c r="P37" s="66">
        <f t="shared" si="4"/>
        <v>173.944444444444</v>
      </c>
      <c r="Q37" s="66">
        <f t="shared" si="5"/>
        <v>12717.0783333333</v>
      </c>
      <c r="R37" s="66">
        <f t="shared" si="6"/>
        <v>173.944444444444</v>
      </c>
      <c r="S37" s="66">
        <f t="shared" si="7"/>
        <v>5.61111111111111</v>
      </c>
      <c r="T37" s="66">
        <f t="shared" si="8"/>
        <v>1.61111111111111</v>
      </c>
      <c r="U37" s="66">
        <f t="shared" si="9"/>
        <v>12717.0783333333</v>
      </c>
      <c r="V37" s="67">
        <v>0.5</v>
      </c>
      <c r="W37" s="66">
        <f t="shared" si="10"/>
        <v>2.80555555555555</v>
      </c>
      <c r="X37" s="66">
        <f t="shared" si="11"/>
        <v>86.972222222222</v>
      </c>
      <c r="Y37" s="66">
        <f t="shared" si="12"/>
        <v>6358.53916666665</v>
      </c>
      <c r="Z37" s="67">
        <v>0.5</v>
      </c>
      <c r="AA37" s="66">
        <f t="shared" si="13"/>
        <v>2.80555555555555</v>
      </c>
      <c r="AB37" s="66">
        <f t="shared" si="14"/>
        <v>86.972222222222</v>
      </c>
      <c r="AC37" s="66">
        <f t="shared" si="15"/>
        <v>6358.53916666665</v>
      </c>
      <c r="AD37" s="68" t="s">
        <v>547</v>
      </c>
    </row>
    <row r="38" ht="15" customHeight="1" spans="1:30">
      <c r="A38" s="1" t="s">
        <v>568</v>
      </c>
      <c r="B38" s="1" t="s">
        <v>692</v>
      </c>
      <c r="C38" s="1" t="s">
        <v>34</v>
      </c>
      <c r="D38" s="1" t="s">
        <v>35</v>
      </c>
      <c r="E38" s="72" t="s">
        <v>219</v>
      </c>
      <c r="F38" s="72">
        <v>95.2</v>
      </c>
      <c r="G38" s="72">
        <v>801</v>
      </c>
      <c r="H38" s="72">
        <v>12</v>
      </c>
      <c r="I38" s="72">
        <v>66</v>
      </c>
      <c r="J38" s="72">
        <v>179</v>
      </c>
      <c r="K38" s="72">
        <v>17041</v>
      </c>
      <c r="L38" s="73">
        <f t="shared" si="16"/>
        <v>4.02</v>
      </c>
      <c r="M38" s="73">
        <f t="shared" si="1"/>
        <v>496.62</v>
      </c>
      <c r="N38" s="73">
        <f t="shared" si="17"/>
        <v>47278.224</v>
      </c>
      <c r="O38" s="73">
        <f t="shared" si="3"/>
        <v>-3.1</v>
      </c>
      <c r="P38" s="73">
        <f t="shared" si="4"/>
        <v>275.9</v>
      </c>
      <c r="Q38" s="73">
        <f t="shared" si="5"/>
        <v>39398.52</v>
      </c>
      <c r="R38" s="73">
        <f t="shared" si="6"/>
        <v>275.9</v>
      </c>
      <c r="S38" s="73">
        <f t="shared" si="7"/>
        <v>8.9</v>
      </c>
      <c r="T38" s="73">
        <f t="shared" si="8"/>
        <v>-3.1</v>
      </c>
      <c r="U38" s="73">
        <f t="shared" si="9"/>
        <v>39398.52</v>
      </c>
      <c r="V38" s="75">
        <v>0.5</v>
      </c>
      <c r="W38" s="73">
        <f t="shared" si="10"/>
        <v>4.45</v>
      </c>
      <c r="X38" s="73">
        <f t="shared" si="11"/>
        <v>137.95</v>
      </c>
      <c r="Y38" s="73">
        <f t="shared" si="12"/>
        <v>19699.26</v>
      </c>
      <c r="Z38" s="75">
        <v>0.5</v>
      </c>
      <c r="AA38" s="73">
        <f t="shared" si="13"/>
        <v>4.45</v>
      </c>
      <c r="AB38" s="73">
        <f t="shared" si="14"/>
        <v>137.95</v>
      </c>
      <c r="AC38" s="73">
        <f t="shared" si="15"/>
        <v>19699.26</v>
      </c>
    </row>
    <row r="39" ht="15" customHeight="1" spans="1:30">
      <c r="A39" s="1" t="s">
        <v>318</v>
      </c>
      <c r="B39" s="1" t="s">
        <v>319</v>
      </c>
      <c r="C39" s="1" t="s">
        <v>34</v>
      </c>
      <c r="D39" s="1" t="s">
        <v>51</v>
      </c>
      <c r="E39" s="72" t="s">
        <v>320</v>
      </c>
      <c r="F39" s="72">
        <v>157.1</v>
      </c>
      <c r="G39" s="72">
        <v>96</v>
      </c>
      <c r="H39" s="72"/>
      <c r="I39" s="72"/>
      <c r="J39" s="72">
        <v>76</v>
      </c>
      <c r="K39" s="72">
        <v>16653</v>
      </c>
      <c r="L39" s="73">
        <f t="shared" si="16"/>
        <v>1.92</v>
      </c>
      <c r="M39" s="73">
        <f t="shared" si="1"/>
        <v>59.52</v>
      </c>
      <c r="N39" s="73">
        <f t="shared" si="17"/>
        <v>9350.592</v>
      </c>
      <c r="O39" s="73">
        <f t="shared" si="3"/>
        <v>1.06666666666667</v>
      </c>
      <c r="P39" s="73">
        <f t="shared" si="4"/>
        <v>33.0666666666667</v>
      </c>
      <c r="Q39" s="73">
        <f t="shared" si="5"/>
        <v>7792.16</v>
      </c>
      <c r="R39" s="73">
        <f t="shared" si="6"/>
        <v>33.0666666666667</v>
      </c>
      <c r="S39" s="73">
        <f t="shared" si="7"/>
        <v>1.06666666666667</v>
      </c>
      <c r="T39" s="73">
        <f t="shared" si="8"/>
        <v>1.06666666666667</v>
      </c>
      <c r="U39" s="73">
        <f t="shared" si="9"/>
        <v>7792.16</v>
      </c>
      <c r="V39" s="75">
        <v>0.4</v>
      </c>
      <c r="W39" s="73">
        <f t="shared" si="10"/>
        <v>0.426666666666667</v>
      </c>
      <c r="X39" s="73">
        <f t="shared" si="11"/>
        <v>13.2266666666667</v>
      </c>
      <c r="Y39" s="73">
        <f t="shared" si="12"/>
        <v>3116.864</v>
      </c>
      <c r="Z39" s="75">
        <v>0.6</v>
      </c>
      <c r="AA39" s="73">
        <f t="shared" si="13"/>
        <v>0.640000000000001</v>
      </c>
      <c r="AB39" s="73">
        <f t="shared" si="14"/>
        <v>19.84</v>
      </c>
      <c r="AC39" s="73">
        <f t="shared" si="15"/>
        <v>4675.296</v>
      </c>
    </row>
    <row r="40" ht="15" customHeight="1" spans="1:30">
      <c r="A40" s="1" t="s">
        <v>571</v>
      </c>
      <c r="B40" s="1" t="s">
        <v>634</v>
      </c>
      <c r="C40" s="1" t="s">
        <v>34</v>
      </c>
      <c r="D40" s="1" t="s">
        <v>51</v>
      </c>
      <c r="E40" s="72" t="s">
        <v>408</v>
      </c>
      <c r="F40" s="72">
        <v>25.54</v>
      </c>
      <c r="G40" s="72">
        <v>933</v>
      </c>
      <c r="H40" s="72">
        <v>8</v>
      </c>
      <c r="I40" s="72">
        <v>116</v>
      </c>
      <c r="J40" s="72">
        <v>532</v>
      </c>
      <c r="K40" s="72">
        <v>16282</v>
      </c>
      <c r="L40" s="73">
        <f t="shared" si="16"/>
        <v>10.66</v>
      </c>
      <c r="M40" s="73">
        <f t="shared" si="1"/>
        <v>578.46</v>
      </c>
      <c r="N40" s="73">
        <f t="shared" si="17"/>
        <v>14773.8684</v>
      </c>
      <c r="O40" s="73">
        <f t="shared" si="3"/>
        <v>2.36666666666667</v>
      </c>
      <c r="P40" s="73">
        <f t="shared" si="4"/>
        <v>321.366666666667</v>
      </c>
      <c r="Q40" s="73">
        <f t="shared" si="5"/>
        <v>12311.557</v>
      </c>
      <c r="R40" s="73">
        <f t="shared" si="6"/>
        <v>321.366666666667</v>
      </c>
      <c r="S40" s="73">
        <f t="shared" si="7"/>
        <v>10.3666666666667</v>
      </c>
      <c r="T40" s="73">
        <f t="shared" si="8"/>
        <v>2.36666666666667</v>
      </c>
      <c r="U40" s="73">
        <f t="shared" si="9"/>
        <v>12311.557</v>
      </c>
      <c r="V40" s="75">
        <v>0.6</v>
      </c>
      <c r="W40" s="73">
        <f t="shared" si="10"/>
        <v>6.22000000000001</v>
      </c>
      <c r="X40" s="73">
        <f t="shared" si="11"/>
        <v>192.82</v>
      </c>
      <c r="Y40" s="73">
        <f t="shared" si="12"/>
        <v>7386.93420000001</v>
      </c>
      <c r="Z40" s="75">
        <v>0.4</v>
      </c>
      <c r="AA40" s="73">
        <f t="shared" si="13"/>
        <v>4.14666666666667</v>
      </c>
      <c r="AB40" s="73">
        <f t="shared" si="14"/>
        <v>128.546666666667</v>
      </c>
      <c r="AC40" s="73">
        <f t="shared" si="15"/>
        <v>4924.62280000001</v>
      </c>
    </row>
    <row r="41" ht="15" customHeight="1" spans="1:30">
      <c r="A41" s="1" t="s">
        <v>573</v>
      </c>
      <c r="B41" s="1" t="s">
        <v>693</v>
      </c>
      <c r="C41" s="1" t="s">
        <v>34</v>
      </c>
      <c r="D41" s="1" t="s">
        <v>35</v>
      </c>
      <c r="E41" s="72" t="s">
        <v>694</v>
      </c>
      <c r="F41" s="72">
        <v>30.64</v>
      </c>
      <c r="G41" s="72">
        <v>1198</v>
      </c>
      <c r="H41" s="72">
        <v>13</v>
      </c>
      <c r="I41" s="72">
        <v>92</v>
      </c>
      <c r="J41" s="72">
        <v>506</v>
      </c>
      <c r="K41" s="72">
        <v>15504</v>
      </c>
      <c r="L41" s="73">
        <f t="shared" si="16"/>
        <v>10.96</v>
      </c>
      <c r="M41" s="73">
        <f t="shared" si="1"/>
        <v>742.76</v>
      </c>
      <c r="N41" s="73">
        <f t="shared" si="17"/>
        <v>22758.1664</v>
      </c>
      <c r="O41" s="73">
        <f t="shared" si="3"/>
        <v>0.311111111111111</v>
      </c>
      <c r="P41" s="73">
        <f t="shared" si="4"/>
        <v>412.644444444444</v>
      </c>
      <c r="Q41" s="73">
        <f t="shared" si="5"/>
        <v>18965.1386666667</v>
      </c>
      <c r="R41" s="73">
        <f t="shared" si="6"/>
        <v>412.644444444444</v>
      </c>
      <c r="S41" s="73">
        <f t="shared" si="7"/>
        <v>13.3111111111111</v>
      </c>
      <c r="T41" s="73">
        <f t="shared" si="8"/>
        <v>0.311111111111112</v>
      </c>
      <c r="U41" s="73">
        <f t="shared" si="9"/>
        <v>18965.1386666667</v>
      </c>
      <c r="V41" s="75">
        <v>0.65</v>
      </c>
      <c r="W41" s="73">
        <f t="shared" si="10"/>
        <v>8.65222222222221</v>
      </c>
      <c r="X41" s="73">
        <f t="shared" si="11"/>
        <v>268.218888888889</v>
      </c>
      <c r="Y41" s="73">
        <f t="shared" si="12"/>
        <v>12327.3401333333</v>
      </c>
      <c r="Z41" s="75">
        <v>0.35</v>
      </c>
      <c r="AA41" s="73">
        <f t="shared" si="13"/>
        <v>4.65888888888888</v>
      </c>
      <c r="AB41" s="73">
        <f t="shared" si="14"/>
        <v>144.425555555555</v>
      </c>
      <c r="AC41" s="73">
        <f t="shared" si="15"/>
        <v>6637.79853333333</v>
      </c>
    </row>
    <row r="42" ht="15" customHeight="1" spans="1:30">
      <c r="A42" s="1" t="s">
        <v>178</v>
      </c>
      <c r="B42" s="79" t="s">
        <v>179</v>
      </c>
      <c r="C42" s="79" t="s">
        <v>34</v>
      </c>
      <c r="D42" s="79" t="s">
        <v>51</v>
      </c>
      <c r="E42" s="79" t="s">
        <v>180</v>
      </c>
      <c r="F42" s="79">
        <v>152.93</v>
      </c>
      <c r="G42" s="79">
        <v>74</v>
      </c>
      <c r="H42" s="79"/>
      <c r="I42" s="79"/>
      <c r="J42" s="79">
        <v>68</v>
      </c>
      <c r="K42" s="79">
        <v>15217</v>
      </c>
      <c r="L42" s="80">
        <f t="shared" si="16"/>
        <v>1.48</v>
      </c>
      <c r="M42" s="80">
        <f t="shared" si="1"/>
        <v>45.88</v>
      </c>
      <c r="N42" s="80">
        <f t="shared" si="17"/>
        <v>7016.4284</v>
      </c>
      <c r="O42" s="80">
        <f t="shared" si="3"/>
        <v>0.822222222222222</v>
      </c>
      <c r="P42" s="80">
        <f t="shared" si="4"/>
        <v>25.4888888888889</v>
      </c>
      <c r="Q42" s="80">
        <f t="shared" si="5"/>
        <v>5847.02366666667</v>
      </c>
      <c r="R42" s="80">
        <f t="shared" si="6"/>
        <v>25.4888888888889</v>
      </c>
      <c r="S42" s="80">
        <f t="shared" si="7"/>
        <v>0.822222222222222</v>
      </c>
      <c r="T42" s="80">
        <f t="shared" si="8"/>
        <v>0.822222222222222</v>
      </c>
      <c r="U42" s="80">
        <f t="shared" si="9"/>
        <v>5847.02366666667</v>
      </c>
      <c r="V42" s="81">
        <v>0.5</v>
      </c>
      <c r="W42" s="80">
        <f t="shared" si="10"/>
        <v>0.411111111111111</v>
      </c>
      <c r="X42" s="80">
        <f t="shared" si="11"/>
        <v>12.7444444444445</v>
      </c>
      <c r="Y42" s="80">
        <f t="shared" si="12"/>
        <v>2923.51183333333</v>
      </c>
      <c r="Z42" s="81">
        <v>0.5</v>
      </c>
      <c r="AA42" s="80">
        <f t="shared" si="13"/>
        <v>0.411111111111111</v>
      </c>
      <c r="AB42" s="80">
        <f t="shared" si="14"/>
        <v>12.7444444444445</v>
      </c>
      <c r="AC42" s="80">
        <f t="shared" si="15"/>
        <v>2923.51183333333</v>
      </c>
      <c r="AD42" s="61" t="s">
        <v>557</v>
      </c>
    </row>
    <row r="43" ht="15" customHeight="1" spans="1:30">
      <c r="A43" s="1" t="s">
        <v>576</v>
      </c>
      <c r="B43" s="72" t="s">
        <v>695</v>
      </c>
      <c r="C43" s="76" t="s">
        <v>34</v>
      </c>
      <c r="D43" s="76" t="s">
        <v>35</v>
      </c>
      <c r="E43" s="72" t="s">
        <v>250</v>
      </c>
      <c r="F43" s="72">
        <v>184.47</v>
      </c>
      <c r="G43" s="72">
        <v>238</v>
      </c>
      <c r="H43" s="72">
        <v>3</v>
      </c>
      <c r="I43" s="72">
        <v>79</v>
      </c>
      <c r="J43" s="72">
        <v>82</v>
      </c>
      <c r="K43" s="72">
        <v>15127</v>
      </c>
      <c r="L43" s="73">
        <f t="shared" si="16"/>
        <v>1.76</v>
      </c>
      <c r="M43" s="73">
        <f t="shared" si="1"/>
        <v>147.56</v>
      </c>
      <c r="N43" s="73">
        <f t="shared" si="17"/>
        <v>27220.3932</v>
      </c>
      <c r="O43" s="73">
        <f t="shared" si="3"/>
        <v>-0.355555555555556</v>
      </c>
      <c r="P43" s="73">
        <f t="shared" si="4"/>
        <v>81.9777777777778</v>
      </c>
      <c r="Q43" s="73">
        <f t="shared" si="5"/>
        <v>22683.661</v>
      </c>
      <c r="R43" s="73">
        <f t="shared" si="6"/>
        <v>81.9777777777778</v>
      </c>
      <c r="S43" s="73">
        <f t="shared" si="7"/>
        <v>2.64444444444444</v>
      </c>
      <c r="T43" s="73">
        <f t="shared" si="8"/>
        <v>-0.355555555555556</v>
      </c>
      <c r="U43" s="73">
        <f t="shared" si="9"/>
        <v>22683.661</v>
      </c>
      <c r="V43" s="75">
        <v>0.7</v>
      </c>
      <c r="W43" s="73">
        <f t="shared" si="10"/>
        <v>1.85111111111111</v>
      </c>
      <c r="X43" s="73">
        <f t="shared" si="11"/>
        <v>57.3844444444445</v>
      </c>
      <c r="Y43" s="73">
        <f t="shared" si="12"/>
        <v>15878.5627</v>
      </c>
      <c r="Z43" s="75">
        <v>0.3</v>
      </c>
      <c r="AA43" s="73">
        <f t="shared" si="13"/>
        <v>0.793333333333334</v>
      </c>
      <c r="AB43" s="73">
        <f t="shared" si="14"/>
        <v>24.5933333333333</v>
      </c>
      <c r="AC43" s="73">
        <f t="shared" si="15"/>
        <v>6805.0983</v>
      </c>
    </row>
    <row r="44" ht="15" customHeight="1" spans="1:30">
      <c r="A44" s="1" t="s">
        <v>294</v>
      </c>
      <c r="B44" s="65" t="s">
        <v>295</v>
      </c>
      <c r="C44" s="65" t="s">
        <v>34</v>
      </c>
      <c r="D44" s="65" t="s">
        <v>35</v>
      </c>
      <c r="E44" s="65" t="s">
        <v>219</v>
      </c>
      <c r="F44" s="65">
        <v>37.32</v>
      </c>
      <c r="G44" s="65">
        <v>291</v>
      </c>
      <c r="H44" s="65"/>
      <c r="I44" s="65"/>
      <c r="J44" s="65">
        <v>273</v>
      </c>
      <c r="K44" s="65">
        <v>15003</v>
      </c>
      <c r="L44" s="66">
        <f t="shared" si="16"/>
        <v>5.82</v>
      </c>
      <c r="M44" s="66">
        <f t="shared" si="1"/>
        <v>180.42</v>
      </c>
      <c r="N44" s="66">
        <f t="shared" si="17"/>
        <v>6733.2744</v>
      </c>
      <c r="O44" s="66">
        <f t="shared" si="3"/>
        <v>3.23333333333333</v>
      </c>
      <c r="P44" s="66">
        <f t="shared" si="4"/>
        <v>100.233333333333</v>
      </c>
      <c r="Q44" s="66">
        <f t="shared" si="5"/>
        <v>5611.062</v>
      </c>
      <c r="R44" s="66">
        <f t="shared" si="6"/>
        <v>100.233333333333</v>
      </c>
      <c r="S44" s="66">
        <f t="shared" si="7"/>
        <v>3.23333333333333</v>
      </c>
      <c r="T44" s="66">
        <f t="shared" si="8"/>
        <v>3.23333333333333</v>
      </c>
      <c r="U44" s="66">
        <f t="shared" si="9"/>
        <v>5611.062</v>
      </c>
      <c r="V44" s="67">
        <v>0.5</v>
      </c>
      <c r="W44" s="66">
        <f t="shared" si="10"/>
        <v>1.61666666666666</v>
      </c>
      <c r="X44" s="66">
        <f t="shared" si="11"/>
        <v>50.1166666666665</v>
      </c>
      <c r="Y44" s="66">
        <f t="shared" si="12"/>
        <v>2805.53099999999</v>
      </c>
      <c r="Z44" s="67">
        <v>0.5</v>
      </c>
      <c r="AA44" s="66">
        <f t="shared" si="13"/>
        <v>1.61666666666666</v>
      </c>
      <c r="AB44" s="66">
        <f t="shared" si="14"/>
        <v>50.1166666666665</v>
      </c>
      <c r="AC44" s="66">
        <f t="shared" si="15"/>
        <v>2805.53099999999</v>
      </c>
      <c r="AD44" s="68" t="s">
        <v>547</v>
      </c>
    </row>
    <row r="45" ht="15" customHeight="1" spans="1:30">
      <c r="A45" s="1" t="s">
        <v>577</v>
      </c>
      <c r="B45" s="65" t="s">
        <v>673</v>
      </c>
      <c r="C45" s="65" t="s">
        <v>34</v>
      </c>
      <c r="D45" s="65" t="s">
        <v>35</v>
      </c>
      <c r="E45" s="65" t="s">
        <v>106</v>
      </c>
      <c r="F45" s="65">
        <v>18.48</v>
      </c>
      <c r="G45" s="65">
        <v>764</v>
      </c>
      <c r="H45" s="65">
        <v>4</v>
      </c>
      <c r="I45" s="65">
        <v>191</v>
      </c>
      <c r="J45" s="65">
        <v>549</v>
      </c>
      <c r="K45" s="65">
        <v>13629</v>
      </c>
      <c r="L45" s="66">
        <f t="shared" si="16"/>
        <v>11.28</v>
      </c>
      <c r="M45" s="66">
        <f t="shared" si="1"/>
        <v>473.68</v>
      </c>
      <c r="N45" s="66">
        <f t="shared" si="17"/>
        <v>8753.6064</v>
      </c>
      <c r="O45" s="66">
        <f t="shared" si="3"/>
        <v>4.48888888888889</v>
      </c>
      <c r="P45" s="66">
        <f t="shared" si="4"/>
        <v>263.155555555556</v>
      </c>
      <c r="Q45" s="66">
        <f t="shared" si="5"/>
        <v>7294.672</v>
      </c>
      <c r="R45" s="66">
        <f t="shared" si="6"/>
        <v>263.155555555556</v>
      </c>
      <c r="S45" s="66">
        <f t="shared" si="7"/>
        <v>8.48888888888889</v>
      </c>
      <c r="T45" s="66">
        <f t="shared" si="8"/>
        <v>4.48888888888889</v>
      </c>
      <c r="U45" s="66">
        <f t="shared" si="9"/>
        <v>7294.672</v>
      </c>
      <c r="V45" s="67">
        <v>0.5</v>
      </c>
      <c r="W45" s="66">
        <f t="shared" si="10"/>
        <v>4.24444444444445</v>
      </c>
      <c r="X45" s="66">
        <f t="shared" si="11"/>
        <v>131.577777777778</v>
      </c>
      <c r="Y45" s="66">
        <f t="shared" si="12"/>
        <v>3647.33600000001</v>
      </c>
      <c r="Z45" s="67">
        <v>0.5</v>
      </c>
      <c r="AA45" s="66">
        <f t="shared" si="13"/>
        <v>4.24444444444445</v>
      </c>
      <c r="AB45" s="66">
        <f t="shared" si="14"/>
        <v>131.577777777778</v>
      </c>
      <c r="AC45" s="66">
        <f t="shared" si="15"/>
        <v>3647.33600000001</v>
      </c>
      <c r="AD45" s="68" t="s">
        <v>547</v>
      </c>
    </row>
    <row r="46" ht="15" customHeight="1" spans="1:30">
      <c r="A46" s="1" t="s">
        <v>406</v>
      </c>
      <c r="B46" s="1" t="s">
        <v>407</v>
      </c>
      <c r="C46" s="1" t="s">
        <v>34</v>
      </c>
      <c r="D46" s="1" t="s">
        <v>51</v>
      </c>
      <c r="E46" s="72" t="s">
        <v>408</v>
      </c>
      <c r="F46" s="72">
        <v>16.51</v>
      </c>
      <c r="G46" s="72">
        <v>716</v>
      </c>
      <c r="H46" s="72">
        <v>3</v>
      </c>
      <c r="I46" s="72">
        <v>238</v>
      </c>
      <c r="J46" s="72">
        <v>551</v>
      </c>
      <c r="K46" s="72">
        <v>12556</v>
      </c>
      <c r="L46" s="73">
        <f t="shared" si="16"/>
        <v>11.32</v>
      </c>
      <c r="M46" s="73">
        <f t="shared" si="1"/>
        <v>443.92</v>
      </c>
      <c r="N46" s="73">
        <f t="shared" si="17"/>
        <v>7329.1192</v>
      </c>
      <c r="O46" s="73">
        <f t="shared" si="3"/>
        <v>4.95555555555556</v>
      </c>
      <c r="P46" s="73">
        <f t="shared" si="4"/>
        <v>246.622222222222</v>
      </c>
      <c r="Q46" s="73">
        <f t="shared" si="5"/>
        <v>6107.59933333333</v>
      </c>
      <c r="R46" s="73">
        <f t="shared" si="6"/>
        <v>246.622222222222</v>
      </c>
      <c r="S46" s="73">
        <f t="shared" si="7"/>
        <v>7.95555555555556</v>
      </c>
      <c r="T46" s="73">
        <f t="shared" si="8"/>
        <v>4.95555555555556</v>
      </c>
      <c r="U46" s="73">
        <f t="shared" si="9"/>
        <v>6107.59933333333</v>
      </c>
      <c r="V46" s="75">
        <v>0.5</v>
      </c>
      <c r="W46" s="73">
        <f t="shared" si="10"/>
        <v>3.97777777777777</v>
      </c>
      <c r="X46" s="73">
        <f t="shared" si="11"/>
        <v>123.311111111111</v>
      </c>
      <c r="Y46" s="73">
        <f t="shared" si="12"/>
        <v>3053.79966666666</v>
      </c>
      <c r="Z46" s="75">
        <v>0.5</v>
      </c>
      <c r="AA46" s="73">
        <f t="shared" si="13"/>
        <v>3.97777777777777</v>
      </c>
      <c r="AB46" s="73">
        <f t="shared" si="14"/>
        <v>123.311111111111</v>
      </c>
      <c r="AC46" s="73">
        <f t="shared" si="15"/>
        <v>3053.79966666666</v>
      </c>
    </row>
    <row r="47" ht="15" customHeight="1" spans="1:30">
      <c r="A47" s="1" t="s">
        <v>220</v>
      </c>
      <c r="B47" s="1" t="s">
        <v>221</v>
      </c>
      <c r="C47" s="1" t="s">
        <v>34</v>
      </c>
      <c r="D47" s="1" t="s">
        <v>51</v>
      </c>
      <c r="E47" s="72" t="s">
        <v>222</v>
      </c>
      <c r="F47" s="72">
        <v>17.1</v>
      </c>
      <c r="G47" s="72">
        <v>577</v>
      </c>
      <c r="H47" s="72">
        <v>1</v>
      </c>
      <c r="I47" s="72">
        <v>577</v>
      </c>
      <c r="J47" s="72">
        <v>506</v>
      </c>
      <c r="K47" s="72">
        <v>12492</v>
      </c>
      <c r="L47" s="73">
        <f t="shared" si="16"/>
        <v>10.54</v>
      </c>
      <c r="M47" s="73">
        <f t="shared" si="1"/>
        <v>357.74</v>
      </c>
      <c r="N47" s="73">
        <f t="shared" si="17"/>
        <v>6117.354</v>
      </c>
      <c r="O47" s="73">
        <f t="shared" si="3"/>
        <v>5.41111111111111</v>
      </c>
      <c r="P47" s="73">
        <f t="shared" si="4"/>
        <v>198.744444444444</v>
      </c>
      <c r="Q47" s="73">
        <f t="shared" si="5"/>
        <v>5097.795</v>
      </c>
      <c r="R47" s="73">
        <f t="shared" si="6"/>
        <v>198.744444444444</v>
      </c>
      <c r="S47" s="73">
        <f t="shared" si="7"/>
        <v>6.41111111111111</v>
      </c>
      <c r="T47" s="73">
        <f t="shared" si="8"/>
        <v>5.41111111111111</v>
      </c>
      <c r="U47" s="73">
        <f t="shared" si="9"/>
        <v>5097.795</v>
      </c>
      <c r="V47" s="75">
        <v>0.6</v>
      </c>
      <c r="W47" s="73">
        <f t="shared" si="10"/>
        <v>3.84666666666666</v>
      </c>
      <c r="X47" s="73">
        <f t="shared" si="11"/>
        <v>119.246666666666</v>
      </c>
      <c r="Y47" s="73">
        <f t="shared" si="12"/>
        <v>3058.67699999999</v>
      </c>
      <c r="Z47" s="75">
        <v>0.4</v>
      </c>
      <c r="AA47" s="73">
        <f t="shared" si="13"/>
        <v>2.56444444444444</v>
      </c>
      <c r="AB47" s="73">
        <f t="shared" si="14"/>
        <v>79.4977777777776</v>
      </c>
      <c r="AC47" s="73">
        <f t="shared" si="15"/>
        <v>2039.118</v>
      </c>
    </row>
    <row r="48" ht="15" customHeight="1" spans="1:30">
      <c r="A48" s="1" t="s">
        <v>579</v>
      </c>
      <c r="B48" s="1" t="s">
        <v>696</v>
      </c>
      <c r="C48" s="1" t="s">
        <v>34</v>
      </c>
      <c r="D48" s="1" t="s">
        <v>35</v>
      </c>
      <c r="E48" s="72" t="s">
        <v>41</v>
      </c>
      <c r="F48" s="72">
        <v>53.84</v>
      </c>
      <c r="G48" s="72">
        <v>381</v>
      </c>
      <c r="H48" s="72">
        <v>3</v>
      </c>
      <c r="I48" s="72">
        <v>127</v>
      </c>
      <c r="J48" s="72">
        <v>201</v>
      </c>
      <c r="K48" s="72">
        <v>12356</v>
      </c>
      <c r="L48" s="73">
        <f t="shared" si="16"/>
        <v>4.62</v>
      </c>
      <c r="M48" s="73">
        <f t="shared" si="1"/>
        <v>236.22</v>
      </c>
      <c r="N48" s="73">
        <f t="shared" si="17"/>
        <v>12718.0848</v>
      </c>
      <c r="O48" s="73">
        <f t="shared" si="3"/>
        <v>1.23333333333333</v>
      </c>
      <c r="P48" s="73">
        <f t="shared" si="4"/>
        <v>131.233333333333</v>
      </c>
      <c r="Q48" s="73">
        <f t="shared" si="5"/>
        <v>10598.404</v>
      </c>
      <c r="R48" s="73">
        <f t="shared" si="6"/>
        <v>131.233333333333</v>
      </c>
      <c r="S48" s="73">
        <f t="shared" si="7"/>
        <v>4.23333333333333</v>
      </c>
      <c r="T48" s="73">
        <f t="shared" si="8"/>
        <v>1.23333333333333</v>
      </c>
      <c r="U48" s="73">
        <f t="shared" si="9"/>
        <v>10598.404</v>
      </c>
      <c r="V48" s="75">
        <v>0.4</v>
      </c>
      <c r="W48" s="73">
        <f t="shared" si="10"/>
        <v>1.69333333333333</v>
      </c>
      <c r="X48" s="73">
        <f t="shared" si="11"/>
        <v>52.4933333333332</v>
      </c>
      <c r="Y48" s="73">
        <f t="shared" si="12"/>
        <v>4239.36159999999</v>
      </c>
      <c r="Z48" s="75">
        <v>0.6</v>
      </c>
      <c r="AA48" s="73">
        <f t="shared" si="13"/>
        <v>2.53999999999999</v>
      </c>
      <c r="AB48" s="73">
        <f t="shared" si="14"/>
        <v>78.7399999999998</v>
      </c>
      <c r="AC48" s="73">
        <f t="shared" si="15"/>
        <v>6359.04239999998</v>
      </c>
    </row>
    <row r="49" ht="15" customHeight="1" spans="1:30">
      <c r="A49" s="1" t="s">
        <v>581</v>
      </c>
      <c r="B49" s="65" t="s">
        <v>625</v>
      </c>
      <c r="C49" s="65" t="s">
        <v>34</v>
      </c>
      <c r="D49" s="65" t="s">
        <v>51</v>
      </c>
      <c r="E49" s="65" t="s">
        <v>61</v>
      </c>
      <c r="F49" s="65">
        <v>18.76</v>
      </c>
      <c r="G49" s="65">
        <v>928</v>
      </c>
      <c r="H49" s="65">
        <v>7</v>
      </c>
      <c r="I49" s="65">
        <v>132</v>
      </c>
      <c r="J49" s="65">
        <v>538</v>
      </c>
      <c r="K49" s="65">
        <v>12213</v>
      </c>
      <c r="L49" s="66">
        <f t="shared" si="16"/>
        <v>11.56</v>
      </c>
      <c r="M49" s="66">
        <f t="shared" si="1"/>
        <v>575.36</v>
      </c>
      <c r="N49" s="66">
        <f t="shared" si="17"/>
        <v>10793.7536</v>
      </c>
      <c r="O49" s="66">
        <f t="shared" si="3"/>
        <v>3.31111111111111</v>
      </c>
      <c r="P49" s="66">
        <f t="shared" si="4"/>
        <v>319.644444444444</v>
      </c>
      <c r="Q49" s="66">
        <f t="shared" si="5"/>
        <v>8994.79466666666</v>
      </c>
      <c r="R49" s="66">
        <f t="shared" si="6"/>
        <v>319.644444444444</v>
      </c>
      <c r="S49" s="66">
        <f t="shared" si="7"/>
        <v>10.3111111111111</v>
      </c>
      <c r="T49" s="66">
        <f t="shared" si="8"/>
        <v>3.31111111111111</v>
      </c>
      <c r="U49" s="66">
        <f t="shared" si="9"/>
        <v>8994.79466666666</v>
      </c>
      <c r="V49" s="67">
        <v>0.5</v>
      </c>
      <c r="W49" s="66">
        <f t="shared" si="10"/>
        <v>5.15555555555555</v>
      </c>
      <c r="X49" s="66">
        <f t="shared" si="11"/>
        <v>159.822222222222</v>
      </c>
      <c r="Y49" s="66">
        <f t="shared" si="12"/>
        <v>4497.39733333333</v>
      </c>
      <c r="Z49" s="67">
        <v>0.5</v>
      </c>
      <c r="AA49" s="66">
        <f t="shared" si="13"/>
        <v>5.15555555555555</v>
      </c>
      <c r="AB49" s="66">
        <f t="shared" si="14"/>
        <v>159.822222222222</v>
      </c>
      <c r="AC49" s="66">
        <f t="shared" si="15"/>
        <v>4497.39733333333</v>
      </c>
      <c r="AD49" s="68" t="s">
        <v>547</v>
      </c>
    </row>
    <row r="50" ht="15" customHeight="1" spans="1:30">
      <c r="A50" s="1" t="s">
        <v>358</v>
      </c>
      <c r="B50" s="65" t="s">
        <v>359</v>
      </c>
      <c r="C50" s="65" t="s">
        <v>34</v>
      </c>
      <c r="D50" s="65" t="s">
        <v>51</v>
      </c>
      <c r="E50" s="65" t="s">
        <v>203</v>
      </c>
      <c r="F50" s="65">
        <v>193.62</v>
      </c>
      <c r="G50" s="65">
        <v>74</v>
      </c>
      <c r="H50" s="65"/>
      <c r="I50" s="65"/>
      <c r="J50" s="65">
        <v>48</v>
      </c>
      <c r="K50" s="65">
        <v>12004</v>
      </c>
      <c r="L50" s="66">
        <f t="shared" si="16"/>
        <v>1.48</v>
      </c>
      <c r="M50" s="66">
        <f t="shared" si="1"/>
        <v>45.88</v>
      </c>
      <c r="N50" s="66">
        <f t="shared" si="17"/>
        <v>8883.2856</v>
      </c>
      <c r="O50" s="66">
        <f t="shared" si="3"/>
        <v>0.822222222222222</v>
      </c>
      <c r="P50" s="66">
        <f t="shared" si="4"/>
        <v>25.4888888888889</v>
      </c>
      <c r="Q50" s="66">
        <f t="shared" si="5"/>
        <v>7402.738</v>
      </c>
      <c r="R50" s="66">
        <f t="shared" si="6"/>
        <v>25.4888888888889</v>
      </c>
      <c r="S50" s="66">
        <f t="shared" si="7"/>
        <v>0.822222222222222</v>
      </c>
      <c r="T50" s="66">
        <f t="shared" si="8"/>
        <v>0.822222222222222</v>
      </c>
      <c r="U50" s="66">
        <f t="shared" si="9"/>
        <v>7402.738</v>
      </c>
      <c r="V50" s="67">
        <v>0.5</v>
      </c>
      <c r="W50" s="66">
        <f t="shared" si="10"/>
        <v>0.411111111111111</v>
      </c>
      <c r="X50" s="66">
        <f t="shared" si="11"/>
        <v>12.7444444444445</v>
      </c>
      <c r="Y50" s="66">
        <f t="shared" si="12"/>
        <v>3701.369</v>
      </c>
      <c r="Z50" s="67">
        <v>0.5</v>
      </c>
      <c r="AA50" s="66">
        <f t="shared" si="13"/>
        <v>0.411111111111111</v>
      </c>
      <c r="AB50" s="66">
        <f t="shared" si="14"/>
        <v>12.7444444444445</v>
      </c>
      <c r="AC50" s="66">
        <f t="shared" si="15"/>
        <v>3701.369</v>
      </c>
      <c r="AD50" s="68" t="s">
        <v>547</v>
      </c>
    </row>
    <row r="51" ht="15" customHeight="1" spans="1:30">
      <c r="A51" s="1" t="s">
        <v>582</v>
      </c>
      <c r="B51" s="1" t="s">
        <v>697</v>
      </c>
      <c r="C51" s="1" t="s">
        <v>34</v>
      </c>
      <c r="D51" s="1" t="s">
        <v>35</v>
      </c>
      <c r="E51" s="72" t="s">
        <v>324</v>
      </c>
      <c r="F51" s="72">
        <v>96.65</v>
      </c>
      <c r="G51" s="72">
        <v>92</v>
      </c>
      <c r="H51" s="72"/>
      <c r="I51" s="72"/>
      <c r="J51" s="72">
        <v>79</v>
      </c>
      <c r="K51" s="72">
        <v>10921</v>
      </c>
      <c r="L51" s="73">
        <f t="shared" si="16"/>
        <v>1.84</v>
      </c>
      <c r="M51" s="73">
        <f t="shared" si="1"/>
        <v>57.04</v>
      </c>
      <c r="N51" s="73">
        <f t="shared" si="17"/>
        <v>5512.916</v>
      </c>
      <c r="O51" s="73">
        <f t="shared" si="3"/>
        <v>1.02222222222222</v>
      </c>
      <c r="P51" s="73">
        <f t="shared" si="4"/>
        <v>31.6888888888889</v>
      </c>
      <c r="Q51" s="73">
        <f t="shared" si="5"/>
        <v>4594.09666666667</v>
      </c>
      <c r="R51" s="73">
        <f t="shared" si="6"/>
        <v>31.6888888888889</v>
      </c>
      <c r="S51" s="73">
        <f t="shared" si="7"/>
        <v>1.02222222222222</v>
      </c>
      <c r="T51" s="73">
        <f t="shared" si="8"/>
        <v>1.02222222222222</v>
      </c>
      <c r="U51" s="73">
        <f t="shared" si="9"/>
        <v>4594.09666666667</v>
      </c>
      <c r="V51" s="75">
        <v>0.5</v>
      </c>
      <c r="W51" s="73">
        <f t="shared" si="10"/>
        <v>0.511111111111111</v>
      </c>
      <c r="X51" s="73">
        <f t="shared" si="11"/>
        <v>15.8444444444445</v>
      </c>
      <c r="Y51" s="73">
        <f t="shared" si="12"/>
        <v>2297.04833333333</v>
      </c>
      <c r="Z51" s="75">
        <v>0.5</v>
      </c>
      <c r="AA51" s="73">
        <f t="shared" si="13"/>
        <v>0.511111111111111</v>
      </c>
      <c r="AB51" s="73">
        <f t="shared" si="14"/>
        <v>15.8444444444445</v>
      </c>
      <c r="AC51" s="73">
        <f t="shared" si="15"/>
        <v>2297.04833333333</v>
      </c>
    </row>
    <row r="52" ht="15" customHeight="1" spans="1:30">
      <c r="A52" s="1" t="s">
        <v>583</v>
      </c>
      <c r="B52" s="69" t="s">
        <v>597</v>
      </c>
      <c r="C52" s="69" t="s">
        <v>34</v>
      </c>
      <c r="D52" s="69" t="s">
        <v>35</v>
      </c>
      <c r="E52" s="69" t="s">
        <v>598</v>
      </c>
      <c r="F52" s="69">
        <v>40.62</v>
      </c>
      <c r="G52" s="69">
        <v>188</v>
      </c>
      <c r="H52" s="69"/>
      <c r="I52" s="69"/>
      <c r="J52" s="69">
        <v>175</v>
      </c>
      <c r="K52" s="69">
        <v>10439</v>
      </c>
      <c r="L52" s="70">
        <f t="shared" si="16"/>
        <v>3.76</v>
      </c>
      <c r="M52" s="70">
        <f t="shared" si="1"/>
        <v>116.56</v>
      </c>
      <c r="N52" s="70">
        <f t="shared" si="17"/>
        <v>4734.6672</v>
      </c>
      <c r="O52" s="70">
        <f t="shared" si="3"/>
        <v>2.08888888888889</v>
      </c>
      <c r="P52" s="70">
        <f t="shared" si="4"/>
        <v>64.7555555555556</v>
      </c>
      <c r="Q52" s="70">
        <f t="shared" si="5"/>
        <v>3945.556</v>
      </c>
      <c r="R52" s="70">
        <f t="shared" si="6"/>
        <v>64.7555555555556</v>
      </c>
      <c r="S52" s="70">
        <f t="shared" si="7"/>
        <v>2.08888888888889</v>
      </c>
      <c r="T52" s="70">
        <f t="shared" si="8"/>
        <v>2.08888888888889</v>
      </c>
      <c r="U52" s="70">
        <f t="shared" si="9"/>
        <v>3945.556</v>
      </c>
      <c r="V52" s="71">
        <v>0.6</v>
      </c>
      <c r="W52" s="70">
        <f t="shared" si="10"/>
        <v>1.25333333333333</v>
      </c>
      <c r="X52" s="70">
        <f t="shared" si="11"/>
        <v>38.8533333333334</v>
      </c>
      <c r="Y52" s="70">
        <f t="shared" si="12"/>
        <v>2367.3336</v>
      </c>
      <c r="Z52" s="71">
        <v>0.4</v>
      </c>
      <c r="AA52" s="70">
        <f t="shared" si="13"/>
        <v>0.835555555555556</v>
      </c>
      <c r="AB52" s="70">
        <f t="shared" si="14"/>
        <v>25.9022222222222</v>
      </c>
      <c r="AC52" s="70">
        <f t="shared" si="15"/>
        <v>1578.2224</v>
      </c>
      <c r="AD52" s="61" t="s">
        <v>594</v>
      </c>
    </row>
    <row r="53" ht="15" customHeight="1" spans="1:30">
      <c r="A53" s="1" t="s">
        <v>230</v>
      </c>
      <c r="B53" s="65" t="s">
        <v>231</v>
      </c>
      <c r="C53" s="65" t="s">
        <v>34</v>
      </c>
      <c r="D53" s="65" t="s">
        <v>35</v>
      </c>
      <c r="E53" s="65" t="s">
        <v>156</v>
      </c>
      <c r="F53" s="65">
        <v>127.26</v>
      </c>
      <c r="G53" s="65">
        <v>74</v>
      </c>
      <c r="H53" s="65"/>
      <c r="I53" s="65"/>
      <c r="J53" s="65">
        <v>56</v>
      </c>
      <c r="K53" s="65">
        <v>9735</v>
      </c>
      <c r="L53" s="66">
        <f t="shared" si="16"/>
        <v>1.48</v>
      </c>
      <c r="M53" s="66">
        <f t="shared" si="1"/>
        <v>45.88</v>
      </c>
      <c r="N53" s="66">
        <f t="shared" si="17"/>
        <v>5838.6888</v>
      </c>
      <c r="O53" s="66">
        <f t="shared" si="3"/>
        <v>0.822222222222222</v>
      </c>
      <c r="P53" s="66">
        <f t="shared" si="4"/>
        <v>25.4888888888889</v>
      </c>
      <c r="Q53" s="66">
        <f t="shared" si="5"/>
        <v>4865.574</v>
      </c>
      <c r="R53" s="66">
        <f t="shared" si="6"/>
        <v>25.4888888888889</v>
      </c>
      <c r="S53" s="66">
        <f t="shared" si="7"/>
        <v>0.822222222222222</v>
      </c>
      <c r="T53" s="66">
        <f t="shared" si="8"/>
        <v>0.822222222222222</v>
      </c>
      <c r="U53" s="66">
        <f t="shared" si="9"/>
        <v>4865.574</v>
      </c>
      <c r="V53" s="67">
        <v>0.5</v>
      </c>
      <c r="W53" s="66">
        <f t="shared" si="10"/>
        <v>0.411111111111111</v>
      </c>
      <c r="X53" s="66">
        <f t="shared" si="11"/>
        <v>12.7444444444445</v>
      </c>
      <c r="Y53" s="66">
        <f t="shared" si="12"/>
        <v>2432.787</v>
      </c>
      <c r="Z53" s="67">
        <v>0.5</v>
      </c>
      <c r="AA53" s="66">
        <f t="shared" si="13"/>
        <v>0.411111111111111</v>
      </c>
      <c r="AB53" s="66">
        <f t="shared" si="14"/>
        <v>12.7444444444445</v>
      </c>
      <c r="AC53" s="66">
        <f t="shared" si="15"/>
        <v>2432.787</v>
      </c>
      <c r="AD53" s="68" t="s">
        <v>547</v>
      </c>
    </row>
    <row r="54" ht="15" customHeight="1" spans="1:30">
      <c r="A54" s="1" t="s">
        <v>213</v>
      </c>
      <c r="B54" s="1" t="s">
        <v>214</v>
      </c>
      <c r="C54" s="1" t="s">
        <v>34</v>
      </c>
      <c r="D54" s="1" t="s">
        <v>51</v>
      </c>
      <c r="E54" s="72" t="s">
        <v>80</v>
      </c>
      <c r="F54" s="72">
        <v>96.31</v>
      </c>
      <c r="G54" s="72">
        <v>645</v>
      </c>
      <c r="H54" s="72">
        <v>10</v>
      </c>
      <c r="I54" s="72">
        <v>64</v>
      </c>
      <c r="J54" s="72">
        <v>99</v>
      </c>
      <c r="K54" s="72">
        <v>9535</v>
      </c>
      <c r="L54" s="73">
        <f t="shared" si="16"/>
        <v>2.9</v>
      </c>
      <c r="M54" s="73">
        <f t="shared" si="1"/>
        <v>399.9</v>
      </c>
      <c r="N54" s="73">
        <f t="shared" si="17"/>
        <v>38514.369</v>
      </c>
      <c r="O54" s="73">
        <f t="shared" si="3"/>
        <v>-2.83333333333333</v>
      </c>
      <c r="P54" s="73">
        <f t="shared" si="4"/>
        <v>222.166666666667</v>
      </c>
      <c r="Q54" s="73">
        <f t="shared" si="5"/>
        <v>32095.3075</v>
      </c>
      <c r="R54" s="73">
        <f t="shared" si="6"/>
        <v>222.166666666667</v>
      </c>
      <c r="S54" s="73">
        <f t="shared" si="7"/>
        <v>7.16666666666667</v>
      </c>
      <c r="T54" s="73">
        <f t="shared" si="8"/>
        <v>-2.83333333333333</v>
      </c>
      <c r="U54" s="73">
        <f t="shared" si="9"/>
        <v>32095.3075</v>
      </c>
      <c r="V54" s="75">
        <v>0.5</v>
      </c>
      <c r="W54" s="73">
        <f t="shared" si="10"/>
        <v>3.58333333333334</v>
      </c>
      <c r="X54" s="73">
        <f t="shared" si="11"/>
        <v>111.083333333333</v>
      </c>
      <c r="Y54" s="73">
        <f t="shared" si="12"/>
        <v>16047.65375</v>
      </c>
      <c r="Z54" s="75">
        <v>0.5</v>
      </c>
      <c r="AA54" s="73">
        <f t="shared" si="13"/>
        <v>3.58333333333334</v>
      </c>
      <c r="AB54" s="73">
        <f t="shared" si="14"/>
        <v>111.083333333333</v>
      </c>
      <c r="AC54" s="73">
        <f t="shared" si="15"/>
        <v>16047.65375</v>
      </c>
    </row>
    <row r="55" ht="15" customHeight="1" spans="1:30">
      <c r="A55" s="1" t="s">
        <v>284</v>
      </c>
      <c r="B55" s="69" t="s">
        <v>285</v>
      </c>
      <c r="C55" s="69" t="s">
        <v>34</v>
      </c>
      <c r="D55" s="69" t="s">
        <v>51</v>
      </c>
      <c r="E55" s="69" t="s">
        <v>286</v>
      </c>
      <c r="F55" s="69">
        <v>19.49</v>
      </c>
      <c r="G55" s="69">
        <v>399</v>
      </c>
      <c r="H55" s="69">
        <v>1</v>
      </c>
      <c r="I55" s="69">
        <v>399</v>
      </c>
      <c r="J55" s="69">
        <v>339</v>
      </c>
      <c r="K55" s="69">
        <v>9443</v>
      </c>
      <c r="L55" s="70">
        <f t="shared" si="16"/>
        <v>6.98</v>
      </c>
      <c r="M55" s="70">
        <f t="shared" si="1"/>
        <v>247.38</v>
      </c>
      <c r="N55" s="70">
        <f t="shared" si="17"/>
        <v>4821.4362</v>
      </c>
      <c r="O55" s="70">
        <f t="shared" si="3"/>
        <v>3.43333333333333</v>
      </c>
      <c r="P55" s="70">
        <f t="shared" si="4"/>
        <v>137.433333333333</v>
      </c>
      <c r="Q55" s="70">
        <f t="shared" si="5"/>
        <v>4017.8635</v>
      </c>
      <c r="R55" s="70">
        <f t="shared" si="6"/>
        <v>137.433333333333</v>
      </c>
      <c r="S55" s="70">
        <f t="shared" si="7"/>
        <v>4.43333333333333</v>
      </c>
      <c r="T55" s="70">
        <f t="shared" si="8"/>
        <v>3.43333333333333</v>
      </c>
      <c r="U55" s="70">
        <f t="shared" si="9"/>
        <v>4017.8635</v>
      </c>
      <c r="V55" s="71">
        <v>1</v>
      </c>
      <c r="W55" s="70">
        <f t="shared" si="10"/>
        <v>4.43333333333332</v>
      </c>
      <c r="X55" s="70">
        <f t="shared" si="11"/>
        <v>137.433333333333</v>
      </c>
      <c r="Y55" s="70">
        <f t="shared" si="12"/>
        <v>4017.86349999999</v>
      </c>
      <c r="Z55" s="71">
        <v>0</v>
      </c>
      <c r="AA55" s="70">
        <f t="shared" si="13"/>
        <v>0</v>
      </c>
      <c r="AB55" s="70">
        <f t="shared" si="14"/>
        <v>0</v>
      </c>
      <c r="AC55" s="70">
        <f t="shared" si="15"/>
        <v>0</v>
      </c>
      <c r="AD55" s="61" t="s">
        <v>594</v>
      </c>
    </row>
    <row r="56" ht="15" customHeight="1" spans="1:30">
      <c r="A56" s="1" t="s">
        <v>196</v>
      </c>
      <c r="B56" s="65" t="s">
        <v>197</v>
      </c>
      <c r="C56" s="65" t="s">
        <v>34</v>
      </c>
      <c r="D56" s="65" t="s">
        <v>51</v>
      </c>
      <c r="E56" s="65" t="s">
        <v>80</v>
      </c>
      <c r="F56" s="65">
        <v>123.31</v>
      </c>
      <c r="G56" s="65">
        <v>58</v>
      </c>
      <c r="H56" s="65"/>
      <c r="I56" s="65"/>
      <c r="J56" s="65">
        <v>52</v>
      </c>
      <c r="K56" s="65">
        <v>9310</v>
      </c>
      <c r="L56" s="66">
        <f t="shared" si="16"/>
        <v>1.16</v>
      </c>
      <c r="M56" s="66">
        <f t="shared" si="1"/>
        <v>35.96</v>
      </c>
      <c r="N56" s="66">
        <f t="shared" si="17"/>
        <v>4434.2276</v>
      </c>
      <c r="O56" s="66">
        <f t="shared" si="3"/>
        <v>0.644444444444444</v>
      </c>
      <c r="P56" s="66">
        <f t="shared" si="4"/>
        <v>19.9777777777778</v>
      </c>
      <c r="Q56" s="66">
        <f t="shared" si="5"/>
        <v>3695.18966666667</v>
      </c>
      <c r="R56" s="66">
        <f t="shared" si="6"/>
        <v>19.9777777777778</v>
      </c>
      <c r="S56" s="66">
        <f t="shared" si="7"/>
        <v>0.644444444444444</v>
      </c>
      <c r="T56" s="66">
        <f t="shared" si="8"/>
        <v>0.644444444444444</v>
      </c>
      <c r="U56" s="66">
        <f t="shared" si="9"/>
        <v>3695.18966666667</v>
      </c>
      <c r="V56" s="67">
        <v>1</v>
      </c>
      <c r="W56" s="66">
        <f t="shared" si="10"/>
        <v>0.644444444444445</v>
      </c>
      <c r="X56" s="66">
        <f t="shared" si="11"/>
        <v>19.9777777777778</v>
      </c>
      <c r="Y56" s="66">
        <f t="shared" si="12"/>
        <v>3695.18966666667</v>
      </c>
      <c r="Z56" s="67">
        <v>0</v>
      </c>
      <c r="AA56" s="66">
        <f t="shared" si="13"/>
        <v>0</v>
      </c>
      <c r="AB56" s="66">
        <f t="shared" si="14"/>
        <v>0</v>
      </c>
      <c r="AC56" s="66">
        <f t="shared" si="15"/>
        <v>0</v>
      </c>
      <c r="AD56" s="68" t="s">
        <v>547</v>
      </c>
    </row>
    <row r="57" ht="15" customHeight="1" spans="1:30">
      <c r="A57" s="1" t="s">
        <v>59</v>
      </c>
      <c r="B57" s="65" t="s">
        <v>60</v>
      </c>
      <c r="C57" s="65" t="s">
        <v>34</v>
      </c>
      <c r="D57" s="65" t="s">
        <v>51</v>
      </c>
      <c r="E57" s="65" t="s">
        <v>61</v>
      </c>
      <c r="F57" s="65">
        <v>175.48</v>
      </c>
      <c r="G57" s="65">
        <v>190</v>
      </c>
      <c r="H57" s="65">
        <v>2</v>
      </c>
      <c r="I57" s="65">
        <v>95</v>
      </c>
      <c r="J57" s="65">
        <v>52</v>
      </c>
      <c r="K57" s="65">
        <v>9125</v>
      </c>
      <c r="L57" s="66">
        <f t="shared" si="16"/>
        <v>1.8</v>
      </c>
      <c r="M57" s="66">
        <f t="shared" si="1"/>
        <v>117.8</v>
      </c>
      <c r="N57" s="66">
        <f t="shared" si="17"/>
        <v>20671.544</v>
      </c>
      <c r="O57" s="66">
        <f t="shared" si="3"/>
        <v>0.111111111111111</v>
      </c>
      <c r="P57" s="66">
        <f t="shared" si="4"/>
        <v>65.4444444444444</v>
      </c>
      <c r="Q57" s="66">
        <f t="shared" si="5"/>
        <v>17226.2866666667</v>
      </c>
      <c r="R57" s="66">
        <f t="shared" si="6"/>
        <v>65.4444444444444</v>
      </c>
      <c r="S57" s="66">
        <f t="shared" si="7"/>
        <v>2.11111111111111</v>
      </c>
      <c r="T57" s="66">
        <f t="shared" si="8"/>
        <v>0.111111111111111</v>
      </c>
      <c r="U57" s="66">
        <f t="shared" si="9"/>
        <v>17226.2866666667</v>
      </c>
      <c r="V57" s="67">
        <v>0.5</v>
      </c>
      <c r="W57" s="66">
        <f t="shared" si="10"/>
        <v>1.05555555555555</v>
      </c>
      <c r="X57" s="66">
        <f t="shared" si="11"/>
        <v>32.7222222222222</v>
      </c>
      <c r="Y57" s="66">
        <f t="shared" si="12"/>
        <v>8613.14333333333</v>
      </c>
      <c r="Z57" s="67">
        <v>0.5</v>
      </c>
      <c r="AA57" s="66">
        <f t="shared" si="13"/>
        <v>1.05555555555555</v>
      </c>
      <c r="AB57" s="66">
        <f t="shared" si="14"/>
        <v>32.7222222222222</v>
      </c>
      <c r="AC57" s="66">
        <f t="shared" si="15"/>
        <v>8613.14333333333</v>
      </c>
      <c r="AD57" s="68" t="s">
        <v>547</v>
      </c>
    </row>
    <row r="58" ht="15" customHeight="1" spans="1:30">
      <c r="A58" s="1" t="s">
        <v>336</v>
      </c>
      <c r="B58" s="72" t="s">
        <v>337</v>
      </c>
      <c r="C58" s="76" t="s">
        <v>34</v>
      </c>
      <c r="D58" s="76" t="s">
        <v>35</v>
      </c>
      <c r="E58" s="72" t="s">
        <v>338</v>
      </c>
      <c r="F58" s="72">
        <v>22.4909</v>
      </c>
      <c r="G58" s="72">
        <v>407</v>
      </c>
      <c r="H58" s="72">
        <v>2</v>
      </c>
      <c r="I58" s="72">
        <v>203</v>
      </c>
      <c r="J58" s="72">
        <v>297</v>
      </c>
      <c r="K58" s="72">
        <v>9030</v>
      </c>
      <c r="L58" s="73">
        <f t="shared" si="16"/>
        <v>6.14</v>
      </c>
      <c r="M58" s="73">
        <f t="shared" si="1"/>
        <v>252.34</v>
      </c>
      <c r="N58" s="73">
        <f t="shared" si="17"/>
        <v>5675.353706</v>
      </c>
      <c r="O58" s="73">
        <f t="shared" si="3"/>
        <v>2.52222222222222</v>
      </c>
      <c r="P58" s="73">
        <f t="shared" si="4"/>
        <v>140.188888888889</v>
      </c>
      <c r="Q58" s="73">
        <f t="shared" si="5"/>
        <v>4729.46142166667</v>
      </c>
      <c r="R58" s="73">
        <f t="shared" si="6"/>
        <v>140.188888888889</v>
      </c>
      <c r="S58" s="73">
        <f t="shared" si="7"/>
        <v>4.52222222222222</v>
      </c>
      <c r="T58" s="73">
        <f t="shared" si="8"/>
        <v>2.52222222222222</v>
      </c>
      <c r="U58" s="73">
        <f t="shared" si="9"/>
        <v>4729.46142166667</v>
      </c>
      <c r="V58" s="75">
        <v>0.8</v>
      </c>
      <c r="W58" s="73">
        <f t="shared" si="10"/>
        <v>3.61777777777778</v>
      </c>
      <c r="X58" s="73">
        <f t="shared" si="11"/>
        <v>112.151111111111</v>
      </c>
      <c r="Y58" s="73">
        <f t="shared" si="12"/>
        <v>3783.56913733334</v>
      </c>
      <c r="Z58" s="75">
        <v>0.2</v>
      </c>
      <c r="AA58" s="73">
        <f t="shared" si="13"/>
        <v>0.904444444444445</v>
      </c>
      <c r="AB58" s="73">
        <f t="shared" si="14"/>
        <v>28.0377777777778</v>
      </c>
      <c r="AC58" s="73">
        <f t="shared" si="15"/>
        <v>945.892284333334</v>
      </c>
    </row>
    <row r="59" ht="15" customHeight="1" spans="1:30">
      <c r="A59" s="1" t="s">
        <v>586</v>
      </c>
      <c r="B59" s="1" t="s">
        <v>630</v>
      </c>
      <c r="C59" s="1" t="s">
        <v>34</v>
      </c>
      <c r="D59" s="1" t="s">
        <v>51</v>
      </c>
      <c r="E59" s="72" t="s">
        <v>408</v>
      </c>
      <c r="F59" s="72">
        <v>23.42</v>
      </c>
      <c r="G59" s="72">
        <v>363</v>
      </c>
      <c r="H59" s="72">
        <v>1</v>
      </c>
      <c r="I59" s="72">
        <v>363</v>
      </c>
      <c r="J59" s="72">
        <v>270</v>
      </c>
      <c r="K59" s="72">
        <v>8607</v>
      </c>
      <c r="L59" s="73">
        <f t="shared" si="16"/>
        <v>6.26</v>
      </c>
      <c r="M59" s="73">
        <f t="shared" si="1"/>
        <v>225.06</v>
      </c>
      <c r="N59" s="73">
        <f t="shared" si="17"/>
        <v>5270.9052</v>
      </c>
      <c r="O59" s="73">
        <f t="shared" si="3"/>
        <v>3.03333333333333</v>
      </c>
      <c r="P59" s="73">
        <f t="shared" si="4"/>
        <v>125.033333333333</v>
      </c>
      <c r="Q59" s="73">
        <f t="shared" si="5"/>
        <v>4392.421</v>
      </c>
      <c r="R59" s="73">
        <f t="shared" si="6"/>
        <v>125.033333333333</v>
      </c>
      <c r="S59" s="73">
        <f t="shared" si="7"/>
        <v>4.03333333333333</v>
      </c>
      <c r="T59" s="73">
        <f t="shared" si="8"/>
        <v>3.03333333333333</v>
      </c>
      <c r="U59" s="73">
        <f t="shared" si="9"/>
        <v>4392.421</v>
      </c>
      <c r="V59" s="75">
        <v>0.6</v>
      </c>
      <c r="W59" s="73">
        <f t="shared" si="10"/>
        <v>2.41999999999999</v>
      </c>
      <c r="X59" s="73">
        <f t="shared" si="11"/>
        <v>75.0199999999998</v>
      </c>
      <c r="Y59" s="73">
        <f t="shared" si="12"/>
        <v>2635.45259999999</v>
      </c>
      <c r="Z59" s="75">
        <v>0.4</v>
      </c>
      <c r="AA59" s="73">
        <f t="shared" si="13"/>
        <v>1.61333333333333</v>
      </c>
      <c r="AB59" s="73">
        <f t="shared" si="14"/>
        <v>50.0133333333332</v>
      </c>
      <c r="AC59" s="73">
        <f t="shared" si="15"/>
        <v>1756.9684</v>
      </c>
    </row>
    <row r="60" ht="15" customHeight="1" spans="1:30">
      <c r="A60" s="1" t="s">
        <v>217</v>
      </c>
      <c r="B60" s="79" t="s">
        <v>218</v>
      </c>
      <c r="C60" s="79" t="s">
        <v>34</v>
      </c>
      <c r="D60" s="79" t="s">
        <v>35</v>
      </c>
      <c r="E60" s="79" t="s">
        <v>219</v>
      </c>
      <c r="F60" s="79">
        <v>94.25</v>
      </c>
      <c r="G60" s="79">
        <v>62</v>
      </c>
      <c r="H60" s="79"/>
      <c r="I60" s="79"/>
      <c r="J60" s="79">
        <v>61</v>
      </c>
      <c r="K60" s="79">
        <v>8577</v>
      </c>
      <c r="L60" s="80">
        <f t="shared" si="16"/>
        <v>1.24</v>
      </c>
      <c r="M60" s="80">
        <f t="shared" si="1"/>
        <v>38.44</v>
      </c>
      <c r="N60" s="80">
        <f t="shared" si="17"/>
        <v>3622.97</v>
      </c>
      <c r="O60" s="80">
        <f t="shared" si="3"/>
        <v>0.688888888888889</v>
      </c>
      <c r="P60" s="80">
        <f t="shared" si="4"/>
        <v>21.3555555555556</v>
      </c>
      <c r="Q60" s="80">
        <f t="shared" si="5"/>
        <v>3019.14166666667</v>
      </c>
      <c r="R60" s="80">
        <f t="shared" si="6"/>
        <v>21.3555555555556</v>
      </c>
      <c r="S60" s="80">
        <f t="shared" si="7"/>
        <v>0.688888888888889</v>
      </c>
      <c r="T60" s="80">
        <f t="shared" si="8"/>
        <v>0.688888888888889</v>
      </c>
      <c r="U60" s="80">
        <f t="shared" si="9"/>
        <v>3019.14166666667</v>
      </c>
      <c r="V60" s="81">
        <v>0.7</v>
      </c>
      <c r="W60" s="80">
        <f t="shared" si="10"/>
        <v>0.482222222222223</v>
      </c>
      <c r="X60" s="80">
        <f t="shared" si="11"/>
        <v>14.9488888888889</v>
      </c>
      <c r="Y60" s="80">
        <f t="shared" si="12"/>
        <v>2113.39916666667</v>
      </c>
      <c r="Z60" s="81">
        <v>0.3</v>
      </c>
      <c r="AA60" s="80">
        <f t="shared" si="13"/>
        <v>0.206666666666667</v>
      </c>
      <c r="AB60" s="80">
        <f t="shared" si="14"/>
        <v>6.40666666666668</v>
      </c>
      <c r="AC60" s="80">
        <f t="shared" si="15"/>
        <v>905.742500000002</v>
      </c>
      <c r="AD60" s="68" t="s">
        <v>557</v>
      </c>
    </row>
    <row r="61" ht="15" customHeight="1" spans="1:30">
      <c r="A61" s="1" t="s">
        <v>266</v>
      </c>
      <c r="B61" s="79" t="s">
        <v>267</v>
      </c>
      <c r="C61" s="79" t="s">
        <v>34</v>
      </c>
      <c r="D61" s="79" t="s">
        <v>35</v>
      </c>
      <c r="E61" s="79" t="s">
        <v>250</v>
      </c>
      <c r="F61" s="79">
        <v>160.68</v>
      </c>
      <c r="G61" s="79">
        <v>35</v>
      </c>
      <c r="H61" s="79"/>
      <c r="I61" s="79"/>
      <c r="J61" s="79">
        <v>35</v>
      </c>
      <c r="K61" s="79">
        <v>8436</v>
      </c>
      <c r="L61" s="80">
        <f t="shared" si="16"/>
        <v>0.7</v>
      </c>
      <c r="M61" s="80">
        <f t="shared" si="1"/>
        <v>21.7</v>
      </c>
      <c r="N61" s="80">
        <f t="shared" si="17"/>
        <v>3486.756</v>
      </c>
      <c r="O61" s="80">
        <f t="shared" si="3"/>
        <v>0.388888888888889</v>
      </c>
      <c r="P61" s="80">
        <f t="shared" si="4"/>
        <v>12.0555555555556</v>
      </c>
      <c r="Q61" s="80">
        <f t="shared" si="5"/>
        <v>2905.63</v>
      </c>
      <c r="R61" s="80">
        <f t="shared" si="6"/>
        <v>12.0555555555556</v>
      </c>
      <c r="S61" s="80">
        <f t="shared" si="7"/>
        <v>0.388888888888889</v>
      </c>
      <c r="T61" s="80">
        <f t="shared" si="8"/>
        <v>0.388888888888889</v>
      </c>
      <c r="U61" s="80">
        <f t="shared" si="9"/>
        <v>2905.63</v>
      </c>
      <c r="V61" s="81">
        <v>0.5</v>
      </c>
      <c r="W61" s="80">
        <f t="shared" si="10"/>
        <v>0.194444444444445</v>
      </c>
      <c r="X61" s="80">
        <f t="shared" si="11"/>
        <v>6.0277777777778</v>
      </c>
      <c r="Y61" s="80">
        <f t="shared" si="12"/>
        <v>1452.81500000001</v>
      </c>
      <c r="Z61" s="81">
        <v>0.5</v>
      </c>
      <c r="AA61" s="80">
        <f t="shared" si="13"/>
        <v>0.194444444444445</v>
      </c>
      <c r="AB61" s="80">
        <f t="shared" si="14"/>
        <v>6.0277777777778</v>
      </c>
      <c r="AC61" s="80">
        <f t="shared" si="15"/>
        <v>1452.81500000001</v>
      </c>
      <c r="AD61" s="68" t="s">
        <v>557</v>
      </c>
    </row>
    <row r="62" ht="15" customHeight="1" spans="1:30">
      <c r="A62" s="1" t="s">
        <v>228</v>
      </c>
      <c r="B62" s="79" t="s">
        <v>229</v>
      </c>
      <c r="C62" s="79" t="s">
        <v>34</v>
      </c>
      <c r="D62" s="79" t="s">
        <v>51</v>
      </c>
      <c r="E62" s="79" t="s">
        <v>180</v>
      </c>
      <c r="F62" s="79">
        <v>80.47</v>
      </c>
      <c r="G62" s="79">
        <v>71</v>
      </c>
      <c r="H62" s="79"/>
      <c r="I62" s="79"/>
      <c r="J62" s="79">
        <v>70</v>
      </c>
      <c r="K62" s="79">
        <v>8409</v>
      </c>
      <c r="L62" s="80">
        <f t="shared" si="16"/>
        <v>1.42</v>
      </c>
      <c r="M62" s="80">
        <f t="shared" si="1"/>
        <v>44.02</v>
      </c>
      <c r="N62" s="80">
        <f t="shared" si="17"/>
        <v>3542.2894</v>
      </c>
      <c r="O62" s="80">
        <f t="shared" si="3"/>
        <v>0.788888888888889</v>
      </c>
      <c r="P62" s="80">
        <f t="shared" si="4"/>
        <v>24.4555555555556</v>
      </c>
      <c r="Q62" s="80">
        <f t="shared" si="5"/>
        <v>2951.90783333333</v>
      </c>
      <c r="R62" s="80">
        <f t="shared" si="6"/>
        <v>24.4555555555556</v>
      </c>
      <c r="S62" s="80">
        <f t="shared" si="7"/>
        <v>0.788888888888889</v>
      </c>
      <c r="T62" s="80">
        <f t="shared" si="8"/>
        <v>0.788888888888889</v>
      </c>
      <c r="U62" s="80">
        <f t="shared" si="9"/>
        <v>2951.90783333333</v>
      </c>
      <c r="V62" s="81">
        <v>0.5</v>
      </c>
      <c r="W62" s="80">
        <f t="shared" si="10"/>
        <v>0.394444444444445</v>
      </c>
      <c r="X62" s="80">
        <f t="shared" si="11"/>
        <v>12.2277777777778</v>
      </c>
      <c r="Y62" s="80">
        <f t="shared" si="12"/>
        <v>1475.95391666667</v>
      </c>
      <c r="Z62" s="81">
        <v>0.5</v>
      </c>
      <c r="AA62" s="80">
        <f t="shared" si="13"/>
        <v>0.394444444444445</v>
      </c>
      <c r="AB62" s="80">
        <f t="shared" si="14"/>
        <v>12.2277777777778</v>
      </c>
      <c r="AC62" s="80">
        <f t="shared" si="15"/>
        <v>1475.95391666667</v>
      </c>
      <c r="AD62" s="68" t="s">
        <v>557</v>
      </c>
    </row>
    <row r="63" ht="15" customHeight="1" spans="1:30">
      <c r="A63" s="1" t="s">
        <v>311</v>
      </c>
      <c r="B63" s="1" t="s">
        <v>312</v>
      </c>
      <c r="C63" s="1" t="s">
        <v>34</v>
      </c>
      <c r="D63" s="1" t="s">
        <v>51</v>
      </c>
      <c r="E63" s="72" t="s">
        <v>313</v>
      </c>
      <c r="F63" s="72">
        <v>37.42</v>
      </c>
      <c r="G63" s="72">
        <v>515</v>
      </c>
      <c r="H63" s="72">
        <v>5</v>
      </c>
      <c r="I63" s="72">
        <v>103</v>
      </c>
      <c r="J63" s="72">
        <v>220</v>
      </c>
      <c r="K63" s="72">
        <v>8232</v>
      </c>
      <c r="L63" s="73">
        <f t="shared" si="16"/>
        <v>5.3</v>
      </c>
      <c r="M63" s="73">
        <f t="shared" si="1"/>
        <v>319.3</v>
      </c>
      <c r="N63" s="73">
        <f t="shared" si="17"/>
        <v>11948.206</v>
      </c>
      <c r="O63" s="73">
        <f t="shared" si="3"/>
        <v>0.722222222222222</v>
      </c>
      <c r="P63" s="73">
        <f t="shared" si="4"/>
        <v>177.388888888889</v>
      </c>
      <c r="Q63" s="73">
        <f t="shared" si="5"/>
        <v>9956.83833333333</v>
      </c>
      <c r="R63" s="73">
        <f t="shared" si="6"/>
        <v>177.388888888889</v>
      </c>
      <c r="S63" s="73">
        <f t="shared" si="7"/>
        <v>5.72222222222222</v>
      </c>
      <c r="T63" s="73">
        <f t="shared" si="8"/>
        <v>0.722222222222222</v>
      </c>
      <c r="U63" s="73">
        <f t="shared" si="9"/>
        <v>9956.83833333333</v>
      </c>
      <c r="V63" s="75">
        <v>0.5</v>
      </c>
      <c r="W63" s="73">
        <f t="shared" si="10"/>
        <v>2.86111111111111</v>
      </c>
      <c r="X63" s="73">
        <f t="shared" si="11"/>
        <v>88.6944444444445</v>
      </c>
      <c r="Y63" s="73">
        <f t="shared" si="12"/>
        <v>4978.41916666667</v>
      </c>
      <c r="Z63" s="75">
        <v>0.5</v>
      </c>
      <c r="AA63" s="73">
        <f t="shared" si="13"/>
        <v>2.86111111111111</v>
      </c>
      <c r="AB63" s="73">
        <f t="shared" si="14"/>
        <v>88.6944444444445</v>
      </c>
      <c r="AC63" s="73">
        <f t="shared" si="15"/>
        <v>4978.41916666667</v>
      </c>
    </row>
    <row r="64" ht="15" customHeight="1" spans="1:30">
      <c r="A64" s="1" t="s">
        <v>223</v>
      </c>
      <c r="B64" s="72" t="s">
        <v>224</v>
      </c>
      <c r="C64" s="76" t="s">
        <v>34</v>
      </c>
      <c r="D64" s="76" t="s">
        <v>35</v>
      </c>
      <c r="E64" s="72" t="s">
        <v>66</v>
      </c>
      <c r="F64" s="72">
        <v>109.41</v>
      </c>
      <c r="G64" s="72">
        <v>50</v>
      </c>
      <c r="H64" s="72"/>
      <c r="I64" s="72"/>
      <c r="J64" s="72">
        <v>50</v>
      </c>
      <c r="K64" s="72">
        <v>8206</v>
      </c>
      <c r="L64" s="73">
        <f t="shared" si="16"/>
        <v>1</v>
      </c>
      <c r="M64" s="73">
        <f t="shared" si="1"/>
        <v>31</v>
      </c>
      <c r="N64" s="73">
        <f t="shared" si="17"/>
        <v>3391.71</v>
      </c>
      <c r="O64" s="73">
        <f t="shared" si="3"/>
        <v>0.555555555555556</v>
      </c>
      <c r="P64" s="73">
        <f t="shared" si="4"/>
        <v>17.2222222222222</v>
      </c>
      <c r="Q64" s="73">
        <f t="shared" si="5"/>
        <v>2826.425</v>
      </c>
      <c r="R64" s="73">
        <f t="shared" si="6"/>
        <v>17.2222222222222</v>
      </c>
      <c r="S64" s="73">
        <f t="shared" si="7"/>
        <v>0.555555555555556</v>
      </c>
      <c r="T64" s="73">
        <f t="shared" si="8"/>
        <v>0.555555555555556</v>
      </c>
      <c r="U64" s="73">
        <f t="shared" si="9"/>
        <v>2826.425</v>
      </c>
      <c r="V64" s="74">
        <v>0.05</v>
      </c>
      <c r="W64" s="73">
        <f t="shared" si="10"/>
        <v>0.0277777777777777</v>
      </c>
      <c r="X64" s="73">
        <f t="shared" si="11"/>
        <v>0.86111111111111</v>
      </c>
      <c r="Y64" s="73">
        <f t="shared" si="12"/>
        <v>141.32125</v>
      </c>
      <c r="Z64" s="74">
        <v>0.95</v>
      </c>
      <c r="AA64" s="73">
        <f t="shared" si="13"/>
        <v>0.527777777777777</v>
      </c>
      <c r="AB64" s="73">
        <f t="shared" si="14"/>
        <v>16.3611111111111</v>
      </c>
      <c r="AC64" s="73">
        <f t="shared" si="15"/>
        <v>2685.10375</v>
      </c>
    </row>
    <row r="65" ht="15" customHeight="1" spans="1:31">
      <c r="A65" s="1" t="s">
        <v>590</v>
      </c>
      <c r="B65" s="1" t="s">
        <v>698</v>
      </c>
      <c r="C65" s="1" t="s">
        <v>34</v>
      </c>
      <c r="D65" s="1" t="s">
        <v>51</v>
      </c>
      <c r="E65" s="72" t="s">
        <v>283</v>
      </c>
      <c r="F65" s="72">
        <v>79.47</v>
      </c>
      <c r="G65" s="72">
        <v>372</v>
      </c>
      <c r="H65" s="72">
        <v>5</v>
      </c>
      <c r="I65" s="72">
        <v>74</v>
      </c>
      <c r="J65" s="72">
        <v>102</v>
      </c>
      <c r="K65" s="72">
        <v>8106</v>
      </c>
      <c r="L65" s="73">
        <f t="shared" si="16"/>
        <v>2.44</v>
      </c>
      <c r="M65" s="73">
        <f t="shared" si="1"/>
        <v>230.64</v>
      </c>
      <c r="N65" s="73">
        <f t="shared" si="17"/>
        <v>18328.9608</v>
      </c>
      <c r="O65" s="73">
        <f t="shared" si="3"/>
        <v>-0.866666666666667</v>
      </c>
      <c r="P65" s="73">
        <f t="shared" si="4"/>
        <v>128.133333333333</v>
      </c>
      <c r="Q65" s="73">
        <f t="shared" si="5"/>
        <v>15274.134</v>
      </c>
      <c r="R65" s="73">
        <f t="shared" si="6"/>
        <v>128.133333333333</v>
      </c>
      <c r="S65" s="73">
        <f t="shared" si="7"/>
        <v>4.13333333333333</v>
      </c>
      <c r="T65" s="73">
        <f t="shared" si="8"/>
        <v>-0.866666666666667</v>
      </c>
      <c r="U65" s="73">
        <f t="shared" si="9"/>
        <v>15274.134</v>
      </c>
      <c r="V65" s="75">
        <v>0.5</v>
      </c>
      <c r="W65" s="73">
        <f t="shared" si="10"/>
        <v>2.06666666666666</v>
      </c>
      <c r="X65" s="73">
        <f t="shared" si="11"/>
        <v>64.0666666666665</v>
      </c>
      <c r="Y65" s="73">
        <f t="shared" si="12"/>
        <v>7637.06699999998</v>
      </c>
      <c r="Z65" s="75">
        <v>0.5</v>
      </c>
      <c r="AA65" s="73">
        <f t="shared" si="13"/>
        <v>2.06666666666666</v>
      </c>
      <c r="AB65" s="73">
        <f t="shared" si="14"/>
        <v>64.0666666666665</v>
      </c>
      <c r="AC65" s="73">
        <f t="shared" si="15"/>
        <v>7637.06699999998</v>
      </c>
    </row>
    <row r="66" ht="15" customHeight="1" spans="1:31">
      <c r="A66" s="1" t="s">
        <v>591</v>
      </c>
      <c r="B66" s="1" t="s">
        <v>699</v>
      </c>
      <c r="C66" s="1" t="s">
        <v>34</v>
      </c>
      <c r="D66" s="1" t="s">
        <v>51</v>
      </c>
      <c r="E66" s="72" t="s">
        <v>80</v>
      </c>
      <c r="F66" s="72">
        <v>55.52</v>
      </c>
      <c r="G66" s="72">
        <v>1628</v>
      </c>
      <c r="H66" s="72">
        <v>29</v>
      </c>
      <c r="I66" s="72">
        <v>56</v>
      </c>
      <c r="J66" s="72">
        <v>141</v>
      </c>
      <c r="K66" s="72">
        <v>7828</v>
      </c>
      <c r="L66" s="73">
        <f t="shared" si="16"/>
        <v>3.56</v>
      </c>
      <c r="M66" s="73">
        <f t="shared" si="1"/>
        <v>1009.36</v>
      </c>
      <c r="N66" s="73">
        <f t="shared" si="17"/>
        <v>56039.6672</v>
      </c>
      <c r="O66" s="73">
        <f t="shared" si="3"/>
        <v>-10.9111111111111</v>
      </c>
      <c r="P66" s="73">
        <f t="shared" si="4"/>
        <v>560.755555555556</v>
      </c>
      <c r="Q66" s="73">
        <f t="shared" si="5"/>
        <v>46699.7226666667</v>
      </c>
      <c r="R66" s="73">
        <f t="shared" si="6"/>
        <v>560.755555555556</v>
      </c>
      <c r="S66" s="73">
        <f t="shared" si="7"/>
        <v>18.0888888888889</v>
      </c>
      <c r="T66" s="73">
        <f t="shared" si="8"/>
        <v>-10.9111111111111</v>
      </c>
      <c r="U66" s="73">
        <f t="shared" si="9"/>
        <v>46699.7226666667</v>
      </c>
      <c r="V66" s="75">
        <v>0.4</v>
      </c>
      <c r="W66" s="73">
        <f t="shared" si="10"/>
        <v>7.23555555555556</v>
      </c>
      <c r="X66" s="73">
        <f t="shared" si="11"/>
        <v>224.302222222222</v>
      </c>
      <c r="Y66" s="73">
        <f t="shared" si="12"/>
        <v>18679.8890666667</v>
      </c>
      <c r="Z66" s="75">
        <v>0.6</v>
      </c>
      <c r="AA66" s="73">
        <f t="shared" si="13"/>
        <v>10.8533333333333</v>
      </c>
      <c r="AB66" s="73">
        <f t="shared" si="14"/>
        <v>336.453333333334</v>
      </c>
      <c r="AC66" s="73">
        <f t="shared" si="15"/>
        <v>28019.8336</v>
      </c>
    </row>
    <row r="67" ht="15" customHeight="1" spans="1:31">
      <c r="A67" s="1" t="s">
        <v>241</v>
      </c>
      <c r="B67" s="69" t="s">
        <v>242</v>
      </c>
      <c r="C67" s="69" t="s">
        <v>34</v>
      </c>
      <c r="D67" s="69" t="s">
        <v>51</v>
      </c>
      <c r="E67" s="69" t="s">
        <v>243</v>
      </c>
      <c r="F67" s="69">
        <v>44.15</v>
      </c>
      <c r="G67" s="69">
        <v>114</v>
      </c>
      <c r="H67" s="69"/>
      <c r="I67" s="69"/>
      <c r="J67" s="69">
        <v>113</v>
      </c>
      <c r="K67" s="69">
        <v>7461</v>
      </c>
      <c r="L67" s="70">
        <f t="shared" si="16"/>
        <v>2.28</v>
      </c>
      <c r="M67" s="70">
        <f t="shared" si="1"/>
        <v>70.68</v>
      </c>
      <c r="N67" s="70">
        <f t="shared" si="17"/>
        <v>3120.522</v>
      </c>
      <c r="O67" s="70">
        <f t="shared" si="3"/>
        <v>1.26666666666667</v>
      </c>
      <c r="P67" s="70">
        <f t="shared" si="4"/>
        <v>39.2666666666667</v>
      </c>
      <c r="Q67" s="70">
        <f t="shared" si="5"/>
        <v>2600.435</v>
      </c>
      <c r="R67" s="70">
        <f t="shared" si="6"/>
        <v>39.2666666666667</v>
      </c>
      <c r="S67" s="70">
        <f t="shared" si="7"/>
        <v>1.26666666666667</v>
      </c>
      <c r="T67" s="70">
        <f t="shared" si="8"/>
        <v>1.26666666666667</v>
      </c>
      <c r="U67" s="70">
        <f t="shared" si="9"/>
        <v>2600.435</v>
      </c>
      <c r="V67" s="71">
        <v>0.5</v>
      </c>
      <c r="W67" s="70">
        <f t="shared" si="10"/>
        <v>0.633333333333334</v>
      </c>
      <c r="X67" s="70">
        <f t="shared" si="11"/>
        <v>19.6333333333334</v>
      </c>
      <c r="Y67" s="70">
        <f t="shared" si="12"/>
        <v>1300.2175</v>
      </c>
      <c r="Z67" s="71">
        <v>0.5</v>
      </c>
      <c r="AA67" s="70">
        <f t="shared" si="13"/>
        <v>0.633333333333334</v>
      </c>
      <c r="AB67" s="70">
        <f t="shared" si="14"/>
        <v>19.6333333333334</v>
      </c>
      <c r="AC67" s="70">
        <f t="shared" si="15"/>
        <v>1300.2175</v>
      </c>
      <c r="AD67" s="61" t="s">
        <v>594</v>
      </c>
    </row>
    <row r="68" ht="15" customHeight="1" spans="1:31">
      <c r="A68" s="1" t="s">
        <v>296</v>
      </c>
      <c r="B68" s="1" t="s">
        <v>297</v>
      </c>
      <c r="C68" s="1" t="s">
        <v>34</v>
      </c>
      <c r="D68" s="1" t="s">
        <v>35</v>
      </c>
      <c r="E68" s="72" t="s">
        <v>298</v>
      </c>
      <c r="F68" s="72">
        <v>351.07</v>
      </c>
      <c r="G68" s="72">
        <v>18</v>
      </c>
      <c r="H68" s="72"/>
      <c r="I68" s="72"/>
      <c r="J68" s="72">
        <v>15</v>
      </c>
      <c r="K68" s="72">
        <v>7372</v>
      </c>
      <c r="L68" s="73">
        <f t="shared" si="16"/>
        <v>0.36</v>
      </c>
      <c r="M68" s="73">
        <f t="shared" ref="M68:M131" si="18">31*(L68+H68)</f>
        <v>11.16</v>
      </c>
      <c r="N68" s="73">
        <f t="shared" si="17"/>
        <v>3917.9412</v>
      </c>
      <c r="O68" s="73">
        <f t="shared" ref="O68:O131" si="19">(G68-(H68*90))/90</f>
        <v>0.2</v>
      </c>
      <c r="P68" s="73">
        <f t="shared" ref="P68:P131" si="20">31*(O68+H68)</f>
        <v>6.2</v>
      </c>
      <c r="Q68" s="73">
        <f t="shared" ref="Q68:Q131" si="21">(O68+H68)*31*F68*1.5</f>
        <v>3264.951</v>
      </c>
      <c r="R68" s="73">
        <f t="shared" ref="R68:R131" si="22">P68</f>
        <v>6.2</v>
      </c>
      <c r="S68" s="73">
        <f t="shared" ref="S68:S131" si="23">R68/31</f>
        <v>0.2</v>
      </c>
      <c r="T68" s="73">
        <f t="shared" ref="T68:T131" si="24">S68-H68</f>
        <v>0.2</v>
      </c>
      <c r="U68" s="73">
        <f t="shared" ref="U68:U131" si="25">Q68</f>
        <v>3264.951</v>
      </c>
      <c r="V68" s="75">
        <v>0.5</v>
      </c>
      <c r="W68" s="73">
        <f t="shared" ref="W68:W131" si="26">X68/31</f>
        <v>0.1</v>
      </c>
      <c r="X68" s="73">
        <f t="shared" ref="X68:X131" si="27">R68*V68</f>
        <v>3.1</v>
      </c>
      <c r="Y68" s="73">
        <f t="shared" ref="Y68:Y131" si="28">X68*F68*1.5</f>
        <v>1632.4755</v>
      </c>
      <c r="Z68" s="74">
        <v>0.5</v>
      </c>
      <c r="AA68" s="73">
        <f t="shared" ref="AA68:AA131" si="29">AB68/31</f>
        <v>0.1</v>
      </c>
      <c r="AB68" s="73">
        <f t="shared" ref="AB68:AB131" si="30">R68*Z68</f>
        <v>3.1</v>
      </c>
      <c r="AC68" s="73">
        <f t="shared" ref="AC68:AC131" si="31">F68*AB68*1.5</f>
        <v>1632.4755</v>
      </c>
    </row>
    <row r="69" ht="15" customHeight="1" spans="1:31">
      <c r="A69" s="1" t="s">
        <v>595</v>
      </c>
      <c r="B69" s="65" t="s">
        <v>700</v>
      </c>
      <c r="C69" s="65" t="s">
        <v>34</v>
      </c>
      <c r="D69" s="65" t="s">
        <v>35</v>
      </c>
      <c r="E69" s="65" t="s">
        <v>106</v>
      </c>
      <c r="F69" s="65">
        <v>21.13</v>
      </c>
      <c r="G69" s="65">
        <v>442</v>
      </c>
      <c r="H69" s="65">
        <v>3</v>
      </c>
      <c r="I69" s="65">
        <v>147</v>
      </c>
      <c r="J69" s="65">
        <v>269</v>
      </c>
      <c r="K69" s="65">
        <v>7057</v>
      </c>
      <c r="L69" s="66">
        <f t="shared" si="16"/>
        <v>5.84</v>
      </c>
      <c r="M69" s="66">
        <f t="shared" si="18"/>
        <v>274.04</v>
      </c>
      <c r="N69" s="66">
        <f t="shared" si="17"/>
        <v>5790.4652</v>
      </c>
      <c r="O69" s="66">
        <f t="shared" si="19"/>
        <v>1.91111111111111</v>
      </c>
      <c r="P69" s="66">
        <f t="shared" si="20"/>
        <v>152.244444444444</v>
      </c>
      <c r="Q69" s="66">
        <f t="shared" si="21"/>
        <v>4825.38766666667</v>
      </c>
      <c r="R69" s="66">
        <f t="shared" si="22"/>
        <v>152.244444444444</v>
      </c>
      <c r="S69" s="66">
        <f t="shared" si="23"/>
        <v>4.91111111111111</v>
      </c>
      <c r="T69" s="66">
        <f t="shared" si="24"/>
        <v>1.91111111111111</v>
      </c>
      <c r="U69" s="66">
        <f t="shared" si="25"/>
        <v>4825.38766666667</v>
      </c>
      <c r="V69" s="67">
        <v>0.5</v>
      </c>
      <c r="W69" s="66">
        <f t="shared" si="26"/>
        <v>2.45555555555556</v>
      </c>
      <c r="X69" s="66">
        <f t="shared" si="27"/>
        <v>76.1222222222222</v>
      </c>
      <c r="Y69" s="66">
        <f t="shared" si="28"/>
        <v>2412.69383333333</v>
      </c>
      <c r="Z69" s="67">
        <v>0.5</v>
      </c>
      <c r="AA69" s="66">
        <f t="shared" si="29"/>
        <v>2.45555555555556</v>
      </c>
      <c r="AB69" s="66">
        <f t="shared" si="30"/>
        <v>76.1222222222222</v>
      </c>
      <c r="AC69" s="66">
        <f t="shared" si="31"/>
        <v>2412.69383333333</v>
      </c>
      <c r="AD69" s="68" t="s">
        <v>547</v>
      </c>
      <c r="AE69" s="68"/>
    </row>
    <row r="70" ht="15" customHeight="1" spans="1:31">
      <c r="A70" s="1" t="s">
        <v>596</v>
      </c>
      <c r="B70" s="1" t="s">
        <v>611</v>
      </c>
      <c r="C70" s="1" t="s">
        <v>34</v>
      </c>
      <c r="D70" s="1" t="s">
        <v>51</v>
      </c>
      <c r="E70" s="72" t="s">
        <v>165</v>
      </c>
      <c r="F70" s="72">
        <v>123.84</v>
      </c>
      <c r="G70" s="72">
        <v>107</v>
      </c>
      <c r="H70" s="72">
        <v>1</v>
      </c>
      <c r="I70" s="72">
        <v>107</v>
      </c>
      <c r="J70" s="72">
        <v>52</v>
      </c>
      <c r="K70" s="72">
        <v>6935</v>
      </c>
      <c r="L70" s="73">
        <f t="shared" si="16"/>
        <v>1.14</v>
      </c>
      <c r="M70" s="73">
        <f t="shared" si="18"/>
        <v>66.34</v>
      </c>
      <c r="N70" s="73">
        <f t="shared" si="17"/>
        <v>8215.5456</v>
      </c>
      <c r="O70" s="73">
        <f t="shared" si="19"/>
        <v>0.188888888888889</v>
      </c>
      <c r="P70" s="73">
        <f t="shared" si="20"/>
        <v>36.8555555555556</v>
      </c>
      <c r="Q70" s="73">
        <f t="shared" si="21"/>
        <v>6846.288</v>
      </c>
      <c r="R70" s="73">
        <f t="shared" si="22"/>
        <v>36.8555555555556</v>
      </c>
      <c r="S70" s="73">
        <f t="shared" si="23"/>
        <v>1.18888888888889</v>
      </c>
      <c r="T70" s="73">
        <f t="shared" si="24"/>
        <v>0.188888888888889</v>
      </c>
      <c r="U70" s="73">
        <f t="shared" si="25"/>
        <v>6846.288</v>
      </c>
      <c r="V70" s="75">
        <v>0.6</v>
      </c>
      <c r="W70" s="73">
        <f t="shared" si="26"/>
        <v>0.713333333333333</v>
      </c>
      <c r="X70" s="73">
        <f t="shared" si="27"/>
        <v>22.1133333333333</v>
      </c>
      <c r="Y70" s="73">
        <f t="shared" si="28"/>
        <v>4107.7728</v>
      </c>
      <c r="Z70" s="75">
        <v>0.4</v>
      </c>
      <c r="AA70" s="73">
        <f t="shared" si="29"/>
        <v>0.475555555555556</v>
      </c>
      <c r="AB70" s="73">
        <f t="shared" si="30"/>
        <v>14.7422222222222</v>
      </c>
      <c r="AC70" s="73">
        <f t="shared" si="31"/>
        <v>2738.5152</v>
      </c>
      <c r="AE70" s="68"/>
    </row>
    <row r="71" ht="15" customHeight="1" spans="1:31">
      <c r="A71" s="1" t="s">
        <v>466</v>
      </c>
      <c r="B71" s="79" t="s">
        <v>467</v>
      </c>
      <c r="C71" s="79" t="s">
        <v>34</v>
      </c>
      <c r="D71" s="79" t="s">
        <v>51</v>
      </c>
      <c r="E71" s="79" t="s">
        <v>203</v>
      </c>
      <c r="F71" s="79">
        <v>93.2</v>
      </c>
      <c r="G71" s="79">
        <v>97</v>
      </c>
      <c r="H71" s="79"/>
      <c r="I71" s="79"/>
      <c r="J71" s="79">
        <v>59</v>
      </c>
      <c r="K71" s="79">
        <v>6804</v>
      </c>
      <c r="L71" s="80">
        <f t="shared" si="16"/>
        <v>1.94</v>
      </c>
      <c r="M71" s="80">
        <f t="shared" si="18"/>
        <v>60.14</v>
      </c>
      <c r="N71" s="80">
        <f t="shared" si="17"/>
        <v>5605.048</v>
      </c>
      <c r="O71" s="80">
        <f t="shared" si="19"/>
        <v>1.07777777777778</v>
      </c>
      <c r="P71" s="80">
        <f t="shared" si="20"/>
        <v>33.4111111111111</v>
      </c>
      <c r="Q71" s="80">
        <f t="shared" si="21"/>
        <v>4670.87333333333</v>
      </c>
      <c r="R71" s="80">
        <f t="shared" si="22"/>
        <v>33.4111111111111</v>
      </c>
      <c r="S71" s="80">
        <f t="shared" si="23"/>
        <v>1.07777777777778</v>
      </c>
      <c r="T71" s="80">
        <f t="shared" si="24"/>
        <v>1.07777777777778</v>
      </c>
      <c r="U71" s="80">
        <f t="shared" si="25"/>
        <v>4670.87333333333</v>
      </c>
      <c r="V71" s="81">
        <v>0.5</v>
      </c>
      <c r="W71" s="80">
        <f t="shared" si="26"/>
        <v>0.538888888888889</v>
      </c>
      <c r="X71" s="80">
        <f t="shared" si="27"/>
        <v>16.7055555555556</v>
      </c>
      <c r="Y71" s="80">
        <f t="shared" si="28"/>
        <v>2335.43666666667</v>
      </c>
      <c r="Z71" s="81">
        <v>0.5</v>
      </c>
      <c r="AA71" s="80">
        <f t="shared" si="29"/>
        <v>0.538888888888889</v>
      </c>
      <c r="AB71" s="80">
        <f t="shared" si="30"/>
        <v>16.7055555555556</v>
      </c>
      <c r="AC71" s="80">
        <f t="shared" si="31"/>
        <v>2335.43666666667</v>
      </c>
      <c r="AD71" s="68" t="s">
        <v>557</v>
      </c>
      <c r="AE71" s="68"/>
    </row>
    <row r="72" ht="15" customHeight="1" spans="1:31">
      <c r="A72" s="1" t="s">
        <v>450</v>
      </c>
      <c r="B72" s="79" t="s">
        <v>451</v>
      </c>
      <c r="C72" s="79" t="s">
        <v>34</v>
      </c>
      <c r="D72" s="79" t="s">
        <v>51</v>
      </c>
      <c r="E72" s="79" t="s">
        <v>203</v>
      </c>
      <c r="F72" s="79">
        <v>86.12</v>
      </c>
      <c r="G72" s="79">
        <v>121</v>
      </c>
      <c r="H72" s="79">
        <v>1</v>
      </c>
      <c r="I72" s="79">
        <v>121</v>
      </c>
      <c r="J72" s="79">
        <v>66</v>
      </c>
      <c r="K72" s="79">
        <v>6631</v>
      </c>
      <c r="L72" s="80">
        <f t="shared" si="16"/>
        <v>1.42</v>
      </c>
      <c r="M72" s="80">
        <f t="shared" si="18"/>
        <v>75.02</v>
      </c>
      <c r="N72" s="80">
        <f t="shared" si="17"/>
        <v>6460.7224</v>
      </c>
      <c r="O72" s="80">
        <f t="shared" si="19"/>
        <v>0.344444444444444</v>
      </c>
      <c r="P72" s="80">
        <f t="shared" si="20"/>
        <v>41.6777777777778</v>
      </c>
      <c r="Q72" s="80">
        <f t="shared" si="21"/>
        <v>5383.93533333333</v>
      </c>
      <c r="R72" s="80">
        <f t="shared" si="22"/>
        <v>41.6777777777778</v>
      </c>
      <c r="S72" s="80">
        <f t="shared" si="23"/>
        <v>1.34444444444444</v>
      </c>
      <c r="T72" s="80">
        <f t="shared" si="24"/>
        <v>0.344444444444445</v>
      </c>
      <c r="U72" s="80">
        <f t="shared" si="25"/>
        <v>5383.93533333333</v>
      </c>
      <c r="V72" s="81">
        <v>0.5</v>
      </c>
      <c r="W72" s="80">
        <f t="shared" si="26"/>
        <v>0.672222222222222</v>
      </c>
      <c r="X72" s="80">
        <f t="shared" si="27"/>
        <v>20.8388888888889</v>
      </c>
      <c r="Y72" s="80">
        <f t="shared" si="28"/>
        <v>2691.96766666667</v>
      </c>
      <c r="Z72" s="81">
        <v>0.5</v>
      </c>
      <c r="AA72" s="80">
        <f t="shared" si="29"/>
        <v>0.672222222222222</v>
      </c>
      <c r="AB72" s="80">
        <f t="shared" si="30"/>
        <v>20.8388888888889</v>
      </c>
      <c r="AC72" s="80">
        <f t="shared" si="31"/>
        <v>2691.96766666667</v>
      </c>
      <c r="AD72" s="68" t="s">
        <v>557</v>
      </c>
      <c r="AE72" s="68"/>
    </row>
    <row r="73" ht="15" customHeight="1" spans="1:31">
      <c r="A73" s="1" t="s">
        <v>429</v>
      </c>
      <c r="B73" s="69" t="s">
        <v>430</v>
      </c>
      <c r="C73" s="69" t="s">
        <v>34</v>
      </c>
      <c r="D73" s="69" t="s">
        <v>35</v>
      </c>
      <c r="E73" s="69" t="s">
        <v>431</v>
      </c>
      <c r="F73" s="69">
        <v>20.33</v>
      </c>
      <c r="G73" s="69">
        <v>309</v>
      </c>
      <c r="H73" s="69">
        <v>1</v>
      </c>
      <c r="I73" s="69">
        <v>309</v>
      </c>
      <c r="J73" s="69">
        <v>226</v>
      </c>
      <c r="K73" s="69">
        <v>6211</v>
      </c>
      <c r="L73" s="70">
        <f t="shared" ref="L73:L136" si="32">(G73-(H73*50))/50</f>
        <v>5.18</v>
      </c>
      <c r="M73" s="70">
        <f t="shared" si="18"/>
        <v>191.58</v>
      </c>
      <c r="N73" s="70">
        <f t="shared" si="17"/>
        <v>3894.8214</v>
      </c>
      <c r="O73" s="70">
        <f t="shared" si="19"/>
        <v>2.43333333333333</v>
      </c>
      <c r="P73" s="70">
        <f t="shared" si="20"/>
        <v>106.433333333333</v>
      </c>
      <c r="Q73" s="70">
        <f t="shared" si="21"/>
        <v>3245.6845</v>
      </c>
      <c r="R73" s="70">
        <f t="shared" si="22"/>
        <v>106.433333333333</v>
      </c>
      <c r="S73" s="70">
        <f t="shared" si="23"/>
        <v>3.43333333333333</v>
      </c>
      <c r="T73" s="70">
        <f t="shared" si="24"/>
        <v>2.43333333333333</v>
      </c>
      <c r="U73" s="70">
        <f t="shared" si="25"/>
        <v>3245.6845</v>
      </c>
      <c r="V73" s="71">
        <v>0.6</v>
      </c>
      <c r="W73" s="70">
        <f t="shared" si="26"/>
        <v>2.06</v>
      </c>
      <c r="X73" s="70">
        <f t="shared" si="27"/>
        <v>63.86</v>
      </c>
      <c r="Y73" s="70">
        <f t="shared" si="28"/>
        <v>1947.4107</v>
      </c>
      <c r="Z73" s="71">
        <v>0.4</v>
      </c>
      <c r="AA73" s="70">
        <f t="shared" si="29"/>
        <v>1.37333333333333</v>
      </c>
      <c r="AB73" s="70">
        <f t="shared" si="30"/>
        <v>42.5733333333333</v>
      </c>
      <c r="AC73" s="70">
        <f t="shared" si="31"/>
        <v>1298.2738</v>
      </c>
      <c r="AD73" s="61" t="s">
        <v>594</v>
      </c>
      <c r="AE73" s="68" t="s">
        <v>599</v>
      </c>
    </row>
    <row r="74" ht="15" customHeight="1" spans="1:31">
      <c r="A74" s="1" t="s">
        <v>484</v>
      </c>
      <c r="B74" s="79" t="s">
        <v>485</v>
      </c>
      <c r="C74" s="79" t="s">
        <v>34</v>
      </c>
      <c r="D74" s="79" t="s">
        <v>35</v>
      </c>
      <c r="E74" s="79" t="s">
        <v>250</v>
      </c>
      <c r="F74" s="79">
        <v>63.58</v>
      </c>
      <c r="G74" s="79">
        <v>60</v>
      </c>
      <c r="H74" s="79"/>
      <c r="I74" s="79"/>
      <c r="J74" s="79">
        <v>59</v>
      </c>
      <c r="K74" s="79">
        <v>5595</v>
      </c>
      <c r="L74" s="80">
        <f t="shared" si="32"/>
        <v>1.2</v>
      </c>
      <c r="M74" s="80">
        <f t="shared" si="18"/>
        <v>37.2</v>
      </c>
      <c r="N74" s="80">
        <f t="shared" si="17"/>
        <v>2365.176</v>
      </c>
      <c r="O74" s="80">
        <f t="shared" si="19"/>
        <v>0.666666666666667</v>
      </c>
      <c r="P74" s="80">
        <f t="shared" si="20"/>
        <v>20.6666666666667</v>
      </c>
      <c r="Q74" s="80">
        <f t="shared" si="21"/>
        <v>1970.98</v>
      </c>
      <c r="R74" s="80">
        <f t="shared" si="22"/>
        <v>20.6666666666667</v>
      </c>
      <c r="S74" s="80">
        <f t="shared" si="23"/>
        <v>0.666666666666667</v>
      </c>
      <c r="T74" s="80">
        <f t="shared" si="24"/>
        <v>0.666666666666667</v>
      </c>
      <c r="U74" s="80">
        <f t="shared" si="25"/>
        <v>1970.98</v>
      </c>
      <c r="V74" s="82">
        <v>0.5</v>
      </c>
      <c r="W74" s="80">
        <f t="shared" si="26"/>
        <v>0.333333333333333</v>
      </c>
      <c r="X74" s="80">
        <f t="shared" si="27"/>
        <v>10.3333333333333</v>
      </c>
      <c r="Y74" s="80">
        <f t="shared" si="28"/>
        <v>985.49</v>
      </c>
      <c r="Z74" s="82">
        <v>0.5</v>
      </c>
      <c r="AA74" s="80">
        <f t="shared" si="29"/>
        <v>0.333333333333333</v>
      </c>
      <c r="AB74" s="80">
        <f t="shared" si="30"/>
        <v>10.3333333333333</v>
      </c>
      <c r="AC74" s="80">
        <f t="shared" si="31"/>
        <v>985.49</v>
      </c>
      <c r="AD74" s="68" t="s">
        <v>557</v>
      </c>
      <c r="AE74" s="68"/>
    </row>
    <row r="75" ht="15" customHeight="1" spans="1:31">
      <c r="A75" s="1" t="s">
        <v>601</v>
      </c>
      <c r="B75" s="1" t="s">
        <v>664</v>
      </c>
      <c r="C75" s="1" t="s">
        <v>34</v>
      </c>
      <c r="D75" s="1" t="s">
        <v>51</v>
      </c>
      <c r="E75" s="72" t="s">
        <v>320</v>
      </c>
      <c r="F75" s="72">
        <v>36.08</v>
      </c>
      <c r="G75" s="72">
        <v>430</v>
      </c>
      <c r="H75" s="72">
        <v>5</v>
      </c>
      <c r="I75" s="72">
        <v>86</v>
      </c>
      <c r="J75" s="72">
        <v>155</v>
      </c>
      <c r="K75" s="72">
        <v>5592</v>
      </c>
      <c r="L75" s="73">
        <f t="shared" si="32"/>
        <v>3.6</v>
      </c>
      <c r="M75" s="73">
        <f t="shared" si="18"/>
        <v>266.6</v>
      </c>
      <c r="N75" s="73">
        <f t="shared" si="17"/>
        <v>9618.928</v>
      </c>
      <c r="O75" s="73">
        <f t="shared" si="19"/>
        <v>-0.222222222222222</v>
      </c>
      <c r="P75" s="73">
        <f t="shared" si="20"/>
        <v>148.111111111111</v>
      </c>
      <c r="Q75" s="73">
        <f t="shared" si="21"/>
        <v>8015.77333333333</v>
      </c>
      <c r="R75" s="73">
        <f t="shared" si="22"/>
        <v>148.111111111111</v>
      </c>
      <c r="S75" s="73">
        <f t="shared" si="23"/>
        <v>4.77777777777778</v>
      </c>
      <c r="T75" s="73">
        <f t="shared" si="24"/>
        <v>-0.222222222222222</v>
      </c>
      <c r="U75" s="73">
        <f t="shared" si="25"/>
        <v>8015.77333333333</v>
      </c>
      <c r="V75" s="75">
        <v>0.3</v>
      </c>
      <c r="W75" s="73">
        <f t="shared" si="26"/>
        <v>1.43333333333333</v>
      </c>
      <c r="X75" s="73">
        <f t="shared" si="27"/>
        <v>44.4333333333333</v>
      </c>
      <c r="Y75" s="73">
        <f t="shared" si="28"/>
        <v>2404.732</v>
      </c>
      <c r="Z75" s="75">
        <v>0.7</v>
      </c>
      <c r="AA75" s="73">
        <f t="shared" si="29"/>
        <v>3.34444444444444</v>
      </c>
      <c r="AB75" s="73">
        <f t="shared" si="30"/>
        <v>103.677777777778</v>
      </c>
      <c r="AC75" s="73">
        <f t="shared" si="31"/>
        <v>5611.04133333333</v>
      </c>
      <c r="AE75" s="68"/>
    </row>
    <row r="76" ht="15" customHeight="1" spans="1:31">
      <c r="A76" s="1" t="s">
        <v>602</v>
      </c>
      <c r="B76" s="1" t="s">
        <v>616</v>
      </c>
      <c r="C76" s="1" t="s">
        <v>34</v>
      </c>
      <c r="D76" s="1" t="s">
        <v>51</v>
      </c>
      <c r="E76" s="72" t="s">
        <v>617</v>
      </c>
      <c r="F76" s="72">
        <v>28.12</v>
      </c>
      <c r="G76" s="72">
        <v>675</v>
      </c>
      <c r="H76" s="72">
        <v>9</v>
      </c>
      <c r="I76" s="72">
        <v>75</v>
      </c>
      <c r="J76" s="72">
        <v>198</v>
      </c>
      <c r="K76" s="72">
        <v>5568</v>
      </c>
      <c r="L76" s="73">
        <f t="shared" si="32"/>
        <v>4.5</v>
      </c>
      <c r="M76" s="73">
        <f t="shared" si="18"/>
        <v>418.5</v>
      </c>
      <c r="N76" s="73">
        <f t="shared" si="17"/>
        <v>11768.22</v>
      </c>
      <c r="O76" s="73">
        <f t="shared" si="19"/>
        <v>-1.5</v>
      </c>
      <c r="P76" s="73">
        <f t="shared" si="20"/>
        <v>232.5</v>
      </c>
      <c r="Q76" s="73">
        <f t="shared" si="21"/>
        <v>9806.85</v>
      </c>
      <c r="R76" s="73">
        <f t="shared" si="22"/>
        <v>232.5</v>
      </c>
      <c r="S76" s="73">
        <f t="shared" si="23"/>
        <v>7.5</v>
      </c>
      <c r="T76" s="73">
        <f t="shared" si="24"/>
        <v>-1.5</v>
      </c>
      <c r="U76" s="73">
        <f t="shared" si="25"/>
        <v>9806.85</v>
      </c>
      <c r="V76" s="75">
        <v>0.5</v>
      </c>
      <c r="W76" s="73">
        <f t="shared" si="26"/>
        <v>3.75</v>
      </c>
      <c r="X76" s="73">
        <f t="shared" si="27"/>
        <v>116.25</v>
      </c>
      <c r="Y76" s="73">
        <f t="shared" si="28"/>
        <v>4903.425</v>
      </c>
      <c r="Z76" s="75">
        <v>0.5</v>
      </c>
      <c r="AA76" s="73">
        <f t="shared" si="29"/>
        <v>3.75</v>
      </c>
      <c r="AB76" s="73">
        <f t="shared" si="30"/>
        <v>116.25</v>
      </c>
      <c r="AC76" s="73">
        <f t="shared" si="31"/>
        <v>4903.425</v>
      </c>
      <c r="AE76" s="68"/>
    </row>
    <row r="77" ht="15" customHeight="1" spans="1:31">
      <c r="A77" s="1" t="s">
        <v>603</v>
      </c>
      <c r="B77" s="1" t="s">
        <v>633</v>
      </c>
      <c r="C77" s="1" t="s">
        <v>34</v>
      </c>
      <c r="D77" s="1" t="s">
        <v>51</v>
      </c>
      <c r="E77" s="72" t="s">
        <v>195</v>
      </c>
      <c r="F77" s="72">
        <v>18.56</v>
      </c>
      <c r="G77" s="72">
        <v>1120</v>
      </c>
      <c r="H77" s="72">
        <v>16</v>
      </c>
      <c r="I77" s="72">
        <v>70</v>
      </c>
      <c r="J77" s="72">
        <v>299</v>
      </c>
      <c r="K77" s="72">
        <v>5549</v>
      </c>
      <c r="L77" s="73">
        <f t="shared" si="32"/>
        <v>6.4</v>
      </c>
      <c r="M77" s="73">
        <f t="shared" si="18"/>
        <v>694.4</v>
      </c>
      <c r="N77" s="73">
        <f t="shared" si="17"/>
        <v>12888.064</v>
      </c>
      <c r="O77" s="73">
        <f t="shared" si="19"/>
        <v>-3.55555555555556</v>
      </c>
      <c r="P77" s="73">
        <f t="shared" si="20"/>
        <v>385.777777777778</v>
      </c>
      <c r="Q77" s="73">
        <f t="shared" si="21"/>
        <v>10740.0533333333</v>
      </c>
      <c r="R77" s="73">
        <f t="shared" si="22"/>
        <v>385.777777777778</v>
      </c>
      <c r="S77" s="73">
        <f t="shared" si="23"/>
        <v>12.4444444444444</v>
      </c>
      <c r="T77" s="73">
        <f t="shared" si="24"/>
        <v>-3.55555555555556</v>
      </c>
      <c r="U77" s="73">
        <f t="shared" si="25"/>
        <v>10740.0533333333</v>
      </c>
      <c r="V77" s="75">
        <v>0.5</v>
      </c>
      <c r="W77" s="73">
        <f t="shared" si="26"/>
        <v>6.22222222222222</v>
      </c>
      <c r="X77" s="73">
        <f t="shared" si="27"/>
        <v>192.888888888889</v>
      </c>
      <c r="Y77" s="73">
        <f t="shared" si="28"/>
        <v>5370.02666666667</v>
      </c>
      <c r="Z77" s="75">
        <v>0.5</v>
      </c>
      <c r="AA77" s="73">
        <f t="shared" si="29"/>
        <v>6.22222222222222</v>
      </c>
      <c r="AB77" s="73">
        <f t="shared" si="30"/>
        <v>192.888888888889</v>
      </c>
      <c r="AC77" s="73">
        <f t="shared" si="31"/>
        <v>5370.02666666667</v>
      </c>
      <c r="AE77" s="68"/>
    </row>
    <row r="78" ht="15" customHeight="1" spans="1:31">
      <c r="A78" s="1" t="s">
        <v>291</v>
      </c>
      <c r="B78" s="79" t="s">
        <v>292</v>
      </c>
      <c r="C78" s="79" t="s">
        <v>34</v>
      </c>
      <c r="D78" s="79" t="s">
        <v>51</v>
      </c>
      <c r="E78" s="79" t="s">
        <v>180</v>
      </c>
      <c r="F78" s="79">
        <v>110.8</v>
      </c>
      <c r="G78" s="79">
        <v>41</v>
      </c>
      <c r="H78" s="79"/>
      <c r="I78" s="79"/>
      <c r="J78" s="79">
        <v>35</v>
      </c>
      <c r="K78" s="79">
        <v>5540</v>
      </c>
      <c r="L78" s="80">
        <f t="shared" si="32"/>
        <v>0.82</v>
      </c>
      <c r="M78" s="80">
        <f t="shared" si="18"/>
        <v>25.42</v>
      </c>
      <c r="N78" s="80">
        <f t="shared" ref="N78:N141" si="33">M78*F78</f>
        <v>2816.536</v>
      </c>
      <c r="O78" s="80">
        <f t="shared" si="19"/>
        <v>0.455555555555556</v>
      </c>
      <c r="P78" s="80">
        <f t="shared" si="20"/>
        <v>14.1222222222222</v>
      </c>
      <c r="Q78" s="80">
        <f t="shared" si="21"/>
        <v>2347.11333333333</v>
      </c>
      <c r="R78" s="80">
        <f t="shared" si="22"/>
        <v>14.1222222222222</v>
      </c>
      <c r="S78" s="80">
        <f t="shared" si="23"/>
        <v>0.455555555555556</v>
      </c>
      <c r="T78" s="80">
        <f t="shared" si="24"/>
        <v>0.455555555555556</v>
      </c>
      <c r="U78" s="80">
        <f t="shared" si="25"/>
        <v>2347.11333333333</v>
      </c>
      <c r="V78" s="81">
        <v>0.5</v>
      </c>
      <c r="W78" s="80">
        <f t="shared" si="26"/>
        <v>0.227777777777778</v>
      </c>
      <c r="X78" s="80">
        <f t="shared" si="27"/>
        <v>7.06111111111111</v>
      </c>
      <c r="Y78" s="80">
        <f t="shared" si="28"/>
        <v>1173.55666666667</v>
      </c>
      <c r="Z78" s="81">
        <v>0.5</v>
      </c>
      <c r="AA78" s="80">
        <f t="shared" si="29"/>
        <v>0.227777777777778</v>
      </c>
      <c r="AB78" s="80">
        <f t="shared" si="30"/>
        <v>7.06111111111111</v>
      </c>
      <c r="AC78" s="80">
        <f t="shared" si="31"/>
        <v>1173.55666666667</v>
      </c>
      <c r="AD78" s="68" t="s">
        <v>557</v>
      </c>
      <c r="AE78" s="68" t="s">
        <v>599</v>
      </c>
    </row>
    <row r="79" ht="15" customHeight="1" spans="1:31">
      <c r="A79" s="1" t="s">
        <v>604</v>
      </c>
      <c r="B79" s="79" t="s">
        <v>640</v>
      </c>
      <c r="C79" s="79" t="s">
        <v>34</v>
      </c>
      <c r="D79" s="79" t="s">
        <v>35</v>
      </c>
      <c r="E79" s="79" t="s">
        <v>141</v>
      </c>
      <c r="F79" s="79">
        <v>20.85</v>
      </c>
      <c r="G79" s="79">
        <v>190</v>
      </c>
      <c r="H79" s="79"/>
      <c r="I79" s="79"/>
      <c r="J79" s="79">
        <v>179</v>
      </c>
      <c r="K79" s="79">
        <v>5504</v>
      </c>
      <c r="L79" s="80">
        <f t="shared" si="32"/>
        <v>3.8</v>
      </c>
      <c r="M79" s="80">
        <f t="shared" si="18"/>
        <v>117.8</v>
      </c>
      <c r="N79" s="80">
        <f t="shared" si="33"/>
        <v>2456.13</v>
      </c>
      <c r="O79" s="80">
        <f t="shared" si="19"/>
        <v>2.11111111111111</v>
      </c>
      <c r="P79" s="80">
        <f t="shared" si="20"/>
        <v>65.4444444444444</v>
      </c>
      <c r="Q79" s="80">
        <f t="shared" si="21"/>
        <v>2046.775</v>
      </c>
      <c r="R79" s="80">
        <f t="shared" si="22"/>
        <v>65.4444444444444</v>
      </c>
      <c r="S79" s="80">
        <f t="shared" si="23"/>
        <v>2.11111111111111</v>
      </c>
      <c r="T79" s="80">
        <f t="shared" si="24"/>
        <v>2.11111111111111</v>
      </c>
      <c r="U79" s="80">
        <f t="shared" si="25"/>
        <v>2046.775</v>
      </c>
      <c r="V79" s="81">
        <v>0.5</v>
      </c>
      <c r="W79" s="80">
        <f t="shared" si="26"/>
        <v>1.05555555555556</v>
      </c>
      <c r="X79" s="80">
        <f t="shared" si="27"/>
        <v>32.7222222222222</v>
      </c>
      <c r="Y79" s="80">
        <f t="shared" si="28"/>
        <v>1023.3875</v>
      </c>
      <c r="Z79" s="81">
        <v>0.5</v>
      </c>
      <c r="AA79" s="80">
        <f t="shared" si="29"/>
        <v>1.05555555555556</v>
      </c>
      <c r="AB79" s="80">
        <f t="shared" si="30"/>
        <v>32.7222222222222</v>
      </c>
      <c r="AC79" s="80">
        <f t="shared" si="31"/>
        <v>1023.3875</v>
      </c>
      <c r="AD79" s="68" t="s">
        <v>557</v>
      </c>
      <c r="AE79" s="68"/>
    </row>
    <row r="80" ht="15" customHeight="1" spans="1:31">
      <c r="A80" s="1" t="s">
        <v>262</v>
      </c>
      <c r="B80" s="1" t="s">
        <v>263</v>
      </c>
      <c r="C80" s="1" t="s">
        <v>34</v>
      </c>
      <c r="D80" s="1" t="s">
        <v>35</v>
      </c>
      <c r="E80" s="72" t="s">
        <v>264</v>
      </c>
      <c r="F80" s="72">
        <v>32.82</v>
      </c>
      <c r="G80" s="72">
        <v>116</v>
      </c>
      <c r="H80" s="72"/>
      <c r="I80" s="72"/>
      <c r="J80" s="72">
        <v>111</v>
      </c>
      <c r="K80" s="72">
        <v>5399</v>
      </c>
      <c r="L80" s="73">
        <f t="shared" si="32"/>
        <v>2.32</v>
      </c>
      <c r="M80" s="73">
        <f t="shared" si="18"/>
        <v>71.92</v>
      </c>
      <c r="N80" s="73">
        <f t="shared" si="33"/>
        <v>2360.4144</v>
      </c>
      <c r="O80" s="73">
        <f t="shared" si="19"/>
        <v>1.28888888888889</v>
      </c>
      <c r="P80" s="73">
        <f t="shared" si="20"/>
        <v>39.9555555555556</v>
      </c>
      <c r="Q80" s="73">
        <f t="shared" si="21"/>
        <v>1967.012</v>
      </c>
      <c r="R80" s="73">
        <f t="shared" si="22"/>
        <v>39.9555555555556</v>
      </c>
      <c r="S80" s="73">
        <f t="shared" si="23"/>
        <v>1.28888888888889</v>
      </c>
      <c r="T80" s="73">
        <f t="shared" si="24"/>
        <v>1.28888888888889</v>
      </c>
      <c r="U80" s="73">
        <f t="shared" si="25"/>
        <v>1967.012</v>
      </c>
      <c r="V80" s="74">
        <v>0</v>
      </c>
      <c r="W80" s="73">
        <f t="shared" si="26"/>
        <v>0</v>
      </c>
      <c r="X80" s="73">
        <f t="shared" si="27"/>
        <v>0</v>
      </c>
      <c r="Y80" s="73">
        <f t="shared" si="28"/>
        <v>0</v>
      </c>
      <c r="Z80" s="74">
        <v>0</v>
      </c>
      <c r="AA80" s="73">
        <f t="shared" si="29"/>
        <v>0</v>
      </c>
      <c r="AB80" s="73">
        <f t="shared" si="30"/>
        <v>0</v>
      </c>
      <c r="AC80" s="73">
        <f t="shared" si="31"/>
        <v>0</v>
      </c>
    </row>
    <row r="81" ht="15" customHeight="1" spans="1:30">
      <c r="A81" s="1" t="s">
        <v>443</v>
      </c>
      <c r="B81" s="1" t="s">
        <v>444</v>
      </c>
      <c r="C81" s="1" t="s">
        <v>34</v>
      </c>
      <c r="D81" s="1" t="s">
        <v>51</v>
      </c>
      <c r="E81" s="72" t="s">
        <v>283</v>
      </c>
      <c r="F81" s="72">
        <v>79.87</v>
      </c>
      <c r="G81" s="72">
        <v>220</v>
      </c>
      <c r="H81" s="72">
        <v>3</v>
      </c>
      <c r="I81" s="72">
        <v>73</v>
      </c>
      <c r="J81" s="72">
        <v>67</v>
      </c>
      <c r="K81" s="72">
        <v>5351</v>
      </c>
      <c r="L81" s="73">
        <f t="shared" si="32"/>
        <v>1.4</v>
      </c>
      <c r="M81" s="73">
        <f t="shared" si="18"/>
        <v>136.4</v>
      </c>
      <c r="N81" s="73">
        <f t="shared" si="33"/>
        <v>10894.268</v>
      </c>
      <c r="O81" s="73">
        <f t="shared" si="19"/>
        <v>-0.555555555555556</v>
      </c>
      <c r="P81" s="73">
        <f t="shared" si="20"/>
        <v>75.7777777777778</v>
      </c>
      <c r="Q81" s="73">
        <f t="shared" si="21"/>
        <v>9078.55666666667</v>
      </c>
      <c r="R81" s="73">
        <f t="shared" si="22"/>
        <v>75.7777777777778</v>
      </c>
      <c r="S81" s="73">
        <f t="shared" si="23"/>
        <v>2.44444444444444</v>
      </c>
      <c r="T81" s="73">
        <f t="shared" si="24"/>
        <v>-0.555555555555555</v>
      </c>
      <c r="U81" s="73">
        <f t="shared" si="25"/>
        <v>9078.55666666667</v>
      </c>
      <c r="V81" s="75">
        <v>0.5</v>
      </c>
      <c r="W81" s="73">
        <f t="shared" si="26"/>
        <v>1.22222222222222</v>
      </c>
      <c r="X81" s="73">
        <f t="shared" si="27"/>
        <v>37.8888888888889</v>
      </c>
      <c r="Y81" s="73">
        <f t="shared" si="28"/>
        <v>4539.27833333333</v>
      </c>
      <c r="Z81" s="75">
        <v>0.5</v>
      </c>
      <c r="AA81" s="73">
        <f t="shared" si="29"/>
        <v>1.22222222222222</v>
      </c>
      <c r="AB81" s="73">
        <f t="shared" si="30"/>
        <v>37.8888888888889</v>
      </c>
      <c r="AC81" s="73">
        <f t="shared" si="31"/>
        <v>4539.27833333333</v>
      </c>
    </row>
    <row r="82" ht="15" customHeight="1" spans="1:30">
      <c r="A82" s="1" t="s">
        <v>480</v>
      </c>
      <c r="B82" s="79" t="s">
        <v>481</v>
      </c>
      <c r="C82" s="79" t="s">
        <v>34</v>
      </c>
      <c r="D82" s="79" t="s">
        <v>35</v>
      </c>
      <c r="E82" s="79" t="s">
        <v>335</v>
      </c>
      <c r="F82" s="79">
        <v>20.95</v>
      </c>
      <c r="G82" s="79">
        <v>190</v>
      </c>
      <c r="H82" s="79"/>
      <c r="I82" s="79"/>
      <c r="J82" s="79">
        <v>174</v>
      </c>
      <c r="K82" s="79">
        <v>5332</v>
      </c>
      <c r="L82" s="80">
        <f t="shared" si="32"/>
        <v>3.8</v>
      </c>
      <c r="M82" s="80">
        <f t="shared" si="18"/>
        <v>117.8</v>
      </c>
      <c r="N82" s="80">
        <f t="shared" si="33"/>
        <v>2467.91</v>
      </c>
      <c r="O82" s="80">
        <f t="shared" si="19"/>
        <v>2.11111111111111</v>
      </c>
      <c r="P82" s="80">
        <f t="shared" si="20"/>
        <v>65.4444444444444</v>
      </c>
      <c r="Q82" s="80">
        <f t="shared" si="21"/>
        <v>2056.59166666667</v>
      </c>
      <c r="R82" s="80">
        <f t="shared" si="22"/>
        <v>65.4444444444444</v>
      </c>
      <c r="S82" s="80">
        <f t="shared" si="23"/>
        <v>2.11111111111111</v>
      </c>
      <c r="T82" s="80">
        <f t="shared" si="24"/>
        <v>2.11111111111111</v>
      </c>
      <c r="U82" s="80">
        <f t="shared" si="25"/>
        <v>2056.59166666667</v>
      </c>
      <c r="V82" s="81">
        <v>0.7</v>
      </c>
      <c r="W82" s="80">
        <f t="shared" si="26"/>
        <v>1.47777777777778</v>
      </c>
      <c r="X82" s="80">
        <f t="shared" si="27"/>
        <v>45.8111111111111</v>
      </c>
      <c r="Y82" s="80">
        <f t="shared" si="28"/>
        <v>1439.61416666667</v>
      </c>
      <c r="Z82" s="81">
        <v>0.3</v>
      </c>
      <c r="AA82" s="80">
        <f t="shared" si="29"/>
        <v>0.633333333333333</v>
      </c>
      <c r="AB82" s="80">
        <f t="shared" si="30"/>
        <v>19.6333333333333</v>
      </c>
      <c r="AC82" s="80">
        <f t="shared" si="31"/>
        <v>616.9775</v>
      </c>
      <c r="AD82" s="68" t="s">
        <v>557</v>
      </c>
    </row>
    <row r="83" ht="15" customHeight="1" spans="1:30">
      <c r="A83" s="1" t="s">
        <v>244</v>
      </c>
      <c r="B83" s="69" t="s">
        <v>245</v>
      </c>
      <c r="C83" s="69" t="s">
        <v>34</v>
      </c>
      <c r="D83" s="69" t="s">
        <v>51</v>
      </c>
      <c r="E83" s="69" t="s">
        <v>80</v>
      </c>
      <c r="F83" s="69">
        <v>7.32</v>
      </c>
      <c r="G83" s="69">
        <v>2196</v>
      </c>
      <c r="H83" s="69">
        <v>29</v>
      </c>
      <c r="I83" s="69">
        <v>75</v>
      </c>
      <c r="J83" s="69">
        <v>720</v>
      </c>
      <c r="K83" s="69">
        <v>5270</v>
      </c>
      <c r="L83" s="70">
        <f t="shared" si="32"/>
        <v>14.92</v>
      </c>
      <c r="M83" s="70">
        <f t="shared" si="18"/>
        <v>1361.52</v>
      </c>
      <c r="N83" s="70">
        <f t="shared" si="33"/>
        <v>9966.3264</v>
      </c>
      <c r="O83" s="70">
        <f t="shared" si="19"/>
        <v>-4.6</v>
      </c>
      <c r="P83" s="70">
        <f t="shared" si="20"/>
        <v>756.4</v>
      </c>
      <c r="Q83" s="70">
        <f t="shared" si="21"/>
        <v>8305.272</v>
      </c>
      <c r="R83" s="70">
        <f t="shared" si="22"/>
        <v>756.4</v>
      </c>
      <c r="S83" s="70">
        <f t="shared" si="23"/>
        <v>24.4</v>
      </c>
      <c r="T83" s="70">
        <f t="shared" si="24"/>
        <v>-4.6</v>
      </c>
      <c r="U83" s="70">
        <f t="shared" si="25"/>
        <v>8305.272</v>
      </c>
      <c r="V83" s="71">
        <v>0.3</v>
      </c>
      <c r="W83" s="70">
        <f t="shared" si="26"/>
        <v>7.32</v>
      </c>
      <c r="X83" s="70">
        <f t="shared" si="27"/>
        <v>226.92</v>
      </c>
      <c r="Y83" s="70">
        <f t="shared" si="28"/>
        <v>2491.5816</v>
      </c>
      <c r="Z83" s="71">
        <v>0.7</v>
      </c>
      <c r="AA83" s="70">
        <f t="shared" si="29"/>
        <v>17.08</v>
      </c>
      <c r="AB83" s="70">
        <f t="shared" si="30"/>
        <v>529.48</v>
      </c>
      <c r="AC83" s="70">
        <f t="shared" si="31"/>
        <v>5813.6904</v>
      </c>
      <c r="AD83" s="61" t="s">
        <v>594</v>
      </c>
    </row>
    <row r="84" ht="15" customHeight="1" spans="1:30">
      <c r="A84" s="1" t="s">
        <v>486</v>
      </c>
      <c r="B84" s="79" t="s">
        <v>487</v>
      </c>
      <c r="C84" s="79" t="s">
        <v>34</v>
      </c>
      <c r="D84" s="79" t="s">
        <v>35</v>
      </c>
      <c r="E84" s="79" t="s">
        <v>141</v>
      </c>
      <c r="F84" s="79">
        <v>31.97</v>
      </c>
      <c r="G84" s="79">
        <v>114</v>
      </c>
      <c r="H84" s="79"/>
      <c r="I84" s="79"/>
      <c r="J84" s="79">
        <v>108</v>
      </c>
      <c r="K84" s="79">
        <v>5099</v>
      </c>
      <c r="L84" s="80">
        <f t="shared" si="32"/>
        <v>2.28</v>
      </c>
      <c r="M84" s="80">
        <f t="shared" si="18"/>
        <v>70.68</v>
      </c>
      <c r="N84" s="80">
        <f t="shared" si="33"/>
        <v>2259.6396</v>
      </c>
      <c r="O84" s="80">
        <f t="shared" si="19"/>
        <v>1.26666666666667</v>
      </c>
      <c r="P84" s="80">
        <f t="shared" si="20"/>
        <v>39.2666666666667</v>
      </c>
      <c r="Q84" s="80">
        <f t="shared" si="21"/>
        <v>1883.033</v>
      </c>
      <c r="R84" s="80">
        <f t="shared" si="22"/>
        <v>39.2666666666667</v>
      </c>
      <c r="S84" s="80">
        <f t="shared" si="23"/>
        <v>1.26666666666667</v>
      </c>
      <c r="T84" s="80">
        <f t="shared" si="24"/>
        <v>1.26666666666667</v>
      </c>
      <c r="U84" s="80">
        <f t="shared" si="25"/>
        <v>1883.033</v>
      </c>
      <c r="V84" s="81">
        <v>0.5</v>
      </c>
      <c r="W84" s="80">
        <f t="shared" si="26"/>
        <v>0.633333333333333</v>
      </c>
      <c r="X84" s="80">
        <f t="shared" si="27"/>
        <v>19.6333333333333</v>
      </c>
      <c r="Y84" s="80">
        <f t="shared" si="28"/>
        <v>941.5165</v>
      </c>
      <c r="Z84" s="81">
        <v>0.5</v>
      </c>
      <c r="AA84" s="80">
        <f t="shared" si="29"/>
        <v>0.633333333333333</v>
      </c>
      <c r="AB84" s="80">
        <f t="shared" si="30"/>
        <v>19.6333333333333</v>
      </c>
      <c r="AC84" s="80">
        <f t="shared" si="31"/>
        <v>941.5165</v>
      </c>
      <c r="AD84" s="68" t="s">
        <v>557</v>
      </c>
    </row>
    <row r="85" ht="15" customHeight="1" spans="1:30">
      <c r="A85" s="1" t="s">
        <v>606</v>
      </c>
      <c r="B85" s="1" t="s">
        <v>701</v>
      </c>
      <c r="C85" s="1" t="s">
        <v>34</v>
      </c>
      <c r="D85" s="1" t="s">
        <v>35</v>
      </c>
      <c r="E85" s="72" t="s">
        <v>324</v>
      </c>
      <c r="F85" s="72">
        <v>19.16</v>
      </c>
      <c r="G85" s="72">
        <v>1174</v>
      </c>
      <c r="H85" s="72">
        <v>18</v>
      </c>
      <c r="I85" s="72">
        <v>65</v>
      </c>
      <c r="J85" s="72">
        <v>264</v>
      </c>
      <c r="K85" s="72">
        <v>5058</v>
      </c>
      <c r="L85" s="73">
        <f t="shared" si="32"/>
        <v>5.48</v>
      </c>
      <c r="M85" s="73">
        <f t="shared" si="18"/>
        <v>727.88</v>
      </c>
      <c r="N85" s="73">
        <f t="shared" si="33"/>
        <v>13946.1808</v>
      </c>
      <c r="O85" s="73">
        <f t="shared" si="19"/>
        <v>-4.95555555555556</v>
      </c>
      <c r="P85" s="73">
        <f t="shared" si="20"/>
        <v>404.377777777778</v>
      </c>
      <c r="Q85" s="73">
        <f t="shared" si="21"/>
        <v>11621.8173333333</v>
      </c>
      <c r="R85" s="73">
        <f t="shared" si="22"/>
        <v>404.377777777778</v>
      </c>
      <c r="S85" s="73">
        <f t="shared" si="23"/>
        <v>13.0444444444444</v>
      </c>
      <c r="T85" s="73">
        <f t="shared" si="24"/>
        <v>-4.95555555555556</v>
      </c>
      <c r="U85" s="73">
        <f t="shared" si="25"/>
        <v>11621.8173333333</v>
      </c>
      <c r="V85" s="74">
        <v>0.5</v>
      </c>
      <c r="W85" s="73">
        <f t="shared" si="26"/>
        <v>6.52222222222222</v>
      </c>
      <c r="X85" s="73">
        <f t="shared" si="27"/>
        <v>202.188888888889</v>
      </c>
      <c r="Y85" s="73">
        <f t="shared" si="28"/>
        <v>5810.90866666667</v>
      </c>
      <c r="Z85" s="74">
        <v>0.5</v>
      </c>
      <c r="AA85" s="73">
        <f t="shared" si="29"/>
        <v>6.52222222222222</v>
      </c>
      <c r="AB85" s="73">
        <f t="shared" si="30"/>
        <v>202.188888888889</v>
      </c>
      <c r="AC85" s="73">
        <f t="shared" si="31"/>
        <v>5810.90866666667</v>
      </c>
    </row>
    <row r="86" ht="15" customHeight="1" spans="1:30">
      <c r="A86" s="1" t="s">
        <v>448</v>
      </c>
      <c r="B86" s="79" t="s">
        <v>449</v>
      </c>
      <c r="C86" s="79" t="s">
        <v>34</v>
      </c>
      <c r="D86" s="79" t="s">
        <v>35</v>
      </c>
      <c r="E86" s="79" t="s">
        <v>335</v>
      </c>
      <c r="F86" s="79">
        <v>42.67</v>
      </c>
      <c r="G86" s="79">
        <v>93</v>
      </c>
      <c r="H86" s="79"/>
      <c r="I86" s="79"/>
      <c r="J86" s="79">
        <v>82</v>
      </c>
      <c r="K86" s="79">
        <v>5056</v>
      </c>
      <c r="L86" s="80">
        <f t="shared" si="32"/>
        <v>1.86</v>
      </c>
      <c r="M86" s="80">
        <f t="shared" si="18"/>
        <v>57.66</v>
      </c>
      <c r="N86" s="80">
        <f t="shared" si="33"/>
        <v>2460.3522</v>
      </c>
      <c r="O86" s="80">
        <f t="shared" si="19"/>
        <v>1.03333333333333</v>
      </c>
      <c r="P86" s="80">
        <f t="shared" si="20"/>
        <v>32.0333333333333</v>
      </c>
      <c r="Q86" s="80">
        <f t="shared" si="21"/>
        <v>2050.2935</v>
      </c>
      <c r="R86" s="80">
        <f t="shared" si="22"/>
        <v>32.0333333333333</v>
      </c>
      <c r="S86" s="80">
        <f t="shared" si="23"/>
        <v>1.03333333333333</v>
      </c>
      <c r="T86" s="80">
        <f t="shared" si="24"/>
        <v>1.03333333333333</v>
      </c>
      <c r="U86" s="80">
        <f t="shared" si="25"/>
        <v>2050.2935</v>
      </c>
      <c r="V86" s="81">
        <v>0.7</v>
      </c>
      <c r="W86" s="80">
        <f t="shared" si="26"/>
        <v>0.723333333333333</v>
      </c>
      <c r="X86" s="80">
        <f t="shared" si="27"/>
        <v>22.4233333333333</v>
      </c>
      <c r="Y86" s="80">
        <f t="shared" si="28"/>
        <v>1435.20545</v>
      </c>
      <c r="Z86" s="81">
        <v>0.3</v>
      </c>
      <c r="AA86" s="80">
        <f t="shared" si="29"/>
        <v>0.31</v>
      </c>
      <c r="AB86" s="80">
        <f t="shared" si="30"/>
        <v>9.61</v>
      </c>
      <c r="AC86" s="80">
        <f t="shared" si="31"/>
        <v>615.08805</v>
      </c>
      <c r="AD86" s="68" t="s">
        <v>557</v>
      </c>
    </row>
    <row r="87" ht="15" customHeight="1" spans="1:30">
      <c r="A87" s="1" t="s">
        <v>608</v>
      </c>
      <c r="B87" s="1" t="s">
        <v>702</v>
      </c>
      <c r="C87" s="1" t="s">
        <v>34</v>
      </c>
      <c r="D87" s="1" t="s">
        <v>35</v>
      </c>
      <c r="E87" s="72" t="s">
        <v>343</v>
      </c>
      <c r="F87" s="72">
        <v>26.53</v>
      </c>
      <c r="G87" s="72">
        <v>305</v>
      </c>
      <c r="H87" s="72">
        <v>2</v>
      </c>
      <c r="I87" s="72">
        <v>152</v>
      </c>
      <c r="J87" s="72">
        <v>164</v>
      </c>
      <c r="K87" s="72">
        <v>5027</v>
      </c>
      <c r="L87" s="73">
        <f t="shared" si="32"/>
        <v>4.1</v>
      </c>
      <c r="M87" s="73">
        <f t="shared" si="18"/>
        <v>189.1</v>
      </c>
      <c r="N87" s="73">
        <f t="shared" si="33"/>
        <v>5016.823</v>
      </c>
      <c r="O87" s="73">
        <f t="shared" si="19"/>
        <v>1.38888888888889</v>
      </c>
      <c r="P87" s="73">
        <f t="shared" si="20"/>
        <v>105.055555555556</v>
      </c>
      <c r="Q87" s="73">
        <f t="shared" si="21"/>
        <v>4180.68583333333</v>
      </c>
      <c r="R87" s="73">
        <f t="shared" si="22"/>
        <v>105.055555555556</v>
      </c>
      <c r="S87" s="73">
        <f t="shared" si="23"/>
        <v>3.38888888888889</v>
      </c>
      <c r="T87" s="73">
        <f t="shared" si="24"/>
        <v>1.38888888888889</v>
      </c>
      <c r="U87" s="73">
        <f t="shared" si="25"/>
        <v>4180.68583333333</v>
      </c>
      <c r="V87" s="75">
        <v>0.5</v>
      </c>
      <c r="W87" s="73">
        <f t="shared" si="26"/>
        <v>1.69444444444444</v>
      </c>
      <c r="X87" s="73">
        <f t="shared" si="27"/>
        <v>52.5277777777778</v>
      </c>
      <c r="Y87" s="73">
        <f t="shared" si="28"/>
        <v>2090.34291666667</v>
      </c>
      <c r="Z87" s="75">
        <v>0.5</v>
      </c>
      <c r="AA87" s="73">
        <v>50</v>
      </c>
      <c r="AB87" s="73">
        <f t="shared" si="30"/>
        <v>52.5277777777778</v>
      </c>
      <c r="AC87" s="73">
        <f t="shared" si="31"/>
        <v>2090.34291666667</v>
      </c>
    </row>
    <row r="88" ht="15" customHeight="1" spans="1:30">
      <c r="A88" s="1" t="s">
        <v>416</v>
      </c>
      <c r="B88" s="79" t="s">
        <v>417</v>
      </c>
      <c r="C88" s="79" t="s">
        <v>34</v>
      </c>
      <c r="D88" s="79" t="s">
        <v>35</v>
      </c>
      <c r="E88" s="79" t="s">
        <v>335</v>
      </c>
      <c r="F88" s="79">
        <v>20.95</v>
      </c>
      <c r="G88" s="79">
        <v>188</v>
      </c>
      <c r="H88" s="79"/>
      <c r="I88" s="79"/>
      <c r="J88" s="79">
        <v>165</v>
      </c>
      <c r="K88" s="79">
        <v>4986</v>
      </c>
      <c r="L88" s="80">
        <f t="shared" si="32"/>
        <v>3.76</v>
      </c>
      <c r="M88" s="80">
        <f t="shared" si="18"/>
        <v>116.56</v>
      </c>
      <c r="N88" s="80">
        <f t="shared" si="33"/>
        <v>2441.932</v>
      </c>
      <c r="O88" s="80">
        <f t="shared" si="19"/>
        <v>2.08888888888889</v>
      </c>
      <c r="P88" s="80">
        <f t="shared" si="20"/>
        <v>64.7555555555556</v>
      </c>
      <c r="Q88" s="80">
        <f t="shared" si="21"/>
        <v>2034.94333333333</v>
      </c>
      <c r="R88" s="80">
        <f t="shared" si="22"/>
        <v>64.7555555555556</v>
      </c>
      <c r="S88" s="80">
        <f t="shared" si="23"/>
        <v>2.08888888888889</v>
      </c>
      <c r="T88" s="80">
        <f t="shared" si="24"/>
        <v>2.08888888888889</v>
      </c>
      <c r="U88" s="80">
        <f t="shared" si="25"/>
        <v>2034.94333333333</v>
      </c>
      <c r="V88" s="81">
        <v>0.7</v>
      </c>
      <c r="W88" s="80">
        <f t="shared" si="26"/>
        <v>1.46222222222222</v>
      </c>
      <c r="X88" s="80">
        <f t="shared" si="27"/>
        <v>45.3288888888889</v>
      </c>
      <c r="Y88" s="80">
        <f t="shared" si="28"/>
        <v>1424.46033333333</v>
      </c>
      <c r="Z88" s="81">
        <v>0.3</v>
      </c>
      <c r="AA88" s="80">
        <f t="shared" si="29"/>
        <v>0.626666666666667</v>
      </c>
      <c r="AB88" s="80">
        <f t="shared" si="30"/>
        <v>19.4266666666667</v>
      </c>
      <c r="AC88" s="80">
        <f t="shared" si="31"/>
        <v>610.483</v>
      </c>
      <c r="AD88" s="68" t="s">
        <v>557</v>
      </c>
    </row>
    <row r="89" ht="15" customHeight="1" spans="1:30">
      <c r="A89" s="1" t="s">
        <v>609</v>
      </c>
      <c r="B89" s="79" t="s">
        <v>653</v>
      </c>
      <c r="C89" s="79" t="s">
        <v>34</v>
      </c>
      <c r="D89" s="79" t="s">
        <v>35</v>
      </c>
      <c r="E89" s="79" t="s">
        <v>141</v>
      </c>
      <c r="F89" s="79">
        <v>15.47</v>
      </c>
      <c r="G89" s="79">
        <v>229</v>
      </c>
      <c r="H89" s="79"/>
      <c r="I89" s="79"/>
      <c r="J89" s="79">
        <v>211</v>
      </c>
      <c r="K89" s="79">
        <v>4780</v>
      </c>
      <c r="L89" s="80">
        <f t="shared" si="32"/>
        <v>4.58</v>
      </c>
      <c r="M89" s="80">
        <f t="shared" si="18"/>
        <v>141.98</v>
      </c>
      <c r="N89" s="80">
        <f t="shared" si="33"/>
        <v>2196.4306</v>
      </c>
      <c r="O89" s="80">
        <f t="shared" si="19"/>
        <v>2.54444444444444</v>
      </c>
      <c r="P89" s="80">
        <f t="shared" si="20"/>
        <v>78.8777777777778</v>
      </c>
      <c r="Q89" s="80">
        <f t="shared" si="21"/>
        <v>1830.35883333333</v>
      </c>
      <c r="R89" s="80">
        <f t="shared" si="22"/>
        <v>78.8777777777778</v>
      </c>
      <c r="S89" s="80">
        <f t="shared" si="23"/>
        <v>2.54444444444444</v>
      </c>
      <c r="T89" s="80">
        <f t="shared" si="24"/>
        <v>2.54444444444444</v>
      </c>
      <c r="U89" s="80">
        <f t="shared" si="25"/>
        <v>1830.35883333333</v>
      </c>
      <c r="V89" s="81">
        <v>0.5</v>
      </c>
      <c r="W89" s="80">
        <f t="shared" si="26"/>
        <v>1.27222222222222</v>
      </c>
      <c r="X89" s="80">
        <f t="shared" si="27"/>
        <v>39.4388888888889</v>
      </c>
      <c r="Y89" s="80">
        <f t="shared" si="28"/>
        <v>915.179416666666</v>
      </c>
      <c r="Z89" s="81">
        <v>0.5</v>
      </c>
      <c r="AA89" s="80">
        <f t="shared" si="29"/>
        <v>1.27222222222222</v>
      </c>
      <c r="AB89" s="80">
        <f t="shared" si="30"/>
        <v>39.4388888888889</v>
      </c>
      <c r="AC89" s="80">
        <f t="shared" si="31"/>
        <v>915.179416666666</v>
      </c>
      <c r="AD89" s="68" t="s">
        <v>557</v>
      </c>
    </row>
    <row r="90" ht="15" customHeight="1" spans="1:30">
      <c r="A90" s="1" t="s">
        <v>404</v>
      </c>
      <c r="B90" s="79" t="s">
        <v>405</v>
      </c>
      <c r="C90" s="79" t="s">
        <v>34</v>
      </c>
      <c r="D90" s="79" t="s">
        <v>35</v>
      </c>
      <c r="E90" s="79" t="s">
        <v>250</v>
      </c>
      <c r="F90" s="79">
        <v>146.2</v>
      </c>
      <c r="G90" s="79">
        <v>34</v>
      </c>
      <c r="H90" s="79"/>
      <c r="I90" s="79"/>
      <c r="J90" s="79">
        <v>24</v>
      </c>
      <c r="K90" s="79">
        <v>4678</v>
      </c>
      <c r="L90" s="80">
        <f t="shared" si="32"/>
        <v>0.68</v>
      </c>
      <c r="M90" s="80">
        <f t="shared" si="18"/>
        <v>21.08</v>
      </c>
      <c r="N90" s="80">
        <f t="shared" si="33"/>
        <v>3081.896</v>
      </c>
      <c r="O90" s="80">
        <f t="shared" si="19"/>
        <v>0.377777777777778</v>
      </c>
      <c r="P90" s="80">
        <f t="shared" si="20"/>
        <v>11.7111111111111</v>
      </c>
      <c r="Q90" s="80">
        <f t="shared" si="21"/>
        <v>2568.24666666667</v>
      </c>
      <c r="R90" s="80">
        <f t="shared" si="22"/>
        <v>11.7111111111111</v>
      </c>
      <c r="S90" s="80">
        <f t="shared" si="23"/>
        <v>0.377777777777778</v>
      </c>
      <c r="T90" s="80">
        <f t="shared" si="24"/>
        <v>0.377777777777778</v>
      </c>
      <c r="U90" s="80">
        <f t="shared" si="25"/>
        <v>2568.24666666667</v>
      </c>
      <c r="V90" s="81">
        <v>0.5</v>
      </c>
      <c r="W90" s="80">
        <f t="shared" si="26"/>
        <v>0.188888888888889</v>
      </c>
      <c r="X90" s="80">
        <f t="shared" si="27"/>
        <v>5.85555555555556</v>
      </c>
      <c r="Y90" s="80">
        <f t="shared" si="28"/>
        <v>1284.12333333333</v>
      </c>
      <c r="Z90" s="81">
        <v>0.5</v>
      </c>
      <c r="AA90" s="80">
        <f t="shared" si="29"/>
        <v>0.188888888888889</v>
      </c>
      <c r="AB90" s="80">
        <f t="shared" si="30"/>
        <v>5.85555555555556</v>
      </c>
      <c r="AC90" s="80">
        <f t="shared" si="31"/>
        <v>1284.12333333333</v>
      </c>
      <c r="AD90" s="68" t="s">
        <v>557</v>
      </c>
    </row>
    <row r="91" ht="15" customHeight="1" spans="1:30">
      <c r="A91" s="1" t="s">
        <v>333</v>
      </c>
      <c r="B91" s="79" t="s">
        <v>334</v>
      </c>
      <c r="C91" s="79" t="s">
        <v>34</v>
      </c>
      <c r="D91" s="79" t="s">
        <v>35</v>
      </c>
      <c r="E91" s="79" t="s">
        <v>335</v>
      </c>
      <c r="F91" s="79">
        <v>32.55</v>
      </c>
      <c r="G91" s="79">
        <v>98</v>
      </c>
      <c r="H91" s="79"/>
      <c r="I91" s="79"/>
      <c r="J91" s="79">
        <v>95</v>
      </c>
      <c r="K91" s="79">
        <v>4590</v>
      </c>
      <c r="L91" s="80">
        <f t="shared" si="32"/>
        <v>1.96</v>
      </c>
      <c r="M91" s="80">
        <f t="shared" si="18"/>
        <v>60.76</v>
      </c>
      <c r="N91" s="80">
        <f t="shared" si="33"/>
        <v>1977.738</v>
      </c>
      <c r="O91" s="80">
        <f t="shared" si="19"/>
        <v>1.08888888888889</v>
      </c>
      <c r="P91" s="80">
        <f t="shared" si="20"/>
        <v>33.7555555555556</v>
      </c>
      <c r="Q91" s="80">
        <f t="shared" si="21"/>
        <v>1648.115</v>
      </c>
      <c r="R91" s="80">
        <f t="shared" si="22"/>
        <v>33.7555555555556</v>
      </c>
      <c r="S91" s="80">
        <f t="shared" si="23"/>
        <v>1.08888888888889</v>
      </c>
      <c r="T91" s="80">
        <f t="shared" si="24"/>
        <v>1.08888888888889</v>
      </c>
      <c r="U91" s="80">
        <f t="shared" si="25"/>
        <v>1648.115</v>
      </c>
      <c r="V91" s="81">
        <v>0.7</v>
      </c>
      <c r="W91" s="80">
        <f t="shared" si="26"/>
        <v>0.762222222222222</v>
      </c>
      <c r="X91" s="80">
        <f t="shared" si="27"/>
        <v>23.6288888888889</v>
      </c>
      <c r="Y91" s="80">
        <f t="shared" si="28"/>
        <v>1153.6805</v>
      </c>
      <c r="Z91" s="81">
        <v>0.3</v>
      </c>
      <c r="AA91" s="80">
        <f t="shared" si="29"/>
        <v>0.326666666666667</v>
      </c>
      <c r="AB91" s="80">
        <f t="shared" si="30"/>
        <v>10.1266666666667</v>
      </c>
      <c r="AC91" s="80">
        <f t="shared" si="31"/>
        <v>494.4345</v>
      </c>
      <c r="AD91" s="68" t="s">
        <v>557</v>
      </c>
    </row>
    <row r="92" ht="15" customHeight="1" spans="1:30">
      <c r="A92" s="1" t="s">
        <v>495</v>
      </c>
      <c r="B92" s="79" t="s">
        <v>496</v>
      </c>
      <c r="C92" s="79" t="s">
        <v>34</v>
      </c>
      <c r="D92" s="79" t="s">
        <v>35</v>
      </c>
      <c r="E92" s="79" t="s">
        <v>335</v>
      </c>
      <c r="F92" s="79">
        <v>75.08</v>
      </c>
      <c r="G92" s="79">
        <v>47</v>
      </c>
      <c r="H92" s="79"/>
      <c r="I92" s="79"/>
      <c r="J92" s="79">
        <v>42</v>
      </c>
      <c r="K92" s="79">
        <v>4580</v>
      </c>
      <c r="L92" s="80">
        <f t="shared" si="32"/>
        <v>0.94</v>
      </c>
      <c r="M92" s="80">
        <f t="shared" si="18"/>
        <v>29.14</v>
      </c>
      <c r="N92" s="80">
        <f t="shared" si="33"/>
        <v>2187.8312</v>
      </c>
      <c r="O92" s="80">
        <f t="shared" si="19"/>
        <v>0.522222222222222</v>
      </c>
      <c r="P92" s="80">
        <f t="shared" si="20"/>
        <v>16.1888888888889</v>
      </c>
      <c r="Q92" s="80">
        <f t="shared" si="21"/>
        <v>1823.19266666667</v>
      </c>
      <c r="R92" s="80">
        <f t="shared" si="22"/>
        <v>16.1888888888889</v>
      </c>
      <c r="S92" s="80">
        <f t="shared" si="23"/>
        <v>0.522222222222222</v>
      </c>
      <c r="T92" s="80">
        <f t="shared" si="24"/>
        <v>0.522222222222222</v>
      </c>
      <c r="U92" s="80">
        <f t="shared" si="25"/>
        <v>1823.19266666667</v>
      </c>
      <c r="V92" s="81">
        <v>0.7</v>
      </c>
      <c r="W92" s="80">
        <f t="shared" si="26"/>
        <v>0.365555555555556</v>
      </c>
      <c r="X92" s="80">
        <f t="shared" si="27"/>
        <v>11.3322222222222</v>
      </c>
      <c r="Y92" s="80">
        <f t="shared" si="28"/>
        <v>1276.23486666667</v>
      </c>
      <c r="Z92" s="81">
        <v>0.3</v>
      </c>
      <c r="AA92" s="80">
        <f t="shared" si="29"/>
        <v>0.156666666666667</v>
      </c>
      <c r="AB92" s="80">
        <f t="shared" si="30"/>
        <v>4.85666666666667</v>
      </c>
      <c r="AC92" s="80">
        <f t="shared" si="31"/>
        <v>546.9578</v>
      </c>
      <c r="AD92" s="68" t="s">
        <v>557</v>
      </c>
    </row>
    <row r="93" ht="15" customHeight="1" spans="1:30">
      <c r="A93" s="1" t="s">
        <v>610</v>
      </c>
      <c r="B93" s="1" t="s">
        <v>703</v>
      </c>
      <c r="C93" s="1" t="s">
        <v>34</v>
      </c>
      <c r="D93" s="1" t="s">
        <v>51</v>
      </c>
      <c r="E93" s="72" t="s">
        <v>704</v>
      </c>
      <c r="F93" s="72">
        <v>169.43</v>
      </c>
      <c r="G93" s="72">
        <v>41</v>
      </c>
      <c r="H93" s="72"/>
      <c r="I93" s="72"/>
      <c r="J93" s="72">
        <v>23</v>
      </c>
      <c r="K93" s="72">
        <v>4575</v>
      </c>
      <c r="L93" s="73">
        <f t="shared" si="32"/>
        <v>0.82</v>
      </c>
      <c r="M93" s="73">
        <f t="shared" si="18"/>
        <v>25.42</v>
      </c>
      <c r="N93" s="73">
        <f t="shared" si="33"/>
        <v>4306.9106</v>
      </c>
      <c r="O93" s="73">
        <f t="shared" si="19"/>
        <v>0.455555555555556</v>
      </c>
      <c r="P93" s="73">
        <f t="shared" si="20"/>
        <v>14.1222222222222</v>
      </c>
      <c r="Q93" s="73">
        <f t="shared" si="21"/>
        <v>3589.09216666667</v>
      </c>
      <c r="R93" s="73">
        <f t="shared" si="22"/>
        <v>14.1222222222222</v>
      </c>
      <c r="S93" s="73">
        <f t="shared" si="23"/>
        <v>0.455555555555556</v>
      </c>
      <c r="T93" s="73">
        <f t="shared" si="24"/>
        <v>0.455555555555556</v>
      </c>
      <c r="U93" s="73">
        <f t="shared" si="25"/>
        <v>3589.09216666667</v>
      </c>
      <c r="V93" s="75">
        <v>0.5</v>
      </c>
      <c r="W93" s="73">
        <f t="shared" si="26"/>
        <v>0.227777777777778</v>
      </c>
      <c r="X93" s="73">
        <f t="shared" si="27"/>
        <v>7.06111111111111</v>
      </c>
      <c r="Y93" s="73">
        <f t="shared" si="28"/>
        <v>1794.54608333333</v>
      </c>
      <c r="Z93" s="75">
        <v>0.5</v>
      </c>
      <c r="AA93" s="73">
        <f t="shared" si="29"/>
        <v>0.227777777777778</v>
      </c>
      <c r="AB93" s="73">
        <f t="shared" si="30"/>
        <v>7.06111111111111</v>
      </c>
      <c r="AC93" s="73">
        <f t="shared" si="31"/>
        <v>1794.54608333333</v>
      </c>
    </row>
    <row r="94" ht="15" customHeight="1" spans="1:30">
      <c r="A94" s="1" t="s">
        <v>612</v>
      </c>
      <c r="B94" s="1" t="s">
        <v>638</v>
      </c>
      <c r="C94" s="1" t="s">
        <v>34</v>
      </c>
      <c r="D94" s="1" t="s">
        <v>51</v>
      </c>
      <c r="E94" s="72" t="s">
        <v>617</v>
      </c>
      <c r="F94" s="72">
        <v>16.53</v>
      </c>
      <c r="G94" s="72">
        <v>950</v>
      </c>
      <c r="H94" s="72">
        <v>13</v>
      </c>
      <c r="I94" s="72">
        <v>73</v>
      </c>
      <c r="J94" s="72">
        <v>275</v>
      </c>
      <c r="K94" s="72">
        <v>4546</v>
      </c>
      <c r="L94" s="73">
        <f t="shared" si="32"/>
        <v>6</v>
      </c>
      <c r="M94" s="73">
        <f t="shared" si="18"/>
        <v>589</v>
      </c>
      <c r="N94" s="73">
        <f t="shared" si="33"/>
        <v>9736.17</v>
      </c>
      <c r="O94" s="73">
        <f t="shared" si="19"/>
        <v>-2.44444444444444</v>
      </c>
      <c r="P94" s="73">
        <f t="shared" si="20"/>
        <v>327.222222222222</v>
      </c>
      <c r="Q94" s="73">
        <f t="shared" si="21"/>
        <v>8113.475</v>
      </c>
      <c r="R94" s="73">
        <f t="shared" si="22"/>
        <v>327.222222222222</v>
      </c>
      <c r="S94" s="73">
        <f t="shared" si="23"/>
        <v>10.5555555555556</v>
      </c>
      <c r="T94" s="73">
        <f t="shared" si="24"/>
        <v>-2.44444444444444</v>
      </c>
      <c r="U94" s="73">
        <f t="shared" si="25"/>
        <v>8113.475</v>
      </c>
      <c r="V94" s="75">
        <v>0.5</v>
      </c>
      <c r="W94" s="73">
        <f t="shared" si="26"/>
        <v>5.27777777777778</v>
      </c>
      <c r="X94" s="73">
        <f t="shared" si="27"/>
        <v>163.611111111111</v>
      </c>
      <c r="Y94" s="73">
        <f t="shared" si="28"/>
        <v>4056.7375</v>
      </c>
      <c r="Z94" s="75">
        <v>0.5</v>
      </c>
      <c r="AA94" s="73">
        <f t="shared" si="29"/>
        <v>5.27777777777778</v>
      </c>
      <c r="AB94" s="73">
        <f t="shared" si="30"/>
        <v>163.611111111111</v>
      </c>
      <c r="AC94" s="73">
        <f t="shared" si="31"/>
        <v>4056.7375</v>
      </c>
    </row>
    <row r="95" ht="15" customHeight="1" spans="1:30">
      <c r="A95" s="1" t="s">
        <v>458</v>
      </c>
      <c r="B95" s="79" t="s">
        <v>459</v>
      </c>
      <c r="C95" s="79" t="s">
        <v>34</v>
      </c>
      <c r="D95" s="79" t="s">
        <v>35</v>
      </c>
      <c r="E95" s="79" t="s">
        <v>335</v>
      </c>
      <c r="F95" s="79">
        <v>42.67</v>
      </c>
      <c r="G95" s="79">
        <v>91</v>
      </c>
      <c r="H95" s="79"/>
      <c r="I95" s="79"/>
      <c r="J95" s="79">
        <v>75</v>
      </c>
      <c r="K95" s="79">
        <v>4523</v>
      </c>
      <c r="L95" s="80">
        <f t="shared" si="32"/>
        <v>1.82</v>
      </c>
      <c r="M95" s="80">
        <f t="shared" si="18"/>
        <v>56.42</v>
      </c>
      <c r="N95" s="80">
        <f t="shared" si="33"/>
        <v>2407.4414</v>
      </c>
      <c r="O95" s="80">
        <f t="shared" si="19"/>
        <v>1.01111111111111</v>
      </c>
      <c r="P95" s="80">
        <f t="shared" si="20"/>
        <v>31.3444444444444</v>
      </c>
      <c r="Q95" s="80">
        <f t="shared" si="21"/>
        <v>2006.20116666667</v>
      </c>
      <c r="R95" s="80">
        <f t="shared" si="22"/>
        <v>31.3444444444444</v>
      </c>
      <c r="S95" s="80">
        <f t="shared" si="23"/>
        <v>1.01111111111111</v>
      </c>
      <c r="T95" s="80">
        <f t="shared" si="24"/>
        <v>1.01111111111111</v>
      </c>
      <c r="U95" s="80">
        <f t="shared" si="25"/>
        <v>2006.20116666667</v>
      </c>
      <c r="V95" s="81">
        <v>0.7</v>
      </c>
      <c r="W95" s="80">
        <f t="shared" si="26"/>
        <v>0.707777777777778</v>
      </c>
      <c r="X95" s="80">
        <f t="shared" si="27"/>
        <v>21.9411111111111</v>
      </c>
      <c r="Y95" s="80">
        <f t="shared" si="28"/>
        <v>1404.34081666667</v>
      </c>
      <c r="Z95" s="81">
        <v>0.3</v>
      </c>
      <c r="AA95" s="80">
        <f t="shared" si="29"/>
        <v>0.303333333333333</v>
      </c>
      <c r="AB95" s="80">
        <f t="shared" si="30"/>
        <v>9.40333333333333</v>
      </c>
      <c r="AC95" s="80">
        <f t="shared" si="31"/>
        <v>601.86035</v>
      </c>
      <c r="AD95" s="68" t="s">
        <v>557</v>
      </c>
    </row>
    <row r="96" ht="15" customHeight="1" spans="1:30">
      <c r="A96" s="1" t="s">
        <v>614</v>
      </c>
      <c r="B96" s="79" t="s">
        <v>705</v>
      </c>
      <c r="C96" s="79" t="s">
        <v>34</v>
      </c>
      <c r="D96" s="79" t="s">
        <v>35</v>
      </c>
      <c r="E96" s="79" t="s">
        <v>706</v>
      </c>
      <c r="F96" s="79">
        <v>181.62</v>
      </c>
      <c r="G96" s="79">
        <v>26</v>
      </c>
      <c r="H96" s="79"/>
      <c r="I96" s="79"/>
      <c r="J96" s="79">
        <v>18</v>
      </c>
      <c r="K96" s="79">
        <v>4268</v>
      </c>
      <c r="L96" s="80">
        <f t="shared" si="32"/>
        <v>0.52</v>
      </c>
      <c r="M96" s="80">
        <f t="shared" si="18"/>
        <v>16.12</v>
      </c>
      <c r="N96" s="80">
        <f t="shared" si="33"/>
        <v>2927.7144</v>
      </c>
      <c r="O96" s="80">
        <f t="shared" si="19"/>
        <v>0.288888888888889</v>
      </c>
      <c r="P96" s="80">
        <f t="shared" si="20"/>
        <v>8.95555555555555</v>
      </c>
      <c r="Q96" s="80">
        <f t="shared" si="21"/>
        <v>2439.762</v>
      </c>
      <c r="R96" s="80">
        <f t="shared" si="22"/>
        <v>8.95555555555555</v>
      </c>
      <c r="S96" s="80">
        <f t="shared" si="23"/>
        <v>0.288888888888889</v>
      </c>
      <c r="T96" s="80">
        <f t="shared" si="24"/>
        <v>0.288888888888889</v>
      </c>
      <c r="U96" s="80">
        <f t="shared" si="25"/>
        <v>2439.762</v>
      </c>
      <c r="V96" s="81">
        <v>0.5</v>
      </c>
      <c r="W96" s="80">
        <f t="shared" si="26"/>
        <v>0.144444444444444</v>
      </c>
      <c r="X96" s="80">
        <f t="shared" si="27"/>
        <v>4.47777777777778</v>
      </c>
      <c r="Y96" s="80">
        <f t="shared" si="28"/>
        <v>1219.881</v>
      </c>
      <c r="Z96" s="81">
        <v>0.5</v>
      </c>
      <c r="AA96" s="80">
        <f t="shared" si="29"/>
        <v>0.144444444444444</v>
      </c>
      <c r="AB96" s="80">
        <f t="shared" si="30"/>
        <v>4.47777777777778</v>
      </c>
      <c r="AC96" s="80">
        <f t="shared" si="31"/>
        <v>1219.881</v>
      </c>
      <c r="AD96" s="68" t="s">
        <v>557</v>
      </c>
    </row>
    <row r="97" ht="15" customHeight="1" spans="1:31">
      <c r="A97" s="1" t="s">
        <v>350</v>
      </c>
      <c r="B97" s="1" t="s">
        <v>351</v>
      </c>
      <c r="C97" s="1" t="s">
        <v>34</v>
      </c>
      <c r="D97" s="1" t="s">
        <v>35</v>
      </c>
      <c r="E97" s="72" t="s">
        <v>264</v>
      </c>
      <c r="F97" s="72">
        <v>28.1</v>
      </c>
      <c r="G97" s="72">
        <v>105</v>
      </c>
      <c r="H97" s="72"/>
      <c r="I97" s="72"/>
      <c r="J97" s="72">
        <v>97</v>
      </c>
      <c r="K97" s="72">
        <v>3990</v>
      </c>
      <c r="L97" s="73">
        <f t="shared" si="32"/>
        <v>2.1</v>
      </c>
      <c r="M97" s="73">
        <f t="shared" si="18"/>
        <v>65.1</v>
      </c>
      <c r="N97" s="73">
        <f t="shared" si="33"/>
        <v>1829.31</v>
      </c>
      <c r="O97" s="73">
        <f t="shared" si="19"/>
        <v>1.16666666666667</v>
      </c>
      <c r="P97" s="73">
        <f t="shared" si="20"/>
        <v>36.1666666666667</v>
      </c>
      <c r="Q97" s="73">
        <f t="shared" si="21"/>
        <v>1524.425</v>
      </c>
      <c r="R97" s="73">
        <f t="shared" si="22"/>
        <v>36.1666666666667</v>
      </c>
      <c r="S97" s="73">
        <f t="shared" si="23"/>
        <v>1.16666666666667</v>
      </c>
      <c r="T97" s="73">
        <f t="shared" si="24"/>
        <v>1.16666666666667</v>
      </c>
      <c r="U97" s="73">
        <f t="shared" si="25"/>
        <v>1524.425</v>
      </c>
      <c r="V97" s="74">
        <v>0</v>
      </c>
      <c r="W97" s="73">
        <f t="shared" si="26"/>
        <v>0</v>
      </c>
      <c r="X97" s="73">
        <f t="shared" si="27"/>
        <v>0</v>
      </c>
      <c r="Y97" s="73">
        <f t="shared" si="28"/>
        <v>0</v>
      </c>
      <c r="Z97" s="74">
        <v>0</v>
      </c>
      <c r="AA97" s="73">
        <f t="shared" si="29"/>
        <v>0</v>
      </c>
      <c r="AB97" s="73">
        <f t="shared" si="30"/>
        <v>0</v>
      </c>
      <c r="AC97" s="73">
        <f t="shared" si="31"/>
        <v>0</v>
      </c>
    </row>
    <row r="98" ht="15" customHeight="1" spans="1:31">
      <c r="A98" s="1" t="s">
        <v>615</v>
      </c>
      <c r="B98" s="1" t="s">
        <v>649</v>
      </c>
      <c r="C98" s="1" t="s">
        <v>34</v>
      </c>
      <c r="D98" s="1" t="s">
        <v>35</v>
      </c>
      <c r="E98" s="72" t="s">
        <v>431</v>
      </c>
      <c r="F98" s="72">
        <v>9.52</v>
      </c>
      <c r="G98" s="72">
        <v>309</v>
      </c>
      <c r="H98" s="72"/>
      <c r="I98" s="72"/>
      <c r="J98" s="72">
        <v>284</v>
      </c>
      <c r="K98" s="72">
        <v>3960</v>
      </c>
      <c r="L98" s="73">
        <f t="shared" si="32"/>
        <v>6.18</v>
      </c>
      <c r="M98" s="73">
        <f t="shared" si="18"/>
        <v>191.58</v>
      </c>
      <c r="N98" s="73">
        <f t="shared" si="33"/>
        <v>1823.8416</v>
      </c>
      <c r="O98" s="73">
        <f t="shared" si="19"/>
        <v>3.43333333333333</v>
      </c>
      <c r="P98" s="73">
        <f t="shared" si="20"/>
        <v>106.433333333333</v>
      </c>
      <c r="Q98" s="73">
        <f t="shared" si="21"/>
        <v>1519.868</v>
      </c>
      <c r="R98" s="73">
        <f t="shared" si="22"/>
        <v>106.433333333333</v>
      </c>
      <c r="S98" s="73">
        <f t="shared" si="23"/>
        <v>3.43333333333333</v>
      </c>
      <c r="T98" s="73">
        <f t="shared" si="24"/>
        <v>3.43333333333333</v>
      </c>
      <c r="U98" s="73">
        <f t="shared" si="25"/>
        <v>1519.868</v>
      </c>
      <c r="V98" s="74">
        <v>1</v>
      </c>
      <c r="W98" s="73">
        <f t="shared" si="26"/>
        <v>3.43333333333333</v>
      </c>
      <c r="X98" s="73">
        <f t="shared" si="27"/>
        <v>106.433333333333</v>
      </c>
      <c r="Y98" s="73">
        <f t="shared" si="28"/>
        <v>1519.868</v>
      </c>
      <c r="Z98" s="74">
        <v>0</v>
      </c>
      <c r="AA98" s="73">
        <f t="shared" si="29"/>
        <v>0</v>
      </c>
      <c r="AB98" s="73">
        <f t="shared" si="30"/>
        <v>0</v>
      </c>
      <c r="AC98" s="73">
        <f t="shared" si="31"/>
        <v>0</v>
      </c>
    </row>
    <row r="99" ht="15" customHeight="1" spans="1:31">
      <c r="A99" s="1" t="s">
        <v>618</v>
      </c>
      <c r="B99" s="79" t="s">
        <v>663</v>
      </c>
      <c r="C99" s="79" t="s">
        <v>34</v>
      </c>
      <c r="D99" s="79" t="s">
        <v>35</v>
      </c>
      <c r="E99" s="79" t="s">
        <v>141</v>
      </c>
      <c r="F99" s="79">
        <v>31.97</v>
      </c>
      <c r="G99" s="79">
        <v>105</v>
      </c>
      <c r="H99" s="79"/>
      <c r="I99" s="79"/>
      <c r="J99" s="79">
        <v>87</v>
      </c>
      <c r="K99" s="79">
        <v>3932</v>
      </c>
      <c r="L99" s="80">
        <f t="shared" si="32"/>
        <v>2.1</v>
      </c>
      <c r="M99" s="80">
        <f t="shared" si="18"/>
        <v>65.1</v>
      </c>
      <c r="N99" s="80">
        <f t="shared" si="33"/>
        <v>2081.247</v>
      </c>
      <c r="O99" s="80">
        <f t="shared" si="19"/>
        <v>1.16666666666667</v>
      </c>
      <c r="P99" s="80">
        <f t="shared" si="20"/>
        <v>36.1666666666667</v>
      </c>
      <c r="Q99" s="80">
        <f t="shared" si="21"/>
        <v>1734.3725</v>
      </c>
      <c r="R99" s="80">
        <f t="shared" si="22"/>
        <v>36.1666666666667</v>
      </c>
      <c r="S99" s="80">
        <f t="shared" si="23"/>
        <v>1.16666666666667</v>
      </c>
      <c r="T99" s="80">
        <f t="shared" si="24"/>
        <v>1.16666666666667</v>
      </c>
      <c r="U99" s="80">
        <f t="shared" si="25"/>
        <v>1734.3725</v>
      </c>
      <c r="V99" s="81">
        <v>0.5</v>
      </c>
      <c r="W99" s="80">
        <f t="shared" si="26"/>
        <v>0.583333333333333</v>
      </c>
      <c r="X99" s="80">
        <f t="shared" si="27"/>
        <v>18.0833333333333</v>
      </c>
      <c r="Y99" s="80">
        <f t="shared" si="28"/>
        <v>867.18625</v>
      </c>
      <c r="Z99" s="81">
        <v>0.5</v>
      </c>
      <c r="AA99" s="80">
        <f t="shared" si="29"/>
        <v>0.583333333333333</v>
      </c>
      <c r="AB99" s="80">
        <f t="shared" si="30"/>
        <v>18.0833333333333</v>
      </c>
      <c r="AC99" s="80">
        <f t="shared" si="31"/>
        <v>867.18625</v>
      </c>
      <c r="AD99" s="68" t="s">
        <v>557</v>
      </c>
    </row>
    <row r="100" ht="15" customHeight="1" spans="1:31">
      <c r="A100" s="1" t="s">
        <v>383</v>
      </c>
      <c r="B100" s="69" t="s">
        <v>384</v>
      </c>
      <c r="C100" s="69" t="s">
        <v>34</v>
      </c>
      <c r="D100" s="69" t="s">
        <v>51</v>
      </c>
      <c r="E100" s="69" t="s">
        <v>309</v>
      </c>
      <c r="F100" s="69">
        <v>17.32</v>
      </c>
      <c r="G100" s="69">
        <v>176</v>
      </c>
      <c r="H100" s="69"/>
      <c r="I100" s="69"/>
      <c r="J100" s="69">
        <v>156</v>
      </c>
      <c r="K100" s="69">
        <v>3914</v>
      </c>
      <c r="L100" s="70">
        <f t="shared" si="32"/>
        <v>3.52</v>
      </c>
      <c r="M100" s="70">
        <f t="shared" si="18"/>
        <v>109.12</v>
      </c>
      <c r="N100" s="70">
        <f t="shared" si="33"/>
        <v>1889.9584</v>
      </c>
      <c r="O100" s="70">
        <f t="shared" si="19"/>
        <v>1.95555555555556</v>
      </c>
      <c r="P100" s="70">
        <f t="shared" si="20"/>
        <v>60.6222222222222</v>
      </c>
      <c r="Q100" s="70">
        <f t="shared" si="21"/>
        <v>1574.96533333333</v>
      </c>
      <c r="R100" s="70">
        <f t="shared" si="22"/>
        <v>60.6222222222222</v>
      </c>
      <c r="S100" s="70">
        <f t="shared" si="23"/>
        <v>1.95555555555556</v>
      </c>
      <c r="T100" s="70">
        <f t="shared" si="24"/>
        <v>1.95555555555556</v>
      </c>
      <c r="U100" s="70">
        <f t="shared" si="25"/>
        <v>1574.96533333333</v>
      </c>
      <c r="V100" s="71">
        <v>0.4</v>
      </c>
      <c r="W100" s="70">
        <f t="shared" si="26"/>
        <v>0.782222222222222</v>
      </c>
      <c r="X100" s="70">
        <f t="shared" si="27"/>
        <v>24.2488888888889</v>
      </c>
      <c r="Y100" s="70">
        <f t="shared" si="28"/>
        <v>629.986133333333</v>
      </c>
      <c r="Z100" s="71">
        <v>0.6</v>
      </c>
      <c r="AA100" s="70">
        <f t="shared" si="29"/>
        <v>1.17333333333333</v>
      </c>
      <c r="AB100" s="70">
        <f t="shared" si="30"/>
        <v>36.3733333333333</v>
      </c>
      <c r="AC100" s="70">
        <f t="shared" si="31"/>
        <v>944.9792</v>
      </c>
      <c r="AD100" s="61" t="s">
        <v>594</v>
      </c>
    </row>
    <row r="101" ht="15" customHeight="1" spans="1:31">
      <c r="A101" s="1" t="s">
        <v>619</v>
      </c>
      <c r="B101" s="1" t="s">
        <v>707</v>
      </c>
      <c r="C101" s="1" t="s">
        <v>34</v>
      </c>
      <c r="D101" s="1" t="s">
        <v>35</v>
      </c>
      <c r="E101" s="72" t="s">
        <v>335</v>
      </c>
      <c r="F101" s="72">
        <v>75.08</v>
      </c>
      <c r="G101" s="72">
        <v>45</v>
      </c>
      <c r="H101" s="72"/>
      <c r="I101" s="72"/>
      <c r="J101" s="72">
        <v>37</v>
      </c>
      <c r="K101" s="72">
        <v>3904</v>
      </c>
      <c r="L101" s="73">
        <f t="shared" si="32"/>
        <v>0.9</v>
      </c>
      <c r="M101" s="73">
        <f t="shared" si="18"/>
        <v>27.9</v>
      </c>
      <c r="N101" s="73">
        <f t="shared" si="33"/>
        <v>2094.732</v>
      </c>
      <c r="O101" s="73">
        <f t="shared" si="19"/>
        <v>0.5</v>
      </c>
      <c r="P101" s="73">
        <f t="shared" si="20"/>
        <v>15.5</v>
      </c>
      <c r="Q101" s="73">
        <f t="shared" si="21"/>
        <v>1745.61</v>
      </c>
      <c r="R101" s="73">
        <f t="shared" si="22"/>
        <v>15.5</v>
      </c>
      <c r="S101" s="73">
        <f t="shared" si="23"/>
        <v>0.5</v>
      </c>
      <c r="T101" s="73">
        <f t="shared" si="24"/>
        <v>0.5</v>
      </c>
      <c r="U101" s="73">
        <f t="shared" si="25"/>
        <v>1745.61</v>
      </c>
      <c r="V101" s="75">
        <v>0.7</v>
      </c>
      <c r="W101" s="73">
        <f t="shared" si="26"/>
        <v>0.35</v>
      </c>
      <c r="X101" s="73">
        <f t="shared" si="27"/>
        <v>10.85</v>
      </c>
      <c r="Y101" s="73">
        <f t="shared" si="28"/>
        <v>1221.927</v>
      </c>
      <c r="Z101" s="75">
        <v>0.3</v>
      </c>
      <c r="AA101" s="73">
        <f t="shared" si="29"/>
        <v>0.15</v>
      </c>
      <c r="AB101" s="73">
        <f t="shared" si="30"/>
        <v>4.65</v>
      </c>
      <c r="AC101" s="73">
        <f t="shared" si="31"/>
        <v>523.683</v>
      </c>
    </row>
    <row r="102" ht="15" customHeight="1" spans="1:31">
      <c r="A102" s="1" t="s">
        <v>620</v>
      </c>
      <c r="B102" s="69" t="s">
        <v>708</v>
      </c>
      <c r="C102" s="69" t="s">
        <v>34</v>
      </c>
      <c r="D102" s="69" t="s">
        <v>35</v>
      </c>
      <c r="E102" s="69" t="s">
        <v>500</v>
      </c>
      <c r="F102" s="69">
        <v>40.27</v>
      </c>
      <c r="G102" s="69">
        <v>100</v>
      </c>
      <c r="H102" s="69"/>
      <c r="I102" s="69"/>
      <c r="J102" s="69">
        <v>72</v>
      </c>
      <c r="K102" s="69">
        <v>3886</v>
      </c>
      <c r="L102" s="70">
        <f t="shared" si="32"/>
        <v>2</v>
      </c>
      <c r="M102" s="70">
        <f t="shared" si="18"/>
        <v>62</v>
      </c>
      <c r="N102" s="70">
        <f t="shared" si="33"/>
        <v>2496.74</v>
      </c>
      <c r="O102" s="70">
        <f t="shared" si="19"/>
        <v>1.11111111111111</v>
      </c>
      <c r="P102" s="70">
        <f t="shared" si="20"/>
        <v>34.4444444444444</v>
      </c>
      <c r="Q102" s="70">
        <f t="shared" si="21"/>
        <v>2080.61666666667</v>
      </c>
      <c r="R102" s="70">
        <f t="shared" si="22"/>
        <v>34.4444444444444</v>
      </c>
      <c r="S102" s="70">
        <f t="shared" si="23"/>
        <v>1.11111111111111</v>
      </c>
      <c r="T102" s="70">
        <f t="shared" si="24"/>
        <v>1.11111111111111</v>
      </c>
      <c r="U102" s="70">
        <f t="shared" si="25"/>
        <v>2080.61666666667</v>
      </c>
      <c r="V102" s="71">
        <v>0.5</v>
      </c>
      <c r="W102" s="70">
        <f t="shared" si="26"/>
        <v>0.555555555555556</v>
      </c>
      <c r="X102" s="70">
        <f t="shared" si="27"/>
        <v>17.2222222222222</v>
      </c>
      <c r="Y102" s="70">
        <f t="shared" si="28"/>
        <v>1040.30833333333</v>
      </c>
      <c r="Z102" s="71">
        <v>0.5</v>
      </c>
      <c r="AA102" s="70">
        <f t="shared" si="29"/>
        <v>0.555555555555556</v>
      </c>
      <c r="AB102" s="70">
        <f t="shared" si="30"/>
        <v>17.2222222222222</v>
      </c>
      <c r="AC102" s="70">
        <f t="shared" si="31"/>
        <v>1040.30833333333</v>
      </c>
      <c r="AD102" s="61" t="s">
        <v>594</v>
      </c>
      <c r="AE102" s="68"/>
    </row>
    <row r="103" ht="15" customHeight="1" spans="1:31">
      <c r="A103" s="1" t="s">
        <v>366</v>
      </c>
      <c r="B103" s="1" t="s">
        <v>367</v>
      </c>
      <c r="C103" s="1" t="s">
        <v>34</v>
      </c>
      <c r="D103" s="1" t="s">
        <v>35</v>
      </c>
      <c r="E103" s="72" t="s">
        <v>338</v>
      </c>
      <c r="F103" s="72">
        <v>6.6874</v>
      </c>
      <c r="G103" s="72">
        <v>668</v>
      </c>
      <c r="H103" s="72">
        <v>4</v>
      </c>
      <c r="I103" s="72">
        <v>167</v>
      </c>
      <c r="J103" s="72">
        <v>438</v>
      </c>
      <c r="K103" s="72">
        <v>3778</v>
      </c>
      <c r="L103" s="73">
        <f t="shared" si="32"/>
        <v>9.36</v>
      </c>
      <c r="M103" s="73">
        <f t="shared" si="18"/>
        <v>414.16</v>
      </c>
      <c r="N103" s="73">
        <f t="shared" si="33"/>
        <v>2769.653584</v>
      </c>
      <c r="O103" s="73">
        <f t="shared" si="19"/>
        <v>3.42222222222222</v>
      </c>
      <c r="P103" s="73">
        <f t="shared" si="20"/>
        <v>230.088888888889</v>
      </c>
      <c r="Q103" s="73">
        <f t="shared" si="21"/>
        <v>2308.04465333333</v>
      </c>
      <c r="R103" s="73">
        <f t="shared" si="22"/>
        <v>230.088888888889</v>
      </c>
      <c r="S103" s="73">
        <f t="shared" si="23"/>
        <v>7.42222222222222</v>
      </c>
      <c r="T103" s="73">
        <f t="shared" si="24"/>
        <v>3.42222222222222</v>
      </c>
      <c r="U103" s="73">
        <f t="shared" si="25"/>
        <v>2308.04465333333</v>
      </c>
      <c r="V103" s="74">
        <v>0.5</v>
      </c>
      <c r="W103" s="73">
        <f t="shared" si="26"/>
        <v>3.71111111111111</v>
      </c>
      <c r="X103" s="73">
        <f t="shared" si="27"/>
        <v>115.044444444444</v>
      </c>
      <c r="Y103" s="73">
        <f t="shared" si="28"/>
        <v>1154.02232666667</v>
      </c>
      <c r="Z103" s="74">
        <v>0.5</v>
      </c>
      <c r="AA103" s="73">
        <f t="shared" si="29"/>
        <v>3.71111111111111</v>
      </c>
      <c r="AB103" s="73">
        <f t="shared" si="30"/>
        <v>115.044444444444</v>
      </c>
      <c r="AC103" s="73">
        <f t="shared" si="31"/>
        <v>1154.02232666667</v>
      </c>
      <c r="AE103" s="68"/>
    </row>
    <row r="104" ht="15" customHeight="1" spans="1:31">
      <c r="A104" s="1" t="s">
        <v>368</v>
      </c>
      <c r="B104" s="79" t="s">
        <v>369</v>
      </c>
      <c r="C104" s="79" t="s">
        <v>34</v>
      </c>
      <c r="D104" s="79" t="s">
        <v>51</v>
      </c>
      <c r="E104" s="79" t="s">
        <v>180</v>
      </c>
      <c r="F104" s="79">
        <v>103.03</v>
      </c>
      <c r="G104" s="79">
        <v>37</v>
      </c>
      <c r="H104" s="79"/>
      <c r="I104" s="79"/>
      <c r="J104" s="79">
        <v>27</v>
      </c>
      <c r="K104" s="79">
        <v>3761</v>
      </c>
      <c r="L104" s="80">
        <f t="shared" si="32"/>
        <v>0.74</v>
      </c>
      <c r="M104" s="80">
        <f t="shared" si="18"/>
        <v>22.94</v>
      </c>
      <c r="N104" s="80">
        <f t="shared" si="33"/>
        <v>2363.5082</v>
      </c>
      <c r="O104" s="80">
        <f t="shared" si="19"/>
        <v>0.411111111111111</v>
      </c>
      <c r="P104" s="80">
        <f t="shared" si="20"/>
        <v>12.7444444444444</v>
      </c>
      <c r="Q104" s="80">
        <f t="shared" si="21"/>
        <v>1969.59016666667</v>
      </c>
      <c r="R104" s="80">
        <f t="shared" si="22"/>
        <v>12.7444444444444</v>
      </c>
      <c r="S104" s="80">
        <f t="shared" si="23"/>
        <v>0.411111111111111</v>
      </c>
      <c r="T104" s="80">
        <f t="shared" si="24"/>
        <v>0.411111111111111</v>
      </c>
      <c r="U104" s="80">
        <f t="shared" si="25"/>
        <v>1969.59016666667</v>
      </c>
      <c r="V104" s="81">
        <v>0.5</v>
      </c>
      <c r="W104" s="80">
        <f t="shared" si="26"/>
        <v>0.205555555555556</v>
      </c>
      <c r="X104" s="80">
        <f t="shared" si="27"/>
        <v>6.37222222222222</v>
      </c>
      <c r="Y104" s="80">
        <f t="shared" si="28"/>
        <v>984.795083333333</v>
      </c>
      <c r="Z104" s="81">
        <v>0.5</v>
      </c>
      <c r="AA104" s="80">
        <f t="shared" si="29"/>
        <v>0.205555555555556</v>
      </c>
      <c r="AB104" s="80">
        <f t="shared" si="30"/>
        <v>6.37222222222222</v>
      </c>
      <c r="AC104" s="80">
        <f t="shared" si="31"/>
        <v>984.795083333333</v>
      </c>
      <c r="AD104" s="61" t="s">
        <v>557</v>
      </c>
      <c r="AE104" s="68"/>
    </row>
    <row r="105" ht="15" customHeight="1" spans="1:31">
      <c r="A105" s="1" t="s">
        <v>392</v>
      </c>
      <c r="B105" s="1" t="s">
        <v>393</v>
      </c>
      <c r="C105" s="1" t="s">
        <v>34</v>
      </c>
      <c r="D105" s="1" t="s">
        <v>35</v>
      </c>
      <c r="E105" s="72" t="s">
        <v>394</v>
      </c>
      <c r="F105" s="72">
        <v>8.49</v>
      </c>
      <c r="G105" s="72">
        <v>751</v>
      </c>
      <c r="H105" s="72">
        <v>7</v>
      </c>
      <c r="I105" s="72">
        <v>107</v>
      </c>
      <c r="J105" s="72">
        <v>386</v>
      </c>
      <c r="K105" s="72">
        <v>3676</v>
      </c>
      <c r="L105" s="73">
        <f t="shared" si="32"/>
        <v>8.02</v>
      </c>
      <c r="M105" s="73">
        <f t="shared" si="18"/>
        <v>465.62</v>
      </c>
      <c r="N105" s="73">
        <f t="shared" si="33"/>
        <v>3953.1138</v>
      </c>
      <c r="O105" s="73">
        <f t="shared" si="19"/>
        <v>1.34444444444444</v>
      </c>
      <c r="P105" s="73">
        <f t="shared" si="20"/>
        <v>258.677777777778</v>
      </c>
      <c r="Q105" s="73">
        <f t="shared" si="21"/>
        <v>3294.2615</v>
      </c>
      <c r="R105" s="73">
        <f t="shared" si="22"/>
        <v>258.677777777778</v>
      </c>
      <c r="S105" s="73">
        <f t="shared" si="23"/>
        <v>8.34444444444444</v>
      </c>
      <c r="T105" s="73">
        <f t="shared" si="24"/>
        <v>1.34444444444444</v>
      </c>
      <c r="U105" s="73">
        <f t="shared" si="25"/>
        <v>3294.2615</v>
      </c>
      <c r="V105" s="75">
        <v>0.5</v>
      </c>
      <c r="W105" s="73">
        <f t="shared" si="26"/>
        <v>4.17222222222222</v>
      </c>
      <c r="X105" s="73">
        <f t="shared" si="27"/>
        <v>129.338888888889</v>
      </c>
      <c r="Y105" s="73">
        <f t="shared" si="28"/>
        <v>1647.13075</v>
      </c>
      <c r="Z105" s="75">
        <v>0.5</v>
      </c>
      <c r="AA105" s="73">
        <f t="shared" si="29"/>
        <v>4.17222222222222</v>
      </c>
      <c r="AB105" s="73">
        <f t="shared" si="30"/>
        <v>129.338888888889</v>
      </c>
      <c r="AC105" s="73">
        <f t="shared" si="31"/>
        <v>1647.13075</v>
      </c>
      <c r="AE105" s="68"/>
    </row>
    <row r="106" ht="15" customHeight="1" spans="1:31">
      <c r="A106" s="1" t="s">
        <v>622</v>
      </c>
      <c r="B106" s="79" t="s">
        <v>650</v>
      </c>
      <c r="C106" s="79" t="s">
        <v>34</v>
      </c>
      <c r="D106" s="79" t="s">
        <v>35</v>
      </c>
      <c r="E106" s="79" t="s">
        <v>141</v>
      </c>
      <c r="F106" s="79">
        <v>24.9</v>
      </c>
      <c r="G106" s="79">
        <v>112</v>
      </c>
      <c r="H106" s="79"/>
      <c r="I106" s="79"/>
      <c r="J106" s="79">
        <v>101</v>
      </c>
      <c r="K106" s="79">
        <v>3660</v>
      </c>
      <c r="L106" s="80">
        <f t="shared" si="32"/>
        <v>2.24</v>
      </c>
      <c r="M106" s="80">
        <f t="shared" si="18"/>
        <v>69.44</v>
      </c>
      <c r="N106" s="80">
        <f t="shared" si="33"/>
        <v>1729.056</v>
      </c>
      <c r="O106" s="80">
        <f t="shared" si="19"/>
        <v>1.24444444444444</v>
      </c>
      <c r="P106" s="80">
        <f t="shared" si="20"/>
        <v>38.5777777777778</v>
      </c>
      <c r="Q106" s="80">
        <f t="shared" si="21"/>
        <v>1440.88</v>
      </c>
      <c r="R106" s="80">
        <f t="shared" si="22"/>
        <v>38.5777777777778</v>
      </c>
      <c r="S106" s="80">
        <f t="shared" si="23"/>
        <v>1.24444444444444</v>
      </c>
      <c r="T106" s="80">
        <f t="shared" si="24"/>
        <v>1.24444444444444</v>
      </c>
      <c r="U106" s="80">
        <f t="shared" si="25"/>
        <v>1440.88</v>
      </c>
      <c r="V106" s="81">
        <v>0.5</v>
      </c>
      <c r="W106" s="80">
        <f t="shared" si="26"/>
        <v>0.622222222222222</v>
      </c>
      <c r="X106" s="80">
        <f t="shared" si="27"/>
        <v>19.2888888888889</v>
      </c>
      <c r="Y106" s="80">
        <f t="shared" si="28"/>
        <v>720.44</v>
      </c>
      <c r="Z106" s="81">
        <v>0.5</v>
      </c>
      <c r="AA106" s="80">
        <f t="shared" si="29"/>
        <v>0.622222222222222</v>
      </c>
      <c r="AB106" s="80">
        <f t="shared" si="30"/>
        <v>19.2888888888889</v>
      </c>
      <c r="AC106" s="80">
        <f t="shared" si="31"/>
        <v>720.44</v>
      </c>
      <c r="AD106" s="61" t="s">
        <v>557</v>
      </c>
      <c r="AE106" s="68"/>
    </row>
    <row r="107" ht="15" customHeight="1" spans="1:31">
      <c r="A107" s="1" t="s">
        <v>314</v>
      </c>
      <c r="B107" s="69" t="s">
        <v>315</v>
      </c>
      <c r="C107" s="69" t="s">
        <v>34</v>
      </c>
      <c r="D107" s="69" t="s">
        <v>51</v>
      </c>
      <c r="E107" s="69" t="s">
        <v>316</v>
      </c>
      <c r="F107" s="69">
        <v>102.36</v>
      </c>
      <c r="G107" s="69">
        <v>80</v>
      </c>
      <c r="H107" s="69"/>
      <c r="I107" s="69"/>
      <c r="J107" s="69">
        <v>35</v>
      </c>
      <c r="K107" s="69">
        <v>3583</v>
      </c>
      <c r="L107" s="70">
        <f t="shared" si="32"/>
        <v>1.6</v>
      </c>
      <c r="M107" s="70">
        <f t="shared" si="18"/>
        <v>49.6</v>
      </c>
      <c r="N107" s="70">
        <f t="shared" si="33"/>
        <v>5077.056</v>
      </c>
      <c r="O107" s="70">
        <f t="shared" si="19"/>
        <v>0.888888888888889</v>
      </c>
      <c r="P107" s="70">
        <f t="shared" si="20"/>
        <v>27.5555555555556</v>
      </c>
      <c r="Q107" s="70">
        <f t="shared" si="21"/>
        <v>4230.88</v>
      </c>
      <c r="R107" s="70">
        <f t="shared" si="22"/>
        <v>27.5555555555556</v>
      </c>
      <c r="S107" s="70">
        <f t="shared" si="23"/>
        <v>0.888888888888889</v>
      </c>
      <c r="T107" s="70">
        <f t="shared" si="24"/>
        <v>0.888888888888889</v>
      </c>
      <c r="U107" s="70">
        <f t="shared" si="25"/>
        <v>4230.88</v>
      </c>
      <c r="V107" s="71">
        <v>0.5</v>
      </c>
      <c r="W107" s="70">
        <f t="shared" si="26"/>
        <v>0.444444444444444</v>
      </c>
      <c r="X107" s="70">
        <f t="shared" si="27"/>
        <v>13.7777777777778</v>
      </c>
      <c r="Y107" s="70">
        <f t="shared" si="28"/>
        <v>2115.44</v>
      </c>
      <c r="Z107" s="71">
        <v>0.5</v>
      </c>
      <c r="AA107" s="70">
        <f t="shared" si="29"/>
        <v>0.444444444444444</v>
      </c>
      <c r="AB107" s="70">
        <f t="shared" si="30"/>
        <v>13.7777777777778</v>
      </c>
      <c r="AC107" s="70">
        <f t="shared" si="31"/>
        <v>2115.44</v>
      </c>
      <c r="AD107" s="61" t="s">
        <v>594</v>
      </c>
      <c r="AE107" s="68" t="s">
        <v>623</v>
      </c>
    </row>
    <row r="108" ht="15" customHeight="1" spans="1:31">
      <c r="A108" s="1" t="s">
        <v>399</v>
      </c>
      <c r="B108" s="1" t="s">
        <v>400</v>
      </c>
      <c r="C108" s="1" t="s">
        <v>34</v>
      </c>
      <c r="D108" s="1" t="s">
        <v>35</v>
      </c>
      <c r="E108" s="72" t="s">
        <v>250</v>
      </c>
      <c r="F108" s="72">
        <v>151.83</v>
      </c>
      <c r="G108" s="72">
        <v>17</v>
      </c>
      <c r="H108" s="72"/>
      <c r="I108" s="72"/>
      <c r="J108" s="72">
        <v>16</v>
      </c>
      <c r="K108" s="72">
        <v>3568</v>
      </c>
      <c r="L108" s="73">
        <f t="shared" si="32"/>
        <v>0.34</v>
      </c>
      <c r="M108" s="73">
        <f t="shared" si="18"/>
        <v>10.54</v>
      </c>
      <c r="N108" s="73">
        <f t="shared" si="33"/>
        <v>1600.2882</v>
      </c>
      <c r="O108" s="73">
        <f t="shared" si="19"/>
        <v>0.188888888888889</v>
      </c>
      <c r="P108" s="73">
        <f t="shared" si="20"/>
        <v>5.85555555555556</v>
      </c>
      <c r="Q108" s="73">
        <f t="shared" si="21"/>
        <v>1333.5735</v>
      </c>
      <c r="R108" s="73">
        <f t="shared" si="22"/>
        <v>5.85555555555556</v>
      </c>
      <c r="S108" s="73">
        <f t="shared" si="23"/>
        <v>0.188888888888889</v>
      </c>
      <c r="T108" s="73">
        <f t="shared" si="24"/>
        <v>0.188888888888889</v>
      </c>
      <c r="U108" s="73">
        <f t="shared" si="25"/>
        <v>1333.5735</v>
      </c>
      <c r="V108" s="75">
        <v>0.5</v>
      </c>
      <c r="W108" s="73">
        <f t="shared" si="26"/>
        <v>0.0944444444444444</v>
      </c>
      <c r="X108" s="73">
        <f t="shared" si="27"/>
        <v>2.92777777777778</v>
      </c>
      <c r="Y108" s="73">
        <f t="shared" si="28"/>
        <v>666.78675</v>
      </c>
      <c r="Z108" s="75">
        <v>0.5</v>
      </c>
      <c r="AA108" s="73">
        <f t="shared" si="29"/>
        <v>0.0944444444444444</v>
      </c>
      <c r="AB108" s="73">
        <f t="shared" si="30"/>
        <v>2.92777777777778</v>
      </c>
      <c r="AC108" s="73">
        <f t="shared" si="31"/>
        <v>666.78675</v>
      </c>
      <c r="AE108" s="68"/>
    </row>
    <row r="109" ht="15" customHeight="1" spans="1:31">
      <c r="A109" s="1" t="s">
        <v>624</v>
      </c>
      <c r="B109" s="1" t="s">
        <v>621</v>
      </c>
      <c r="C109" s="1" t="s">
        <v>34</v>
      </c>
      <c r="D109" s="1" t="s">
        <v>51</v>
      </c>
      <c r="E109" s="72" t="s">
        <v>195</v>
      </c>
      <c r="F109" s="72">
        <v>19.06</v>
      </c>
      <c r="G109" s="72">
        <v>540</v>
      </c>
      <c r="H109" s="72">
        <v>7</v>
      </c>
      <c r="I109" s="72">
        <v>77</v>
      </c>
      <c r="J109" s="72">
        <v>179</v>
      </c>
      <c r="K109" s="72">
        <v>3412</v>
      </c>
      <c r="L109" s="73">
        <f t="shared" si="32"/>
        <v>3.8</v>
      </c>
      <c r="M109" s="73">
        <f t="shared" si="18"/>
        <v>334.8</v>
      </c>
      <c r="N109" s="73">
        <f t="shared" si="33"/>
        <v>6381.288</v>
      </c>
      <c r="O109" s="73">
        <f t="shared" si="19"/>
        <v>-1</v>
      </c>
      <c r="P109" s="73">
        <f t="shared" si="20"/>
        <v>186</v>
      </c>
      <c r="Q109" s="73">
        <f t="shared" si="21"/>
        <v>5317.74</v>
      </c>
      <c r="R109" s="73">
        <f t="shared" si="22"/>
        <v>186</v>
      </c>
      <c r="S109" s="73">
        <f t="shared" si="23"/>
        <v>6</v>
      </c>
      <c r="T109" s="73">
        <f t="shared" si="24"/>
        <v>-1</v>
      </c>
      <c r="U109" s="73">
        <f t="shared" si="25"/>
        <v>5317.74</v>
      </c>
      <c r="V109" s="75">
        <v>0.6</v>
      </c>
      <c r="W109" s="73">
        <f t="shared" si="26"/>
        <v>3.6</v>
      </c>
      <c r="X109" s="73">
        <f t="shared" si="27"/>
        <v>111.6</v>
      </c>
      <c r="Y109" s="73">
        <f t="shared" si="28"/>
        <v>3190.644</v>
      </c>
      <c r="Z109" s="75">
        <v>0.4</v>
      </c>
      <c r="AA109" s="73">
        <f t="shared" si="29"/>
        <v>2.4</v>
      </c>
      <c r="AB109" s="73">
        <f t="shared" si="30"/>
        <v>74.4</v>
      </c>
      <c r="AC109" s="73">
        <f t="shared" si="31"/>
        <v>2127.096</v>
      </c>
      <c r="AE109" s="68"/>
    </row>
    <row r="110" ht="15" customHeight="1" spans="1:31">
      <c r="A110" s="1" t="s">
        <v>422</v>
      </c>
      <c r="B110" s="1" t="s">
        <v>423</v>
      </c>
      <c r="C110" s="1" t="s">
        <v>34</v>
      </c>
      <c r="D110" s="1" t="s">
        <v>35</v>
      </c>
      <c r="E110" s="72" t="s">
        <v>335</v>
      </c>
      <c r="F110" s="72">
        <v>32.55</v>
      </c>
      <c r="G110" s="72">
        <v>90</v>
      </c>
      <c r="H110" s="72"/>
      <c r="I110" s="72"/>
      <c r="J110" s="72">
        <v>74</v>
      </c>
      <c r="K110" s="72">
        <v>3401</v>
      </c>
      <c r="L110" s="73">
        <f t="shared" si="32"/>
        <v>1.8</v>
      </c>
      <c r="M110" s="73">
        <f t="shared" si="18"/>
        <v>55.8</v>
      </c>
      <c r="N110" s="73">
        <f t="shared" si="33"/>
        <v>1816.29</v>
      </c>
      <c r="O110" s="73">
        <f t="shared" si="19"/>
        <v>1</v>
      </c>
      <c r="P110" s="73">
        <f t="shared" si="20"/>
        <v>31</v>
      </c>
      <c r="Q110" s="73">
        <f t="shared" si="21"/>
        <v>1513.575</v>
      </c>
      <c r="R110" s="73">
        <f t="shared" si="22"/>
        <v>31</v>
      </c>
      <c r="S110" s="73">
        <f t="shared" si="23"/>
        <v>1</v>
      </c>
      <c r="T110" s="73">
        <f t="shared" si="24"/>
        <v>1</v>
      </c>
      <c r="U110" s="73">
        <f t="shared" si="25"/>
        <v>1513.575</v>
      </c>
      <c r="V110" s="75">
        <v>0.7</v>
      </c>
      <c r="W110" s="73">
        <f t="shared" si="26"/>
        <v>0.7</v>
      </c>
      <c r="X110" s="73">
        <f t="shared" si="27"/>
        <v>21.7</v>
      </c>
      <c r="Y110" s="73">
        <f t="shared" si="28"/>
        <v>1059.5025</v>
      </c>
      <c r="Z110" s="75">
        <v>0.3</v>
      </c>
      <c r="AA110" s="73">
        <f t="shared" si="29"/>
        <v>0.3</v>
      </c>
      <c r="AB110" s="73">
        <f t="shared" si="30"/>
        <v>9.3</v>
      </c>
      <c r="AC110" s="73">
        <f t="shared" si="31"/>
        <v>454.0725</v>
      </c>
      <c r="AE110" s="68"/>
    </row>
    <row r="111" ht="15" customHeight="1" spans="1:31">
      <c r="A111" s="1" t="s">
        <v>626</v>
      </c>
      <c r="B111" s="69" t="s">
        <v>709</v>
      </c>
      <c r="C111" s="69" t="s">
        <v>34</v>
      </c>
      <c r="D111" s="69" t="s">
        <v>35</v>
      </c>
      <c r="E111" s="69" t="s">
        <v>492</v>
      </c>
      <c r="F111" s="69">
        <v>49.18</v>
      </c>
      <c r="G111" s="69">
        <v>85</v>
      </c>
      <c r="H111" s="69"/>
      <c r="I111" s="69"/>
      <c r="J111" s="69">
        <v>54</v>
      </c>
      <c r="K111" s="69">
        <v>3369</v>
      </c>
      <c r="L111" s="70">
        <f t="shared" si="32"/>
        <v>1.7</v>
      </c>
      <c r="M111" s="70">
        <f t="shared" si="18"/>
        <v>52.7</v>
      </c>
      <c r="N111" s="70">
        <f t="shared" si="33"/>
        <v>2591.786</v>
      </c>
      <c r="O111" s="70">
        <f t="shared" si="19"/>
        <v>0.944444444444444</v>
      </c>
      <c r="P111" s="70">
        <f t="shared" si="20"/>
        <v>29.2777777777778</v>
      </c>
      <c r="Q111" s="70">
        <f t="shared" si="21"/>
        <v>2159.82166666667</v>
      </c>
      <c r="R111" s="70">
        <f t="shared" si="22"/>
        <v>29.2777777777778</v>
      </c>
      <c r="S111" s="70">
        <f t="shared" si="23"/>
        <v>0.944444444444444</v>
      </c>
      <c r="T111" s="70">
        <f t="shared" si="24"/>
        <v>0.944444444444444</v>
      </c>
      <c r="U111" s="70">
        <f t="shared" si="25"/>
        <v>2159.82166666667</v>
      </c>
      <c r="V111" s="71">
        <v>0.5</v>
      </c>
      <c r="W111" s="70">
        <f t="shared" si="26"/>
        <v>0.472222222222222</v>
      </c>
      <c r="X111" s="70">
        <f t="shared" si="27"/>
        <v>14.6388888888889</v>
      </c>
      <c r="Y111" s="70">
        <f t="shared" si="28"/>
        <v>1079.91083333333</v>
      </c>
      <c r="Z111" s="71">
        <v>0.5</v>
      </c>
      <c r="AA111" s="70">
        <f t="shared" si="29"/>
        <v>0.472222222222222</v>
      </c>
      <c r="AB111" s="70">
        <f t="shared" si="30"/>
        <v>14.6388888888889</v>
      </c>
      <c r="AC111" s="70">
        <f t="shared" si="31"/>
        <v>1079.91083333333</v>
      </c>
      <c r="AD111" s="61" t="s">
        <v>594</v>
      </c>
      <c r="AE111" s="68"/>
    </row>
    <row r="112" ht="15" customHeight="1" spans="1:31">
      <c r="A112" s="1" t="s">
        <v>627</v>
      </c>
      <c r="B112" s="1" t="s">
        <v>677</v>
      </c>
      <c r="C112" s="1" t="s">
        <v>34</v>
      </c>
      <c r="D112" s="1" t="s">
        <v>35</v>
      </c>
      <c r="E112" s="72" t="s">
        <v>525</v>
      </c>
      <c r="F112" s="72">
        <v>57.83</v>
      </c>
      <c r="G112" s="72">
        <v>138</v>
      </c>
      <c r="H112" s="72">
        <v>1</v>
      </c>
      <c r="I112" s="72">
        <v>138</v>
      </c>
      <c r="J112" s="72">
        <v>58</v>
      </c>
      <c r="K112" s="72">
        <v>3354</v>
      </c>
      <c r="L112" s="73">
        <f t="shared" si="32"/>
        <v>1.76</v>
      </c>
      <c r="M112" s="73">
        <f t="shared" si="18"/>
        <v>85.56</v>
      </c>
      <c r="N112" s="73">
        <f t="shared" si="33"/>
        <v>4947.9348</v>
      </c>
      <c r="O112" s="73">
        <f t="shared" si="19"/>
        <v>0.533333333333333</v>
      </c>
      <c r="P112" s="73">
        <f t="shared" si="20"/>
        <v>47.5333333333333</v>
      </c>
      <c r="Q112" s="73">
        <f t="shared" si="21"/>
        <v>4123.279</v>
      </c>
      <c r="R112" s="73">
        <f t="shared" si="22"/>
        <v>47.5333333333333</v>
      </c>
      <c r="S112" s="73">
        <f t="shared" si="23"/>
        <v>1.53333333333333</v>
      </c>
      <c r="T112" s="73">
        <f t="shared" si="24"/>
        <v>0.533333333333333</v>
      </c>
      <c r="U112" s="73">
        <f t="shared" si="25"/>
        <v>4123.279</v>
      </c>
      <c r="V112" s="75">
        <v>0.5</v>
      </c>
      <c r="W112" s="73">
        <f t="shared" si="26"/>
        <v>0.766666666666667</v>
      </c>
      <c r="X112" s="73">
        <f t="shared" si="27"/>
        <v>23.7666666666667</v>
      </c>
      <c r="Y112" s="73">
        <f t="shared" si="28"/>
        <v>2061.6395</v>
      </c>
      <c r="Z112" s="75">
        <v>0.5</v>
      </c>
      <c r="AA112" s="73">
        <f t="shared" si="29"/>
        <v>0.766666666666667</v>
      </c>
      <c r="AB112" s="73">
        <f t="shared" si="30"/>
        <v>23.7666666666667</v>
      </c>
      <c r="AC112" s="73">
        <f t="shared" si="31"/>
        <v>2061.6395</v>
      </c>
      <c r="AE112" s="68"/>
    </row>
    <row r="113" ht="15" customHeight="1" spans="1:31">
      <c r="A113" s="1" t="s">
        <v>628</v>
      </c>
      <c r="B113" s="79" t="s">
        <v>710</v>
      </c>
      <c r="C113" s="79" t="s">
        <v>34</v>
      </c>
      <c r="D113" s="79" t="s">
        <v>35</v>
      </c>
      <c r="E113" s="79" t="s">
        <v>141</v>
      </c>
      <c r="F113" s="79">
        <v>24.9</v>
      </c>
      <c r="G113" s="79">
        <v>111</v>
      </c>
      <c r="H113" s="79"/>
      <c r="I113" s="79"/>
      <c r="J113" s="79">
        <v>93</v>
      </c>
      <c r="K113" s="79">
        <v>3287</v>
      </c>
      <c r="L113" s="83">
        <f t="shared" si="32"/>
        <v>2.22</v>
      </c>
      <c r="M113" s="83">
        <f t="shared" si="18"/>
        <v>68.82</v>
      </c>
      <c r="N113" s="83">
        <f t="shared" si="33"/>
        <v>1713.618</v>
      </c>
      <c r="O113" s="83">
        <f t="shared" si="19"/>
        <v>1.23333333333333</v>
      </c>
      <c r="P113" s="83">
        <f t="shared" si="20"/>
        <v>38.2333333333333</v>
      </c>
      <c r="Q113" s="83">
        <f t="shared" si="21"/>
        <v>1428.015</v>
      </c>
      <c r="R113" s="80">
        <f t="shared" si="22"/>
        <v>38.2333333333333</v>
      </c>
      <c r="S113" s="80">
        <f t="shared" si="23"/>
        <v>1.23333333333333</v>
      </c>
      <c r="T113" s="80">
        <f t="shared" si="24"/>
        <v>1.23333333333333</v>
      </c>
      <c r="U113" s="80">
        <f t="shared" si="25"/>
        <v>1428.015</v>
      </c>
      <c r="V113" s="81">
        <v>0.5</v>
      </c>
      <c r="W113" s="80">
        <f t="shared" si="26"/>
        <v>0.616666666666667</v>
      </c>
      <c r="X113" s="80">
        <f t="shared" si="27"/>
        <v>19.1166666666667</v>
      </c>
      <c r="Y113" s="80">
        <f t="shared" si="28"/>
        <v>714.0075</v>
      </c>
      <c r="Z113" s="81">
        <v>0.5</v>
      </c>
      <c r="AA113" s="80">
        <f t="shared" si="29"/>
        <v>0.616666666666667</v>
      </c>
      <c r="AB113" s="80">
        <f t="shared" si="30"/>
        <v>19.1166666666667</v>
      </c>
      <c r="AC113" s="80">
        <f t="shared" si="31"/>
        <v>714.0075</v>
      </c>
      <c r="AD113" s="61" t="s">
        <v>557</v>
      </c>
      <c r="AE113" s="68"/>
    </row>
    <row r="114" ht="15" customHeight="1" spans="1:31">
      <c r="A114" s="1" t="s">
        <v>629</v>
      </c>
      <c r="B114" s="1" t="s">
        <v>711</v>
      </c>
      <c r="C114" s="1" t="s">
        <v>34</v>
      </c>
      <c r="D114" s="1" t="s">
        <v>51</v>
      </c>
      <c r="E114" s="72" t="s">
        <v>712</v>
      </c>
      <c r="F114" s="72">
        <v>15.86</v>
      </c>
      <c r="G114" s="72">
        <v>1043</v>
      </c>
      <c r="H114" s="72">
        <v>16</v>
      </c>
      <c r="I114" s="72">
        <v>65</v>
      </c>
      <c r="J114" s="72">
        <v>202</v>
      </c>
      <c r="K114" s="72">
        <v>3204</v>
      </c>
      <c r="L114" s="73">
        <f t="shared" si="32"/>
        <v>4.86</v>
      </c>
      <c r="M114" s="73">
        <f t="shared" si="18"/>
        <v>646.66</v>
      </c>
      <c r="N114" s="73">
        <f t="shared" si="33"/>
        <v>10256.0276</v>
      </c>
      <c r="O114" s="73">
        <f t="shared" si="19"/>
        <v>-4.41111111111111</v>
      </c>
      <c r="P114" s="73">
        <f t="shared" si="20"/>
        <v>359.255555555556</v>
      </c>
      <c r="Q114" s="73">
        <f t="shared" si="21"/>
        <v>8546.68966666667</v>
      </c>
      <c r="R114" s="73">
        <f t="shared" si="22"/>
        <v>359.255555555556</v>
      </c>
      <c r="S114" s="73">
        <f t="shared" si="23"/>
        <v>11.5888888888889</v>
      </c>
      <c r="T114" s="73">
        <f t="shared" si="24"/>
        <v>-4.41111111111111</v>
      </c>
      <c r="U114" s="73">
        <f t="shared" si="25"/>
        <v>8546.68966666667</v>
      </c>
      <c r="V114" s="75">
        <v>0.5</v>
      </c>
      <c r="W114" s="73">
        <f t="shared" si="26"/>
        <v>5.79444444444444</v>
      </c>
      <c r="X114" s="73">
        <f t="shared" si="27"/>
        <v>179.627777777778</v>
      </c>
      <c r="Y114" s="73">
        <f t="shared" si="28"/>
        <v>4273.34483333333</v>
      </c>
      <c r="Z114" s="75">
        <v>0.5</v>
      </c>
      <c r="AA114" s="73">
        <f t="shared" si="29"/>
        <v>5.79444444444444</v>
      </c>
      <c r="AB114" s="73">
        <f t="shared" si="30"/>
        <v>179.627777777778</v>
      </c>
      <c r="AC114" s="73">
        <f t="shared" si="31"/>
        <v>4273.34483333333</v>
      </c>
      <c r="AE114" s="68"/>
    </row>
    <row r="115" ht="15" customHeight="1" spans="1:31">
      <c r="A115" s="1" t="s">
        <v>631</v>
      </c>
      <c r="B115" s="1" t="s">
        <v>713</v>
      </c>
      <c r="C115" s="1" t="s">
        <v>34</v>
      </c>
      <c r="D115" s="1" t="s">
        <v>35</v>
      </c>
      <c r="E115" s="72" t="s">
        <v>141</v>
      </c>
      <c r="F115" s="72">
        <v>20.85</v>
      </c>
      <c r="G115" s="72">
        <v>169</v>
      </c>
      <c r="H115" s="72">
        <v>1</v>
      </c>
      <c r="I115" s="72">
        <v>169</v>
      </c>
      <c r="J115" s="72">
        <v>116</v>
      </c>
      <c r="K115" s="72">
        <v>3180</v>
      </c>
      <c r="L115" s="73">
        <f t="shared" si="32"/>
        <v>2.38</v>
      </c>
      <c r="M115" s="73">
        <f t="shared" si="18"/>
        <v>104.78</v>
      </c>
      <c r="N115" s="73">
        <f t="shared" si="33"/>
        <v>2184.663</v>
      </c>
      <c r="O115" s="73">
        <f t="shared" si="19"/>
        <v>0.877777777777778</v>
      </c>
      <c r="P115" s="73">
        <f t="shared" si="20"/>
        <v>58.2111111111111</v>
      </c>
      <c r="Q115" s="73">
        <f t="shared" si="21"/>
        <v>1820.5525</v>
      </c>
      <c r="R115" s="73">
        <f t="shared" si="22"/>
        <v>58.2111111111111</v>
      </c>
      <c r="S115" s="73">
        <f t="shared" si="23"/>
        <v>1.87777777777778</v>
      </c>
      <c r="T115" s="73">
        <f t="shared" si="24"/>
        <v>0.877777777777778</v>
      </c>
      <c r="U115" s="73">
        <f t="shared" si="25"/>
        <v>1820.5525</v>
      </c>
      <c r="V115" s="75">
        <v>0.5</v>
      </c>
      <c r="W115" s="73">
        <f t="shared" si="26"/>
        <v>0.938888888888889</v>
      </c>
      <c r="X115" s="73">
        <f t="shared" si="27"/>
        <v>29.1055555555556</v>
      </c>
      <c r="Y115" s="73">
        <f t="shared" si="28"/>
        <v>910.27625</v>
      </c>
      <c r="Z115" s="75">
        <v>0.5</v>
      </c>
      <c r="AA115" s="73">
        <f t="shared" si="29"/>
        <v>0.938888888888889</v>
      </c>
      <c r="AB115" s="73">
        <f t="shared" si="30"/>
        <v>29.1055555555556</v>
      </c>
      <c r="AC115" s="73">
        <f t="shared" si="31"/>
        <v>910.27625</v>
      </c>
      <c r="AD115" s="61" t="s">
        <v>557</v>
      </c>
      <c r="AE115" s="68"/>
    </row>
    <row r="116" ht="15" customHeight="1" spans="1:31">
      <c r="A116" s="1" t="s">
        <v>352</v>
      </c>
      <c r="B116" s="69" t="s">
        <v>353</v>
      </c>
      <c r="C116" s="69" t="s">
        <v>34</v>
      </c>
      <c r="D116" s="69" t="s">
        <v>35</v>
      </c>
      <c r="E116" s="69" t="s">
        <v>354</v>
      </c>
      <c r="F116" s="69">
        <v>104.45</v>
      </c>
      <c r="G116" s="69">
        <v>20</v>
      </c>
      <c r="H116" s="69"/>
      <c r="I116" s="69"/>
      <c r="J116" s="69">
        <v>20</v>
      </c>
      <c r="K116" s="69">
        <v>3134</v>
      </c>
      <c r="L116" s="70">
        <f t="shared" si="32"/>
        <v>0.4</v>
      </c>
      <c r="M116" s="70">
        <f t="shared" si="18"/>
        <v>12.4</v>
      </c>
      <c r="N116" s="70">
        <f t="shared" si="33"/>
        <v>1295.18</v>
      </c>
      <c r="O116" s="70">
        <f t="shared" si="19"/>
        <v>0.222222222222222</v>
      </c>
      <c r="P116" s="70">
        <f t="shared" si="20"/>
        <v>6.88888888888889</v>
      </c>
      <c r="Q116" s="70">
        <f t="shared" si="21"/>
        <v>1079.31666666667</v>
      </c>
      <c r="R116" s="70">
        <f t="shared" si="22"/>
        <v>6.88888888888889</v>
      </c>
      <c r="S116" s="70">
        <f t="shared" si="23"/>
        <v>0.222222222222222</v>
      </c>
      <c r="T116" s="70">
        <f t="shared" si="24"/>
        <v>0.222222222222222</v>
      </c>
      <c r="U116" s="70">
        <f t="shared" si="25"/>
        <v>1079.31666666667</v>
      </c>
      <c r="V116" s="71">
        <v>1</v>
      </c>
      <c r="W116" s="70">
        <f t="shared" si="26"/>
        <v>0.222222222222222</v>
      </c>
      <c r="X116" s="70">
        <f t="shared" si="27"/>
        <v>6.88888888888889</v>
      </c>
      <c r="Y116" s="70">
        <f t="shared" si="28"/>
        <v>1079.31666666667</v>
      </c>
      <c r="Z116" s="84">
        <v>0</v>
      </c>
      <c r="AA116" s="70">
        <f t="shared" si="29"/>
        <v>0</v>
      </c>
      <c r="AB116" s="70">
        <f t="shared" si="30"/>
        <v>0</v>
      </c>
      <c r="AC116" s="70">
        <f t="shared" si="31"/>
        <v>0</v>
      </c>
      <c r="AD116" s="61" t="s">
        <v>632</v>
      </c>
      <c r="AE116" s="68"/>
    </row>
    <row r="117" ht="15" customHeight="1" spans="1:31">
      <c r="A117" s="1" t="s">
        <v>325</v>
      </c>
      <c r="B117" s="1" t="s">
        <v>326</v>
      </c>
      <c r="C117" s="1" t="s">
        <v>34</v>
      </c>
      <c r="D117" s="1" t="s">
        <v>35</v>
      </c>
      <c r="E117" s="72" t="s">
        <v>327</v>
      </c>
      <c r="F117" s="72">
        <v>7.48</v>
      </c>
      <c r="G117" s="72">
        <v>302</v>
      </c>
      <c r="H117" s="72"/>
      <c r="I117" s="72"/>
      <c r="J117" s="72">
        <v>281</v>
      </c>
      <c r="K117" s="72">
        <v>3089</v>
      </c>
      <c r="L117" s="73">
        <f t="shared" si="32"/>
        <v>6.04</v>
      </c>
      <c r="M117" s="73">
        <f t="shared" si="18"/>
        <v>187.24</v>
      </c>
      <c r="N117" s="73">
        <f t="shared" si="33"/>
        <v>1400.5552</v>
      </c>
      <c r="O117" s="73">
        <f t="shared" si="19"/>
        <v>3.35555555555556</v>
      </c>
      <c r="P117" s="73">
        <f t="shared" si="20"/>
        <v>104.022222222222</v>
      </c>
      <c r="Q117" s="73">
        <f t="shared" si="21"/>
        <v>1167.12933333333</v>
      </c>
      <c r="R117" s="73">
        <f t="shared" si="22"/>
        <v>104.022222222222</v>
      </c>
      <c r="S117" s="73">
        <f t="shared" si="23"/>
        <v>3.35555555555556</v>
      </c>
      <c r="T117" s="73">
        <f t="shared" si="24"/>
        <v>3.35555555555556</v>
      </c>
      <c r="U117" s="73">
        <f t="shared" si="25"/>
        <v>1167.12933333333</v>
      </c>
      <c r="V117" s="75">
        <v>0.5</v>
      </c>
      <c r="W117" s="73">
        <f t="shared" si="26"/>
        <v>1.67777777777778</v>
      </c>
      <c r="X117" s="73">
        <f t="shared" si="27"/>
        <v>52.0111111111111</v>
      </c>
      <c r="Y117" s="73">
        <f t="shared" si="28"/>
        <v>583.564666666667</v>
      </c>
      <c r="Z117" s="75">
        <v>0.5</v>
      </c>
      <c r="AA117" s="73">
        <f t="shared" si="29"/>
        <v>1.67777777777778</v>
      </c>
      <c r="AB117" s="73">
        <f t="shared" si="30"/>
        <v>52.0111111111111</v>
      </c>
      <c r="AC117" s="73">
        <f t="shared" si="31"/>
        <v>583.564666666667</v>
      </c>
      <c r="AE117" s="68"/>
    </row>
    <row r="118" ht="15" customHeight="1" spans="1:31">
      <c r="A118" s="1" t="s">
        <v>232</v>
      </c>
      <c r="B118" s="69" t="s">
        <v>233</v>
      </c>
      <c r="C118" s="69" t="s">
        <v>34</v>
      </c>
      <c r="D118" s="69" t="s">
        <v>51</v>
      </c>
      <c r="E118" s="69" t="s">
        <v>234</v>
      </c>
      <c r="F118" s="69">
        <v>171.26</v>
      </c>
      <c r="G118" s="69">
        <v>64</v>
      </c>
      <c r="H118" s="69"/>
      <c r="I118" s="69"/>
      <c r="J118" s="69">
        <v>18</v>
      </c>
      <c r="K118" s="69">
        <v>3083</v>
      </c>
      <c r="L118" s="70">
        <f t="shared" si="32"/>
        <v>1.28</v>
      </c>
      <c r="M118" s="70">
        <f t="shared" si="18"/>
        <v>39.68</v>
      </c>
      <c r="N118" s="70">
        <f t="shared" si="33"/>
        <v>6795.5968</v>
      </c>
      <c r="O118" s="70">
        <f t="shared" si="19"/>
        <v>0.711111111111111</v>
      </c>
      <c r="P118" s="70">
        <f t="shared" si="20"/>
        <v>22.0444444444444</v>
      </c>
      <c r="Q118" s="70">
        <f t="shared" si="21"/>
        <v>5662.99733333333</v>
      </c>
      <c r="R118" s="70">
        <f t="shared" si="22"/>
        <v>22.0444444444444</v>
      </c>
      <c r="S118" s="70">
        <f t="shared" si="23"/>
        <v>0.711111111111111</v>
      </c>
      <c r="T118" s="70">
        <f t="shared" si="24"/>
        <v>0.711111111111111</v>
      </c>
      <c r="U118" s="70">
        <f t="shared" si="25"/>
        <v>5662.99733333333</v>
      </c>
      <c r="V118" s="71">
        <v>0.2</v>
      </c>
      <c r="W118" s="70">
        <f t="shared" si="26"/>
        <v>0.142222222222222</v>
      </c>
      <c r="X118" s="70">
        <f t="shared" si="27"/>
        <v>4.40888888888889</v>
      </c>
      <c r="Y118" s="70">
        <f t="shared" si="28"/>
        <v>1132.59946666667</v>
      </c>
      <c r="Z118" s="71">
        <v>0.7</v>
      </c>
      <c r="AA118" s="70">
        <f t="shared" si="29"/>
        <v>0.497777777777778</v>
      </c>
      <c r="AB118" s="70">
        <f t="shared" si="30"/>
        <v>15.4311111111111</v>
      </c>
      <c r="AC118" s="70">
        <f t="shared" si="31"/>
        <v>3964.09813333333</v>
      </c>
      <c r="AD118" s="61" t="s">
        <v>594</v>
      </c>
      <c r="AE118" s="68"/>
    </row>
    <row r="119" ht="15" customHeight="1" spans="1:31">
      <c r="A119" s="1" t="s">
        <v>329</v>
      </c>
      <c r="B119" s="1" t="s">
        <v>330</v>
      </c>
      <c r="C119" s="1" t="s">
        <v>34</v>
      </c>
      <c r="D119" s="1" t="s">
        <v>35</v>
      </c>
      <c r="E119" s="72" t="s">
        <v>171</v>
      </c>
      <c r="F119" s="72">
        <v>42.85</v>
      </c>
      <c r="G119" s="72">
        <v>47</v>
      </c>
      <c r="H119" s="72"/>
      <c r="I119" s="72"/>
      <c r="J119" s="72">
        <v>47</v>
      </c>
      <c r="K119" s="72">
        <v>3021</v>
      </c>
      <c r="L119" s="73">
        <f t="shared" si="32"/>
        <v>0.94</v>
      </c>
      <c r="M119" s="73">
        <f t="shared" si="18"/>
        <v>29.14</v>
      </c>
      <c r="N119" s="73">
        <f t="shared" si="33"/>
        <v>1248.649</v>
      </c>
      <c r="O119" s="73">
        <f t="shared" si="19"/>
        <v>0.522222222222222</v>
      </c>
      <c r="P119" s="73">
        <f t="shared" si="20"/>
        <v>16.1888888888889</v>
      </c>
      <c r="Q119" s="73">
        <f t="shared" si="21"/>
        <v>1040.54083333333</v>
      </c>
      <c r="R119" s="73">
        <f t="shared" si="22"/>
        <v>16.1888888888889</v>
      </c>
      <c r="S119" s="73">
        <f t="shared" si="23"/>
        <v>0.522222222222222</v>
      </c>
      <c r="T119" s="73">
        <f t="shared" si="24"/>
        <v>0.522222222222222</v>
      </c>
      <c r="U119" s="73">
        <f t="shared" si="25"/>
        <v>1040.54083333333</v>
      </c>
      <c r="V119" s="75">
        <v>0.5</v>
      </c>
      <c r="W119" s="73">
        <f t="shared" si="26"/>
        <v>0.261111111111111</v>
      </c>
      <c r="X119" s="73">
        <f t="shared" si="27"/>
        <v>8.09444444444444</v>
      </c>
      <c r="Y119" s="73">
        <f t="shared" si="28"/>
        <v>520.270416666667</v>
      </c>
      <c r="Z119" s="75">
        <v>0.5</v>
      </c>
      <c r="AA119" s="73">
        <f t="shared" si="29"/>
        <v>0.261111111111111</v>
      </c>
      <c r="AB119" s="73">
        <f t="shared" si="30"/>
        <v>8.09444444444444</v>
      </c>
      <c r="AC119" s="73">
        <f t="shared" si="31"/>
        <v>520.270416666667</v>
      </c>
    </row>
    <row r="120" ht="15" customHeight="1" spans="1:31">
      <c r="A120" s="1" t="s">
        <v>635</v>
      </c>
      <c r="B120" s="1" t="s">
        <v>714</v>
      </c>
      <c r="C120" s="1" t="s">
        <v>34</v>
      </c>
      <c r="D120" s="1" t="s">
        <v>51</v>
      </c>
      <c r="E120" s="72" t="s">
        <v>408</v>
      </c>
      <c r="F120" s="72">
        <v>25.54</v>
      </c>
      <c r="G120" s="72">
        <v>371</v>
      </c>
      <c r="H120" s="72">
        <v>5</v>
      </c>
      <c r="I120" s="72">
        <v>74</v>
      </c>
      <c r="J120" s="72">
        <v>113</v>
      </c>
      <c r="K120" s="72">
        <v>2886</v>
      </c>
      <c r="L120" s="73">
        <f t="shared" si="32"/>
        <v>2.42</v>
      </c>
      <c r="M120" s="73">
        <f t="shared" si="18"/>
        <v>230.02</v>
      </c>
      <c r="N120" s="73">
        <f t="shared" si="33"/>
        <v>5874.7108</v>
      </c>
      <c r="O120" s="73">
        <f t="shared" si="19"/>
        <v>-0.877777777777778</v>
      </c>
      <c r="P120" s="73">
        <f t="shared" si="20"/>
        <v>127.788888888889</v>
      </c>
      <c r="Q120" s="73">
        <f t="shared" si="21"/>
        <v>4895.59233333333</v>
      </c>
      <c r="R120" s="73">
        <f t="shared" si="22"/>
        <v>127.788888888889</v>
      </c>
      <c r="S120" s="73">
        <f t="shared" si="23"/>
        <v>4.12222222222222</v>
      </c>
      <c r="T120" s="73">
        <f t="shared" si="24"/>
        <v>-0.877777777777778</v>
      </c>
      <c r="U120" s="73">
        <f t="shared" si="25"/>
        <v>4895.59233333333</v>
      </c>
      <c r="V120" s="75">
        <v>0.5</v>
      </c>
      <c r="W120" s="73">
        <f t="shared" si="26"/>
        <v>2.06111111111111</v>
      </c>
      <c r="X120" s="73">
        <f t="shared" si="27"/>
        <v>63.8944444444444</v>
      </c>
      <c r="Y120" s="73">
        <f t="shared" si="28"/>
        <v>2447.79616666667</v>
      </c>
      <c r="Z120" s="75">
        <v>0.5</v>
      </c>
      <c r="AA120" s="73">
        <f t="shared" si="29"/>
        <v>2.06111111111111</v>
      </c>
      <c r="AB120" s="73">
        <f t="shared" si="30"/>
        <v>63.8944444444444</v>
      </c>
      <c r="AC120" s="73">
        <f t="shared" si="31"/>
        <v>2447.79616666667</v>
      </c>
    </row>
    <row r="121" ht="15" customHeight="1" spans="1:31">
      <c r="A121" s="1" t="s">
        <v>636</v>
      </c>
      <c r="B121" s="1" t="s">
        <v>715</v>
      </c>
      <c r="C121" s="1" t="s">
        <v>34</v>
      </c>
      <c r="D121" s="1" t="s">
        <v>35</v>
      </c>
      <c r="E121" s="72" t="s">
        <v>219</v>
      </c>
      <c r="F121" s="72">
        <v>127.26</v>
      </c>
      <c r="G121" s="72">
        <v>220</v>
      </c>
      <c r="H121" s="72">
        <v>3</v>
      </c>
      <c r="I121" s="72">
        <v>73</v>
      </c>
      <c r="J121" s="72">
        <v>22</v>
      </c>
      <c r="K121" s="72">
        <v>2800</v>
      </c>
      <c r="L121" s="73">
        <f t="shared" si="32"/>
        <v>1.4</v>
      </c>
      <c r="M121" s="73">
        <f t="shared" si="18"/>
        <v>136.4</v>
      </c>
      <c r="N121" s="73">
        <f t="shared" si="33"/>
        <v>17358.264</v>
      </c>
      <c r="O121" s="73">
        <f t="shared" si="19"/>
        <v>-0.555555555555556</v>
      </c>
      <c r="P121" s="73">
        <f t="shared" si="20"/>
        <v>75.7777777777778</v>
      </c>
      <c r="Q121" s="73">
        <f t="shared" si="21"/>
        <v>14465.22</v>
      </c>
      <c r="R121" s="73">
        <f t="shared" si="22"/>
        <v>75.7777777777778</v>
      </c>
      <c r="S121" s="73">
        <f t="shared" si="23"/>
        <v>2.44444444444444</v>
      </c>
      <c r="T121" s="73">
        <f t="shared" si="24"/>
        <v>-0.555555555555555</v>
      </c>
      <c r="U121" s="73">
        <f t="shared" si="25"/>
        <v>14465.22</v>
      </c>
      <c r="V121" s="75">
        <v>0.5</v>
      </c>
      <c r="W121" s="73">
        <f t="shared" si="26"/>
        <v>1.22222222222222</v>
      </c>
      <c r="X121" s="73">
        <f t="shared" si="27"/>
        <v>37.8888888888889</v>
      </c>
      <c r="Y121" s="73">
        <f t="shared" si="28"/>
        <v>7232.61</v>
      </c>
      <c r="Z121" s="75">
        <v>0.5</v>
      </c>
      <c r="AA121" s="73">
        <f t="shared" si="29"/>
        <v>1.22222222222222</v>
      </c>
      <c r="AB121" s="73">
        <f t="shared" si="30"/>
        <v>37.8888888888889</v>
      </c>
      <c r="AC121" s="73">
        <f t="shared" si="31"/>
        <v>7232.61</v>
      </c>
    </row>
    <row r="122" ht="15" customHeight="1" spans="1:31">
      <c r="A122" s="1" t="s">
        <v>370</v>
      </c>
      <c r="B122" s="79" t="s">
        <v>371</v>
      </c>
      <c r="C122" s="79" t="s">
        <v>34</v>
      </c>
      <c r="D122" s="79" t="s">
        <v>35</v>
      </c>
      <c r="E122" s="79" t="s">
        <v>372</v>
      </c>
      <c r="F122" s="79">
        <v>49.22</v>
      </c>
      <c r="G122" s="79">
        <v>39</v>
      </c>
      <c r="H122" s="79"/>
      <c r="I122" s="79"/>
      <c r="J122" s="79">
        <v>38</v>
      </c>
      <c r="K122" s="79">
        <v>2781</v>
      </c>
      <c r="L122" s="83">
        <f t="shared" si="32"/>
        <v>0.78</v>
      </c>
      <c r="M122" s="83">
        <f t="shared" si="18"/>
        <v>24.18</v>
      </c>
      <c r="N122" s="83">
        <f t="shared" si="33"/>
        <v>1190.1396</v>
      </c>
      <c r="O122" s="83">
        <f t="shared" si="19"/>
        <v>0.433333333333333</v>
      </c>
      <c r="P122" s="83">
        <f t="shared" si="20"/>
        <v>13.4333333333333</v>
      </c>
      <c r="Q122" s="83">
        <f t="shared" si="21"/>
        <v>991.783</v>
      </c>
      <c r="R122" s="80">
        <f t="shared" si="22"/>
        <v>13.4333333333333</v>
      </c>
      <c r="S122" s="80">
        <f t="shared" si="23"/>
        <v>0.433333333333333</v>
      </c>
      <c r="T122" s="80">
        <f t="shared" si="24"/>
        <v>0.433333333333333</v>
      </c>
      <c r="U122" s="80">
        <f t="shared" si="25"/>
        <v>991.783</v>
      </c>
      <c r="V122" s="81">
        <v>0.5</v>
      </c>
      <c r="W122" s="80">
        <f t="shared" si="26"/>
        <v>0.216666666666667</v>
      </c>
      <c r="X122" s="80">
        <f t="shared" si="27"/>
        <v>6.71666666666667</v>
      </c>
      <c r="Y122" s="80">
        <f t="shared" si="28"/>
        <v>495.8915</v>
      </c>
      <c r="Z122" s="81">
        <v>0.5</v>
      </c>
      <c r="AA122" s="80">
        <f t="shared" si="29"/>
        <v>0.216666666666667</v>
      </c>
      <c r="AB122" s="80">
        <f t="shared" si="30"/>
        <v>6.71666666666667</v>
      </c>
      <c r="AC122" s="80">
        <f t="shared" si="31"/>
        <v>495.8915</v>
      </c>
      <c r="AD122" s="61" t="s">
        <v>557</v>
      </c>
    </row>
    <row r="123" ht="15" customHeight="1" spans="1:31">
      <c r="A123" s="1" t="s">
        <v>637</v>
      </c>
      <c r="B123" s="1" t="s">
        <v>716</v>
      </c>
      <c r="C123" s="1" t="s">
        <v>34</v>
      </c>
      <c r="D123" s="1" t="s">
        <v>51</v>
      </c>
      <c r="E123" s="72" t="s">
        <v>165</v>
      </c>
      <c r="F123" s="72">
        <v>59.88</v>
      </c>
      <c r="G123" s="72">
        <v>82</v>
      </c>
      <c r="H123" s="72"/>
      <c r="I123" s="72"/>
      <c r="J123" s="72">
        <v>41</v>
      </c>
      <c r="K123" s="72">
        <v>2725</v>
      </c>
      <c r="L123" s="73">
        <f t="shared" si="32"/>
        <v>1.64</v>
      </c>
      <c r="M123" s="73">
        <f t="shared" si="18"/>
        <v>50.84</v>
      </c>
      <c r="N123" s="73">
        <f t="shared" si="33"/>
        <v>3044.2992</v>
      </c>
      <c r="O123" s="73">
        <f t="shared" si="19"/>
        <v>0.911111111111111</v>
      </c>
      <c r="P123" s="73">
        <f t="shared" si="20"/>
        <v>28.2444444444444</v>
      </c>
      <c r="Q123" s="73">
        <f t="shared" si="21"/>
        <v>2536.916</v>
      </c>
      <c r="R123" s="73">
        <f t="shared" si="22"/>
        <v>28.2444444444444</v>
      </c>
      <c r="S123" s="73">
        <f t="shared" si="23"/>
        <v>0.911111111111111</v>
      </c>
      <c r="T123" s="73">
        <f t="shared" si="24"/>
        <v>0.911111111111111</v>
      </c>
      <c r="U123" s="73">
        <f t="shared" si="25"/>
        <v>2536.916</v>
      </c>
      <c r="V123" s="75">
        <v>0.3</v>
      </c>
      <c r="W123" s="73">
        <f t="shared" si="26"/>
        <v>0.273333333333333</v>
      </c>
      <c r="X123" s="73">
        <f t="shared" si="27"/>
        <v>8.47333333333333</v>
      </c>
      <c r="Y123" s="73">
        <f t="shared" si="28"/>
        <v>761.0748</v>
      </c>
      <c r="Z123" s="75">
        <v>0.7</v>
      </c>
      <c r="AA123" s="73">
        <f t="shared" si="29"/>
        <v>0.637777777777778</v>
      </c>
      <c r="AB123" s="73">
        <f t="shared" si="30"/>
        <v>19.7711111111111</v>
      </c>
      <c r="AC123" s="73">
        <f t="shared" si="31"/>
        <v>1775.8412</v>
      </c>
    </row>
    <row r="124" ht="15" customHeight="1" spans="1:31">
      <c r="A124" s="1" t="s">
        <v>639</v>
      </c>
      <c r="B124" s="1" t="s">
        <v>717</v>
      </c>
      <c r="C124" s="1" t="s">
        <v>34</v>
      </c>
      <c r="D124" s="1" t="s">
        <v>35</v>
      </c>
      <c r="E124" s="72" t="s">
        <v>324</v>
      </c>
      <c r="F124" s="72">
        <v>91.49</v>
      </c>
      <c r="G124" s="72">
        <v>165</v>
      </c>
      <c r="H124" s="72">
        <v>2</v>
      </c>
      <c r="I124" s="72">
        <v>82</v>
      </c>
      <c r="J124" s="72">
        <v>29</v>
      </c>
      <c r="K124" s="72">
        <v>2653</v>
      </c>
      <c r="L124" s="73">
        <f t="shared" si="32"/>
        <v>1.3</v>
      </c>
      <c r="M124" s="73">
        <f t="shared" si="18"/>
        <v>102.3</v>
      </c>
      <c r="N124" s="73">
        <f t="shared" si="33"/>
        <v>9359.427</v>
      </c>
      <c r="O124" s="73">
        <f t="shared" si="19"/>
        <v>-0.166666666666667</v>
      </c>
      <c r="P124" s="73">
        <f t="shared" si="20"/>
        <v>56.8333333333333</v>
      </c>
      <c r="Q124" s="73">
        <f t="shared" si="21"/>
        <v>7799.5225</v>
      </c>
      <c r="R124" s="73">
        <f t="shared" si="22"/>
        <v>56.8333333333333</v>
      </c>
      <c r="S124" s="73">
        <f t="shared" si="23"/>
        <v>1.83333333333333</v>
      </c>
      <c r="T124" s="73">
        <f t="shared" si="24"/>
        <v>-0.166666666666667</v>
      </c>
      <c r="U124" s="73">
        <f t="shared" si="25"/>
        <v>7799.5225</v>
      </c>
      <c r="V124" s="75">
        <v>0.5</v>
      </c>
      <c r="W124" s="73">
        <f t="shared" si="26"/>
        <v>0.916666666666667</v>
      </c>
      <c r="X124" s="73">
        <f t="shared" si="27"/>
        <v>28.4166666666667</v>
      </c>
      <c r="Y124" s="73">
        <f t="shared" si="28"/>
        <v>3899.76125</v>
      </c>
      <c r="Z124" s="75">
        <v>0.5</v>
      </c>
      <c r="AA124" s="73">
        <f t="shared" si="29"/>
        <v>0.916666666666667</v>
      </c>
      <c r="AB124" s="73">
        <f t="shared" si="30"/>
        <v>28.4166666666667</v>
      </c>
      <c r="AC124" s="73">
        <f t="shared" si="31"/>
        <v>3899.76125</v>
      </c>
    </row>
    <row r="125" ht="15" customHeight="1" spans="1:31">
      <c r="A125" s="1" t="s">
        <v>412</v>
      </c>
      <c r="B125" s="1" t="s">
        <v>413</v>
      </c>
      <c r="C125" s="1" t="s">
        <v>34</v>
      </c>
      <c r="D125" s="1" t="s">
        <v>35</v>
      </c>
      <c r="E125" s="72" t="s">
        <v>171</v>
      </c>
      <c r="F125" s="72">
        <v>43.14</v>
      </c>
      <c r="G125" s="72">
        <v>42</v>
      </c>
      <c r="H125" s="72"/>
      <c r="I125" s="72"/>
      <c r="J125" s="72">
        <v>41</v>
      </c>
      <c r="K125" s="72">
        <v>2632</v>
      </c>
      <c r="L125" s="73">
        <f t="shared" si="32"/>
        <v>0.84</v>
      </c>
      <c r="M125" s="73">
        <f t="shared" si="18"/>
        <v>26.04</v>
      </c>
      <c r="N125" s="73">
        <f t="shared" si="33"/>
        <v>1123.3656</v>
      </c>
      <c r="O125" s="73">
        <f t="shared" si="19"/>
        <v>0.466666666666667</v>
      </c>
      <c r="P125" s="73">
        <f t="shared" si="20"/>
        <v>14.4666666666667</v>
      </c>
      <c r="Q125" s="73">
        <f t="shared" si="21"/>
        <v>936.138</v>
      </c>
      <c r="R125" s="73">
        <f t="shared" si="22"/>
        <v>14.4666666666667</v>
      </c>
      <c r="S125" s="73">
        <f t="shared" si="23"/>
        <v>0.466666666666667</v>
      </c>
      <c r="T125" s="73">
        <f t="shared" si="24"/>
        <v>0.466666666666667</v>
      </c>
      <c r="U125" s="73">
        <f t="shared" si="25"/>
        <v>936.138</v>
      </c>
      <c r="V125" s="75">
        <v>0.7</v>
      </c>
      <c r="W125" s="73">
        <f t="shared" si="26"/>
        <v>0.326666666666667</v>
      </c>
      <c r="X125" s="73">
        <f t="shared" si="27"/>
        <v>10.1266666666667</v>
      </c>
      <c r="Y125" s="73">
        <f t="shared" si="28"/>
        <v>655.2966</v>
      </c>
      <c r="Z125" s="75">
        <v>0.3</v>
      </c>
      <c r="AA125" s="73">
        <f t="shared" si="29"/>
        <v>0.14</v>
      </c>
      <c r="AB125" s="73">
        <f t="shared" si="30"/>
        <v>4.34</v>
      </c>
      <c r="AC125" s="73">
        <f t="shared" si="31"/>
        <v>280.8414</v>
      </c>
    </row>
    <row r="126" ht="15" customHeight="1" spans="1:31">
      <c r="A126" s="1" t="s">
        <v>363</v>
      </c>
      <c r="B126" s="69" t="s">
        <v>364</v>
      </c>
      <c r="C126" s="69" t="s">
        <v>34</v>
      </c>
      <c r="D126" s="69" t="s">
        <v>35</v>
      </c>
      <c r="E126" s="69" t="s">
        <v>365</v>
      </c>
      <c r="F126" s="69">
        <v>47.82</v>
      </c>
      <c r="G126" s="69">
        <v>44</v>
      </c>
      <c r="H126" s="69"/>
      <c r="I126" s="69"/>
      <c r="J126" s="69">
        <v>38</v>
      </c>
      <c r="K126" s="69">
        <v>2606</v>
      </c>
      <c r="L126" s="70">
        <f t="shared" si="32"/>
        <v>0.88</v>
      </c>
      <c r="M126" s="70">
        <f t="shared" si="18"/>
        <v>27.28</v>
      </c>
      <c r="N126" s="70">
        <f t="shared" si="33"/>
        <v>1304.5296</v>
      </c>
      <c r="O126" s="70">
        <f t="shared" si="19"/>
        <v>0.488888888888889</v>
      </c>
      <c r="P126" s="70">
        <f t="shared" si="20"/>
        <v>15.1555555555556</v>
      </c>
      <c r="Q126" s="70">
        <f t="shared" si="21"/>
        <v>1087.108</v>
      </c>
      <c r="R126" s="70">
        <f t="shared" si="22"/>
        <v>15.1555555555556</v>
      </c>
      <c r="S126" s="70">
        <f t="shared" si="23"/>
        <v>0.488888888888889</v>
      </c>
      <c r="T126" s="70">
        <f t="shared" si="24"/>
        <v>0.488888888888889</v>
      </c>
      <c r="U126" s="70">
        <f t="shared" si="25"/>
        <v>1087.108</v>
      </c>
      <c r="V126" s="71">
        <v>0.7</v>
      </c>
      <c r="W126" s="70">
        <f t="shared" si="26"/>
        <v>0.342222222222222</v>
      </c>
      <c r="X126" s="70">
        <f t="shared" si="27"/>
        <v>10.6088888888889</v>
      </c>
      <c r="Y126" s="70">
        <f t="shared" si="28"/>
        <v>760.9756</v>
      </c>
      <c r="Z126" s="71">
        <v>0.3</v>
      </c>
      <c r="AA126" s="70">
        <f t="shared" si="29"/>
        <v>0.146666666666667</v>
      </c>
      <c r="AB126" s="70">
        <f t="shared" si="30"/>
        <v>4.54666666666667</v>
      </c>
      <c r="AC126" s="70">
        <f t="shared" si="31"/>
        <v>326.1324</v>
      </c>
      <c r="AD126" s="61" t="s">
        <v>594</v>
      </c>
    </row>
    <row r="127" ht="15" customHeight="1" spans="1:31">
      <c r="A127" s="1" t="s">
        <v>641</v>
      </c>
      <c r="B127" s="1" t="s">
        <v>718</v>
      </c>
      <c r="C127" s="1" t="s">
        <v>34</v>
      </c>
      <c r="D127" s="1" t="s">
        <v>51</v>
      </c>
      <c r="E127" s="72" t="s">
        <v>719</v>
      </c>
      <c r="F127" s="72">
        <v>173.44</v>
      </c>
      <c r="G127" s="72">
        <v>91</v>
      </c>
      <c r="H127" s="72">
        <v>1</v>
      </c>
      <c r="I127" s="72">
        <v>91</v>
      </c>
      <c r="J127" s="72">
        <v>15</v>
      </c>
      <c r="K127" s="72">
        <v>2602</v>
      </c>
      <c r="L127" s="73">
        <f t="shared" si="32"/>
        <v>0.82</v>
      </c>
      <c r="M127" s="73">
        <f t="shared" si="18"/>
        <v>56.42</v>
      </c>
      <c r="N127" s="73">
        <f t="shared" si="33"/>
        <v>9785.4848</v>
      </c>
      <c r="O127" s="73">
        <f t="shared" si="19"/>
        <v>0.0111111111111111</v>
      </c>
      <c r="P127" s="73">
        <f t="shared" si="20"/>
        <v>31.3444444444444</v>
      </c>
      <c r="Q127" s="73">
        <f t="shared" si="21"/>
        <v>8154.57066666667</v>
      </c>
      <c r="R127" s="73">
        <f t="shared" si="22"/>
        <v>31.3444444444444</v>
      </c>
      <c r="S127" s="73">
        <f t="shared" si="23"/>
        <v>1.01111111111111</v>
      </c>
      <c r="T127" s="73">
        <f t="shared" si="24"/>
        <v>0.0111111111111111</v>
      </c>
      <c r="U127" s="73">
        <f t="shared" si="25"/>
        <v>8154.57066666667</v>
      </c>
      <c r="V127" s="75">
        <v>0.5</v>
      </c>
      <c r="W127" s="73">
        <f t="shared" si="26"/>
        <v>0.505555555555556</v>
      </c>
      <c r="X127" s="73">
        <f t="shared" si="27"/>
        <v>15.6722222222222</v>
      </c>
      <c r="Y127" s="73">
        <f t="shared" si="28"/>
        <v>4077.28533333333</v>
      </c>
      <c r="Z127" s="75">
        <v>0.5</v>
      </c>
      <c r="AA127" s="73">
        <f t="shared" si="29"/>
        <v>0.505555555555556</v>
      </c>
      <c r="AB127" s="73">
        <f t="shared" si="30"/>
        <v>15.6722222222222</v>
      </c>
      <c r="AC127" s="73">
        <f t="shared" si="31"/>
        <v>4077.28533333333</v>
      </c>
    </row>
    <row r="128" ht="15" customHeight="1" spans="1:31">
      <c r="A128" s="1" t="s">
        <v>360</v>
      </c>
      <c r="B128" s="1" t="s">
        <v>361</v>
      </c>
      <c r="C128" s="1" t="s">
        <v>34</v>
      </c>
      <c r="D128" s="1" t="s">
        <v>35</v>
      </c>
      <c r="E128" s="72" t="s">
        <v>362</v>
      </c>
      <c r="F128" s="72">
        <v>4.47</v>
      </c>
      <c r="G128" s="72">
        <v>393</v>
      </c>
      <c r="H128" s="72"/>
      <c r="I128" s="72"/>
      <c r="J128" s="72">
        <v>385</v>
      </c>
      <c r="K128" s="72">
        <v>2566</v>
      </c>
      <c r="L128" s="73">
        <f t="shared" si="32"/>
        <v>7.86</v>
      </c>
      <c r="M128" s="73">
        <f t="shared" si="18"/>
        <v>243.66</v>
      </c>
      <c r="N128" s="73">
        <f t="shared" si="33"/>
        <v>1089.1602</v>
      </c>
      <c r="O128" s="73">
        <f t="shared" si="19"/>
        <v>4.36666666666667</v>
      </c>
      <c r="P128" s="73">
        <f t="shared" si="20"/>
        <v>135.366666666667</v>
      </c>
      <c r="Q128" s="73">
        <f t="shared" si="21"/>
        <v>907.6335</v>
      </c>
      <c r="R128" s="73">
        <f t="shared" si="22"/>
        <v>135.366666666667</v>
      </c>
      <c r="S128" s="73">
        <f t="shared" si="23"/>
        <v>4.36666666666667</v>
      </c>
      <c r="T128" s="73">
        <f t="shared" si="24"/>
        <v>4.36666666666667</v>
      </c>
      <c r="U128" s="73">
        <f t="shared" si="25"/>
        <v>907.6335</v>
      </c>
      <c r="V128" s="74">
        <v>0</v>
      </c>
      <c r="W128" s="73">
        <f t="shared" si="26"/>
        <v>0</v>
      </c>
      <c r="X128" s="73">
        <f t="shared" si="27"/>
        <v>0</v>
      </c>
      <c r="Y128" s="73">
        <f t="shared" si="28"/>
        <v>0</v>
      </c>
      <c r="Z128" s="74">
        <v>1</v>
      </c>
      <c r="AA128" s="73">
        <f t="shared" si="29"/>
        <v>4.36666666666667</v>
      </c>
      <c r="AB128" s="73">
        <f t="shared" si="30"/>
        <v>135.366666666667</v>
      </c>
      <c r="AC128" s="73">
        <f t="shared" si="31"/>
        <v>907.6335</v>
      </c>
    </row>
    <row r="129" ht="15" customHeight="1" spans="1:30">
      <c r="A129" s="1" t="s">
        <v>389</v>
      </c>
      <c r="B129" s="79" t="s">
        <v>390</v>
      </c>
      <c r="C129" s="79" t="s">
        <v>34</v>
      </c>
      <c r="D129" s="79" t="s">
        <v>35</v>
      </c>
      <c r="E129" s="79" t="s">
        <v>391</v>
      </c>
      <c r="F129" s="79">
        <v>331.25</v>
      </c>
      <c r="G129" s="79">
        <v>5</v>
      </c>
      <c r="H129" s="79"/>
      <c r="I129" s="79"/>
      <c r="J129" s="79">
        <v>5</v>
      </c>
      <c r="K129" s="79">
        <v>2484</v>
      </c>
      <c r="L129" s="83">
        <f t="shared" si="32"/>
        <v>0.1</v>
      </c>
      <c r="M129" s="83">
        <f t="shared" si="18"/>
        <v>3.1</v>
      </c>
      <c r="N129" s="83">
        <f t="shared" si="33"/>
        <v>1026.875</v>
      </c>
      <c r="O129" s="83">
        <f t="shared" si="19"/>
        <v>0.0555555555555556</v>
      </c>
      <c r="P129" s="83">
        <f t="shared" si="20"/>
        <v>1.72222222222222</v>
      </c>
      <c r="Q129" s="83">
        <f t="shared" si="21"/>
        <v>855.729166666667</v>
      </c>
      <c r="R129" s="80">
        <f t="shared" si="22"/>
        <v>1.72222222222222</v>
      </c>
      <c r="S129" s="80">
        <f t="shared" si="23"/>
        <v>0.0555555555555556</v>
      </c>
      <c r="T129" s="80">
        <f t="shared" si="24"/>
        <v>0.0555555555555556</v>
      </c>
      <c r="U129" s="80">
        <f t="shared" si="25"/>
        <v>855.729166666667</v>
      </c>
      <c r="V129" s="82">
        <v>0</v>
      </c>
      <c r="W129" s="80">
        <f t="shared" si="26"/>
        <v>0</v>
      </c>
      <c r="X129" s="80">
        <f t="shared" si="27"/>
        <v>0</v>
      </c>
      <c r="Y129" s="80">
        <f t="shared" si="28"/>
        <v>0</v>
      </c>
      <c r="Z129" s="82">
        <v>0</v>
      </c>
      <c r="AA129" s="80">
        <f t="shared" si="29"/>
        <v>0</v>
      </c>
      <c r="AB129" s="80">
        <f t="shared" si="30"/>
        <v>0</v>
      </c>
      <c r="AC129" s="80">
        <f t="shared" si="31"/>
        <v>0</v>
      </c>
      <c r="AD129" s="61" t="s">
        <v>557</v>
      </c>
    </row>
    <row r="130" ht="15" customHeight="1" spans="1:30">
      <c r="A130" s="1" t="s">
        <v>378</v>
      </c>
      <c r="B130" s="1" t="s">
        <v>379</v>
      </c>
      <c r="C130" s="1" t="s">
        <v>34</v>
      </c>
      <c r="D130" s="1" t="s">
        <v>51</v>
      </c>
      <c r="E130" s="72" t="s">
        <v>380</v>
      </c>
      <c r="F130" s="72">
        <v>13.87</v>
      </c>
      <c r="G130" s="72">
        <v>599</v>
      </c>
      <c r="H130" s="72">
        <v>8</v>
      </c>
      <c r="I130" s="72">
        <v>74</v>
      </c>
      <c r="J130" s="72">
        <v>179</v>
      </c>
      <c r="K130" s="72">
        <v>2483</v>
      </c>
      <c r="L130" s="73">
        <f t="shared" si="32"/>
        <v>3.98</v>
      </c>
      <c r="M130" s="73">
        <f t="shared" si="18"/>
        <v>371.38</v>
      </c>
      <c r="N130" s="73">
        <f t="shared" si="33"/>
        <v>5151.0406</v>
      </c>
      <c r="O130" s="73">
        <f t="shared" si="19"/>
        <v>-1.34444444444444</v>
      </c>
      <c r="P130" s="73">
        <f t="shared" si="20"/>
        <v>206.322222222222</v>
      </c>
      <c r="Q130" s="73">
        <f t="shared" si="21"/>
        <v>4292.53383333333</v>
      </c>
      <c r="R130" s="73">
        <f t="shared" si="22"/>
        <v>206.322222222222</v>
      </c>
      <c r="S130" s="73">
        <f t="shared" si="23"/>
        <v>6.65555555555556</v>
      </c>
      <c r="T130" s="73">
        <f t="shared" si="24"/>
        <v>-1.34444444444444</v>
      </c>
      <c r="U130" s="73">
        <f t="shared" si="25"/>
        <v>4292.53383333333</v>
      </c>
      <c r="V130" s="74">
        <v>0</v>
      </c>
      <c r="W130" s="73">
        <f t="shared" si="26"/>
        <v>0</v>
      </c>
      <c r="X130" s="73">
        <f t="shared" si="27"/>
        <v>0</v>
      </c>
      <c r="Y130" s="73">
        <f t="shared" si="28"/>
        <v>0</v>
      </c>
      <c r="Z130" s="74">
        <v>1</v>
      </c>
      <c r="AA130" s="73">
        <f t="shared" si="29"/>
        <v>6.65555555555556</v>
      </c>
      <c r="AB130" s="73">
        <f t="shared" si="30"/>
        <v>206.322222222222</v>
      </c>
      <c r="AC130" s="73">
        <f t="shared" si="31"/>
        <v>4292.53383333333</v>
      </c>
    </row>
    <row r="131" ht="15" customHeight="1" spans="1:30">
      <c r="A131" s="1" t="s">
        <v>355</v>
      </c>
      <c r="B131" s="79" t="s">
        <v>356</v>
      </c>
      <c r="C131" s="79" t="s">
        <v>34</v>
      </c>
      <c r="D131" s="79" t="s">
        <v>51</v>
      </c>
      <c r="E131" s="79" t="s">
        <v>357</v>
      </c>
      <c r="F131" s="79">
        <v>116.15</v>
      </c>
      <c r="G131" s="79">
        <v>18</v>
      </c>
      <c r="H131" s="79"/>
      <c r="I131" s="79"/>
      <c r="J131" s="79">
        <v>15</v>
      </c>
      <c r="K131" s="79">
        <v>2439</v>
      </c>
      <c r="L131" s="83">
        <f t="shared" si="32"/>
        <v>0.36</v>
      </c>
      <c r="M131" s="83">
        <f t="shared" si="18"/>
        <v>11.16</v>
      </c>
      <c r="N131" s="83">
        <f t="shared" si="33"/>
        <v>1296.234</v>
      </c>
      <c r="O131" s="83">
        <f t="shared" si="19"/>
        <v>0.2</v>
      </c>
      <c r="P131" s="83">
        <f t="shared" si="20"/>
        <v>6.2</v>
      </c>
      <c r="Q131" s="83">
        <f t="shared" si="21"/>
        <v>1080.195</v>
      </c>
      <c r="R131" s="80">
        <f t="shared" si="22"/>
        <v>6.2</v>
      </c>
      <c r="S131" s="80">
        <f t="shared" si="23"/>
        <v>0.2</v>
      </c>
      <c r="T131" s="80">
        <f t="shared" si="24"/>
        <v>0.2</v>
      </c>
      <c r="U131" s="80">
        <f t="shared" si="25"/>
        <v>1080.195</v>
      </c>
      <c r="V131" s="82">
        <v>0</v>
      </c>
      <c r="W131" s="80">
        <f t="shared" si="26"/>
        <v>0</v>
      </c>
      <c r="X131" s="80">
        <f t="shared" si="27"/>
        <v>0</v>
      </c>
      <c r="Y131" s="80">
        <f t="shared" si="28"/>
        <v>0</v>
      </c>
      <c r="Z131" s="82">
        <v>0</v>
      </c>
      <c r="AA131" s="80">
        <f t="shared" si="29"/>
        <v>0</v>
      </c>
      <c r="AB131" s="80">
        <f t="shared" si="30"/>
        <v>0</v>
      </c>
      <c r="AC131" s="80">
        <f t="shared" si="31"/>
        <v>0</v>
      </c>
      <c r="AD131" s="61" t="s">
        <v>557</v>
      </c>
    </row>
    <row r="132" ht="20" customHeight="1" spans="1:30">
      <c r="A132" s="1" t="s">
        <v>644</v>
      </c>
      <c r="B132" s="79" t="s">
        <v>720</v>
      </c>
      <c r="C132" s="79" t="s">
        <v>34</v>
      </c>
      <c r="D132" s="79" t="s">
        <v>35</v>
      </c>
      <c r="E132" s="79" t="s">
        <v>141</v>
      </c>
      <c r="F132" s="79">
        <v>24.9</v>
      </c>
      <c r="G132" s="79">
        <v>100</v>
      </c>
      <c r="H132" s="79"/>
      <c r="I132" s="79"/>
      <c r="J132" s="79">
        <v>67</v>
      </c>
      <c r="K132" s="79">
        <v>2166</v>
      </c>
      <c r="L132" s="83">
        <f t="shared" si="32"/>
        <v>2</v>
      </c>
      <c r="M132" s="83">
        <f t="shared" ref="M132:M189" si="34">31*(L132+H132)</f>
        <v>62</v>
      </c>
      <c r="N132" s="83">
        <f t="shared" si="33"/>
        <v>1543.8</v>
      </c>
      <c r="O132" s="83">
        <f t="shared" ref="O132:O189" si="35">(G132-(H132*90))/90</f>
        <v>1.11111111111111</v>
      </c>
      <c r="P132" s="83">
        <f t="shared" ref="P132:P189" si="36">31*(O132+H132)</f>
        <v>34.4444444444444</v>
      </c>
      <c r="Q132" s="83">
        <f t="shared" ref="Q132:Q189" si="37">(O132+H132)*31*F132*1.5</f>
        <v>1286.5</v>
      </c>
      <c r="R132" s="80">
        <f t="shared" ref="R132:R189" si="38">P132</f>
        <v>34.4444444444444</v>
      </c>
      <c r="S132" s="80">
        <f t="shared" ref="S132:S189" si="39">R132/31</f>
        <v>1.11111111111111</v>
      </c>
      <c r="T132" s="80">
        <f t="shared" ref="T132:T189" si="40">S132-H132</f>
        <v>1.11111111111111</v>
      </c>
      <c r="U132" s="80">
        <f t="shared" ref="U132:U189" si="41">Q132</f>
        <v>1286.5</v>
      </c>
      <c r="V132" s="82">
        <v>0.862068965517241</v>
      </c>
      <c r="W132" s="80">
        <f t="shared" ref="W132:W189" si="42">X132/31</f>
        <v>0.957854406130267</v>
      </c>
      <c r="X132" s="80">
        <f t="shared" ref="X132:X189" si="43">R132*V132</f>
        <v>29.6934865900383</v>
      </c>
      <c r="Y132" s="80">
        <f t="shared" ref="Y132:Y189" si="44">X132*F132*1.5</f>
        <v>1109.05172413793</v>
      </c>
      <c r="Z132" s="82">
        <v>0.0344827586206896</v>
      </c>
      <c r="AA132" s="80">
        <f t="shared" ref="AA132:AA189" si="45">AB132/31</f>
        <v>0.0383141762452106</v>
      </c>
      <c r="AB132" s="80">
        <f t="shared" ref="AB132:AB189" si="46">R132*Z132</f>
        <v>1.18773946360153</v>
      </c>
      <c r="AC132" s="80">
        <f t="shared" ref="AC132:AC189" si="47">F132*AB132*1.5</f>
        <v>44.3620689655171</v>
      </c>
      <c r="AD132" s="61" t="s">
        <v>557</v>
      </c>
    </row>
    <row r="133" ht="20" customHeight="1" spans="1:30">
      <c r="A133" s="1" t="s">
        <v>322</v>
      </c>
      <c r="B133" s="1" t="s">
        <v>323</v>
      </c>
      <c r="C133" s="1" t="s">
        <v>34</v>
      </c>
      <c r="D133" s="1" t="s">
        <v>35</v>
      </c>
      <c r="E133" s="72" t="s">
        <v>324</v>
      </c>
      <c r="F133" s="72">
        <v>117.04</v>
      </c>
      <c r="G133" s="72">
        <v>88</v>
      </c>
      <c r="H133" s="72">
        <v>1</v>
      </c>
      <c r="I133" s="72">
        <v>88</v>
      </c>
      <c r="J133" s="72">
        <v>18</v>
      </c>
      <c r="K133" s="72">
        <v>2107</v>
      </c>
      <c r="L133" s="73">
        <f t="shared" si="32"/>
        <v>0.76</v>
      </c>
      <c r="M133" s="73">
        <f t="shared" si="34"/>
        <v>54.56</v>
      </c>
      <c r="N133" s="73">
        <f t="shared" si="33"/>
        <v>6385.7024</v>
      </c>
      <c r="O133" s="73">
        <f t="shared" si="35"/>
        <v>-0.0222222222222222</v>
      </c>
      <c r="P133" s="73">
        <f t="shared" si="36"/>
        <v>30.3111111111111</v>
      </c>
      <c r="Q133" s="73">
        <f t="shared" si="37"/>
        <v>5321.41866666667</v>
      </c>
      <c r="R133" s="73">
        <f t="shared" si="38"/>
        <v>30.3111111111111</v>
      </c>
      <c r="S133" s="73">
        <f t="shared" si="39"/>
        <v>0.977777777777778</v>
      </c>
      <c r="T133" s="73">
        <f t="shared" si="40"/>
        <v>-0.0222222222222223</v>
      </c>
      <c r="U133" s="73">
        <f t="shared" si="41"/>
        <v>5321.41866666667</v>
      </c>
      <c r="V133" s="74">
        <v>0.388888888888889</v>
      </c>
      <c r="W133" s="73">
        <f t="shared" si="42"/>
        <v>0.380246913580247</v>
      </c>
      <c r="X133" s="73">
        <f t="shared" si="43"/>
        <v>11.7876543209877</v>
      </c>
      <c r="Y133" s="73">
        <f t="shared" si="44"/>
        <v>2069.44059259259</v>
      </c>
      <c r="Z133" s="74">
        <v>0.611111111111111</v>
      </c>
      <c r="AA133" s="73">
        <f t="shared" si="45"/>
        <v>0.597530864197531</v>
      </c>
      <c r="AB133" s="73">
        <f t="shared" si="46"/>
        <v>18.5234567901234</v>
      </c>
      <c r="AC133" s="73">
        <f t="shared" si="47"/>
        <v>3251.97807407407</v>
      </c>
    </row>
    <row r="134" ht="20" customHeight="1" spans="1:30">
      <c r="A134" s="1" t="s">
        <v>281</v>
      </c>
      <c r="B134" s="1" t="s">
        <v>282</v>
      </c>
      <c r="C134" s="1" t="s">
        <v>34</v>
      </c>
      <c r="D134" s="1" t="s">
        <v>51</v>
      </c>
      <c r="E134" s="72" t="s">
        <v>283</v>
      </c>
      <c r="F134" s="72">
        <v>79.87</v>
      </c>
      <c r="G134" s="72">
        <v>176</v>
      </c>
      <c r="H134" s="72">
        <v>3</v>
      </c>
      <c r="I134" s="72">
        <v>58</v>
      </c>
      <c r="J134" s="72">
        <v>26</v>
      </c>
      <c r="K134" s="72">
        <v>2077</v>
      </c>
      <c r="L134" s="73">
        <f t="shared" si="32"/>
        <v>0.52</v>
      </c>
      <c r="M134" s="73">
        <f t="shared" si="34"/>
        <v>109.12</v>
      </c>
      <c r="N134" s="73">
        <f t="shared" si="33"/>
        <v>8715.4144</v>
      </c>
      <c r="O134" s="73">
        <f t="shared" si="35"/>
        <v>-1.04444444444444</v>
      </c>
      <c r="P134" s="73">
        <f t="shared" si="36"/>
        <v>60.6222222222222</v>
      </c>
      <c r="Q134" s="73">
        <f t="shared" si="37"/>
        <v>7262.84533333333</v>
      </c>
      <c r="R134" s="73">
        <f t="shared" si="38"/>
        <v>60.6222222222222</v>
      </c>
      <c r="S134" s="73">
        <f t="shared" si="39"/>
        <v>1.95555555555556</v>
      </c>
      <c r="T134" s="73">
        <f t="shared" si="40"/>
        <v>-1.04444444444444</v>
      </c>
      <c r="U134" s="73">
        <f t="shared" si="41"/>
        <v>7262.84533333333</v>
      </c>
      <c r="V134" s="74">
        <v>1</v>
      </c>
      <c r="W134" s="73">
        <f t="shared" si="42"/>
        <v>1.95555555555555</v>
      </c>
      <c r="X134" s="73">
        <f t="shared" si="43"/>
        <v>60.6222222222222</v>
      </c>
      <c r="Y134" s="73">
        <f t="shared" si="44"/>
        <v>7262.84533333333</v>
      </c>
      <c r="Z134" s="74">
        <v>0</v>
      </c>
      <c r="AA134" s="73">
        <f t="shared" si="45"/>
        <v>0</v>
      </c>
      <c r="AB134" s="73">
        <f t="shared" si="46"/>
        <v>0</v>
      </c>
      <c r="AC134" s="73">
        <f t="shared" si="47"/>
        <v>0</v>
      </c>
    </row>
    <row r="135" ht="20" customHeight="1" spans="1:30">
      <c r="A135" s="1" t="s">
        <v>375</v>
      </c>
      <c r="B135" s="69" t="s">
        <v>376</v>
      </c>
      <c r="C135" s="69" t="s">
        <v>34</v>
      </c>
      <c r="D135" s="69" t="s">
        <v>35</v>
      </c>
      <c r="E135" s="69" t="s">
        <v>377</v>
      </c>
      <c r="F135" s="69">
        <v>19.04</v>
      </c>
      <c r="G135" s="69">
        <v>74</v>
      </c>
      <c r="H135" s="69"/>
      <c r="I135" s="69"/>
      <c r="J135" s="69">
        <v>71</v>
      </c>
      <c r="K135" s="69">
        <v>1999</v>
      </c>
      <c r="L135" s="70">
        <f t="shared" si="32"/>
        <v>1.48</v>
      </c>
      <c r="M135" s="70">
        <f t="shared" si="34"/>
        <v>45.88</v>
      </c>
      <c r="N135" s="70">
        <f t="shared" si="33"/>
        <v>873.5552</v>
      </c>
      <c r="O135" s="70">
        <f t="shared" si="35"/>
        <v>0.822222222222222</v>
      </c>
      <c r="P135" s="70">
        <f t="shared" si="36"/>
        <v>25.4888888888889</v>
      </c>
      <c r="Q135" s="70">
        <f t="shared" si="37"/>
        <v>727.962666666667</v>
      </c>
      <c r="R135" s="70">
        <f t="shared" si="38"/>
        <v>25.4888888888889</v>
      </c>
      <c r="S135" s="70">
        <f t="shared" si="39"/>
        <v>0.822222222222222</v>
      </c>
      <c r="T135" s="70">
        <f t="shared" si="40"/>
        <v>0.822222222222222</v>
      </c>
      <c r="U135" s="70">
        <f t="shared" si="41"/>
        <v>727.962666666667</v>
      </c>
      <c r="V135" s="84">
        <v>1</v>
      </c>
      <c r="W135" s="70">
        <f t="shared" si="42"/>
        <v>0.822222222222223</v>
      </c>
      <c r="X135" s="70">
        <f t="shared" si="43"/>
        <v>25.4888888888889</v>
      </c>
      <c r="Y135" s="70">
        <f t="shared" si="44"/>
        <v>727.962666666667</v>
      </c>
      <c r="Z135" s="84">
        <v>0</v>
      </c>
      <c r="AA135" s="70">
        <f t="shared" si="45"/>
        <v>0</v>
      </c>
      <c r="AB135" s="70">
        <f t="shared" si="46"/>
        <v>0</v>
      </c>
      <c r="AC135" s="70">
        <f t="shared" si="47"/>
        <v>0</v>
      </c>
      <c r="AD135" s="61" t="s">
        <v>594</v>
      </c>
    </row>
    <row r="136" ht="20" customHeight="1" spans="1:30">
      <c r="A136" s="1" t="s">
        <v>646</v>
      </c>
      <c r="B136" s="1" t="s">
        <v>670</v>
      </c>
      <c r="C136" s="1" t="s">
        <v>34</v>
      </c>
      <c r="D136" s="1" t="s">
        <v>51</v>
      </c>
      <c r="E136" s="72" t="s">
        <v>320</v>
      </c>
      <c r="F136" s="72">
        <v>62.89</v>
      </c>
      <c r="G136" s="72">
        <v>60</v>
      </c>
      <c r="H136" s="72"/>
      <c r="I136" s="72"/>
      <c r="J136" s="72">
        <v>29</v>
      </c>
      <c r="K136" s="72">
        <v>1950</v>
      </c>
      <c r="L136" s="73">
        <f t="shared" si="32"/>
        <v>1.2</v>
      </c>
      <c r="M136" s="73">
        <f t="shared" si="34"/>
        <v>37.2</v>
      </c>
      <c r="N136" s="73">
        <f t="shared" si="33"/>
        <v>2339.508</v>
      </c>
      <c r="O136" s="73">
        <f t="shared" si="35"/>
        <v>0.666666666666667</v>
      </c>
      <c r="P136" s="73">
        <f t="shared" si="36"/>
        <v>20.6666666666667</v>
      </c>
      <c r="Q136" s="73">
        <f t="shared" si="37"/>
        <v>1949.59</v>
      </c>
      <c r="R136" s="73">
        <f t="shared" si="38"/>
        <v>20.6666666666667</v>
      </c>
      <c r="S136" s="73">
        <f t="shared" si="39"/>
        <v>0.666666666666667</v>
      </c>
      <c r="T136" s="73">
        <f t="shared" si="40"/>
        <v>0.666666666666667</v>
      </c>
      <c r="U136" s="73">
        <f t="shared" si="41"/>
        <v>1949.59</v>
      </c>
      <c r="V136" s="74">
        <v>0</v>
      </c>
      <c r="W136" s="73">
        <f t="shared" si="42"/>
        <v>0</v>
      </c>
      <c r="X136" s="73">
        <f t="shared" si="43"/>
        <v>0</v>
      </c>
      <c r="Y136" s="73">
        <f t="shared" si="44"/>
        <v>0</v>
      </c>
      <c r="Z136" s="74">
        <v>0</v>
      </c>
      <c r="AA136" s="73">
        <f t="shared" si="45"/>
        <v>0</v>
      </c>
      <c r="AB136" s="73">
        <f t="shared" si="46"/>
        <v>0</v>
      </c>
      <c r="AC136" s="73">
        <f t="shared" si="47"/>
        <v>0</v>
      </c>
    </row>
    <row r="137" ht="20" customHeight="1" spans="1:30">
      <c r="A137" s="1" t="s">
        <v>304</v>
      </c>
      <c r="B137" s="79" t="s">
        <v>305</v>
      </c>
      <c r="C137" s="79" t="s">
        <v>34</v>
      </c>
      <c r="D137" s="79" t="s">
        <v>35</v>
      </c>
      <c r="E137" s="79" t="s">
        <v>306</v>
      </c>
      <c r="F137" s="79">
        <v>70.23</v>
      </c>
      <c r="G137" s="79">
        <v>40</v>
      </c>
      <c r="H137" s="79"/>
      <c r="I137" s="79"/>
      <c r="J137" s="79">
        <v>22</v>
      </c>
      <c r="K137" s="79">
        <v>1791</v>
      </c>
      <c r="L137" s="83">
        <f t="shared" ref="L137:L189" si="48">(G137-(H137*50))/50</f>
        <v>0.8</v>
      </c>
      <c r="M137" s="83">
        <f t="shared" si="34"/>
        <v>24.8</v>
      </c>
      <c r="N137" s="83">
        <f t="shared" si="33"/>
        <v>1741.704</v>
      </c>
      <c r="O137" s="83">
        <f t="shared" si="35"/>
        <v>0.444444444444444</v>
      </c>
      <c r="P137" s="83">
        <f t="shared" si="36"/>
        <v>13.7777777777778</v>
      </c>
      <c r="Q137" s="83">
        <f t="shared" si="37"/>
        <v>1451.42</v>
      </c>
      <c r="R137" s="80">
        <f t="shared" si="38"/>
        <v>13.7777777777778</v>
      </c>
      <c r="S137" s="80">
        <f t="shared" si="39"/>
        <v>0.444444444444444</v>
      </c>
      <c r="T137" s="80">
        <f t="shared" si="40"/>
        <v>0.444444444444444</v>
      </c>
      <c r="U137" s="80">
        <f t="shared" si="41"/>
        <v>1451.42</v>
      </c>
      <c r="V137" s="82">
        <v>0</v>
      </c>
      <c r="W137" s="80">
        <f t="shared" si="42"/>
        <v>0</v>
      </c>
      <c r="X137" s="80">
        <f t="shared" si="43"/>
        <v>0</v>
      </c>
      <c r="Y137" s="80">
        <f t="shared" si="44"/>
        <v>0</v>
      </c>
      <c r="Z137" s="82">
        <v>0</v>
      </c>
      <c r="AA137" s="80">
        <f t="shared" si="45"/>
        <v>0</v>
      </c>
      <c r="AB137" s="80">
        <f t="shared" si="46"/>
        <v>0</v>
      </c>
      <c r="AC137" s="80">
        <f t="shared" si="47"/>
        <v>0</v>
      </c>
      <c r="AD137" s="61" t="s">
        <v>557</v>
      </c>
    </row>
    <row r="138" ht="20" customHeight="1" spans="1:30">
      <c r="A138" s="1" t="s">
        <v>149</v>
      </c>
      <c r="B138" s="69" t="s">
        <v>150</v>
      </c>
      <c r="C138" s="69" t="s">
        <v>34</v>
      </c>
      <c r="D138" s="69" t="s">
        <v>35</v>
      </c>
      <c r="E138" s="69" t="s">
        <v>151</v>
      </c>
      <c r="F138" s="69">
        <v>237.5296</v>
      </c>
      <c r="G138" s="69">
        <v>9</v>
      </c>
      <c r="H138" s="69"/>
      <c r="I138" s="69"/>
      <c r="J138" s="69">
        <v>6</v>
      </c>
      <c r="K138" s="69">
        <v>1781</v>
      </c>
      <c r="L138" s="70">
        <f t="shared" si="48"/>
        <v>0.18</v>
      </c>
      <c r="M138" s="70">
        <f t="shared" si="34"/>
        <v>5.58</v>
      </c>
      <c r="N138" s="70">
        <f t="shared" si="33"/>
        <v>1325.415168</v>
      </c>
      <c r="O138" s="70">
        <f t="shared" si="35"/>
        <v>0.1</v>
      </c>
      <c r="P138" s="70">
        <f t="shared" si="36"/>
        <v>3.1</v>
      </c>
      <c r="Q138" s="70">
        <f t="shared" si="37"/>
        <v>1104.51264</v>
      </c>
      <c r="R138" s="70">
        <f t="shared" si="38"/>
        <v>3.1</v>
      </c>
      <c r="S138" s="70">
        <f t="shared" si="39"/>
        <v>0.1</v>
      </c>
      <c r="T138" s="70">
        <f t="shared" si="40"/>
        <v>0.1</v>
      </c>
      <c r="U138" s="70">
        <f t="shared" si="41"/>
        <v>1104.51264</v>
      </c>
      <c r="V138" s="84">
        <v>0.931034482758621</v>
      </c>
      <c r="W138" s="70">
        <f t="shared" si="42"/>
        <v>0.0931034482758621</v>
      </c>
      <c r="X138" s="70">
        <f t="shared" si="43"/>
        <v>2.88620689655173</v>
      </c>
      <c r="Y138" s="70">
        <f t="shared" si="44"/>
        <v>1028.33935448276</v>
      </c>
      <c r="Z138" s="84">
        <v>0</v>
      </c>
      <c r="AA138" s="70">
        <f t="shared" si="45"/>
        <v>0</v>
      </c>
      <c r="AB138" s="70">
        <f t="shared" si="46"/>
        <v>0</v>
      </c>
      <c r="AC138" s="70">
        <f t="shared" si="47"/>
        <v>0</v>
      </c>
      <c r="AD138" s="61" t="s">
        <v>594</v>
      </c>
    </row>
    <row r="139" ht="20" customHeight="1" spans="1:30">
      <c r="A139" s="1" t="s">
        <v>648</v>
      </c>
      <c r="B139" s="69" t="s">
        <v>662</v>
      </c>
      <c r="C139" s="69" t="s">
        <v>34</v>
      </c>
      <c r="D139" s="69" t="s">
        <v>51</v>
      </c>
      <c r="E139" s="69" t="s">
        <v>316</v>
      </c>
      <c r="F139" s="69">
        <v>233.51</v>
      </c>
      <c r="G139" s="69">
        <v>5</v>
      </c>
      <c r="H139" s="69"/>
      <c r="I139" s="69"/>
      <c r="J139" s="69">
        <v>5</v>
      </c>
      <c r="K139" s="69">
        <v>1751</v>
      </c>
      <c r="L139" s="70">
        <f t="shared" si="48"/>
        <v>0.1</v>
      </c>
      <c r="M139" s="70">
        <f t="shared" si="34"/>
        <v>3.1</v>
      </c>
      <c r="N139" s="70">
        <f t="shared" si="33"/>
        <v>723.881</v>
      </c>
      <c r="O139" s="70">
        <f t="shared" si="35"/>
        <v>0.0555555555555556</v>
      </c>
      <c r="P139" s="70">
        <f t="shared" si="36"/>
        <v>1.72222222222222</v>
      </c>
      <c r="Q139" s="70">
        <f t="shared" si="37"/>
        <v>603.234166666667</v>
      </c>
      <c r="R139" s="70">
        <f t="shared" si="38"/>
        <v>1.72222222222222</v>
      </c>
      <c r="S139" s="70">
        <f t="shared" si="39"/>
        <v>0.0555555555555556</v>
      </c>
      <c r="T139" s="70">
        <f t="shared" si="40"/>
        <v>0.0555555555555556</v>
      </c>
      <c r="U139" s="70">
        <f t="shared" si="41"/>
        <v>603.234166666667</v>
      </c>
      <c r="V139" s="71">
        <v>0.5</v>
      </c>
      <c r="W139" s="70">
        <f t="shared" si="42"/>
        <v>0.0277777777777777</v>
      </c>
      <c r="X139" s="70">
        <f t="shared" si="43"/>
        <v>0.86111111111111</v>
      </c>
      <c r="Y139" s="70">
        <f t="shared" si="44"/>
        <v>301.617083333333</v>
      </c>
      <c r="Z139" s="71">
        <v>0.5</v>
      </c>
      <c r="AA139" s="70">
        <f t="shared" si="45"/>
        <v>0.0277777777777777</v>
      </c>
      <c r="AB139" s="70">
        <f t="shared" si="46"/>
        <v>0.86111111111111</v>
      </c>
      <c r="AC139" s="70">
        <f t="shared" si="47"/>
        <v>301.617083333333</v>
      </c>
      <c r="AD139" s="61" t="s">
        <v>594</v>
      </c>
    </row>
    <row r="140" ht="20" customHeight="1" spans="1:30">
      <c r="A140" s="1" t="s">
        <v>409</v>
      </c>
      <c r="B140" s="79" t="s">
        <v>410</v>
      </c>
      <c r="C140" s="79" t="s">
        <v>34</v>
      </c>
      <c r="D140" s="79" t="s">
        <v>35</v>
      </c>
      <c r="E140" s="79" t="s">
        <v>411</v>
      </c>
      <c r="F140" s="79">
        <v>11.05</v>
      </c>
      <c r="G140" s="79">
        <v>100</v>
      </c>
      <c r="H140" s="79"/>
      <c r="I140" s="79"/>
      <c r="J140" s="79">
        <v>100</v>
      </c>
      <c r="K140" s="79">
        <v>1658</v>
      </c>
      <c r="L140" s="85">
        <f t="shared" si="48"/>
        <v>2</v>
      </c>
      <c r="M140" s="85">
        <f t="shared" si="34"/>
        <v>62</v>
      </c>
      <c r="N140" s="85">
        <f t="shared" si="33"/>
        <v>685.1</v>
      </c>
      <c r="O140" s="85">
        <f t="shared" si="35"/>
        <v>1.11111111111111</v>
      </c>
      <c r="P140" s="85">
        <f t="shared" si="36"/>
        <v>34.4444444444444</v>
      </c>
      <c r="Q140" s="85">
        <f t="shared" si="37"/>
        <v>570.916666666667</v>
      </c>
      <c r="R140" s="80">
        <f t="shared" si="38"/>
        <v>34.4444444444444</v>
      </c>
      <c r="S140" s="80">
        <f t="shared" si="39"/>
        <v>1.11111111111111</v>
      </c>
      <c r="T140" s="80">
        <f t="shared" si="40"/>
        <v>1.11111111111111</v>
      </c>
      <c r="U140" s="80">
        <f t="shared" si="41"/>
        <v>570.916666666667</v>
      </c>
      <c r="V140" s="81">
        <v>1</v>
      </c>
      <c r="W140" s="80">
        <f t="shared" si="42"/>
        <v>1.11111111111111</v>
      </c>
      <c r="X140" s="80">
        <f t="shared" si="43"/>
        <v>34.4444444444444</v>
      </c>
      <c r="Y140" s="80">
        <f t="shared" si="44"/>
        <v>570.916666666666</v>
      </c>
      <c r="Z140" s="81">
        <v>0</v>
      </c>
      <c r="AA140" s="80">
        <f t="shared" si="45"/>
        <v>0</v>
      </c>
      <c r="AB140" s="80">
        <f t="shared" si="46"/>
        <v>0</v>
      </c>
      <c r="AC140" s="80">
        <f t="shared" si="47"/>
        <v>0</v>
      </c>
      <c r="AD140" s="61" t="s">
        <v>557</v>
      </c>
    </row>
    <row r="141" ht="20" customHeight="1" spans="1:30">
      <c r="A141" s="1" t="s">
        <v>420</v>
      </c>
      <c r="B141" s="79" t="s">
        <v>421</v>
      </c>
      <c r="C141" s="79" t="s">
        <v>34</v>
      </c>
      <c r="D141" s="79" t="s">
        <v>35</v>
      </c>
      <c r="E141" s="79" t="s">
        <v>306</v>
      </c>
      <c r="F141" s="79">
        <v>125.94</v>
      </c>
      <c r="G141" s="79">
        <v>15</v>
      </c>
      <c r="H141" s="79"/>
      <c r="I141" s="79"/>
      <c r="J141" s="79">
        <v>10</v>
      </c>
      <c r="K141" s="79">
        <v>1637</v>
      </c>
      <c r="L141" s="85">
        <f t="shared" si="48"/>
        <v>0.3</v>
      </c>
      <c r="M141" s="85">
        <f t="shared" si="34"/>
        <v>9.3</v>
      </c>
      <c r="N141" s="85">
        <f t="shared" si="33"/>
        <v>1171.242</v>
      </c>
      <c r="O141" s="85">
        <f t="shared" si="35"/>
        <v>0.166666666666667</v>
      </c>
      <c r="P141" s="85">
        <f t="shared" si="36"/>
        <v>5.16666666666667</v>
      </c>
      <c r="Q141" s="85">
        <f t="shared" si="37"/>
        <v>976.035</v>
      </c>
      <c r="R141" s="80">
        <f t="shared" si="38"/>
        <v>5.16666666666667</v>
      </c>
      <c r="S141" s="80">
        <f t="shared" si="39"/>
        <v>0.166666666666667</v>
      </c>
      <c r="T141" s="80">
        <f t="shared" si="40"/>
        <v>0.166666666666667</v>
      </c>
      <c r="U141" s="80">
        <f t="shared" si="41"/>
        <v>976.035</v>
      </c>
      <c r="V141" s="81">
        <v>0.5</v>
      </c>
      <c r="W141" s="80">
        <f t="shared" si="42"/>
        <v>0.0833333333333334</v>
      </c>
      <c r="X141" s="80">
        <f t="shared" si="43"/>
        <v>2.58333333333333</v>
      </c>
      <c r="Y141" s="80">
        <v>50</v>
      </c>
      <c r="Z141" s="82">
        <v>0</v>
      </c>
      <c r="AA141" s="80">
        <f t="shared" si="45"/>
        <v>0</v>
      </c>
      <c r="AB141" s="80">
        <f t="shared" si="46"/>
        <v>0</v>
      </c>
      <c r="AC141" s="80">
        <f t="shared" si="47"/>
        <v>0</v>
      </c>
      <c r="AD141" s="61" t="s">
        <v>557</v>
      </c>
    </row>
    <row r="142" ht="20" customHeight="1" spans="1:30">
      <c r="A142" s="1" t="s">
        <v>344</v>
      </c>
      <c r="B142" s="79" t="s">
        <v>345</v>
      </c>
      <c r="C142" s="79" t="s">
        <v>34</v>
      </c>
      <c r="D142" s="79" t="s">
        <v>35</v>
      </c>
      <c r="E142" s="79" t="s">
        <v>306</v>
      </c>
      <c r="F142" s="79">
        <v>57.2</v>
      </c>
      <c r="G142" s="79">
        <v>38</v>
      </c>
      <c r="H142" s="79"/>
      <c r="I142" s="79"/>
      <c r="J142" s="79">
        <v>23</v>
      </c>
      <c r="K142" s="79">
        <v>1630</v>
      </c>
      <c r="L142" s="85">
        <f t="shared" si="48"/>
        <v>0.76</v>
      </c>
      <c r="M142" s="85">
        <f t="shared" si="34"/>
        <v>23.56</v>
      </c>
      <c r="N142" s="85">
        <f t="shared" ref="N142:N189" si="49">M142*F142</f>
        <v>1347.632</v>
      </c>
      <c r="O142" s="85">
        <f t="shared" si="35"/>
        <v>0.422222222222222</v>
      </c>
      <c r="P142" s="85">
        <f t="shared" si="36"/>
        <v>13.0888888888889</v>
      </c>
      <c r="Q142" s="85">
        <f t="shared" si="37"/>
        <v>1123.02666666667</v>
      </c>
      <c r="R142" s="80">
        <f t="shared" si="38"/>
        <v>13.0888888888889</v>
      </c>
      <c r="S142" s="80">
        <f t="shared" si="39"/>
        <v>0.422222222222222</v>
      </c>
      <c r="T142" s="80">
        <f t="shared" si="40"/>
        <v>0.422222222222222</v>
      </c>
      <c r="U142" s="80">
        <f t="shared" si="41"/>
        <v>1123.02666666667</v>
      </c>
      <c r="V142" s="80">
        <v>0.333333333333333</v>
      </c>
      <c r="W142" s="80">
        <f t="shared" si="42"/>
        <v>0.140740740740741</v>
      </c>
      <c r="X142" s="80">
        <f t="shared" si="43"/>
        <v>4.36296296296296</v>
      </c>
      <c r="Y142" s="80">
        <f t="shared" si="44"/>
        <v>374.342222222222</v>
      </c>
      <c r="Z142" s="80">
        <v>0.666666666666667</v>
      </c>
      <c r="AA142" s="80">
        <f t="shared" si="45"/>
        <v>0.281481481481482</v>
      </c>
      <c r="AB142" s="80">
        <f t="shared" si="46"/>
        <v>8.72592592592594</v>
      </c>
      <c r="AC142" s="80">
        <f t="shared" si="47"/>
        <v>748.684444444445</v>
      </c>
      <c r="AD142" s="61" t="s">
        <v>557</v>
      </c>
    </row>
    <row r="143" ht="20" customHeight="1" spans="1:30">
      <c r="A143" s="1" t="s">
        <v>401</v>
      </c>
      <c r="B143" s="79" t="s">
        <v>402</v>
      </c>
      <c r="C143" s="79" t="s">
        <v>34</v>
      </c>
      <c r="D143" s="79" t="s">
        <v>35</v>
      </c>
      <c r="E143" s="79" t="s">
        <v>403</v>
      </c>
      <c r="F143" s="79">
        <v>13.67</v>
      </c>
      <c r="G143" s="79">
        <v>79</v>
      </c>
      <c r="H143" s="79"/>
      <c r="I143" s="79"/>
      <c r="J143" s="79">
        <v>79</v>
      </c>
      <c r="K143" s="79">
        <v>1620</v>
      </c>
      <c r="L143" s="86">
        <f t="shared" si="48"/>
        <v>1.58</v>
      </c>
      <c r="M143" s="86">
        <f t="shared" si="34"/>
        <v>48.98</v>
      </c>
      <c r="N143" s="86">
        <f t="shared" si="49"/>
        <v>669.5566</v>
      </c>
      <c r="O143" s="86">
        <f t="shared" si="35"/>
        <v>0.877777777777778</v>
      </c>
      <c r="P143" s="86">
        <f t="shared" si="36"/>
        <v>27.2111111111111</v>
      </c>
      <c r="Q143" s="86">
        <f t="shared" si="37"/>
        <v>557.963833333333</v>
      </c>
      <c r="R143" s="80">
        <f t="shared" si="38"/>
        <v>27.2111111111111</v>
      </c>
      <c r="S143" s="80">
        <f t="shared" si="39"/>
        <v>0.877777777777778</v>
      </c>
      <c r="T143" s="80">
        <f t="shared" si="40"/>
        <v>0.877777777777778</v>
      </c>
      <c r="U143" s="80">
        <f t="shared" si="41"/>
        <v>557.963833333333</v>
      </c>
      <c r="V143" s="80">
        <v>0.132075471698113</v>
      </c>
      <c r="W143" s="80">
        <f t="shared" si="42"/>
        <v>0.115932914046121</v>
      </c>
      <c r="X143" s="80">
        <f t="shared" si="43"/>
        <v>3.59392033542976</v>
      </c>
      <c r="Y143" s="80">
        <f t="shared" si="44"/>
        <v>73.6933364779873</v>
      </c>
      <c r="Z143" s="80">
        <v>0.867924528301887</v>
      </c>
      <c r="AA143" s="80">
        <f t="shared" si="45"/>
        <v>0.761844863731656</v>
      </c>
      <c r="AB143" s="80">
        <f t="shared" si="46"/>
        <v>23.6171907756813</v>
      </c>
      <c r="AC143" s="80">
        <f t="shared" si="47"/>
        <v>484.270496855346</v>
      </c>
      <c r="AD143" s="61" t="s">
        <v>557</v>
      </c>
    </row>
    <row r="144" ht="20" customHeight="1" spans="1:30">
      <c r="A144" s="1" t="s">
        <v>651</v>
      </c>
      <c r="B144" s="1" t="s">
        <v>721</v>
      </c>
      <c r="C144" s="1" t="s">
        <v>34</v>
      </c>
      <c r="D144" s="1" t="s">
        <v>51</v>
      </c>
      <c r="E144" s="72" t="s">
        <v>408</v>
      </c>
      <c r="F144" s="72">
        <v>16.5</v>
      </c>
      <c r="G144" s="72">
        <v>311</v>
      </c>
      <c r="H144" s="72">
        <v>4</v>
      </c>
      <c r="I144" s="72">
        <v>77</v>
      </c>
      <c r="J144" s="72">
        <v>98</v>
      </c>
      <c r="K144" s="72">
        <v>1617</v>
      </c>
      <c r="L144" s="73">
        <f t="shared" si="48"/>
        <v>2.22</v>
      </c>
      <c r="M144" s="73">
        <f t="shared" si="34"/>
        <v>192.82</v>
      </c>
      <c r="N144" s="73">
        <f t="shared" si="49"/>
        <v>3181.53</v>
      </c>
      <c r="O144" s="73">
        <f t="shared" si="35"/>
        <v>-0.544444444444444</v>
      </c>
      <c r="P144" s="73">
        <f t="shared" si="36"/>
        <v>107.122222222222</v>
      </c>
      <c r="Q144" s="73">
        <f t="shared" si="37"/>
        <v>2651.275</v>
      </c>
      <c r="R144" s="73">
        <f t="shared" si="38"/>
        <v>107.122222222222</v>
      </c>
      <c r="S144" s="73">
        <f t="shared" si="39"/>
        <v>3.45555555555556</v>
      </c>
      <c r="T144" s="73">
        <f t="shared" si="40"/>
        <v>-0.544444444444444</v>
      </c>
      <c r="U144" s="73">
        <f t="shared" si="41"/>
        <v>2651.275</v>
      </c>
      <c r="V144" s="74">
        <v>0.540540540540541</v>
      </c>
      <c r="W144" s="73">
        <f t="shared" si="42"/>
        <v>1.86786786786787</v>
      </c>
      <c r="X144" s="73">
        <f t="shared" si="43"/>
        <v>57.9039039039038</v>
      </c>
      <c r="Y144" s="73">
        <f t="shared" si="44"/>
        <v>1433.12162162162</v>
      </c>
      <c r="Z144" s="74">
        <v>0.459459459459459</v>
      </c>
      <c r="AA144" s="73">
        <f t="shared" si="45"/>
        <v>1.58768768768768</v>
      </c>
      <c r="AB144" s="73">
        <f t="shared" si="46"/>
        <v>49.2183183183182</v>
      </c>
      <c r="AC144" s="73">
        <f t="shared" si="47"/>
        <v>1218.15337837837</v>
      </c>
    </row>
    <row r="145" ht="20" customHeight="1" spans="1:32">
      <c r="A145" s="1" t="s">
        <v>652</v>
      </c>
      <c r="B145" s="1" t="s">
        <v>722</v>
      </c>
      <c r="C145" s="1" t="s">
        <v>34</v>
      </c>
      <c r="D145" s="1" t="s">
        <v>35</v>
      </c>
      <c r="E145" s="72" t="s">
        <v>125</v>
      </c>
      <c r="F145" s="72">
        <v>119.87</v>
      </c>
      <c r="G145" s="72">
        <v>48</v>
      </c>
      <c r="H145" s="72"/>
      <c r="I145" s="72"/>
      <c r="J145" s="72">
        <v>13</v>
      </c>
      <c r="K145" s="72">
        <v>1558</v>
      </c>
      <c r="L145" s="73">
        <f t="shared" si="48"/>
        <v>0.96</v>
      </c>
      <c r="M145" s="73">
        <f t="shared" si="34"/>
        <v>29.76</v>
      </c>
      <c r="N145" s="73">
        <f t="shared" si="49"/>
        <v>3567.3312</v>
      </c>
      <c r="O145" s="73">
        <f t="shared" si="35"/>
        <v>0.533333333333333</v>
      </c>
      <c r="P145" s="73">
        <f t="shared" si="36"/>
        <v>16.5333333333333</v>
      </c>
      <c r="Q145" s="73">
        <f t="shared" si="37"/>
        <v>2972.776</v>
      </c>
      <c r="R145" s="73">
        <f t="shared" si="38"/>
        <v>16.5333333333333</v>
      </c>
      <c r="S145" s="73">
        <f t="shared" si="39"/>
        <v>0.533333333333333</v>
      </c>
      <c r="T145" s="73">
        <f t="shared" si="40"/>
        <v>0.533333333333333</v>
      </c>
      <c r="U145" s="73">
        <f t="shared" si="41"/>
        <v>2972.776</v>
      </c>
      <c r="V145" s="74">
        <v>0</v>
      </c>
      <c r="W145" s="73">
        <f t="shared" si="42"/>
        <v>0</v>
      </c>
      <c r="X145" s="73">
        <f t="shared" si="43"/>
        <v>0</v>
      </c>
      <c r="Y145" s="73">
        <f t="shared" si="44"/>
        <v>0</v>
      </c>
      <c r="Z145" s="74">
        <v>0</v>
      </c>
      <c r="AA145" s="73">
        <f t="shared" si="45"/>
        <v>0</v>
      </c>
      <c r="AB145" s="73">
        <f t="shared" si="46"/>
        <v>0</v>
      </c>
      <c r="AC145" s="73">
        <f t="shared" si="47"/>
        <v>0</v>
      </c>
    </row>
    <row r="146" ht="20" customHeight="1" spans="1:32">
      <c r="A146" s="1" t="s">
        <v>515</v>
      </c>
      <c r="B146" s="69" t="s">
        <v>516</v>
      </c>
      <c r="C146" s="69" t="s">
        <v>34</v>
      </c>
      <c r="D146" s="69" t="s">
        <v>35</v>
      </c>
      <c r="E146" s="69" t="s">
        <v>377</v>
      </c>
      <c r="F146" s="69">
        <v>13.76</v>
      </c>
      <c r="G146" s="69">
        <v>78</v>
      </c>
      <c r="H146" s="69"/>
      <c r="I146" s="69"/>
      <c r="J146" s="69">
        <v>72</v>
      </c>
      <c r="K146" s="69">
        <v>1452</v>
      </c>
      <c r="L146" s="70">
        <f t="shared" si="48"/>
        <v>1.56</v>
      </c>
      <c r="M146" s="70">
        <f t="shared" si="34"/>
        <v>48.36</v>
      </c>
      <c r="N146" s="70">
        <f t="shared" si="49"/>
        <v>665.4336</v>
      </c>
      <c r="O146" s="70">
        <f t="shared" si="35"/>
        <v>0.866666666666667</v>
      </c>
      <c r="P146" s="70">
        <f t="shared" si="36"/>
        <v>26.8666666666667</v>
      </c>
      <c r="Q146" s="70">
        <f t="shared" si="37"/>
        <v>554.528</v>
      </c>
      <c r="R146" s="70">
        <f t="shared" si="38"/>
        <v>26.8666666666667</v>
      </c>
      <c r="S146" s="70">
        <f t="shared" si="39"/>
        <v>0.866666666666667</v>
      </c>
      <c r="T146" s="70">
        <f t="shared" si="40"/>
        <v>0.866666666666667</v>
      </c>
      <c r="U146" s="70">
        <f t="shared" si="41"/>
        <v>554.528</v>
      </c>
      <c r="V146" s="84">
        <v>1</v>
      </c>
      <c r="W146" s="70">
        <f t="shared" si="42"/>
        <v>0.866666666666668</v>
      </c>
      <c r="X146" s="70">
        <f t="shared" si="43"/>
        <v>26.8666666666667</v>
      </c>
      <c r="Y146" s="70">
        <f t="shared" si="44"/>
        <v>554.528000000001</v>
      </c>
      <c r="Z146" s="84">
        <v>0</v>
      </c>
      <c r="AA146" s="70">
        <f t="shared" si="45"/>
        <v>0</v>
      </c>
      <c r="AB146" s="70">
        <f t="shared" si="46"/>
        <v>0</v>
      </c>
      <c r="AC146" s="70">
        <f t="shared" si="47"/>
        <v>0</v>
      </c>
      <c r="AD146" s="61" t="s">
        <v>594</v>
      </c>
    </row>
    <row r="147" ht="20" customHeight="1" spans="1:32">
      <c r="A147" s="1" t="s">
        <v>654</v>
      </c>
      <c r="B147" s="69" t="s">
        <v>723</v>
      </c>
      <c r="C147" s="69" t="s">
        <v>34</v>
      </c>
      <c r="D147" s="69" t="s">
        <v>35</v>
      </c>
      <c r="E147" s="69" t="s">
        <v>492</v>
      </c>
      <c r="F147" s="69">
        <v>120.46</v>
      </c>
      <c r="G147" s="69">
        <v>65</v>
      </c>
      <c r="H147" s="69">
        <v>1</v>
      </c>
      <c r="I147" s="69">
        <v>65</v>
      </c>
      <c r="J147" s="69">
        <v>12</v>
      </c>
      <c r="K147" s="69">
        <v>1446</v>
      </c>
      <c r="L147" s="70">
        <f t="shared" si="48"/>
        <v>0.3</v>
      </c>
      <c r="M147" s="70">
        <f t="shared" si="34"/>
        <v>40.3</v>
      </c>
      <c r="N147" s="70">
        <f t="shared" si="49"/>
        <v>4854.538</v>
      </c>
      <c r="O147" s="70">
        <f t="shared" si="35"/>
        <v>-0.277777777777778</v>
      </c>
      <c r="P147" s="70">
        <f t="shared" si="36"/>
        <v>22.3888888888889</v>
      </c>
      <c r="Q147" s="70">
        <f t="shared" si="37"/>
        <v>4045.44833333333</v>
      </c>
      <c r="R147" s="70">
        <f t="shared" si="38"/>
        <v>22.3888888888889</v>
      </c>
      <c r="S147" s="70">
        <f t="shared" si="39"/>
        <v>0.722222222222222</v>
      </c>
      <c r="T147" s="70">
        <f t="shared" si="40"/>
        <v>-0.277777777777778</v>
      </c>
      <c r="U147" s="70">
        <f t="shared" si="41"/>
        <v>4045.44833333333</v>
      </c>
      <c r="V147" s="84">
        <v>0</v>
      </c>
      <c r="W147" s="70">
        <f t="shared" si="42"/>
        <v>0</v>
      </c>
      <c r="X147" s="70">
        <f t="shared" si="43"/>
        <v>0</v>
      </c>
      <c r="Y147" s="70">
        <f t="shared" si="44"/>
        <v>0</v>
      </c>
      <c r="Z147" s="84">
        <v>0</v>
      </c>
      <c r="AA147" s="70">
        <f t="shared" si="45"/>
        <v>0</v>
      </c>
      <c r="AB147" s="70">
        <f t="shared" si="46"/>
        <v>0</v>
      </c>
      <c r="AC147" s="70">
        <f t="shared" si="47"/>
        <v>0</v>
      </c>
      <c r="AD147" s="61" t="s">
        <v>594</v>
      </c>
    </row>
    <row r="148" ht="20" customHeight="1" spans="1:32">
      <c r="A148" s="1" t="s">
        <v>655</v>
      </c>
      <c r="B148" s="79" t="s">
        <v>724</v>
      </c>
      <c r="C148" s="79" t="s">
        <v>34</v>
      </c>
      <c r="D148" s="79" t="s">
        <v>51</v>
      </c>
      <c r="E148" s="79" t="s">
        <v>165</v>
      </c>
      <c r="F148" s="79">
        <v>65.34</v>
      </c>
      <c r="G148" s="79">
        <v>40</v>
      </c>
      <c r="H148" s="79"/>
      <c r="I148" s="79"/>
      <c r="J148" s="79">
        <v>20</v>
      </c>
      <c r="K148" s="79">
        <v>1437</v>
      </c>
      <c r="L148" s="85">
        <f t="shared" si="48"/>
        <v>0.8</v>
      </c>
      <c r="M148" s="85">
        <f t="shared" si="34"/>
        <v>24.8</v>
      </c>
      <c r="N148" s="85">
        <f t="shared" si="49"/>
        <v>1620.432</v>
      </c>
      <c r="O148" s="85">
        <f t="shared" si="35"/>
        <v>0.444444444444444</v>
      </c>
      <c r="P148" s="85">
        <f t="shared" si="36"/>
        <v>13.7777777777778</v>
      </c>
      <c r="Q148" s="85">
        <f t="shared" si="37"/>
        <v>1350.36</v>
      </c>
      <c r="R148" s="80">
        <f t="shared" si="38"/>
        <v>13.7777777777778</v>
      </c>
      <c r="S148" s="80">
        <f t="shared" si="39"/>
        <v>0.444444444444444</v>
      </c>
      <c r="T148" s="80">
        <f t="shared" si="40"/>
        <v>0.444444444444444</v>
      </c>
      <c r="U148" s="80">
        <f t="shared" si="41"/>
        <v>1350.36</v>
      </c>
      <c r="V148" s="82">
        <v>0</v>
      </c>
      <c r="W148" s="80">
        <f t="shared" si="42"/>
        <v>0</v>
      </c>
      <c r="X148" s="80">
        <f t="shared" si="43"/>
        <v>0</v>
      </c>
      <c r="Y148" s="80">
        <f t="shared" si="44"/>
        <v>0</v>
      </c>
      <c r="Z148" s="82">
        <v>0</v>
      </c>
      <c r="AA148" s="80">
        <f t="shared" si="45"/>
        <v>0</v>
      </c>
      <c r="AB148" s="80">
        <f t="shared" si="46"/>
        <v>0</v>
      </c>
      <c r="AC148" s="80">
        <f t="shared" si="47"/>
        <v>0</v>
      </c>
      <c r="AD148" s="61" t="s">
        <v>557</v>
      </c>
    </row>
    <row r="149" ht="20" customHeight="1" spans="1:32">
      <c r="A149" s="1" t="s">
        <v>657</v>
      </c>
      <c r="B149" s="1" t="s">
        <v>725</v>
      </c>
      <c r="C149" s="1" t="s">
        <v>34</v>
      </c>
      <c r="D149" s="1" t="s">
        <v>51</v>
      </c>
      <c r="E149" s="72" t="s">
        <v>80</v>
      </c>
      <c r="F149" s="72">
        <v>12.93</v>
      </c>
      <c r="G149" s="72">
        <v>91</v>
      </c>
      <c r="H149" s="72"/>
      <c r="I149" s="72"/>
      <c r="J149" s="72">
        <v>76</v>
      </c>
      <c r="K149" s="72">
        <v>1396</v>
      </c>
      <c r="L149" s="73">
        <f t="shared" si="48"/>
        <v>1.82</v>
      </c>
      <c r="M149" s="73">
        <f t="shared" si="34"/>
        <v>56.42</v>
      </c>
      <c r="N149" s="73">
        <f t="shared" si="49"/>
        <v>729.5106</v>
      </c>
      <c r="O149" s="73">
        <f t="shared" si="35"/>
        <v>1.01111111111111</v>
      </c>
      <c r="P149" s="73">
        <f t="shared" si="36"/>
        <v>31.3444444444444</v>
      </c>
      <c r="Q149" s="73">
        <f t="shared" si="37"/>
        <v>607.9255</v>
      </c>
      <c r="R149" s="73">
        <f t="shared" si="38"/>
        <v>31.3444444444444</v>
      </c>
      <c r="S149" s="73">
        <f t="shared" si="39"/>
        <v>1.01111111111111</v>
      </c>
      <c r="T149" s="73">
        <f t="shared" si="40"/>
        <v>1.01111111111111</v>
      </c>
      <c r="U149" s="73">
        <f t="shared" si="41"/>
        <v>607.9255</v>
      </c>
      <c r="V149" s="74">
        <v>0</v>
      </c>
      <c r="W149" s="73">
        <f t="shared" si="42"/>
        <v>0</v>
      </c>
      <c r="X149" s="73">
        <f t="shared" si="43"/>
        <v>0</v>
      </c>
      <c r="Y149" s="73">
        <f t="shared" si="44"/>
        <v>0</v>
      </c>
      <c r="Z149" s="74">
        <v>0</v>
      </c>
      <c r="AA149" s="73">
        <f t="shared" si="45"/>
        <v>0</v>
      </c>
      <c r="AB149" s="73">
        <f t="shared" si="46"/>
        <v>0</v>
      </c>
      <c r="AC149" s="73">
        <f t="shared" si="47"/>
        <v>0</v>
      </c>
    </row>
    <row r="150" ht="20" customHeight="1" spans="1:32">
      <c r="A150" s="1" t="s">
        <v>445</v>
      </c>
      <c r="B150" s="69" t="s">
        <v>446</v>
      </c>
      <c r="C150" s="69" t="s">
        <v>34</v>
      </c>
      <c r="D150" s="69" t="s">
        <v>35</v>
      </c>
      <c r="E150" s="69" t="s">
        <v>447</v>
      </c>
      <c r="F150" s="69">
        <v>20.11</v>
      </c>
      <c r="G150" s="69">
        <v>52</v>
      </c>
      <c r="H150" s="69"/>
      <c r="I150" s="69"/>
      <c r="J150" s="69">
        <v>46</v>
      </c>
      <c r="K150" s="69">
        <v>1337</v>
      </c>
      <c r="L150" s="70">
        <f t="shared" si="48"/>
        <v>1.04</v>
      </c>
      <c r="M150" s="70">
        <f t="shared" si="34"/>
        <v>32.24</v>
      </c>
      <c r="N150" s="70">
        <f t="shared" si="49"/>
        <v>648.3464</v>
      </c>
      <c r="O150" s="70">
        <f t="shared" si="35"/>
        <v>0.577777777777778</v>
      </c>
      <c r="P150" s="70">
        <f t="shared" si="36"/>
        <v>17.9111111111111</v>
      </c>
      <c r="Q150" s="70">
        <f t="shared" si="37"/>
        <v>540.288666666667</v>
      </c>
      <c r="R150" s="70">
        <f t="shared" si="38"/>
        <v>17.9111111111111</v>
      </c>
      <c r="S150" s="70">
        <f t="shared" si="39"/>
        <v>0.577777777777778</v>
      </c>
      <c r="T150" s="70">
        <f t="shared" si="40"/>
        <v>0.577777777777778</v>
      </c>
      <c r="U150" s="70">
        <f t="shared" si="41"/>
        <v>540.288666666667</v>
      </c>
      <c r="V150" s="84">
        <v>0</v>
      </c>
      <c r="W150" s="70">
        <f t="shared" si="42"/>
        <v>0</v>
      </c>
      <c r="X150" s="70">
        <f t="shared" si="43"/>
        <v>0</v>
      </c>
      <c r="Y150" s="70">
        <f t="shared" si="44"/>
        <v>0</v>
      </c>
      <c r="Z150" s="84">
        <v>0</v>
      </c>
      <c r="AA150" s="70">
        <f t="shared" si="45"/>
        <v>0</v>
      </c>
      <c r="AB150" s="70">
        <f t="shared" si="46"/>
        <v>0</v>
      </c>
      <c r="AC150" s="70">
        <f t="shared" si="47"/>
        <v>0</v>
      </c>
      <c r="AD150" s="61" t="s">
        <v>594</v>
      </c>
    </row>
    <row r="151" ht="20" customHeight="1" spans="1:32">
      <c r="A151" s="1" t="s">
        <v>658</v>
      </c>
      <c r="B151" s="79" t="s">
        <v>642</v>
      </c>
      <c r="C151" s="79" t="s">
        <v>34</v>
      </c>
      <c r="D151" s="79" t="s">
        <v>35</v>
      </c>
      <c r="E151" s="79" t="s">
        <v>171</v>
      </c>
      <c r="F151" s="79">
        <v>38.57</v>
      </c>
      <c r="G151" s="79">
        <v>24</v>
      </c>
      <c r="H151" s="79"/>
      <c r="I151" s="79"/>
      <c r="J151" s="79">
        <v>23</v>
      </c>
      <c r="K151" s="79">
        <v>1311</v>
      </c>
      <c r="L151" s="85">
        <f t="shared" si="48"/>
        <v>0.48</v>
      </c>
      <c r="M151" s="85">
        <f t="shared" si="34"/>
        <v>14.88</v>
      </c>
      <c r="N151" s="85">
        <f t="shared" si="49"/>
        <v>573.9216</v>
      </c>
      <c r="O151" s="85">
        <f t="shared" si="35"/>
        <v>0.266666666666667</v>
      </c>
      <c r="P151" s="85">
        <f t="shared" si="36"/>
        <v>8.26666666666667</v>
      </c>
      <c r="Q151" s="85">
        <f t="shared" si="37"/>
        <v>478.268</v>
      </c>
      <c r="R151" s="80">
        <f t="shared" si="38"/>
        <v>8.26666666666667</v>
      </c>
      <c r="S151" s="80">
        <f t="shared" si="39"/>
        <v>0.266666666666667</v>
      </c>
      <c r="T151" s="80">
        <f t="shared" si="40"/>
        <v>0.266666666666667</v>
      </c>
      <c r="U151" s="80">
        <f t="shared" si="41"/>
        <v>478.268</v>
      </c>
      <c r="V151" s="82">
        <v>0.823529411764706</v>
      </c>
      <c r="W151" s="80">
        <f t="shared" si="42"/>
        <v>0.219607843137255</v>
      </c>
      <c r="X151" s="80">
        <f t="shared" si="43"/>
        <v>6.8078431372549</v>
      </c>
      <c r="Y151" s="80">
        <f t="shared" si="44"/>
        <v>393.867764705883</v>
      </c>
      <c r="Z151" s="82">
        <v>0.176470588235294</v>
      </c>
      <c r="AA151" s="80">
        <f t="shared" si="45"/>
        <v>0.0470588235294118</v>
      </c>
      <c r="AB151" s="80">
        <f t="shared" si="46"/>
        <v>1.45882352941176</v>
      </c>
      <c r="AC151" s="80">
        <f t="shared" si="47"/>
        <v>84.4002352941176</v>
      </c>
      <c r="AD151" s="61" t="s">
        <v>557</v>
      </c>
    </row>
    <row r="152" ht="20" customHeight="1" spans="1:32">
      <c r="A152" s="1" t="s">
        <v>659</v>
      </c>
      <c r="B152" s="79" t="s">
        <v>726</v>
      </c>
      <c r="C152" s="79" t="s">
        <v>34</v>
      </c>
      <c r="D152" s="79" t="s">
        <v>35</v>
      </c>
      <c r="E152" s="79" t="s">
        <v>598</v>
      </c>
      <c r="F152" s="79">
        <v>30.52</v>
      </c>
      <c r="G152" s="79">
        <v>40</v>
      </c>
      <c r="H152" s="79"/>
      <c r="I152" s="79"/>
      <c r="J152" s="79">
        <v>30</v>
      </c>
      <c r="K152" s="79">
        <v>1251</v>
      </c>
      <c r="L152" s="85">
        <f t="shared" si="48"/>
        <v>0.8</v>
      </c>
      <c r="M152" s="85">
        <f t="shared" si="34"/>
        <v>24.8</v>
      </c>
      <c r="N152" s="85">
        <f t="shared" si="49"/>
        <v>756.896</v>
      </c>
      <c r="O152" s="85">
        <f t="shared" si="35"/>
        <v>0.444444444444444</v>
      </c>
      <c r="P152" s="85">
        <f t="shared" si="36"/>
        <v>13.7777777777778</v>
      </c>
      <c r="Q152" s="85">
        <f t="shared" si="37"/>
        <v>630.746666666667</v>
      </c>
      <c r="R152" s="80">
        <f t="shared" si="38"/>
        <v>13.7777777777778</v>
      </c>
      <c r="S152" s="80">
        <f t="shared" si="39"/>
        <v>0.444444444444444</v>
      </c>
      <c r="T152" s="80">
        <f t="shared" si="40"/>
        <v>0.444444444444444</v>
      </c>
      <c r="U152" s="80">
        <f t="shared" si="41"/>
        <v>630.746666666667</v>
      </c>
      <c r="V152" s="82">
        <v>0</v>
      </c>
      <c r="W152" s="80">
        <f t="shared" si="42"/>
        <v>0</v>
      </c>
      <c r="X152" s="80">
        <f t="shared" si="43"/>
        <v>0</v>
      </c>
      <c r="Y152" s="80">
        <f t="shared" si="44"/>
        <v>0</v>
      </c>
      <c r="Z152" s="82">
        <v>0</v>
      </c>
      <c r="AA152" s="80">
        <f t="shared" si="45"/>
        <v>0</v>
      </c>
      <c r="AB152" s="80">
        <f t="shared" si="46"/>
        <v>0</v>
      </c>
      <c r="AC152" s="80">
        <f t="shared" si="47"/>
        <v>0</v>
      </c>
      <c r="AD152" s="61" t="s">
        <v>557</v>
      </c>
    </row>
    <row r="153" ht="20" customHeight="1" spans="1:32">
      <c r="A153" s="1" t="s">
        <v>468</v>
      </c>
      <c r="B153" s="69" t="s">
        <v>469</v>
      </c>
      <c r="C153" s="69" t="s">
        <v>34</v>
      </c>
      <c r="D153" s="69" t="s">
        <v>51</v>
      </c>
      <c r="E153" s="69" t="s">
        <v>316</v>
      </c>
      <c r="F153" s="69">
        <v>242.36</v>
      </c>
      <c r="G153" s="69">
        <v>21</v>
      </c>
      <c r="H153" s="69"/>
      <c r="I153" s="69"/>
      <c r="J153" s="69">
        <v>5</v>
      </c>
      <c r="K153" s="69">
        <v>1212</v>
      </c>
      <c r="L153" s="70">
        <f t="shared" si="48"/>
        <v>0.42</v>
      </c>
      <c r="M153" s="70">
        <f t="shared" si="34"/>
        <v>13.02</v>
      </c>
      <c r="N153" s="70">
        <f t="shared" si="49"/>
        <v>3155.5272</v>
      </c>
      <c r="O153" s="70">
        <f t="shared" si="35"/>
        <v>0.233333333333333</v>
      </c>
      <c r="P153" s="70">
        <f t="shared" si="36"/>
        <v>7.23333333333333</v>
      </c>
      <c r="Q153" s="70">
        <f t="shared" si="37"/>
        <v>2629.606</v>
      </c>
      <c r="R153" s="70">
        <f t="shared" si="38"/>
        <v>7.23333333333333</v>
      </c>
      <c r="S153" s="70">
        <f t="shared" si="39"/>
        <v>0.233333333333333</v>
      </c>
      <c r="T153" s="70">
        <f t="shared" si="40"/>
        <v>0.233333333333333</v>
      </c>
      <c r="U153" s="70">
        <f t="shared" si="41"/>
        <v>2629.606</v>
      </c>
      <c r="V153" s="84">
        <v>0.950131233595801</v>
      </c>
      <c r="W153" s="70">
        <f t="shared" si="42"/>
        <v>0.22169728783902</v>
      </c>
      <c r="X153" s="70">
        <f t="shared" si="43"/>
        <v>6.87261592300962</v>
      </c>
      <c r="Y153" s="70">
        <f t="shared" si="44"/>
        <v>2498.47079265092</v>
      </c>
      <c r="Z153" s="84">
        <v>0.047244094488189</v>
      </c>
      <c r="AA153" s="70">
        <f t="shared" si="45"/>
        <v>0.0110236220472441</v>
      </c>
      <c r="AB153" s="70">
        <f t="shared" si="46"/>
        <v>0.341732283464567</v>
      </c>
      <c r="AC153" s="70">
        <f t="shared" si="47"/>
        <v>124.233354330709</v>
      </c>
      <c r="AD153" s="61" t="s">
        <v>594</v>
      </c>
    </row>
    <row r="154" ht="20" customHeight="1" spans="1:32">
      <c r="A154" s="1" t="s">
        <v>452</v>
      </c>
      <c r="B154" s="69" t="s">
        <v>453</v>
      </c>
      <c r="C154" s="69" t="s">
        <v>34</v>
      </c>
      <c r="D154" s="69" t="s">
        <v>35</v>
      </c>
      <c r="E154" s="69" t="s">
        <v>156</v>
      </c>
      <c r="F154" s="69">
        <v>21.28</v>
      </c>
      <c r="G154" s="69">
        <v>43</v>
      </c>
      <c r="H154" s="69"/>
      <c r="I154" s="69"/>
      <c r="J154" s="69">
        <v>38</v>
      </c>
      <c r="K154" s="69">
        <v>1170</v>
      </c>
      <c r="L154" s="70">
        <f t="shared" si="48"/>
        <v>0.86</v>
      </c>
      <c r="M154" s="70">
        <f t="shared" si="34"/>
        <v>26.66</v>
      </c>
      <c r="N154" s="70">
        <f t="shared" si="49"/>
        <v>567.3248</v>
      </c>
      <c r="O154" s="70">
        <f t="shared" si="35"/>
        <v>0.477777777777778</v>
      </c>
      <c r="P154" s="70">
        <f t="shared" si="36"/>
        <v>14.8111111111111</v>
      </c>
      <c r="Q154" s="70">
        <f t="shared" si="37"/>
        <v>472.770666666667</v>
      </c>
      <c r="R154" s="70">
        <f t="shared" si="38"/>
        <v>14.8111111111111</v>
      </c>
      <c r="S154" s="70">
        <f t="shared" si="39"/>
        <v>0.477777777777778</v>
      </c>
      <c r="T154" s="70">
        <f t="shared" si="40"/>
        <v>0.477777777777778</v>
      </c>
      <c r="U154" s="70">
        <f t="shared" si="41"/>
        <v>472.770666666667</v>
      </c>
      <c r="V154" s="84">
        <v>0</v>
      </c>
      <c r="W154" s="70">
        <f t="shared" si="42"/>
        <v>0</v>
      </c>
      <c r="X154" s="70">
        <f t="shared" si="43"/>
        <v>0</v>
      </c>
      <c r="Y154" s="70">
        <f t="shared" si="44"/>
        <v>0</v>
      </c>
      <c r="Z154" s="84">
        <v>1</v>
      </c>
      <c r="AA154" s="70">
        <f t="shared" si="45"/>
        <v>0.477777777777777</v>
      </c>
      <c r="AB154" s="70">
        <f t="shared" si="46"/>
        <v>14.8111111111111</v>
      </c>
      <c r="AC154" s="70">
        <f t="shared" si="47"/>
        <v>472.770666666666</v>
      </c>
      <c r="AD154" s="61" t="s">
        <v>594</v>
      </c>
    </row>
    <row r="155" ht="20" customHeight="1" spans="1:32">
      <c r="A155" s="1" t="s">
        <v>169</v>
      </c>
      <c r="B155" s="1" t="s">
        <v>170</v>
      </c>
      <c r="C155" s="1" t="s">
        <v>34</v>
      </c>
      <c r="D155" s="1" t="s">
        <v>35</v>
      </c>
      <c r="E155" s="72" t="s">
        <v>171</v>
      </c>
      <c r="F155" s="72">
        <v>49.17</v>
      </c>
      <c r="G155" s="72">
        <v>19</v>
      </c>
      <c r="H155" s="72"/>
      <c r="I155" s="72"/>
      <c r="J155" s="72">
        <v>16</v>
      </c>
      <c r="K155" s="72">
        <v>1106</v>
      </c>
      <c r="L155" s="73">
        <f t="shared" si="48"/>
        <v>0.38</v>
      </c>
      <c r="M155" s="73">
        <f t="shared" si="34"/>
        <v>11.78</v>
      </c>
      <c r="N155" s="73">
        <f t="shared" si="49"/>
        <v>579.2226</v>
      </c>
      <c r="O155" s="73">
        <f t="shared" si="35"/>
        <v>0.211111111111111</v>
      </c>
      <c r="P155" s="73">
        <f t="shared" si="36"/>
        <v>6.54444444444444</v>
      </c>
      <c r="Q155" s="73">
        <f t="shared" si="37"/>
        <v>482.6855</v>
      </c>
      <c r="R155" s="73">
        <f t="shared" si="38"/>
        <v>6.54444444444444</v>
      </c>
      <c r="S155" s="73">
        <f t="shared" si="39"/>
        <v>0.211111111111111</v>
      </c>
      <c r="T155" s="73">
        <f t="shared" si="40"/>
        <v>0.211111111111111</v>
      </c>
      <c r="U155" s="73">
        <f t="shared" si="41"/>
        <v>482.6855</v>
      </c>
      <c r="V155" s="74">
        <v>0.266666666666667</v>
      </c>
      <c r="W155" s="73">
        <f t="shared" si="42"/>
        <v>0.0562962962962963</v>
      </c>
      <c r="X155" s="73">
        <f t="shared" si="43"/>
        <v>1.74518518518519</v>
      </c>
      <c r="Y155" s="73">
        <f t="shared" si="44"/>
        <v>128.716133333333</v>
      </c>
      <c r="Z155" s="74">
        <v>0.733333333333333</v>
      </c>
      <c r="AA155" s="73">
        <f t="shared" si="45"/>
        <v>0.154814814814815</v>
      </c>
      <c r="AB155" s="73">
        <f t="shared" si="46"/>
        <v>4.79925925925925</v>
      </c>
      <c r="AC155" s="73">
        <f t="shared" si="47"/>
        <v>353.969366666666</v>
      </c>
    </row>
    <row r="156" ht="20" customHeight="1" spans="1:32">
      <c r="A156" s="1" t="s">
        <v>454</v>
      </c>
      <c r="B156" s="79" t="s">
        <v>455</v>
      </c>
      <c r="C156" s="79" t="s">
        <v>34</v>
      </c>
      <c r="D156" s="79" t="s">
        <v>35</v>
      </c>
      <c r="E156" s="79" t="s">
        <v>306</v>
      </c>
      <c r="F156" s="79">
        <v>174.91</v>
      </c>
      <c r="G156" s="79">
        <v>4</v>
      </c>
      <c r="H156" s="79"/>
      <c r="I156" s="79"/>
      <c r="J156" s="79">
        <v>4</v>
      </c>
      <c r="K156" s="79">
        <v>1049</v>
      </c>
      <c r="L156" s="80">
        <f t="shared" si="48"/>
        <v>0.08</v>
      </c>
      <c r="M156" s="80">
        <f t="shared" si="34"/>
        <v>2.48</v>
      </c>
      <c r="N156" s="80">
        <f t="shared" si="49"/>
        <v>433.7768</v>
      </c>
      <c r="O156" s="80">
        <f t="shared" si="35"/>
        <v>0.0444444444444444</v>
      </c>
      <c r="P156" s="80">
        <f t="shared" si="36"/>
        <v>1.37777777777778</v>
      </c>
      <c r="Q156" s="80">
        <f t="shared" si="37"/>
        <v>361.480666666667</v>
      </c>
      <c r="R156" s="80">
        <f t="shared" si="38"/>
        <v>1.37777777777778</v>
      </c>
      <c r="S156" s="80">
        <f t="shared" si="39"/>
        <v>0.0444444444444444</v>
      </c>
      <c r="T156" s="80">
        <f t="shared" si="40"/>
        <v>0.0444444444444444</v>
      </c>
      <c r="U156" s="80">
        <f t="shared" si="41"/>
        <v>361.480666666667</v>
      </c>
      <c r="V156" s="82">
        <v>0.514285714285714</v>
      </c>
      <c r="W156" s="80">
        <f t="shared" si="42"/>
        <v>0.0228571428571429</v>
      </c>
      <c r="X156" s="80">
        <f t="shared" si="43"/>
        <v>0.708571428571429</v>
      </c>
      <c r="Y156" s="80">
        <f t="shared" si="44"/>
        <v>185.904342857143</v>
      </c>
      <c r="Z156" s="82">
        <v>0.485714285714286</v>
      </c>
      <c r="AA156" s="80">
        <f t="shared" si="45"/>
        <v>0.0215873015873016</v>
      </c>
      <c r="AB156" s="80">
        <f t="shared" si="46"/>
        <v>0.669206349206351</v>
      </c>
      <c r="AC156" s="80">
        <f t="shared" si="47"/>
        <v>175.576323809524</v>
      </c>
      <c r="AD156" s="61" t="s">
        <v>557</v>
      </c>
    </row>
    <row r="157" ht="20" customHeight="1" spans="1:32">
      <c r="A157" s="1" t="s">
        <v>666</v>
      </c>
      <c r="B157" s="1" t="s">
        <v>727</v>
      </c>
      <c r="C157" s="1" t="s">
        <v>34</v>
      </c>
      <c r="D157" s="1" t="s">
        <v>35</v>
      </c>
      <c r="E157" s="72" t="s">
        <v>106</v>
      </c>
      <c r="F157" s="72">
        <v>6.7</v>
      </c>
      <c r="G157" s="72">
        <v>177</v>
      </c>
      <c r="H157" s="72">
        <v>1</v>
      </c>
      <c r="I157" s="72">
        <v>177</v>
      </c>
      <c r="J157" s="72">
        <v>119</v>
      </c>
      <c r="K157" s="72">
        <v>1039</v>
      </c>
      <c r="L157" s="73">
        <f t="shared" si="48"/>
        <v>2.54</v>
      </c>
      <c r="M157" s="73">
        <f t="shared" si="34"/>
        <v>109.74</v>
      </c>
      <c r="N157" s="73">
        <f t="shared" si="49"/>
        <v>735.258</v>
      </c>
      <c r="O157" s="73">
        <f t="shared" si="35"/>
        <v>0.966666666666667</v>
      </c>
      <c r="P157" s="73">
        <f t="shared" si="36"/>
        <v>60.9666666666667</v>
      </c>
      <c r="Q157" s="73">
        <f t="shared" si="37"/>
        <v>612.715</v>
      </c>
      <c r="R157" s="73">
        <f t="shared" si="38"/>
        <v>60.9666666666667</v>
      </c>
      <c r="S157" s="73">
        <f t="shared" si="39"/>
        <v>1.96666666666667</v>
      </c>
      <c r="T157" s="73">
        <f t="shared" si="40"/>
        <v>0.966666666666667</v>
      </c>
      <c r="U157" s="73">
        <f t="shared" si="41"/>
        <v>612.715</v>
      </c>
      <c r="V157" s="74">
        <v>1</v>
      </c>
      <c r="W157" s="73">
        <f t="shared" si="42"/>
        <v>1.96666666666667</v>
      </c>
      <c r="X157" s="73">
        <f t="shared" si="43"/>
        <v>60.9666666666667</v>
      </c>
      <c r="Y157" s="73">
        <f t="shared" si="44"/>
        <v>612.715</v>
      </c>
      <c r="Z157" s="74">
        <v>0</v>
      </c>
      <c r="AA157" s="73">
        <f t="shared" si="45"/>
        <v>0</v>
      </c>
      <c r="AB157" s="73">
        <f t="shared" si="46"/>
        <v>0</v>
      </c>
      <c r="AC157" s="73">
        <f t="shared" si="47"/>
        <v>0</v>
      </c>
      <c r="AE157" s="87"/>
      <c r="AF157" s="87"/>
    </row>
    <row r="158" ht="20" customHeight="1" spans="1:32">
      <c r="A158" s="1" t="s">
        <v>307</v>
      </c>
      <c r="B158" s="1" t="s">
        <v>308</v>
      </c>
      <c r="C158" s="1" t="s">
        <v>34</v>
      </c>
      <c r="D158" s="1" t="s">
        <v>51</v>
      </c>
      <c r="E158" s="72" t="s">
        <v>309</v>
      </c>
      <c r="F158" s="72">
        <v>16.12</v>
      </c>
      <c r="G158" s="72">
        <v>159</v>
      </c>
      <c r="H158" s="72">
        <v>1</v>
      </c>
      <c r="I158" s="72">
        <v>159</v>
      </c>
      <c r="J158" s="72">
        <v>61</v>
      </c>
      <c r="K158" s="72">
        <v>983</v>
      </c>
      <c r="L158" s="73">
        <f t="shared" si="48"/>
        <v>2.18</v>
      </c>
      <c r="M158" s="73">
        <f t="shared" si="34"/>
        <v>98.58</v>
      </c>
      <c r="N158" s="73">
        <f t="shared" si="49"/>
        <v>1589.1096</v>
      </c>
      <c r="O158" s="73">
        <f t="shared" si="35"/>
        <v>0.766666666666667</v>
      </c>
      <c r="P158" s="73">
        <f t="shared" si="36"/>
        <v>54.7666666666667</v>
      </c>
      <c r="Q158" s="73">
        <f t="shared" si="37"/>
        <v>1324.258</v>
      </c>
      <c r="R158" s="73">
        <f t="shared" si="38"/>
        <v>54.7666666666667</v>
      </c>
      <c r="S158" s="73">
        <f t="shared" si="39"/>
        <v>1.76666666666667</v>
      </c>
      <c r="T158" s="73">
        <f t="shared" si="40"/>
        <v>0.766666666666667</v>
      </c>
      <c r="U158" s="73">
        <f t="shared" si="41"/>
        <v>1324.258</v>
      </c>
      <c r="V158" s="74">
        <v>0.631205673758865</v>
      </c>
      <c r="W158" s="73">
        <f t="shared" si="42"/>
        <v>1.11513002364066</v>
      </c>
      <c r="X158" s="73">
        <f t="shared" si="43"/>
        <v>34.5690307328605</v>
      </c>
      <c r="Y158" s="73">
        <f t="shared" si="44"/>
        <v>835.879163120568</v>
      </c>
      <c r="Z158" s="74">
        <v>0.368794326241135</v>
      </c>
      <c r="AA158" s="73">
        <f t="shared" si="45"/>
        <v>0.651536643026006</v>
      </c>
      <c r="AB158" s="73">
        <f t="shared" si="46"/>
        <v>20.1976359338062</v>
      </c>
      <c r="AC158" s="73">
        <f t="shared" si="47"/>
        <v>488.378836879433</v>
      </c>
      <c r="AE158" s="87"/>
      <c r="AF158" s="87"/>
    </row>
    <row r="159" ht="20" customHeight="1" spans="1:32">
      <c r="A159" s="1" t="s">
        <v>667</v>
      </c>
      <c r="B159" s="1" t="s">
        <v>728</v>
      </c>
      <c r="C159" s="1" t="s">
        <v>34</v>
      </c>
      <c r="D159" s="1" t="s">
        <v>51</v>
      </c>
      <c r="E159" s="72" t="s">
        <v>165</v>
      </c>
      <c r="F159" s="72">
        <v>72.34</v>
      </c>
      <c r="G159" s="72">
        <v>608</v>
      </c>
      <c r="H159" s="72">
        <v>11</v>
      </c>
      <c r="I159" s="72">
        <v>55</v>
      </c>
      <c r="J159" s="72">
        <v>13</v>
      </c>
      <c r="K159" s="72">
        <v>940</v>
      </c>
      <c r="L159" s="73">
        <f t="shared" si="48"/>
        <v>1.16</v>
      </c>
      <c r="M159" s="73">
        <f t="shared" si="34"/>
        <v>376.96</v>
      </c>
      <c r="N159" s="73">
        <f t="shared" si="49"/>
        <v>27269.2864</v>
      </c>
      <c r="O159" s="73">
        <f t="shared" si="35"/>
        <v>-4.24444444444444</v>
      </c>
      <c r="P159" s="73">
        <f t="shared" si="36"/>
        <v>209.422222222222</v>
      </c>
      <c r="Q159" s="73">
        <f t="shared" si="37"/>
        <v>22724.4053333333</v>
      </c>
      <c r="R159" s="73">
        <f t="shared" si="38"/>
        <v>209.422222222222</v>
      </c>
      <c r="S159" s="73">
        <f t="shared" si="39"/>
        <v>6.75555555555556</v>
      </c>
      <c r="T159" s="73">
        <f t="shared" si="40"/>
        <v>-4.24444444444444</v>
      </c>
      <c r="U159" s="73">
        <f t="shared" si="41"/>
        <v>22724.4053333333</v>
      </c>
      <c r="V159" s="74">
        <v>0</v>
      </c>
      <c r="W159" s="73">
        <f t="shared" si="42"/>
        <v>0</v>
      </c>
      <c r="X159" s="73">
        <f t="shared" si="43"/>
        <v>0</v>
      </c>
      <c r="Y159" s="73">
        <f t="shared" si="44"/>
        <v>0</v>
      </c>
      <c r="Z159" s="74">
        <v>0</v>
      </c>
      <c r="AA159" s="73">
        <f t="shared" si="45"/>
        <v>0</v>
      </c>
      <c r="AB159" s="73">
        <f t="shared" si="46"/>
        <v>0</v>
      </c>
      <c r="AC159" s="73">
        <f t="shared" si="47"/>
        <v>0</v>
      </c>
      <c r="AE159" s="87"/>
      <c r="AF159" s="87"/>
    </row>
    <row r="160" ht="20" customHeight="1" spans="1:32">
      <c r="A160" s="1" t="s">
        <v>668</v>
      </c>
      <c r="B160" s="1" t="s">
        <v>729</v>
      </c>
      <c r="C160" s="1" t="s">
        <v>34</v>
      </c>
      <c r="D160" s="1" t="s">
        <v>35</v>
      </c>
      <c r="E160" s="72" t="s">
        <v>377</v>
      </c>
      <c r="F160" s="72">
        <v>11.83</v>
      </c>
      <c r="G160" s="72">
        <v>87</v>
      </c>
      <c r="H160" s="72"/>
      <c r="I160" s="72"/>
      <c r="J160" s="72">
        <v>59</v>
      </c>
      <c r="K160" s="72">
        <v>911</v>
      </c>
      <c r="L160" s="73">
        <f t="shared" si="48"/>
        <v>1.74</v>
      </c>
      <c r="M160" s="73">
        <f t="shared" si="34"/>
        <v>53.94</v>
      </c>
      <c r="N160" s="73">
        <f t="shared" si="49"/>
        <v>638.1102</v>
      </c>
      <c r="O160" s="73">
        <f t="shared" si="35"/>
        <v>0.966666666666667</v>
      </c>
      <c r="P160" s="73">
        <f t="shared" si="36"/>
        <v>29.9666666666667</v>
      </c>
      <c r="Q160" s="73">
        <f t="shared" si="37"/>
        <v>531.7585</v>
      </c>
      <c r="R160" s="73">
        <f t="shared" si="38"/>
        <v>29.9666666666667</v>
      </c>
      <c r="S160" s="73">
        <f t="shared" si="39"/>
        <v>0.966666666666667</v>
      </c>
      <c r="T160" s="73">
        <f t="shared" si="40"/>
        <v>0.966666666666667</v>
      </c>
      <c r="U160" s="73">
        <f t="shared" si="41"/>
        <v>531.7585</v>
      </c>
      <c r="V160" s="74">
        <v>0.333333333333333</v>
      </c>
      <c r="W160" s="73">
        <f t="shared" si="42"/>
        <v>0.322222222222222</v>
      </c>
      <c r="X160" s="73">
        <f t="shared" si="43"/>
        <v>9.98888888888889</v>
      </c>
      <c r="Y160" s="73">
        <f t="shared" si="44"/>
        <v>177.252833333333</v>
      </c>
      <c r="Z160" s="74">
        <v>0.666666666666667</v>
      </c>
      <c r="AA160" s="73">
        <f t="shared" si="45"/>
        <v>0.644444444444445</v>
      </c>
      <c r="AB160" s="73">
        <f t="shared" si="46"/>
        <v>19.9777777777778</v>
      </c>
      <c r="AC160" s="73">
        <f t="shared" si="47"/>
        <v>354.505666666667</v>
      </c>
      <c r="AE160" s="87"/>
      <c r="AF160" s="87"/>
    </row>
    <row r="161" ht="20" customHeight="1" spans="1:32">
      <c r="A161" s="1" t="s">
        <v>439</v>
      </c>
      <c r="B161" s="69" t="s">
        <v>440</v>
      </c>
      <c r="C161" s="69" t="s">
        <v>34</v>
      </c>
      <c r="D161" s="69" t="s">
        <v>51</v>
      </c>
      <c r="E161" s="69" t="s">
        <v>80</v>
      </c>
      <c r="F161" s="69">
        <v>9.6</v>
      </c>
      <c r="G161" s="69">
        <v>99</v>
      </c>
      <c r="H161" s="69"/>
      <c r="I161" s="69"/>
      <c r="J161" s="69">
        <v>61</v>
      </c>
      <c r="K161" s="69">
        <v>730</v>
      </c>
      <c r="L161" s="70">
        <f t="shared" si="48"/>
        <v>1.98</v>
      </c>
      <c r="M161" s="70">
        <f t="shared" si="34"/>
        <v>61.38</v>
      </c>
      <c r="N161" s="70">
        <f t="shared" si="49"/>
        <v>589.248</v>
      </c>
      <c r="O161" s="70">
        <f t="shared" si="35"/>
        <v>1.1</v>
      </c>
      <c r="P161" s="70">
        <f t="shared" si="36"/>
        <v>34.1</v>
      </c>
      <c r="Q161" s="70">
        <f t="shared" si="37"/>
        <v>491.04</v>
      </c>
      <c r="R161" s="70">
        <f t="shared" si="38"/>
        <v>34.1</v>
      </c>
      <c r="S161" s="70">
        <f t="shared" si="39"/>
        <v>1.1</v>
      </c>
      <c r="T161" s="70">
        <f t="shared" si="40"/>
        <v>1.1</v>
      </c>
      <c r="U161" s="70">
        <f t="shared" si="41"/>
        <v>491.04</v>
      </c>
      <c r="V161" s="71">
        <v>0.5</v>
      </c>
      <c r="W161" s="70">
        <f t="shared" si="42"/>
        <v>0.55</v>
      </c>
      <c r="X161" s="70">
        <f t="shared" si="43"/>
        <v>17.05</v>
      </c>
      <c r="Y161" s="70">
        <f t="shared" si="44"/>
        <v>245.52</v>
      </c>
      <c r="Z161" s="71">
        <v>0.5</v>
      </c>
      <c r="AA161" s="70">
        <f t="shared" si="45"/>
        <v>0.55</v>
      </c>
      <c r="AB161" s="70">
        <f t="shared" si="46"/>
        <v>17.05</v>
      </c>
      <c r="AC161" s="70">
        <f t="shared" si="47"/>
        <v>245.52</v>
      </c>
      <c r="AD161" s="61" t="s">
        <v>594</v>
      </c>
      <c r="AE161" s="87" t="s">
        <v>669</v>
      </c>
      <c r="AF161" s="87"/>
    </row>
    <row r="162" ht="20" customHeight="1" spans="1:32">
      <c r="A162" s="1" t="s">
        <v>501</v>
      </c>
      <c r="B162" s="1" t="s">
        <v>502</v>
      </c>
      <c r="C162" s="1" t="s">
        <v>34</v>
      </c>
      <c r="D162" s="1" t="s">
        <v>35</v>
      </c>
      <c r="E162" s="72" t="s">
        <v>447</v>
      </c>
      <c r="F162" s="72">
        <v>21.06</v>
      </c>
      <c r="G162" s="72">
        <v>43</v>
      </c>
      <c r="H162" s="72"/>
      <c r="I162" s="72"/>
      <c r="J162" s="72">
        <v>27</v>
      </c>
      <c r="K162" s="72">
        <v>716</v>
      </c>
      <c r="L162" s="73">
        <f t="shared" si="48"/>
        <v>0.86</v>
      </c>
      <c r="M162" s="73">
        <f t="shared" si="34"/>
        <v>26.66</v>
      </c>
      <c r="N162" s="73">
        <f t="shared" si="49"/>
        <v>561.4596</v>
      </c>
      <c r="O162" s="73">
        <f t="shared" si="35"/>
        <v>0.477777777777778</v>
      </c>
      <c r="P162" s="73">
        <f t="shared" si="36"/>
        <v>14.8111111111111</v>
      </c>
      <c r="Q162" s="73">
        <f t="shared" si="37"/>
        <v>467.883</v>
      </c>
      <c r="R162" s="73">
        <f t="shared" si="38"/>
        <v>14.8111111111111</v>
      </c>
      <c r="S162" s="73">
        <f t="shared" si="39"/>
        <v>0.477777777777778</v>
      </c>
      <c r="T162" s="73">
        <f t="shared" si="40"/>
        <v>0.477777777777778</v>
      </c>
      <c r="U162" s="73">
        <f t="shared" si="41"/>
        <v>467.883</v>
      </c>
      <c r="V162" s="74">
        <v>0.703296703296703</v>
      </c>
      <c r="W162" s="73">
        <f t="shared" si="42"/>
        <v>0.336019536019536</v>
      </c>
      <c r="X162" s="73">
        <f t="shared" si="43"/>
        <v>10.4166056166056</v>
      </c>
      <c r="Y162" s="73">
        <f t="shared" si="44"/>
        <v>329.060571428571</v>
      </c>
      <c r="Z162" s="74">
        <v>0.263736263736264</v>
      </c>
      <c r="AA162" s="73">
        <f t="shared" si="45"/>
        <v>0.126007326007326</v>
      </c>
      <c r="AB162" s="73">
        <f t="shared" si="46"/>
        <v>3.90622710622711</v>
      </c>
      <c r="AC162" s="73">
        <f t="shared" si="47"/>
        <v>123.397714285714</v>
      </c>
      <c r="AE162" s="87"/>
      <c r="AF162" s="87"/>
    </row>
    <row r="163" ht="20" customHeight="1" spans="1:32">
      <c r="A163" s="1" t="s">
        <v>517</v>
      </c>
      <c r="B163" s="1" t="s">
        <v>518</v>
      </c>
      <c r="C163" s="1" t="s">
        <v>34</v>
      </c>
      <c r="D163" s="1" t="s">
        <v>51</v>
      </c>
      <c r="E163" s="72" t="s">
        <v>313</v>
      </c>
      <c r="F163" s="72">
        <v>3.8201</v>
      </c>
      <c r="G163" s="72">
        <v>455</v>
      </c>
      <c r="H163" s="72">
        <v>5</v>
      </c>
      <c r="I163" s="72">
        <v>91</v>
      </c>
      <c r="J163" s="72">
        <v>159</v>
      </c>
      <c r="K163" s="72">
        <v>607</v>
      </c>
      <c r="L163" s="73">
        <f t="shared" si="48"/>
        <v>4.1</v>
      </c>
      <c r="M163" s="73">
        <f t="shared" si="34"/>
        <v>282.1</v>
      </c>
      <c r="N163" s="73">
        <f t="shared" si="49"/>
        <v>1077.65021</v>
      </c>
      <c r="O163" s="73">
        <f t="shared" si="35"/>
        <v>0.0555555555555556</v>
      </c>
      <c r="P163" s="73">
        <f t="shared" si="36"/>
        <v>156.722222222222</v>
      </c>
      <c r="Q163" s="73">
        <f t="shared" si="37"/>
        <v>898.041841666667</v>
      </c>
      <c r="R163" s="73">
        <f t="shared" si="38"/>
        <v>156.722222222222</v>
      </c>
      <c r="S163" s="73">
        <f t="shared" si="39"/>
        <v>5.05555555555556</v>
      </c>
      <c r="T163" s="73">
        <f t="shared" si="40"/>
        <v>0.0555555555555554</v>
      </c>
      <c r="U163" s="73">
        <f t="shared" si="41"/>
        <v>898.041841666667</v>
      </c>
      <c r="V163" s="74">
        <v>0</v>
      </c>
      <c r="W163" s="73">
        <f t="shared" si="42"/>
        <v>0</v>
      </c>
      <c r="X163" s="73">
        <f t="shared" si="43"/>
        <v>0</v>
      </c>
      <c r="Y163" s="73">
        <f t="shared" si="44"/>
        <v>0</v>
      </c>
      <c r="Z163" s="74">
        <v>1</v>
      </c>
      <c r="AA163" s="73">
        <f t="shared" si="45"/>
        <v>5.05555555555555</v>
      </c>
      <c r="AB163" s="73">
        <f t="shared" si="46"/>
        <v>156.722222222222</v>
      </c>
      <c r="AC163" s="73">
        <f t="shared" si="47"/>
        <v>898.041841666665</v>
      </c>
      <c r="AE163" s="87"/>
      <c r="AF163" s="87"/>
    </row>
    <row r="164" ht="20" customHeight="1" spans="1:32">
      <c r="A164" s="1" t="s">
        <v>672</v>
      </c>
      <c r="B164" s="1" t="s">
        <v>730</v>
      </c>
      <c r="C164" s="1" t="s">
        <v>34</v>
      </c>
      <c r="D164" s="1" t="s">
        <v>51</v>
      </c>
      <c r="E164" s="72" t="s">
        <v>203</v>
      </c>
      <c r="F164" s="72">
        <v>151.38</v>
      </c>
      <c r="G164" s="72">
        <v>27</v>
      </c>
      <c r="H164" s="72"/>
      <c r="I164" s="72"/>
      <c r="J164" s="72">
        <v>4</v>
      </c>
      <c r="K164" s="72">
        <v>606</v>
      </c>
      <c r="L164" s="73">
        <f t="shared" si="48"/>
        <v>0.54</v>
      </c>
      <c r="M164" s="73">
        <f t="shared" si="34"/>
        <v>16.74</v>
      </c>
      <c r="N164" s="73">
        <f t="shared" si="49"/>
        <v>2534.1012</v>
      </c>
      <c r="O164" s="73">
        <f t="shared" si="35"/>
        <v>0.3</v>
      </c>
      <c r="P164" s="73">
        <f t="shared" si="36"/>
        <v>9.3</v>
      </c>
      <c r="Q164" s="73">
        <f t="shared" si="37"/>
        <v>2111.751</v>
      </c>
      <c r="R164" s="73">
        <f t="shared" si="38"/>
        <v>9.3</v>
      </c>
      <c r="S164" s="73">
        <f t="shared" si="39"/>
        <v>0.3</v>
      </c>
      <c r="T164" s="73">
        <f t="shared" si="40"/>
        <v>0.3</v>
      </c>
      <c r="U164" s="73">
        <f t="shared" si="41"/>
        <v>2111.751</v>
      </c>
      <c r="V164" s="74">
        <v>0.492307692307692</v>
      </c>
      <c r="W164" s="73">
        <f t="shared" si="42"/>
        <v>0.147692307692308</v>
      </c>
      <c r="X164" s="73">
        <f t="shared" si="43"/>
        <v>4.57846153846154</v>
      </c>
      <c r="Y164" s="73">
        <f t="shared" si="44"/>
        <v>1039.63126153846</v>
      </c>
      <c r="Z164" s="74">
        <v>0.492307692307692</v>
      </c>
      <c r="AA164" s="73">
        <f t="shared" si="45"/>
        <v>0.147692307692308</v>
      </c>
      <c r="AB164" s="73">
        <f t="shared" si="46"/>
        <v>4.57846153846154</v>
      </c>
      <c r="AC164" s="73">
        <f t="shared" si="47"/>
        <v>1039.63126153846</v>
      </c>
      <c r="AE164" s="87"/>
      <c r="AF164" s="87"/>
    </row>
    <row r="165" ht="20" customHeight="1" spans="1:32">
      <c r="A165" s="1" t="s">
        <v>472</v>
      </c>
      <c r="B165" s="1" t="s">
        <v>473</v>
      </c>
      <c r="C165" s="1" t="s">
        <v>34</v>
      </c>
      <c r="D165" s="1" t="s">
        <v>35</v>
      </c>
      <c r="E165" s="72" t="s">
        <v>474</v>
      </c>
      <c r="F165" s="72">
        <v>55.39</v>
      </c>
      <c r="G165" s="72">
        <v>8</v>
      </c>
      <c r="H165" s="72"/>
      <c r="I165" s="72"/>
      <c r="J165" s="72">
        <v>7</v>
      </c>
      <c r="K165" s="72">
        <v>554</v>
      </c>
      <c r="L165" s="73">
        <f t="shared" si="48"/>
        <v>0.16</v>
      </c>
      <c r="M165" s="73">
        <f t="shared" si="34"/>
        <v>4.96</v>
      </c>
      <c r="N165" s="73">
        <f t="shared" si="49"/>
        <v>274.7344</v>
      </c>
      <c r="O165" s="73">
        <f t="shared" si="35"/>
        <v>0.0888888888888889</v>
      </c>
      <c r="P165" s="73">
        <f t="shared" si="36"/>
        <v>2.75555555555556</v>
      </c>
      <c r="Q165" s="73">
        <f t="shared" si="37"/>
        <v>228.945333333333</v>
      </c>
      <c r="R165" s="73">
        <f t="shared" si="38"/>
        <v>2.75555555555556</v>
      </c>
      <c r="S165" s="73">
        <f t="shared" si="39"/>
        <v>0.0888888888888889</v>
      </c>
      <c r="T165" s="73">
        <f t="shared" si="40"/>
        <v>0.0888888888888889</v>
      </c>
      <c r="U165" s="73">
        <f t="shared" si="41"/>
        <v>228.945333333333</v>
      </c>
      <c r="V165" s="74">
        <v>0</v>
      </c>
      <c r="W165" s="73">
        <f t="shared" si="42"/>
        <v>0</v>
      </c>
      <c r="X165" s="73">
        <f t="shared" si="43"/>
        <v>0</v>
      </c>
      <c r="Y165" s="73">
        <f t="shared" si="44"/>
        <v>0</v>
      </c>
      <c r="Z165" s="74">
        <v>0</v>
      </c>
      <c r="AA165" s="73">
        <f t="shared" si="45"/>
        <v>0</v>
      </c>
      <c r="AB165" s="73">
        <f t="shared" si="46"/>
        <v>0</v>
      </c>
      <c r="AC165" s="73">
        <f t="shared" si="47"/>
        <v>0</v>
      </c>
      <c r="AE165" s="87"/>
      <c r="AF165" s="87"/>
    </row>
    <row r="166" ht="20" customHeight="1" spans="1:32">
      <c r="A166" s="1" t="s">
        <v>674</v>
      </c>
      <c r="B166" s="1" t="s">
        <v>731</v>
      </c>
      <c r="C166" s="1" t="s">
        <v>34</v>
      </c>
      <c r="D166" s="1" t="s">
        <v>51</v>
      </c>
      <c r="E166" s="72" t="s">
        <v>732</v>
      </c>
      <c r="F166" s="72">
        <v>21.24</v>
      </c>
      <c r="G166" s="72">
        <v>949</v>
      </c>
      <c r="H166" s="72">
        <v>18</v>
      </c>
      <c r="I166" s="72">
        <v>52</v>
      </c>
      <c r="J166" s="72">
        <v>24</v>
      </c>
      <c r="K166" s="72">
        <v>510</v>
      </c>
      <c r="L166" s="73">
        <f t="shared" si="48"/>
        <v>0.98</v>
      </c>
      <c r="M166" s="73">
        <f t="shared" si="34"/>
        <v>588.38</v>
      </c>
      <c r="N166" s="73">
        <f t="shared" si="49"/>
        <v>12497.1912</v>
      </c>
      <c r="O166" s="73">
        <f t="shared" si="35"/>
        <v>-7.45555555555556</v>
      </c>
      <c r="P166" s="73">
        <f t="shared" si="36"/>
        <v>326.877777777778</v>
      </c>
      <c r="Q166" s="73">
        <f t="shared" si="37"/>
        <v>10414.326</v>
      </c>
      <c r="R166" s="73">
        <f t="shared" si="38"/>
        <v>326.877777777778</v>
      </c>
      <c r="S166" s="73">
        <f t="shared" si="39"/>
        <v>10.5444444444444</v>
      </c>
      <c r="T166" s="73">
        <f t="shared" si="40"/>
        <v>-7.45555555555556</v>
      </c>
      <c r="U166" s="73">
        <f t="shared" si="41"/>
        <v>10414.326</v>
      </c>
      <c r="V166" s="74">
        <v>0.666666666666667</v>
      </c>
      <c r="W166" s="73">
        <f t="shared" si="42"/>
        <v>7.02962962962964</v>
      </c>
      <c r="X166" s="73">
        <f t="shared" si="43"/>
        <v>217.918518518519</v>
      </c>
      <c r="Y166" s="73">
        <f t="shared" si="44"/>
        <v>6942.88400000001</v>
      </c>
      <c r="Z166" s="74">
        <v>0.333333333333333</v>
      </c>
      <c r="AA166" s="73">
        <f t="shared" si="45"/>
        <v>3.51481481481481</v>
      </c>
      <c r="AB166" s="73">
        <f t="shared" si="46"/>
        <v>108.959259259259</v>
      </c>
      <c r="AC166" s="73">
        <f t="shared" si="47"/>
        <v>3471.442</v>
      </c>
      <c r="AE166" s="87"/>
      <c r="AF166" s="87"/>
    </row>
    <row r="167" ht="20" customHeight="1" spans="1:32">
      <c r="A167" s="1" t="s">
        <v>477</v>
      </c>
      <c r="B167" s="1" t="s">
        <v>478</v>
      </c>
      <c r="C167" s="1" t="s">
        <v>34</v>
      </c>
      <c r="D167" s="1" t="s">
        <v>35</v>
      </c>
      <c r="E167" s="72" t="s">
        <v>479</v>
      </c>
      <c r="F167" s="72">
        <v>6.99</v>
      </c>
      <c r="G167" s="72">
        <v>45</v>
      </c>
      <c r="H167" s="72"/>
      <c r="I167" s="72"/>
      <c r="J167" s="72">
        <v>42</v>
      </c>
      <c r="K167" s="72">
        <v>430</v>
      </c>
      <c r="L167" s="73">
        <f t="shared" si="48"/>
        <v>0.9</v>
      </c>
      <c r="M167" s="73">
        <f t="shared" si="34"/>
        <v>27.9</v>
      </c>
      <c r="N167" s="73">
        <f t="shared" si="49"/>
        <v>195.021</v>
      </c>
      <c r="O167" s="73">
        <f t="shared" si="35"/>
        <v>0.5</v>
      </c>
      <c r="P167" s="73">
        <f t="shared" si="36"/>
        <v>15.5</v>
      </c>
      <c r="Q167" s="73">
        <f t="shared" si="37"/>
        <v>162.5175</v>
      </c>
      <c r="R167" s="73">
        <f t="shared" si="38"/>
        <v>15.5</v>
      </c>
      <c r="S167" s="73">
        <f t="shared" si="39"/>
        <v>0.5</v>
      </c>
      <c r="T167" s="73">
        <f t="shared" si="40"/>
        <v>0.5</v>
      </c>
      <c r="U167" s="73">
        <f t="shared" si="41"/>
        <v>162.5175</v>
      </c>
      <c r="V167" s="74">
        <v>0.102941176470588</v>
      </c>
      <c r="W167" s="73">
        <f t="shared" si="42"/>
        <v>0.051470588235294</v>
      </c>
      <c r="X167" s="73">
        <f t="shared" si="43"/>
        <v>1.59558823529411</v>
      </c>
      <c r="Y167" s="73">
        <f t="shared" si="44"/>
        <v>16.7297426470588</v>
      </c>
      <c r="Z167" s="74">
        <v>0.867647058823529</v>
      </c>
      <c r="AA167" s="73">
        <f t="shared" si="45"/>
        <v>0.433823529411764</v>
      </c>
      <c r="AB167" s="73">
        <f t="shared" si="46"/>
        <v>13.4485294117647</v>
      </c>
      <c r="AC167" s="73">
        <f t="shared" si="47"/>
        <v>141.007830882353</v>
      </c>
      <c r="AE167" s="87"/>
      <c r="AF167" s="87"/>
    </row>
    <row r="168" ht="20" customHeight="1" spans="1:32">
      <c r="A168" s="1" t="s">
        <v>676</v>
      </c>
      <c r="B168" s="1" t="s">
        <v>733</v>
      </c>
      <c r="C168" s="1" t="s">
        <v>34</v>
      </c>
      <c r="D168" s="1" t="s">
        <v>35</v>
      </c>
      <c r="E168" s="72" t="s">
        <v>192</v>
      </c>
      <c r="F168" s="72">
        <v>414.56</v>
      </c>
      <c r="G168" s="72">
        <v>2</v>
      </c>
      <c r="H168" s="72"/>
      <c r="I168" s="72"/>
      <c r="J168" s="72">
        <v>1</v>
      </c>
      <c r="K168" s="72">
        <v>415</v>
      </c>
      <c r="L168" s="73">
        <f t="shared" si="48"/>
        <v>0.04</v>
      </c>
      <c r="M168" s="73">
        <f t="shared" si="34"/>
        <v>1.24</v>
      </c>
      <c r="N168" s="73">
        <f t="shared" si="49"/>
        <v>514.0544</v>
      </c>
      <c r="O168" s="73">
        <f t="shared" si="35"/>
        <v>0.0222222222222222</v>
      </c>
      <c r="P168" s="73">
        <f t="shared" si="36"/>
        <v>0.688888888888889</v>
      </c>
      <c r="Q168" s="73">
        <f t="shared" si="37"/>
        <v>428.378666666667</v>
      </c>
      <c r="R168" s="73">
        <f t="shared" si="38"/>
        <v>0.688888888888889</v>
      </c>
      <c r="S168" s="73">
        <f t="shared" si="39"/>
        <v>0.0222222222222222</v>
      </c>
      <c r="T168" s="73">
        <f t="shared" si="40"/>
        <v>0.0222222222222222</v>
      </c>
      <c r="U168" s="73">
        <f t="shared" si="41"/>
        <v>428.378666666667</v>
      </c>
      <c r="V168" s="74">
        <v>1</v>
      </c>
      <c r="W168" s="73">
        <f t="shared" si="42"/>
        <v>0.0222222222222222</v>
      </c>
      <c r="X168" s="73">
        <f t="shared" si="43"/>
        <v>0.688888888888889</v>
      </c>
      <c r="Y168" s="73">
        <f t="shared" si="44"/>
        <v>428.378666666667</v>
      </c>
      <c r="Z168" s="74">
        <v>0</v>
      </c>
      <c r="AA168" s="73">
        <f t="shared" si="45"/>
        <v>0</v>
      </c>
      <c r="AB168" s="73">
        <f t="shared" si="46"/>
        <v>0</v>
      </c>
      <c r="AC168" s="73">
        <f t="shared" si="47"/>
        <v>0</v>
      </c>
      <c r="AE168" s="87"/>
      <c r="AF168" s="87"/>
    </row>
    <row r="169" ht="20" customHeight="1" spans="1:32">
      <c r="A169" s="1" t="s">
        <v>678</v>
      </c>
      <c r="B169" s="1" t="s">
        <v>643</v>
      </c>
      <c r="C169" s="1" t="s">
        <v>34</v>
      </c>
      <c r="D169" s="1" t="s">
        <v>51</v>
      </c>
      <c r="E169" s="72" t="s">
        <v>203</v>
      </c>
      <c r="F169" s="72">
        <v>202.17</v>
      </c>
      <c r="G169" s="72">
        <v>32</v>
      </c>
      <c r="H169" s="72"/>
      <c r="I169" s="72"/>
      <c r="J169" s="72">
        <v>2</v>
      </c>
      <c r="K169" s="72">
        <v>404</v>
      </c>
      <c r="L169" s="73">
        <f t="shared" si="48"/>
        <v>0.64</v>
      </c>
      <c r="M169" s="73">
        <f t="shared" si="34"/>
        <v>19.84</v>
      </c>
      <c r="N169" s="73">
        <f t="shared" si="49"/>
        <v>4011.0528</v>
      </c>
      <c r="O169" s="73">
        <f t="shared" si="35"/>
        <v>0.355555555555556</v>
      </c>
      <c r="P169" s="73">
        <f t="shared" si="36"/>
        <v>11.0222222222222</v>
      </c>
      <c r="Q169" s="73">
        <f t="shared" si="37"/>
        <v>3342.544</v>
      </c>
      <c r="R169" s="73">
        <f t="shared" si="38"/>
        <v>11.0222222222222</v>
      </c>
      <c r="S169" s="73">
        <f t="shared" si="39"/>
        <v>0.355555555555556</v>
      </c>
      <c r="T169" s="73">
        <f t="shared" si="40"/>
        <v>0.355555555555556</v>
      </c>
      <c r="U169" s="73">
        <f t="shared" si="41"/>
        <v>3342.544</v>
      </c>
      <c r="V169" s="75">
        <v>0.5</v>
      </c>
      <c r="W169" s="73">
        <f t="shared" si="42"/>
        <v>0.177777777777777</v>
      </c>
      <c r="X169" s="73">
        <f t="shared" si="43"/>
        <v>5.5111111111111</v>
      </c>
      <c r="Y169" s="73">
        <f t="shared" si="44"/>
        <v>1671.272</v>
      </c>
      <c r="Z169" s="75">
        <v>0.5</v>
      </c>
      <c r="AA169" s="73">
        <f t="shared" si="45"/>
        <v>0.177777777777777</v>
      </c>
      <c r="AB169" s="73">
        <f t="shared" si="46"/>
        <v>5.5111111111111</v>
      </c>
      <c r="AC169" s="73">
        <f t="shared" si="47"/>
        <v>1671.272</v>
      </c>
    </row>
    <row r="170" ht="20" customHeight="1" spans="1:32">
      <c r="A170" s="1" t="s">
        <v>679</v>
      </c>
      <c r="B170" s="1" t="s">
        <v>734</v>
      </c>
      <c r="C170" s="1" t="s">
        <v>34</v>
      </c>
      <c r="D170" s="1" t="s">
        <v>51</v>
      </c>
      <c r="E170" s="72" t="s">
        <v>222</v>
      </c>
      <c r="F170" s="72">
        <v>12.01</v>
      </c>
      <c r="G170" s="72">
        <v>263</v>
      </c>
      <c r="H170" s="72">
        <v>4</v>
      </c>
      <c r="I170" s="72">
        <v>65</v>
      </c>
      <c r="J170" s="72">
        <v>22</v>
      </c>
      <c r="K170" s="72">
        <v>264</v>
      </c>
      <c r="L170" s="73">
        <f t="shared" si="48"/>
        <v>1.26</v>
      </c>
      <c r="M170" s="73">
        <f t="shared" si="34"/>
        <v>163.06</v>
      </c>
      <c r="N170" s="73">
        <f t="shared" si="49"/>
        <v>1958.3506</v>
      </c>
      <c r="O170" s="73">
        <f t="shared" si="35"/>
        <v>-1.07777777777778</v>
      </c>
      <c r="P170" s="73">
        <f t="shared" si="36"/>
        <v>90.5888888888889</v>
      </c>
      <c r="Q170" s="73">
        <f t="shared" si="37"/>
        <v>1631.95883333333</v>
      </c>
      <c r="R170" s="73">
        <f t="shared" si="38"/>
        <v>90.5888888888889</v>
      </c>
      <c r="S170" s="73">
        <f t="shared" si="39"/>
        <v>2.92222222222222</v>
      </c>
      <c r="T170" s="73">
        <f t="shared" si="40"/>
        <v>-1.07777777777778</v>
      </c>
      <c r="U170" s="73">
        <f t="shared" si="41"/>
        <v>1631.95883333333</v>
      </c>
      <c r="V170" s="74">
        <v>1</v>
      </c>
      <c r="W170" s="73">
        <f t="shared" si="42"/>
        <v>2.92222222222222</v>
      </c>
      <c r="X170" s="73">
        <f t="shared" si="43"/>
        <v>90.5888888888889</v>
      </c>
      <c r="Y170" s="73">
        <f t="shared" si="44"/>
        <v>1631.95883333333</v>
      </c>
      <c r="Z170" s="74">
        <v>0</v>
      </c>
      <c r="AA170" s="73">
        <f t="shared" si="45"/>
        <v>0</v>
      </c>
      <c r="AB170" s="73">
        <f t="shared" si="46"/>
        <v>0</v>
      </c>
      <c r="AC170" s="73">
        <f t="shared" si="47"/>
        <v>0</v>
      </c>
      <c r="AE170" s="61"/>
      <c r="AF170" s="61"/>
    </row>
    <row r="171" ht="20" customHeight="1" spans="1:32">
      <c r="A171" s="1" t="s">
        <v>680</v>
      </c>
      <c r="B171" s="1" t="s">
        <v>735</v>
      </c>
      <c r="C171" s="1" t="s">
        <v>34</v>
      </c>
      <c r="D171" s="1" t="s">
        <v>35</v>
      </c>
      <c r="E171" s="72" t="s">
        <v>141</v>
      </c>
      <c r="F171" s="72">
        <v>15.47</v>
      </c>
      <c r="G171" s="72">
        <v>161</v>
      </c>
      <c r="H171" s="72">
        <v>2</v>
      </c>
      <c r="I171" s="72">
        <v>80</v>
      </c>
      <c r="J171" s="72">
        <v>16</v>
      </c>
      <c r="K171" s="72">
        <v>248</v>
      </c>
      <c r="L171" s="73">
        <f t="shared" si="48"/>
        <v>1.22</v>
      </c>
      <c r="M171" s="73">
        <f t="shared" si="34"/>
        <v>99.82</v>
      </c>
      <c r="N171" s="73">
        <f t="shared" si="49"/>
        <v>1544.2154</v>
      </c>
      <c r="O171" s="73">
        <f t="shared" si="35"/>
        <v>-0.211111111111111</v>
      </c>
      <c r="P171" s="73">
        <f t="shared" si="36"/>
        <v>55.4555555555556</v>
      </c>
      <c r="Q171" s="73">
        <f t="shared" si="37"/>
        <v>1286.84616666667</v>
      </c>
      <c r="R171" s="73">
        <f t="shared" si="38"/>
        <v>55.4555555555556</v>
      </c>
      <c r="S171" s="73">
        <f t="shared" si="39"/>
        <v>1.78888888888889</v>
      </c>
      <c r="T171" s="73">
        <f t="shared" si="40"/>
        <v>-0.211111111111111</v>
      </c>
      <c r="U171" s="73">
        <f t="shared" si="41"/>
        <v>1286.84616666667</v>
      </c>
      <c r="V171" s="74">
        <v>0</v>
      </c>
      <c r="W171" s="73">
        <f t="shared" si="42"/>
        <v>0</v>
      </c>
      <c r="X171" s="73">
        <f t="shared" si="43"/>
        <v>0</v>
      </c>
      <c r="Y171" s="73">
        <f t="shared" si="44"/>
        <v>0</v>
      </c>
      <c r="Z171" s="74">
        <v>1</v>
      </c>
      <c r="AA171" s="73">
        <f t="shared" si="45"/>
        <v>1.78888888888889</v>
      </c>
      <c r="AB171" s="73">
        <f t="shared" si="46"/>
        <v>55.4555555555556</v>
      </c>
      <c r="AC171" s="73">
        <f t="shared" si="47"/>
        <v>1286.84616666667</v>
      </c>
      <c r="AE171" s="61"/>
      <c r="AF171" s="61"/>
    </row>
    <row r="172" ht="20" customHeight="1" spans="1:32">
      <c r="A172" s="1" t="s">
        <v>681</v>
      </c>
      <c r="B172" s="1" t="s">
        <v>736</v>
      </c>
      <c r="C172" s="1" t="s">
        <v>34</v>
      </c>
      <c r="D172" s="1" t="s">
        <v>51</v>
      </c>
      <c r="E172" s="72" t="s">
        <v>737</v>
      </c>
      <c r="F172" s="72">
        <v>12.42</v>
      </c>
      <c r="G172" s="72">
        <v>319</v>
      </c>
      <c r="H172" s="72">
        <v>6</v>
      </c>
      <c r="I172" s="72">
        <v>53</v>
      </c>
      <c r="J172" s="72">
        <v>18</v>
      </c>
      <c r="K172" s="72">
        <v>224</v>
      </c>
      <c r="L172" s="73">
        <f t="shared" si="48"/>
        <v>0.38</v>
      </c>
      <c r="M172" s="73">
        <f t="shared" si="34"/>
        <v>197.78</v>
      </c>
      <c r="N172" s="73">
        <f t="shared" si="49"/>
        <v>2456.4276</v>
      </c>
      <c r="O172" s="73">
        <f t="shared" si="35"/>
        <v>-2.45555555555556</v>
      </c>
      <c r="P172" s="73">
        <f t="shared" si="36"/>
        <v>109.877777777778</v>
      </c>
      <c r="Q172" s="73">
        <f t="shared" si="37"/>
        <v>2047.023</v>
      </c>
      <c r="R172" s="73">
        <f t="shared" si="38"/>
        <v>109.877777777778</v>
      </c>
      <c r="S172" s="73">
        <f t="shared" si="39"/>
        <v>3.54444444444444</v>
      </c>
      <c r="T172" s="73">
        <f t="shared" si="40"/>
        <v>-2.45555555555556</v>
      </c>
      <c r="U172" s="73">
        <f t="shared" si="41"/>
        <v>2047.023</v>
      </c>
      <c r="V172" s="74">
        <v>1</v>
      </c>
      <c r="W172" s="73">
        <f t="shared" si="42"/>
        <v>3.54444444444445</v>
      </c>
      <c r="X172" s="73">
        <f t="shared" si="43"/>
        <v>109.877777777778</v>
      </c>
      <c r="Y172" s="73">
        <f t="shared" si="44"/>
        <v>2047.023</v>
      </c>
      <c r="Z172" s="74">
        <v>0</v>
      </c>
      <c r="AA172" s="73">
        <f t="shared" si="45"/>
        <v>0</v>
      </c>
      <c r="AB172" s="73">
        <f t="shared" si="46"/>
        <v>0</v>
      </c>
      <c r="AC172" s="73">
        <f t="shared" si="47"/>
        <v>0</v>
      </c>
      <c r="AE172" s="61"/>
      <c r="AF172" s="61"/>
    </row>
    <row r="173" ht="20" customHeight="1" spans="1:32">
      <c r="A173" s="1" t="s">
        <v>532</v>
      </c>
      <c r="B173" s="69" t="s">
        <v>533</v>
      </c>
      <c r="C173" s="69" t="s">
        <v>34</v>
      </c>
      <c r="D173" s="69" t="s">
        <v>35</v>
      </c>
      <c r="E173" s="69" t="s">
        <v>500</v>
      </c>
      <c r="F173" s="69">
        <v>19.6</v>
      </c>
      <c r="G173" s="69">
        <v>32</v>
      </c>
      <c r="H173" s="69"/>
      <c r="I173" s="69"/>
      <c r="J173" s="69">
        <v>9</v>
      </c>
      <c r="K173" s="69">
        <v>176</v>
      </c>
      <c r="L173" s="70">
        <f t="shared" si="48"/>
        <v>0.64</v>
      </c>
      <c r="M173" s="70">
        <f t="shared" si="34"/>
        <v>19.84</v>
      </c>
      <c r="N173" s="70">
        <f t="shared" si="49"/>
        <v>388.864</v>
      </c>
      <c r="O173" s="70">
        <f t="shared" si="35"/>
        <v>0.355555555555556</v>
      </c>
      <c r="P173" s="70">
        <f t="shared" si="36"/>
        <v>11.0222222222222</v>
      </c>
      <c r="Q173" s="70">
        <f t="shared" si="37"/>
        <v>324.053333333333</v>
      </c>
      <c r="R173" s="70">
        <f t="shared" si="38"/>
        <v>11.0222222222222</v>
      </c>
      <c r="S173" s="70">
        <f t="shared" si="39"/>
        <v>0.355555555555556</v>
      </c>
      <c r="T173" s="70">
        <f t="shared" si="40"/>
        <v>0.355555555555556</v>
      </c>
      <c r="U173" s="70">
        <f t="shared" si="41"/>
        <v>324.053333333333</v>
      </c>
      <c r="V173" s="71">
        <v>0.5</v>
      </c>
      <c r="W173" s="70">
        <f t="shared" si="42"/>
        <v>0.177777777777777</v>
      </c>
      <c r="X173" s="70">
        <f t="shared" si="43"/>
        <v>5.5111111111111</v>
      </c>
      <c r="Y173" s="70">
        <f t="shared" si="44"/>
        <v>162.026666666666</v>
      </c>
      <c r="Z173" s="71">
        <v>0.5</v>
      </c>
      <c r="AA173" s="70">
        <f t="shared" si="45"/>
        <v>0.177777777777777</v>
      </c>
      <c r="AB173" s="70">
        <f t="shared" si="46"/>
        <v>5.5111111111111</v>
      </c>
      <c r="AC173" s="70">
        <f t="shared" si="47"/>
        <v>162.026666666666</v>
      </c>
      <c r="AD173" s="61" t="s">
        <v>594</v>
      </c>
      <c r="AE173" s="87" t="s">
        <v>682</v>
      </c>
      <c r="AF173" s="61"/>
    </row>
    <row r="174" ht="20" customHeight="1" spans="1:32">
      <c r="A174" s="1" t="s">
        <v>506</v>
      </c>
      <c r="B174" s="1" t="s">
        <v>507</v>
      </c>
      <c r="C174" s="1" t="s">
        <v>34</v>
      </c>
      <c r="D174" s="1" t="s">
        <v>35</v>
      </c>
      <c r="E174" s="72" t="s">
        <v>160</v>
      </c>
      <c r="F174" s="72">
        <v>107.3</v>
      </c>
      <c r="G174" s="72">
        <v>1</v>
      </c>
      <c r="H174" s="72"/>
      <c r="I174" s="72"/>
      <c r="J174" s="72">
        <v>1</v>
      </c>
      <c r="K174" s="72">
        <v>161</v>
      </c>
      <c r="L174" s="73">
        <f t="shared" si="48"/>
        <v>0.02</v>
      </c>
      <c r="M174" s="73">
        <f t="shared" si="34"/>
        <v>0.62</v>
      </c>
      <c r="N174" s="73">
        <f t="shared" si="49"/>
        <v>66.526</v>
      </c>
      <c r="O174" s="73">
        <f t="shared" si="35"/>
        <v>0.0111111111111111</v>
      </c>
      <c r="P174" s="73">
        <f t="shared" si="36"/>
        <v>0.344444444444444</v>
      </c>
      <c r="Q174" s="73">
        <f t="shared" si="37"/>
        <v>55.4383333333333</v>
      </c>
      <c r="R174" s="73">
        <f t="shared" si="38"/>
        <v>0.344444444444444</v>
      </c>
      <c r="S174" s="73">
        <f t="shared" si="39"/>
        <v>0.0111111111111111</v>
      </c>
      <c r="T174" s="73">
        <f t="shared" si="40"/>
        <v>0.0111111111111111</v>
      </c>
      <c r="U174" s="73">
        <f t="shared" si="41"/>
        <v>55.4383333333333</v>
      </c>
      <c r="V174" s="74">
        <v>0</v>
      </c>
      <c r="W174" s="73">
        <f t="shared" si="42"/>
        <v>0</v>
      </c>
      <c r="X174" s="73">
        <f t="shared" si="43"/>
        <v>0</v>
      </c>
      <c r="Y174" s="73">
        <f t="shared" si="44"/>
        <v>0</v>
      </c>
      <c r="Z174" s="74">
        <v>0</v>
      </c>
      <c r="AA174" s="73">
        <f t="shared" si="45"/>
        <v>0</v>
      </c>
      <c r="AB174" s="73">
        <f t="shared" si="46"/>
        <v>0</v>
      </c>
      <c r="AC174" s="73">
        <f t="shared" si="47"/>
        <v>0</v>
      </c>
      <c r="AE174" s="87"/>
      <c r="AF174" s="61"/>
    </row>
    <row r="175" ht="20" customHeight="1" spans="1:32">
      <c r="A175" s="1" t="s">
        <v>683</v>
      </c>
      <c r="B175" s="69" t="s">
        <v>738</v>
      </c>
      <c r="C175" s="69" t="s">
        <v>34</v>
      </c>
      <c r="D175" s="69" t="s">
        <v>35</v>
      </c>
      <c r="E175" s="69" t="s">
        <v>492</v>
      </c>
      <c r="F175" s="69">
        <v>42.63</v>
      </c>
      <c r="G175" s="69">
        <v>2</v>
      </c>
      <c r="H175" s="69"/>
      <c r="I175" s="69"/>
      <c r="J175" s="69">
        <v>2</v>
      </c>
      <c r="K175" s="69">
        <v>128</v>
      </c>
      <c r="L175" s="70">
        <f t="shared" si="48"/>
        <v>0.04</v>
      </c>
      <c r="M175" s="70">
        <f t="shared" si="34"/>
        <v>1.24</v>
      </c>
      <c r="N175" s="70">
        <f t="shared" si="49"/>
        <v>52.8612</v>
      </c>
      <c r="O175" s="70">
        <f t="shared" si="35"/>
        <v>0.0222222222222222</v>
      </c>
      <c r="P175" s="70">
        <f t="shared" si="36"/>
        <v>0.688888888888889</v>
      </c>
      <c r="Q175" s="70">
        <f t="shared" si="37"/>
        <v>44.051</v>
      </c>
      <c r="R175" s="70">
        <f t="shared" si="38"/>
        <v>0.688888888888889</v>
      </c>
      <c r="S175" s="70">
        <f t="shared" si="39"/>
        <v>0.0222222222222222</v>
      </c>
      <c r="T175" s="70">
        <f t="shared" si="40"/>
        <v>0.0222222222222222</v>
      </c>
      <c r="U175" s="70">
        <f t="shared" si="41"/>
        <v>44.051</v>
      </c>
      <c r="V175" s="84">
        <v>1</v>
      </c>
      <c r="W175" s="70">
        <f t="shared" si="42"/>
        <v>0.0222222222222222</v>
      </c>
      <c r="X175" s="70">
        <f t="shared" si="43"/>
        <v>0.688888888888889</v>
      </c>
      <c r="Y175" s="70">
        <f t="shared" si="44"/>
        <v>44.051</v>
      </c>
      <c r="Z175" s="84">
        <v>0</v>
      </c>
      <c r="AA175" s="70">
        <f t="shared" si="45"/>
        <v>0</v>
      </c>
      <c r="AB175" s="70">
        <f t="shared" si="46"/>
        <v>0</v>
      </c>
      <c r="AC175" s="70">
        <f t="shared" si="47"/>
        <v>0</v>
      </c>
      <c r="AD175" s="61" t="s">
        <v>594</v>
      </c>
      <c r="AE175" s="87" t="s">
        <v>684</v>
      </c>
      <c r="AF175" s="61"/>
    </row>
    <row r="176" ht="20" customHeight="1" spans="1:32">
      <c r="A176" s="1" t="s">
        <v>685</v>
      </c>
      <c r="B176" s="1" t="s">
        <v>739</v>
      </c>
      <c r="C176" s="1" t="s">
        <v>34</v>
      </c>
      <c r="D176" s="1" t="s">
        <v>35</v>
      </c>
      <c r="E176" s="72" t="s">
        <v>324</v>
      </c>
      <c r="F176" s="72">
        <v>71.8</v>
      </c>
      <c r="G176" s="72">
        <v>1</v>
      </c>
      <c r="H176" s="72"/>
      <c r="I176" s="72"/>
      <c r="J176" s="72">
        <v>1</v>
      </c>
      <c r="K176" s="72">
        <v>108</v>
      </c>
      <c r="L176" s="73">
        <f t="shared" si="48"/>
        <v>0.02</v>
      </c>
      <c r="M176" s="73">
        <f t="shared" si="34"/>
        <v>0.62</v>
      </c>
      <c r="N176" s="73">
        <f t="shared" si="49"/>
        <v>44.516</v>
      </c>
      <c r="O176" s="73">
        <f t="shared" si="35"/>
        <v>0.0111111111111111</v>
      </c>
      <c r="P176" s="73">
        <f t="shared" si="36"/>
        <v>0.344444444444444</v>
      </c>
      <c r="Q176" s="73">
        <f t="shared" si="37"/>
        <v>37.0966666666667</v>
      </c>
      <c r="R176" s="73">
        <f t="shared" si="38"/>
        <v>0.344444444444444</v>
      </c>
      <c r="S176" s="73">
        <f t="shared" si="39"/>
        <v>0.0111111111111111</v>
      </c>
      <c r="T176" s="73">
        <f t="shared" si="40"/>
        <v>0.0111111111111111</v>
      </c>
      <c r="U176" s="73">
        <f t="shared" si="41"/>
        <v>37.0966666666667</v>
      </c>
      <c r="V176" s="74">
        <v>0.935672514619883</v>
      </c>
      <c r="W176" s="73">
        <f t="shared" si="42"/>
        <v>0.0103963612735542</v>
      </c>
      <c r="X176" s="73">
        <f t="shared" si="43"/>
        <v>0.322287199480181</v>
      </c>
      <c r="Y176" s="73">
        <f t="shared" si="44"/>
        <v>34.7103313840155</v>
      </c>
      <c r="Z176" s="74">
        <v>0.0526315789473684</v>
      </c>
      <c r="AA176" s="73">
        <f t="shared" si="45"/>
        <v>0.000584795321637426</v>
      </c>
      <c r="AB176" s="73">
        <f t="shared" si="46"/>
        <v>0.0181286549707602</v>
      </c>
      <c r="AC176" s="73">
        <f t="shared" si="47"/>
        <v>1.95245614035087</v>
      </c>
      <c r="AE176" s="87"/>
      <c r="AF176" s="61"/>
    </row>
    <row r="177" ht="20" customHeight="1" spans="1:32">
      <c r="A177" s="1" t="s">
        <v>513</v>
      </c>
      <c r="B177" s="1" t="s">
        <v>514</v>
      </c>
      <c r="C177" s="1" t="s">
        <v>34</v>
      </c>
      <c r="D177" s="1" t="s">
        <v>51</v>
      </c>
      <c r="E177" s="72" t="s">
        <v>185</v>
      </c>
      <c r="F177" s="72">
        <v>71.23</v>
      </c>
      <c r="G177" s="72">
        <v>1</v>
      </c>
      <c r="H177" s="72"/>
      <c r="I177" s="72"/>
      <c r="J177" s="72">
        <v>1</v>
      </c>
      <c r="K177" s="72">
        <v>107</v>
      </c>
      <c r="L177" s="73">
        <f t="shared" si="48"/>
        <v>0.02</v>
      </c>
      <c r="M177" s="73">
        <f t="shared" si="34"/>
        <v>0.62</v>
      </c>
      <c r="N177" s="73">
        <f t="shared" si="49"/>
        <v>44.1626</v>
      </c>
      <c r="O177" s="73">
        <f t="shared" si="35"/>
        <v>0.0111111111111111</v>
      </c>
      <c r="P177" s="73">
        <f t="shared" si="36"/>
        <v>0.344444444444444</v>
      </c>
      <c r="Q177" s="73">
        <f t="shared" si="37"/>
        <v>36.8021666666667</v>
      </c>
      <c r="R177" s="73">
        <f t="shared" si="38"/>
        <v>0.344444444444444</v>
      </c>
      <c r="S177" s="73">
        <f t="shared" si="39"/>
        <v>0.0111111111111111</v>
      </c>
      <c r="T177" s="73">
        <f t="shared" si="40"/>
        <v>0.0111111111111111</v>
      </c>
      <c r="U177" s="73">
        <f t="shared" si="41"/>
        <v>36.8021666666667</v>
      </c>
      <c r="V177" s="74">
        <v>1</v>
      </c>
      <c r="W177" s="73">
        <f t="shared" si="42"/>
        <v>0.0111111111111111</v>
      </c>
      <c r="X177" s="73">
        <f t="shared" si="43"/>
        <v>0.344444444444444</v>
      </c>
      <c r="Y177" s="73">
        <f t="shared" si="44"/>
        <v>36.8021666666666</v>
      </c>
      <c r="Z177" s="74">
        <v>0</v>
      </c>
      <c r="AA177" s="73">
        <f t="shared" si="45"/>
        <v>0</v>
      </c>
      <c r="AB177" s="73">
        <f t="shared" si="46"/>
        <v>0</v>
      </c>
      <c r="AC177" s="73">
        <f t="shared" si="47"/>
        <v>0</v>
      </c>
      <c r="AE177" s="87"/>
      <c r="AF177" s="61"/>
    </row>
    <row r="178" ht="20" customHeight="1" spans="1:32">
      <c r="A178" s="1" t="s">
        <v>740</v>
      </c>
      <c r="B178" s="1" t="s">
        <v>741</v>
      </c>
      <c r="C178" s="1" t="s">
        <v>34</v>
      </c>
      <c r="D178" s="1" t="s">
        <v>35</v>
      </c>
      <c r="E178" s="72" t="s">
        <v>110</v>
      </c>
      <c r="F178" s="72">
        <v>17.74</v>
      </c>
      <c r="G178" s="72">
        <v>27</v>
      </c>
      <c r="H178" s="72"/>
      <c r="I178" s="72"/>
      <c r="J178" s="72">
        <v>4</v>
      </c>
      <c r="K178" s="72">
        <v>71</v>
      </c>
      <c r="L178" s="73">
        <f t="shared" si="48"/>
        <v>0.54</v>
      </c>
      <c r="M178" s="73">
        <f t="shared" si="34"/>
        <v>16.74</v>
      </c>
      <c r="N178" s="73">
        <f t="shared" si="49"/>
        <v>296.9676</v>
      </c>
      <c r="O178" s="73">
        <f t="shared" si="35"/>
        <v>0.3</v>
      </c>
      <c r="P178" s="73">
        <f t="shared" si="36"/>
        <v>9.3</v>
      </c>
      <c r="Q178" s="73">
        <f t="shared" si="37"/>
        <v>247.473</v>
      </c>
      <c r="R178" s="73">
        <f t="shared" si="38"/>
        <v>9.3</v>
      </c>
      <c r="S178" s="73">
        <f t="shared" si="39"/>
        <v>0.3</v>
      </c>
      <c r="T178" s="73">
        <f t="shared" si="40"/>
        <v>0.3</v>
      </c>
      <c r="U178" s="73">
        <f t="shared" si="41"/>
        <v>247.473</v>
      </c>
      <c r="V178" s="74">
        <v>0</v>
      </c>
      <c r="W178" s="73">
        <f t="shared" si="42"/>
        <v>0</v>
      </c>
      <c r="X178" s="73">
        <f t="shared" si="43"/>
        <v>0</v>
      </c>
      <c r="Y178" s="73">
        <f t="shared" si="44"/>
        <v>0</v>
      </c>
      <c r="Z178" s="74">
        <v>0</v>
      </c>
      <c r="AA178" s="73">
        <f t="shared" si="45"/>
        <v>0</v>
      </c>
      <c r="AB178" s="73">
        <f t="shared" si="46"/>
        <v>0</v>
      </c>
      <c r="AC178" s="73">
        <f t="shared" si="47"/>
        <v>0</v>
      </c>
      <c r="AE178" s="87"/>
      <c r="AF178" s="61"/>
    </row>
    <row r="179" ht="20" customHeight="1" spans="1:32">
      <c r="A179" s="1" t="s">
        <v>742</v>
      </c>
      <c r="B179" s="1" t="s">
        <v>566</v>
      </c>
      <c r="C179" s="1" t="s">
        <v>34</v>
      </c>
      <c r="D179" s="1" t="s">
        <v>51</v>
      </c>
      <c r="E179" s="72" t="s">
        <v>165</v>
      </c>
      <c r="F179" s="72">
        <v>46.94</v>
      </c>
      <c r="G179" s="72">
        <v>1</v>
      </c>
      <c r="H179" s="72"/>
      <c r="I179" s="72"/>
      <c r="J179" s="72">
        <v>1</v>
      </c>
      <c r="K179" s="72">
        <v>70</v>
      </c>
      <c r="L179" s="73">
        <f t="shared" si="48"/>
        <v>0.02</v>
      </c>
      <c r="M179" s="73">
        <f t="shared" si="34"/>
        <v>0.62</v>
      </c>
      <c r="N179" s="73">
        <f t="shared" si="49"/>
        <v>29.1028</v>
      </c>
      <c r="O179" s="73">
        <f t="shared" si="35"/>
        <v>0.0111111111111111</v>
      </c>
      <c r="P179" s="73">
        <f t="shared" si="36"/>
        <v>0.344444444444444</v>
      </c>
      <c r="Q179" s="73">
        <f t="shared" si="37"/>
        <v>24.2523333333333</v>
      </c>
      <c r="R179" s="73">
        <f t="shared" si="38"/>
        <v>0.344444444444444</v>
      </c>
      <c r="S179" s="73">
        <f t="shared" si="39"/>
        <v>0.0111111111111111</v>
      </c>
      <c r="T179" s="73">
        <f t="shared" si="40"/>
        <v>0.0111111111111111</v>
      </c>
      <c r="U179" s="73">
        <f t="shared" si="41"/>
        <v>24.2523333333333</v>
      </c>
      <c r="V179" s="74">
        <v>0.0540540540540541</v>
      </c>
      <c r="W179" s="73">
        <f t="shared" si="42"/>
        <v>0.0006006006006006</v>
      </c>
      <c r="X179" s="73">
        <f t="shared" si="43"/>
        <v>0.0186186186186186</v>
      </c>
      <c r="Y179" s="73">
        <f t="shared" si="44"/>
        <v>1.31093693693694</v>
      </c>
      <c r="Z179" s="74">
        <v>0.945945945945946</v>
      </c>
      <c r="AA179" s="73">
        <f t="shared" si="45"/>
        <v>0.0105105105105105</v>
      </c>
      <c r="AB179" s="73">
        <f t="shared" si="46"/>
        <v>0.325825825825825</v>
      </c>
      <c r="AC179" s="73">
        <f t="shared" si="47"/>
        <v>22.9413963963964</v>
      </c>
      <c r="AE179" s="87"/>
      <c r="AF179" s="61"/>
    </row>
    <row r="180" ht="20" customHeight="1" spans="1:32">
      <c r="A180" s="1" t="s">
        <v>743</v>
      </c>
      <c r="B180" s="69" t="s">
        <v>744</v>
      </c>
      <c r="C180" s="69" t="s">
        <v>34</v>
      </c>
      <c r="D180" s="69" t="s">
        <v>35</v>
      </c>
      <c r="E180" s="69" t="s">
        <v>365</v>
      </c>
      <c r="F180" s="69">
        <v>33.02</v>
      </c>
      <c r="G180" s="69">
        <v>1</v>
      </c>
      <c r="H180" s="69"/>
      <c r="I180" s="69"/>
      <c r="J180" s="69">
        <v>1</v>
      </c>
      <c r="K180" s="69">
        <v>50</v>
      </c>
      <c r="L180" s="70">
        <f t="shared" si="48"/>
        <v>0.02</v>
      </c>
      <c r="M180" s="70">
        <f t="shared" si="34"/>
        <v>0.62</v>
      </c>
      <c r="N180" s="70">
        <f t="shared" si="49"/>
        <v>20.4724</v>
      </c>
      <c r="O180" s="70">
        <f t="shared" si="35"/>
        <v>0.0111111111111111</v>
      </c>
      <c r="P180" s="70">
        <f t="shared" si="36"/>
        <v>0.344444444444444</v>
      </c>
      <c r="Q180" s="70">
        <f t="shared" si="37"/>
        <v>17.0603333333333</v>
      </c>
      <c r="R180" s="70">
        <f t="shared" si="38"/>
        <v>0.344444444444444</v>
      </c>
      <c r="S180" s="70">
        <f t="shared" si="39"/>
        <v>0.0111111111111111</v>
      </c>
      <c r="T180" s="70">
        <f t="shared" si="40"/>
        <v>0.0111111111111111</v>
      </c>
      <c r="U180" s="70">
        <f t="shared" si="41"/>
        <v>17.0603333333333</v>
      </c>
      <c r="V180" s="84">
        <v>1</v>
      </c>
      <c r="W180" s="70">
        <f t="shared" si="42"/>
        <v>0.0111111111111111</v>
      </c>
      <c r="X180" s="70">
        <f t="shared" si="43"/>
        <v>0.344444444444444</v>
      </c>
      <c r="Y180" s="70">
        <f t="shared" si="44"/>
        <v>17.0603333333333</v>
      </c>
      <c r="Z180" s="84">
        <v>0</v>
      </c>
      <c r="AA180" s="70">
        <f t="shared" si="45"/>
        <v>0</v>
      </c>
      <c r="AB180" s="70">
        <f t="shared" si="46"/>
        <v>0</v>
      </c>
      <c r="AC180" s="70">
        <f t="shared" si="47"/>
        <v>0</v>
      </c>
      <c r="AD180" s="61" t="s">
        <v>594</v>
      </c>
      <c r="AE180" s="87" t="s">
        <v>745</v>
      </c>
      <c r="AF180" s="61"/>
    </row>
    <row r="181" ht="20" customHeight="1" spans="1:32">
      <c r="A181" s="1" t="s">
        <v>462</v>
      </c>
      <c r="B181" s="1" t="s">
        <v>463</v>
      </c>
      <c r="C181" s="1" t="s">
        <v>34</v>
      </c>
      <c r="D181" s="1" t="s">
        <v>35</v>
      </c>
      <c r="E181" s="72" t="s">
        <v>264</v>
      </c>
      <c r="F181" s="72">
        <v>21.67</v>
      </c>
      <c r="G181" s="72">
        <v>22</v>
      </c>
      <c r="H181" s="72"/>
      <c r="I181" s="72"/>
      <c r="J181" s="72">
        <v>1</v>
      </c>
      <c r="K181" s="72">
        <v>22</v>
      </c>
      <c r="L181" s="73">
        <f t="shared" si="48"/>
        <v>0.44</v>
      </c>
      <c r="M181" s="73">
        <f t="shared" si="34"/>
        <v>13.64</v>
      </c>
      <c r="N181" s="73">
        <f t="shared" si="49"/>
        <v>295.5788</v>
      </c>
      <c r="O181" s="73">
        <f t="shared" si="35"/>
        <v>0.244444444444444</v>
      </c>
      <c r="P181" s="73">
        <f t="shared" si="36"/>
        <v>7.57777777777778</v>
      </c>
      <c r="Q181" s="73">
        <f t="shared" si="37"/>
        <v>246.315666666667</v>
      </c>
      <c r="R181" s="73">
        <f t="shared" si="38"/>
        <v>7.57777777777778</v>
      </c>
      <c r="S181" s="73">
        <f t="shared" si="39"/>
        <v>0.244444444444444</v>
      </c>
      <c r="T181" s="73">
        <f t="shared" si="40"/>
        <v>0.244444444444444</v>
      </c>
      <c r="U181" s="73">
        <f t="shared" si="41"/>
        <v>246.315666666667</v>
      </c>
      <c r="V181" s="74">
        <v>0.102564102564103</v>
      </c>
      <c r="W181" s="73">
        <f t="shared" si="42"/>
        <v>0.0250712250712252</v>
      </c>
      <c r="X181" s="73">
        <f t="shared" si="43"/>
        <v>0.777207977207981</v>
      </c>
      <c r="Y181" s="73">
        <f t="shared" si="44"/>
        <v>25.2631452991454</v>
      </c>
      <c r="Z181" s="74">
        <v>0.897435897435897</v>
      </c>
      <c r="AA181" s="73">
        <f t="shared" si="45"/>
        <v>0.219373219373219</v>
      </c>
      <c r="AB181" s="73">
        <f t="shared" si="46"/>
        <v>6.8005698005698</v>
      </c>
      <c r="AC181" s="73">
        <f t="shared" si="47"/>
        <v>221.052521367521</v>
      </c>
      <c r="AE181" s="61"/>
      <c r="AF181" s="61"/>
    </row>
    <row r="182" ht="20" customHeight="1" spans="1:32">
      <c r="A182" s="1" t="s">
        <v>746</v>
      </c>
      <c r="B182" s="1" t="s">
        <v>747</v>
      </c>
      <c r="C182" s="1" t="s">
        <v>34</v>
      </c>
      <c r="D182" s="1" t="s">
        <v>35</v>
      </c>
      <c r="E182" s="72" t="s">
        <v>41</v>
      </c>
      <c r="F182" s="72">
        <v>59.21</v>
      </c>
      <c r="G182" s="72">
        <v>589</v>
      </c>
      <c r="H182" s="72">
        <v>12</v>
      </c>
      <c r="I182" s="72">
        <v>49</v>
      </c>
      <c r="J182" s="72"/>
      <c r="K182" s="72"/>
      <c r="L182" s="73">
        <f t="shared" si="48"/>
        <v>-0.22</v>
      </c>
      <c r="M182" s="73">
        <f t="shared" si="34"/>
        <v>365.18</v>
      </c>
      <c r="N182" s="73">
        <f t="shared" si="49"/>
        <v>21622.3078</v>
      </c>
      <c r="O182" s="73">
        <f t="shared" si="35"/>
        <v>-5.45555555555556</v>
      </c>
      <c r="P182" s="73">
        <f t="shared" si="36"/>
        <v>202.877777777778</v>
      </c>
      <c r="Q182" s="73">
        <f t="shared" si="37"/>
        <v>18018.5898333333</v>
      </c>
      <c r="R182" s="73">
        <f t="shared" si="38"/>
        <v>202.877777777778</v>
      </c>
      <c r="S182" s="73">
        <f t="shared" si="39"/>
        <v>6.54444444444444</v>
      </c>
      <c r="T182" s="73">
        <f t="shared" si="40"/>
        <v>-5.45555555555556</v>
      </c>
      <c r="U182" s="73">
        <f t="shared" si="41"/>
        <v>18018.5898333333</v>
      </c>
      <c r="V182" s="74">
        <v>1</v>
      </c>
      <c r="W182" s="73">
        <f t="shared" si="42"/>
        <v>6.54444444444445</v>
      </c>
      <c r="X182" s="73">
        <f t="shared" si="43"/>
        <v>202.877777777778</v>
      </c>
      <c r="Y182" s="73">
        <f t="shared" si="44"/>
        <v>18018.5898333334</v>
      </c>
      <c r="Z182" s="74">
        <v>0</v>
      </c>
      <c r="AA182" s="73">
        <f t="shared" si="45"/>
        <v>0</v>
      </c>
      <c r="AB182" s="73">
        <f t="shared" si="46"/>
        <v>0</v>
      </c>
      <c r="AC182" s="73">
        <f t="shared" si="47"/>
        <v>0</v>
      </c>
      <c r="AE182" s="61"/>
      <c r="AF182" s="61"/>
    </row>
    <row r="183" customHeight="1" spans="1:32">
      <c r="AE183" s="61"/>
      <c r="AF183" s="6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Q182" etc:filterBottomFollowUsedRange="0">
    <sortState ref="A3:Q182">
      <sortCondition ref="Q3:Q189" descending="1"/>
    </sortState>
    <extLst/>
  </autoFilter>
  <mergeCells count="3">
    <mergeCell ref="R1:U2"/>
    <mergeCell ref="V1:Y2"/>
    <mergeCell ref="Z1:AC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I189"/>
  <sheetViews>
    <sheetView workbookViewId="0">
      <pane ySplit="3" topLeftCell="A4" activePane="bottomLeft" state="frozen"/>
      <selection/>
      <selection pane="bottomLeft" activeCell="AE10" sqref="AE10"/>
    </sheetView>
  </sheetViews>
  <sheetFormatPr defaultColWidth="9" defaultRowHeight="11.25" customHeight="1"/>
  <cols>
    <col min="1" max="1" width="9" style="7"/>
    <col min="2" max="2" width="24.3333333333333" style="7" customWidth="1"/>
    <col min="3" max="5" width="9" style="7" hidden="1" customWidth="1"/>
    <col min="6" max="9" width="6.66666666666667" style="7" hidden="1" customWidth="1"/>
    <col min="10" max="10" width="6.66666666666667" style="7" customWidth="1"/>
    <col min="11" max="11" width="6.66666666666667" style="24" customWidth="1"/>
    <col min="12" max="14" width="8.66666666666667" style="7" hidden="1" customWidth="1"/>
    <col min="15" max="17" width="7.5" style="7" hidden="1" customWidth="1"/>
    <col min="18" max="21" width="7.25" style="7" hidden="1" customWidth="1"/>
    <col min="22" max="22" width="7.5" style="7" customWidth="1"/>
    <col min="23" max="23" width="7.25" style="7" customWidth="1"/>
    <col min="24" max="25" width="7.5" style="7" customWidth="1"/>
    <col min="26" max="26" width="8.875" style="7" customWidth="1"/>
    <col min="27" max="27" width="8.875" style="25" customWidth="1"/>
    <col min="28" max="29" width="8.875" style="7" customWidth="1"/>
    <col min="30" max="30" width="8.25" customWidth="1"/>
    <col min="31" max="31" width="7.5" style="7" customWidth="1"/>
    <col min="32" max="32" width="7" style="7" customWidth="1"/>
    <col min="33" max="33" width="9.25" style="7" customWidth="1"/>
    <col min="34" max="34" width="9.625" style="25" customWidth="1"/>
    <col min="35" max="35" width="11.5" style="7" customWidth="1"/>
    <col min="37" max="38" width="12.625"/>
  </cols>
  <sheetData>
    <row r="1" customHeight="1" spans="1:35">
      <c r="R1" s="8" t="s">
        <v>748</v>
      </c>
      <c r="S1" s="8"/>
      <c r="T1" s="8"/>
      <c r="U1" s="8"/>
      <c r="V1" s="26" t="s">
        <v>1</v>
      </c>
      <c r="W1" s="26"/>
      <c r="X1" s="26"/>
      <c r="Y1" s="26"/>
      <c r="Z1" s="26"/>
      <c r="AA1" s="27"/>
      <c r="AB1" s="26"/>
      <c r="AC1" s="28" t="s">
        <v>2</v>
      </c>
      <c r="AD1" s="28"/>
      <c r="AE1" s="28"/>
      <c r="AF1" s="29"/>
      <c r="AG1" s="30" t="s">
        <v>749</v>
      </c>
      <c r="AH1" s="31"/>
      <c r="AI1" s="30"/>
    </row>
    <row r="2" customHeight="1" spans="1:35">
      <c r="R2" s="8"/>
      <c r="S2" s="8"/>
      <c r="T2" s="8"/>
      <c r="U2" s="8"/>
      <c r="V2" s="32"/>
      <c r="W2" s="32"/>
      <c r="X2" s="32"/>
      <c r="Y2" s="32"/>
      <c r="Z2" s="32"/>
      <c r="AA2" s="33"/>
      <c r="AB2" s="32"/>
      <c r="AC2" s="34"/>
      <c r="AD2" s="34"/>
      <c r="AE2" s="34"/>
      <c r="AF2" s="35"/>
      <c r="AG2" s="36"/>
      <c r="AH2" s="37"/>
      <c r="AI2" s="36"/>
    </row>
    <row r="3" ht="27" customHeight="1" spans="1:35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750</v>
      </c>
      <c r="K3" s="38" t="s">
        <v>751</v>
      </c>
      <c r="L3" s="17" t="s">
        <v>14</v>
      </c>
      <c r="M3" s="17" t="s">
        <v>15</v>
      </c>
      <c r="N3" s="17" t="s">
        <v>16</v>
      </c>
      <c r="O3" s="18" t="s">
        <v>17</v>
      </c>
      <c r="P3" s="18" t="s">
        <v>18</v>
      </c>
      <c r="Q3" s="18" t="s">
        <v>535</v>
      </c>
      <c r="R3" s="8" t="s">
        <v>20</v>
      </c>
      <c r="S3" s="8" t="s">
        <v>21</v>
      </c>
      <c r="T3" s="8" t="s">
        <v>22</v>
      </c>
      <c r="U3" s="8" t="s">
        <v>23</v>
      </c>
      <c r="V3" s="39" t="s">
        <v>24</v>
      </c>
      <c r="W3" s="39" t="s">
        <v>21</v>
      </c>
      <c r="X3" s="40" t="s">
        <v>752</v>
      </c>
      <c r="Y3" s="40" t="s">
        <v>26</v>
      </c>
      <c r="Z3" s="41" t="s">
        <v>753</v>
      </c>
      <c r="AA3" s="42" t="s">
        <v>754</v>
      </c>
      <c r="AB3" s="41" t="s">
        <v>755</v>
      </c>
      <c r="AC3" s="43" t="s">
        <v>24</v>
      </c>
      <c r="AD3" s="43" t="s">
        <v>21</v>
      </c>
      <c r="AE3" s="44" t="s">
        <v>752</v>
      </c>
      <c r="AF3" s="44" t="s">
        <v>27</v>
      </c>
      <c r="AG3" s="45" t="s">
        <v>753</v>
      </c>
      <c r="AH3" s="46" t="s">
        <v>754</v>
      </c>
      <c r="AI3" s="45" t="s">
        <v>755</v>
      </c>
    </row>
    <row r="4" ht="15" customHeight="1" spans="1:35">
      <c r="A4" s="7" t="s">
        <v>55</v>
      </c>
      <c r="B4" s="47" t="s">
        <v>56</v>
      </c>
      <c r="C4" s="7" t="s">
        <v>34</v>
      </c>
      <c r="D4" s="7" t="s">
        <v>35</v>
      </c>
      <c r="E4" s="7" t="s">
        <v>57</v>
      </c>
      <c r="F4" s="48">
        <v>205.86</v>
      </c>
      <c r="G4" s="48">
        <v>2047</v>
      </c>
      <c r="H4" s="48">
        <v>17</v>
      </c>
      <c r="I4" s="48">
        <v>120</v>
      </c>
      <c r="J4" s="48">
        <v>1187</v>
      </c>
      <c r="K4" s="7">
        <v>295718</v>
      </c>
      <c r="L4" s="21">
        <f t="shared" ref="L4:L67" si="0">(G4-(H4*50))/50</f>
        <v>23.94</v>
      </c>
      <c r="M4" s="21">
        <f t="shared" ref="M4:M67" si="1">31*(L4+H4)</f>
        <v>1269.14</v>
      </c>
      <c r="N4" s="21">
        <f t="shared" ref="N4:N67" si="2">M4*F4</f>
        <v>261265.1604</v>
      </c>
      <c r="O4" s="21">
        <f t="shared" ref="O4:O67" si="3">(G4-(H4*90))/90</f>
        <v>5.74444444444444</v>
      </c>
      <c r="P4" s="21">
        <f t="shared" ref="P4:P67" si="4">31*(O4+H4)</f>
        <v>705.077777777778</v>
      </c>
      <c r="Q4" s="21">
        <f t="shared" ref="Q4:Q67" si="5">(O4+H4)*31*F4*1.5</f>
        <v>217720.967</v>
      </c>
      <c r="R4" s="21">
        <f t="shared" ref="R4:R67" si="6">P4</f>
        <v>705.077777777778</v>
      </c>
      <c r="S4" s="21">
        <f t="shared" ref="S4:S67" si="7">R4/31</f>
        <v>22.7444444444444</v>
      </c>
      <c r="T4" s="21">
        <f t="shared" ref="T4:T67" si="8">S4-H4</f>
        <v>5.74444444444444</v>
      </c>
      <c r="U4" s="21">
        <f>Q4</f>
        <v>217720.967</v>
      </c>
      <c r="V4" s="49">
        <v>0.4</v>
      </c>
      <c r="W4" s="21">
        <f>X4/31</f>
        <v>9.09777777777778</v>
      </c>
      <c r="X4" s="21">
        <f>R4*V4</f>
        <v>282.031111111111</v>
      </c>
      <c r="Y4" s="21">
        <f>X4*F4*1.5</f>
        <v>87088.3868</v>
      </c>
      <c r="Z4" s="50">
        <v>170</v>
      </c>
      <c r="AA4" s="51">
        <f>Z4*F4</f>
        <v>34996.2</v>
      </c>
      <c r="AB4" s="52">
        <f>Z4/X4</f>
        <v>0.602770379942323</v>
      </c>
      <c r="AC4" s="49">
        <v>0.6</v>
      </c>
      <c r="AD4" s="21">
        <f>AE4/31</f>
        <v>13.6466666666667</v>
      </c>
      <c r="AE4" s="21">
        <f>R4*AC4</f>
        <v>423.046666666667</v>
      </c>
      <c r="AF4" s="21">
        <f>F4*AE4*1.5</f>
        <v>130632.5802</v>
      </c>
      <c r="AG4" s="7">
        <v>424</v>
      </c>
      <c r="AH4" s="25">
        <f>AG4*F4</f>
        <v>87284.64</v>
      </c>
      <c r="AI4" s="53">
        <f>AG4/AE4</f>
        <v>1.00225349449233</v>
      </c>
    </row>
    <row r="5" ht="15" customHeight="1" spans="1:35">
      <c r="A5" s="7" t="s">
        <v>559</v>
      </c>
      <c r="B5" s="47" t="s">
        <v>689</v>
      </c>
      <c r="C5" s="7" t="s">
        <v>34</v>
      </c>
      <c r="D5" s="7" t="s">
        <v>51</v>
      </c>
      <c r="E5" s="7" t="s">
        <v>690</v>
      </c>
      <c r="F5" s="48">
        <v>160.23</v>
      </c>
      <c r="G5" s="48">
        <v>1820</v>
      </c>
      <c r="H5" s="48">
        <v>14</v>
      </c>
      <c r="I5" s="48">
        <v>130</v>
      </c>
      <c r="J5" s="48">
        <v>1095</v>
      </c>
      <c r="K5" s="7">
        <v>216711</v>
      </c>
      <c r="L5" s="21">
        <f t="shared" si="0"/>
        <v>22.4</v>
      </c>
      <c r="M5" s="21">
        <f t="shared" si="1"/>
        <v>1128.4</v>
      </c>
      <c r="N5" s="21">
        <f t="shared" si="2"/>
        <v>180803.532</v>
      </c>
      <c r="O5" s="21">
        <f t="shared" si="3"/>
        <v>6.22222222222222</v>
      </c>
      <c r="P5" s="21">
        <f t="shared" si="4"/>
        <v>626.888888888889</v>
      </c>
      <c r="Q5" s="21">
        <f t="shared" si="5"/>
        <v>150669.61</v>
      </c>
      <c r="R5" s="21">
        <f t="shared" si="6"/>
        <v>626.888888888889</v>
      </c>
      <c r="S5" s="21">
        <f t="shared" si="7"/>
        <v>20.2222222222222</v>
      </c>
      <c r="T5" s="21">
        <f t="shared" si="8"/>
        <v>6.22222222222222</v>
      </c>
      <c r="U5" s="21">
        <f t="shared" ref="U4:U67" si="9">Q5</f>
        <v>150669.61</v>
      </c>
      <c r="V5" s="49">
        <v>0.3</v>
      </c>
      <c r="W5" s="21">
        <f t="shared" ref="W5:W36" si="10">X5/31</f>
        <v>6.06666666666667</v>
      </c>
      <c r="X5" s="21">
        <f t="shared" ref="X5:X36" si="11">R5*V5</f>
        <v>188.066666666667</v>
      </c>
      <c r="Y5" s="21">
        <f t="shared" ref="Y5:Y36" si="12">X5*F5*1.5</f>
        <v>45200.883</v>
      </c>
      <c r="Z5" s="50">
        <v>202</v>
      </c>
      <c r="AA5" s="51">
        <f t="shared" ref="AA5:AA36" si="13">Z5*F5</f>
        <v>32366.46</v>
      </c>
      <c r="AB5" s="52">
        <f t="shared" ref="AB5:AB36" si="14">Z5/X5</f>
        <v>1.07408720311946</v>
      </c>
      <c r="AC5" s="49">
        <v>0.7</v>
      </c>
      <c r="AD5" s="21">
        <f t="shared" ref="AD5:AD36" si="15">AE5/31</f>
        <v>14.1555555555556</v>
      </c>
      <c r="AE5" s="21">
        <f t="shared" ref="AE5:AE36" si="16">R5*AC5</f>
        <v>438.822222222222</v>
      </c>
      <c r="AF5" s="21">
        <f t="shared" ref="AF5:AF36" si="17">F5*AE5*1.5</f>
        <v>105468.727</v>
      </c>
      <c r="AG5" s="7">
        <v>430</v>
      </c>
      <c r="AH5" s="25">
        <f t="shared" ref="AH5:AH36" si="18">AG5*F5</f>
        <v>68898.9</v>
      </c>
      <c r="AI5" s="53">
        <f t="shared" ref="AI5:AI36" si="19">AG5/AE5</f>
        <v>0.97989568035651</v>
      </c>
    </row>
    <row r="6" ht="15" customHeight="1" spans="1:35">
      <c r="A6" s="7" t="s">
        <v>756</v>
      </c>
      <c r="B6" s="54" t="s">
        <v>757</v>
      </c>
      <c r="C6" s="7" t="s">
        <v>34</v>
      </c>
      <c r="D6" s="7" t="s">
        <v>51</v>
      </c>
      <c r="E6" s="7" t="s">
        <v>758</v>
      </c>
      <c r="F6" s="48">
        <v>60.44</v>
      </c>
      <c r="G6" s="48">
        <v>4494</v>
      </c>
      <c r="H6" s="48">
        <v>82</v>
      </c>
      <c r="I6" s="48">
        <v>54</v>
      </c>
      <c r="J6" s="48">
        <v>374</v>
      </c>
      <c r="K6" s="7">
        <v>22605</v>
      </c>
      <c r="L6" s="21">
        <f t="shared" si="0"/>
        <v>7.88</v>
      </c>
      <c r="M6" s="21">
        <f t="shared" si="1"/>
        <v>2786.28</v>
      </c>
      <c r="N6" s="21">
        <f t="shared" si="2"/>
        <v>168402.7632</v>
      </c>
      <c r="O6" s="21">
        <f t="shared" si="3"/>
        <v>-32.0666666666667</v>
      </c>
      <c r="P6" s="21">
        <f t="shared" si="4"/>
        <v>1547.93333333333</v>
      </c>
      <c r="Q6" s="21">
        <f t="shared" si="5"/>
        <v>140335.636</v>
      </c>
      <c r="R6" s="21">
        <f t="shared" si="6"/>
        <v>1547.93333333333</v>
      </c>
      <c r="S6" s="21">
        <f t="shared" si="7"/>
        <v>49.9333333333333</v>
      </c>
      <c r="T6" s="21">
        <f t="shared" si="8"/>
        <v>-32.0666666666667</v>
      </c>
      <c r="U6" s="21">
        <f t="shared" si="9"/>
        <v>140335.636</v>
      </c>
      <c r="V6" s="49">
        <v>0.5</v>
      </c>
      <c r="W6" s="21">
        <f t="shared" si="10"/>
        <v>24.9666666666667</v>
      </c>
      <c r="X6" s="21">
        <f t="shared" si="11"/>
        <v>773.966666666667</v>
      </c>
      <c r="Y6" s="21">
        <f t="shared" si="12"/>
        <v>70167.818</v>
      </c>
      <c r="Z6" s="50">
        <v>2717</v>
      </c>
      <c r="AA6" s="51">
        <f t="shared" si="13"/>
        <v>164215.48</v>
      </c>
      <c r="AB6" s="52">
        <f t="shared" si="14"/>
        <v>3.51048710108101</v>
      </c>
      <c r="AC6" s="49">
        <v>0.5</v>
      </c>
      <c r="AD6" s="21">
        <f t="shared" si="15"/>
        <v>24.9666666666667</v>
      </c>
      <c r="AE6" s="21">
        <f t="shared" si="16"/>
        <v>773.966666666667</v>
      </c>
      <c r="AF6" s="21">
        <f t="shared" si="17"/>
        <v>70167.818</v>
      </c>
      <c r="AG6" s="7">
        <v>2851</v>
      </c>
      <c r="AH6" s="25">
        <f t="shared" si="18"/>
        <v>172314.44</v>
      </c>
      <c r="AI6" s="53">
        <f t="shared" si="19"/>
        <v>3.68362117231577</v>
      </c>
    </row>
    <row r="7" ht="15" customHeight="1" spans="1:35">
      <c r="A7" s="7" t="s">
        <v>538</v>
      </c>
      <c r="B7" s="47" t="s">
        <v>546</v>
      </c>
      <c r="C7" s="7" t="s">
        <v>34</v>
      </c>
      <c r="D7" s="7" t="s">
        <v>35</v>
      </c>
      <c r="E7" s="7" t="s">
        <v>141</v>
      </c>
      <c r="F7" s="48">
        <v>99.03</v>
      </c>
      <c r="G7" s="48">
        <v>2518</v>
      </c>
      <c r="H7" s="48">
        <v>20</v>
      </c>
      <c r="I7" s="48">
        <v>125</v>
      </c>
      <c r="J7" s="48">
        <v>1510</v>
      </c>
      <c r="K7" s="7">
        <v>184344</v>
      </c>
      <c r="L7" s="21">
        <f t="shared" si="0"/>
        <v>30.36</v>
      </c>
      <c r="M7" s="21">
        <f t="shared" si="1"/>
        <v>1561.16</v>
      </c>
      <c r="N7" s="21">
        <f t="shared" si="2"/>
        <v>154601.6748</v>
      </c>
      <c r="O7" s="21">
        <f t="shared" si="3"/>
        <v>7.97777777777778</v>
      </c>
      <c r="P7" s="21">
        <f t="shared" si="4"/>
        <v>867.311111111111</v>
      </c>
      <c r="Q7" s="21">
        <f t="shared" si="5"/>
        <v>128834.729</v>
      </c>
      <c r="R7" s="21">
        <f t="shared" si="6"/>
        <v>867.311111111111</v>
      </c>
      <c r="S7" s="21">
        <f t="shared" si="7"/>
        <v>27.9777777777778</v>
      </c>
      <c r="T7" s="21">
        <f t="shared" si="8"/>
        <v>7.97777777777778</v>
      </c>
      <c r="U7" s="21">
        <f t="shared" si="9"/>
        <v>128834.729</v>
      </c>
      <c r="V7" s="22">
        <v>0.705179282868526</v>
      </c>
      <c r="W7" s="21">
        <f t="shared" si="10"/>
        <v>19.7293492695883</v>
      </c>
      <c r="X7" s="21">
        <f t="shared" si="11"/>
        <v>611.609827357238</v>
      </c>
      <c r="Y7" s="21">
        <f t="shared" si="12"/>
        <v>90851.5818047809</v>
      </c>
      <c r="Z7" s="50">
        <v>332</v>
      </c>
      <c r="AA7" s="51">
        <f t="shared" si="13"/>
        <v>32877.96</v>
      </c>
      <c r="AB7" s="52">
        <f t="shared" si="14"/>
        <v>0.542829734169854</v>
      </c>
      <c r="AC7" s="22">
        <v>0.286852589641434</v>
      </c>
      <c r="AD7" s="21">
        <f t="shared" si="15"/>
        <v>8.02549800796812</v>
      </c>
      <c r="AE7" s="21">
        <f t="shared" si="16"/>
        <v>248.790438247012</v>
      </c>
      <c r="AF7" s="21">
        <f t="shared" si="17"/>
        <v>36956.5756494024</v>
      </c>
      <c r="AG7" s="7">
        <v>219</v>
      </c>
      <c r="AH7" s="25">
        <f t="shared" si="18"/>
        <v>21687.57</v>
      </c>
      <c r="AI7" s="53">
        <f t="shared" si="19"/>
        <v>0.880258910041251</v>
      </c>
    </row>
    <row r="8" ht="15" customHeight="1" spans="1:35">
      <c r="A8" s="7" t="s">
        <v>49</v>
      </c>
      <c r="B8" s="47" t="s">
        <v>50</v>
      </c>
      <c r="C8" s="7" t="s">
        <v>34</v>
      </c>
      <c r="D8" s="7" t="s">
        <v>51</v>
      </c>
      <c r="E8" s="7" t="s">
        <v>52</v>
      </c>
      <c r="F8" s="48">
        <v>702.86</v>
      </c>
      <c r="G8" s="48">
        <v>270</v>
      </c>
      <c r="H8" s="55"/>
      <c r="I8" s="55"/>
      <c r="J8" s="48">
        <v>222</v>
      </c>
      <c r="K8" s="7">
        <v>220347</v>
      </c>
      <c r="L8" s="21" t="s">
        <v>92</v>
      </c>
      <c r="M8" s="21" t="e">
        <f t="shared" si="1"/>
        <v>#VALUE!</v>
      </c>
      <c r="N8" s="21" t="e">
        <f t="shared" si="2"/>
        <v>#VALUE!</v>
      </c>
      <c r="O8" s="21">
        <f t="shared" si="3"/>
        <v>3</v>
      </c>
      <c r="P8" s="21">
        <f t="shared" si="4"/>
        <v>93</v>
      </c>
      <c r="Q8" s="21">
        <f t="shared" si="5"/>
        <v>98048.97</v>
      </c>
      <c r="R8" s="21">
        <f t="shared" si="6"/>
        <v>93</v>
      </c>
      <c r="S8" s="21">
        <f t="shared" si="7"/>
        <v>3</v>
      </c>
      <c r="T8" s="21">
        <f t="shared" si="8"/>
        <v>3</v>
      </c>
      <c r="U8" s="21">
        <f t="shared" si="9"/>
        <v>98048.97</v>
      </c>
      <c r="V8" s="49">
        <v>0.5</v>
      </c>
      <c r="W8" s="21">
        <f t="shared" si="10"/>
        <v>1.5</v>
      </c>
      <c r="X8" s="21">
        <f t="shared" si="11"/>
        <v>46.5</v>
      </c>
      <c r="Y8" s="21">
        <f t="shared" si="12"/>
        <v>49024.485</v>
      </c>
      <c r="Z8" s="50">
        <v>8</v>
      </c>
      <c r="AA8" s="51">
        <f t="shared" si="13"/>
        <v>5622.88</v>
      </c>
      <c r="AB8" s="52">
        <f t="shared" si="14"/>
        <v>0.172043010752688</v>
      </c>
      <c r="AC8" s="49">
        <v>0.5</v>
      </c>
      <c r="AD8" s="21">
        <f t="shared" si="15"/>
        <v>1.5</v>
      </c>
      <c r="AE8" s="21">
        <f t="shared" si="16"/>
        <v>46.5</v>
      </c>
      <c r="AF8" s="21">
        <f t="shared" si="17"/>
        <v>49024.485</v>
      </c>
      <c r="AG8" s="7">
        <v>68</v>
      </c>
      <c r="AH8" s="25">
        <f t="shared" si="18"/>
        <v>47794.48</v>
      </c>
      <c r="AI8" s="53">
        <f t="shared" si="19"/>
        <v>1.46236559139785</v>
      </c>
    </row>
    <row r="9" ht="15" customHeight="1" spans="1:35">
      <c r="A9" s="7" t="s">
        <v>123</v>
      </c>
      <c r="B9" s="47" t="s">
        <v>124</v>
      </c>
      <c r="C9" s="7" t="s">
        <v>34</v>
      </c>
      <c r="D9" s="7" t="s">
        <v>35</v>
      </c>
      <c r="E9" s="7" t="s">
        <v>125</v>
      </c>
      <c r="F9" s="48">
        <v>95.46</v>
      </c>
      <c r="G9" s="48">
        <v>1678</v>
      </c>
      <c r="H9" s="48">
        <v>12</v>
      </c>
      <c r="I9" s="48">
        <v>139</v>
      </c>
      <c r="J9" s="48">
        <v>1070</v>
      </c>
      <c r="K9" s="7">
        <v>129969</v>
      </c>
      <c r="L9" s="21">
        <f t="shared" si="0"/>
        <v>21.56</v>
      </c>
      <c r="M9" s="21">
        <f t="shared" si="1"/>
        <v>1040.36</v>
      </c>
      <c r="N9" s="21">
        <f t="shared" si="2"/>
        <v>99312.7656</v>
      </c>
      <c r="O9" s="21">
        <f t="shared" si="3"/>
        <v>6.64444444444444</v>
      </c>
      <c r="P9" s="21">
        <f t="shared" si="4"/>
        <v>577.977777777778</v>
      </c>
      <c r="Q9" s="21">
        <f t="shared" si="5"/>
        <v>82760.638</v>
      </c>
      <c r="R9" s="21">
        <f t="shared" si="6"/>
        <v>577.977777777778</v>
      </c>
      <c r="S9" s="21">
        <f t="shared" si="7"/>
        <v>18.6444444444444</v>
      </c>
      <c r="T9" s="21">
        <f t="shared" si="8"/>
        <v>6.64444444444445</v>
      </c>
      <c r="U9" s="21">
        <f t="shared" si="9"/>
        <v>82760.638</v>
      </c>
      <c r="V9" s="49">
        <v>0.6</v>
      </c>
      <c r="W9" s="21">
        <f t="shared" si="10"/>
        <v>11.1866666666667</v>
      </c>
      <c r="X9" s="21">
        <f t="shared" si="11"/>
        <v>346.786666666667</v>
      </c>
      <c r="Y9" s="21">
        <f t="shared" si="12"/>
        <v>49656.3828</v>
      </c>
      <c r="Z9" s="50">
        <v>169</v>
      </c>
      <c r="AA9" s="51">
        <f t="shared" si="13"/>
        <v>16132.74</v>
      </c>
      <c r="AB9" s="52">
        <f t="shared" si="14"/>
        <v>0.487331308393248</v>
      </c>
      <c r="AC9" s="49">
        <v>0.4</v>
      </c>
      <c r="AD9" s="21">
        <f t="shared" si="15"/>
        <v>7.45777777777778</v>
      </c>
      <c r="AE9" s="21">
        <f t="shared" si="16"/>
        <v>231.191111111111</v>
      </c>
      <c r="AF9" s="21">
        <f t="shared" si="17"/>
        <v>33104.2552</v>
      </c>
      <c r="AG9" s="7">
        <v>343</v>
      </c>
      <c r="AH9" s="25">
        <f t="shared" si="18"/>
        <v>32742.78</v>
      </c>
      <c r="AI9" s="53">
        <f t="shared" si="19"/>
        <v>1.48362105425045</v>
      </c>
    </row>
    <row r="10" ht="15" customHeight="1" spans="1:35">
      <c r="A10" s="7" t="s">
        <v>759</v>
      </c>
      <c r="B10" s="47" t="s">
        <v>760</v>
      </c>
      <c r="C10" s="7" t="s">
        <v>34</v>
      </c>
      <c r="D10" s="7" t="s">
        <v>51</v>
      </c>
      <c r="E10" s="7" t="s">
        <v>690</v>
      </c>
      <c r="F10" s="48">
        <v>262.14</v>
      </c>
      <c r="G10" s="48">
        <v>478</v>
      </c>
      <c r="H10" s="55"/>
      <c r="I10" s="55"/>
      <c r="J10" s="48">
        <v>457</v>
      </c>
      <c r="K10" s="7">
        <v>177469</v>
      </c>
      <c r="L10" s="21">
        <f t="shared" si="0"/>
        <v>9.56</v>
      </c>
      <c r="M10" s="21">
        <f t="shared" si="1"/>
        <v>296.36</v>
      </c>
      <c r="N10" s="21">
        <f t="shared" si="2"/>
        <v>77687.8104</v>
      </c>
      <c r="O10" s="21">
        <f t="shared" si="3"/>
        <v>5.31111111111111</v>
      </c>
      <c r="P10" s="21">
        <f t="shared" si="4"/>
        <v>164.644444444444</v>
      </c>
      <c r="Q10" s="21">
        <f t="shared" si="5"/>
        <v>64739.842</v>
      </c>
      <c r="R10" s="21">
        <f t="shared" si="6"/>
        <v>164.644444444444</v>
      </c>
      <c r="S10" s="21">
        <f t="shared" si="7"/>
        <v>5.31111111111111</v>
      </c>
      <c r="T10" s="21">
        <f t="shared" si="8"/>
        <v>5.31111111111111</v>
      </c>
      <c r="U10" s="21">
        <f t="shared" si="9"/>
        <v>64739.842</v>
      </c>
      <c r="V10" s="49">
        <v>0.6</v>
      </c>
      <c r="W10" s="21">
        <f t="shared" si="10"/>
        <v>3.18666666666667</v>
      </c>
      <c r="X10" s="21">
        <f t="shared" si="11"/>
        <v>98.7866666666667</v>
      </c>
      <c r="Y10" s="21">
        <f t="shared" si="12"/>
        <v>38843.9052</v>
      </c>
      <c r="Z10" s="50">
        <v>123</v>
      </c>
      <c r="AA10" s="51">
        <f t="shared" si="13"/>
        <v>32243.22</v>
      </c>
      <c r="AB10" s="52">
        <f t="shared" si="14"/>
        <v>1.24510730193008</v>
      </c>
      <c r="AC10" s="49">
        <v>0.5</v>
      </c>
      <c r="AD10" s="21">
        <f t="shared" si="15"/>
        <v>2.65555555555556</v>
      </c>
      <c r="AE10" s="21">
        <f t="shared" si="16"/>
        <v>82.3222222222222</v>
      </c>
      <c r="AF10" s="21">
        <f t="shared" si="17"/>
        <v>32369.921</v>
      </c>
      <c r="AG10" s="7">
        <v>99</v>
      </c>
      <c r="AH10" s="25">
        <f t="shared" si="18"/>
        <v>25951.86</v>
      </c>
      <c r="AI10" s="53">
        <f t="shared" si="19"/>
        <v>1.20259144283979</v>
      </c>
    </row>
    <row r="11" ht="15" customHeight="1" spans="1:35">
      <c r="A11" s="7" t="s">
        <v>568</v>
      </c>
      <c r="B11" s="47" t="s">
        <v>692</v>
      </c>
      <c r="C11" s="7" t="s">
        <v>34</v>
      </c>
      <c r="D11" s="7" t="s">
        <v>35</v>
      </c>
      <c r="E11" s="7" t="s">
        <v>219</v>
      </c>
      <c r="F11" s="48">
        <v>94.06</v>
      </c>
      <c r="G11" s="48">
        <v>1151</v>
      </c>
      <c r="H11" s="48">
        <v>10</v>
      </c>
      <c r="I11" s="48">
        <v>115</v>
      </c>
      <c r="J11" s="48">
        <v>643</v>
      </c>
      <c r="K11" s="7">
        <v>71580</v>
      </c>
      <c r="L11" s="21">
        <f t="shared" si="0"/>
        <v>13.02</v>
      </c>
      <c r="M11" s="21">
        <f t="shared" si="1"/>
        <v>713.62</v>
      </c>
      <c r="N11" s="21">
        <f t="shared" si="2"/>
        <v>67123.0972</v>
      </c>
      <c r="O11" s="21">
        <f t="shared" si="3"/>
        <v>2.78888888888889</v>
      </c>
      <c r="P11" s="21">
        <f t="shared" si="4"/>
        <v>396.455555555556</v>
      </c>
      <c r="Q11" s="21">
        <f t="shared" si="5"/>
        <v>55935.9143333333</v>
      </c>
      <c r="R11" s="21">
        <f t="shared" si="6"/>
        <v>396.455555555556</v>
      </c>
      <c r="S11" s="21">
        <f t="shared" si="7"/>
        <v>12.7888888888889</v>
      </c>
      <c r="T11" s="21">
        <f t="shared" si="8"/>
        <v>2.78888888888889</v>
      </c>
      <c r="U11" s="21">
        <f t="shared" si="9"/>
        <v>55935.9143333333</v>
      </c>
      <c r="V11" s="22">
        <v>0.25</v>
      </c>
      <c r="W11" s="21">
        <f t="shared" si="10"/>
        <v>3.19722222222222</v>
      </c>
      <c r="X11" s="21">
        <f t="shared" si="11"/>
        <v>99.1138888888889</v>
      </c>
      <c r="Y11" s="21">
        <f t="shared" si="12"/>
        <v>13983.9785833333</v>
      </c>
      <c r="Z11" s="50">
        <v>90</v>
      </c>
      <c r="AA11" s="51">
        <f t="shared" si="13"/>
        <v>8465.4</v>
      </c>
      <c r="AB11" s="52">
        <f t="shared" si="14"/>
        <v>0.908046299150808</v>
      </c>
      <c r="AC11" s="22">
        <v>0.75</v>
      </c>
      <c r="AD11" s="21">
        <f t="shared" si="15"/>
        <v>9.59166666666666</v>
      </c>
      <c r="AE11" s="21">
        <f t="shared" si="16"/>
        <v>297.341666666667</v>
      </c>
      <c r="AF11" s="21">
        <f t="shared" si="17"/>
        <v>41951.93575</v>
      </c>
      <c r="AG11" s="7">
        <v>286</v>
      </c>
      <c r="AH11" s="25">
        <f t="shared" si="18"/>
        <v>26901.16</v>
      </c>
      <c r="AI11" s="53">
        <f t="shared" si="19"/>
        <v>0.961856450211596</v>
      </c>
    </row>
    <row r="12" ht="15" customHeight="1" spans="1:35">
      <c r="A12" s="7" t="s">
        <v>213</v>
      </c>
      <c r="B12" s="47" t="s">
        <v>214</v>
      </c>
      <c r="C12" s="7" t="s">
        <v>34</v>
      </c>
      <c r="D12" s="7" t="s">
        <v>51</v>
      </c>
      <c r="E12" s="7" t="s">
        <v>80</v>
      </c>
      <c r="F12" s="48">
        <v>98.06</v>
      </c>
      <c r="G12" s="48">
        <v>953</v>
      </c>
      <c r="H12" s="48">
        <v>6</v>
      </c>
      <c r="I12" s="48">
        <v>158</v>
      </c>
      <c r="J12" s="48">
        <v>637</v>
      </c>
      <c r="K12" s="7">
        <v>81292</v>
      </c>
      <c r="L12" s="21">
        <f t="shared" si="0"/>
        <v>13.06</v>
      </c>
      <c r="M12" s="21">
        <f t="shared" si="1"/>
        <v>590.86</v>
      </c>
      <c r="N12" s="21">
        <f t="shared" si="2"/>
        <v>57939.7316</v>
      </c>
      <c r="O12" s="21">
        <f t="shared" si="3"/>
        <v>4.58888888888889</v>
      </c>
      <c r="P12" s="21">
        <f t="shared" si="4"/>
        <v>328.255555555556</v>
      </c>
      <c r="Q12" s="21">
        <f t="shared" si="5"/>
        <v>48283.1096666667</v>
      </c>
      <c r="R12" s="21">
        <f t="shared" si="6"/>
        <v>328.255555555556</v>
      </c>
      <c r="S12" s="21">
        <f t="shared" si="7"/>
        <v>10.5888888888889</v>
      </c>
      <c r="T12" s="21">
        <f t="shared" si="8"/>
        <v>4.58888888888889</v>
      </c>
      <c r="U12" s="21">
        <f t="shared" si="9"/>
        <v>48283.1096666667</v>
      </c>
      <c r="V12" s="22">
        <v>0.355704697986577</v>
      </c>
      <c r="W12" s="21">
        <f t="shared" si="10"/>
        <v>3.76651752423564</v>
      </c>
      <c r="X12" s="21">
        <f t="shared" si="11"/>
        <v>116.762043251305</v>
      </c>
      <c r="Y12" s="21">
        <f t="shared" si="12"/>
        <v>17174.5289418344</v>
      </c>
      <c r="Z12" s="50">
        <v>121</v>
      </c>
      <c r="AA12" s="51">
        <f t="shared" si="13"/>
        <v>11865.26</v>
      </c>
      <c r="AB12" s="52">
        <f t="shared" si="14"/>
        <v>1.03629567135592</v>
      </c>
      <c r="AC12" s="22">
        <v>0.644295302013423</v>
      </c>
      <c r="AD12" s="21">
        <f t="shared" si="15"/>
        <v>6.82237136465324</v>
      </c>
      <c r="AE12" s="21">
        <f t="shared" si="16"/>
        <v>211.493512304251</v>
      </c>
      <c r="AF12" s="21">
        <f t="shared" si="17"/>
        <v>31108.5807248322</v>
      </c>
      <c r="AG12" s="7">
        <v>205</v>
      </c>
      <c r="AH12" s="25">
        <f t="shared" si="18"/>
        <v>20102.3</v>
      </c>
      <c r="AI12" s="53">
        <f t="shared" si="19"/>
        <v>0.969296872355548</v>
      </c>
    </row>
    <row r="13" ht="15" customHeight="1" spans="1:35">
      <c r="A13" s="7" t="s">
        <v>188</v>
      </c>
      <c r="B13" s="47" t="s">
        <v>189</v>
      </c>
      <c r="C13" s="7" t="s">
        <v>34</v>
      </c>
      <c r="D13" s="7" t="s">
        <v>35</v>
      </c>
      <c r="E13" s="7" t="s">
        <v>160</v>
      </c>
      <c r="F13" s="48">
        <v>83.69</v>
      </c>
      <c r="G13" s="48">
        <v>1095</v>
      </c>
      <c r="H13" s="48">
        <v>9</v>
      </c>
      <c r="I13" s="48">
        <v>121</v>
      </c>
      <c r="J13" s="48">
        <v>627</v>
      </c>
      <c r="K13" s="7">
        <v>63019</v>
      </c>
      <c r="L13" s="21">
        <f t="shared" si="0"/>
        <v>12.9</v>
      </c>
      <c r="M13" s="21">
        <f t="shared" si="1"/>
        <v>678.9</v>
      </c>
      <c r="N13" s="21" t="s">
        <v>92</v>
      </c>
      <c r="O13" s="21">
        <f t="shared" si="3"/>
        <v>3.16666666666667</v>
      </c>
      <c r="P13" s="21">
        <f t="shared" si="4"/>
        <v>377.166666666667</v>
      </c>
      <c r="Q13" s="21">
        <f t="shared" si="5"/>
        <v>47347.6175</v>
      </c>
      <c r="R13" s="21">
        <f t="shared" si="6"/>
        <v>377.166666666667</v>
      </c>
      <c r="S13" s="21">
        <f t="shared" si="7"/>
        <v>12.1666666666667</v>
      </c>
      <c r="T13" s="21">
        <f t="shared" si="8"/>
        <v>3.16666666666667</v>
      </c>
      <c r="U13" s="21">
        <f t="shared" si="9"/>
        <v>47347.6175</v>
      </c>
      <c r="V13" s="22">
        <v>0.748031496062992</v>
      </c>
      <c r="W13" s="21">
        <f t="shared" si="10"/>
        <v>9.1010498687664</v>
      </c>
      <c r="X13" s="21">
        <f t="shared" si="11"/>
        <v>282.132545931758</v>
      </c>
      <c r="Y13" s="21">
        <f t="shared" si="12"/>
        <v>35417.5091535433</v>
      </c>
      <c r="Z13" s="50">
        <v>198</v>
      </c>
      <c r="AA13" s="51">
        <f t="shared" si="13"/>
        <v>16570.62</v>
      </c>
      <c r="AB13" s="52">
        <f t="shared" si="14"/>
        <v>0.701797799846502</v>
      </c>
      <c r="AC13" s="22">
        <v>0.251968503937008</v>
      </c>
      <c r="AD13" s="21">
        <f t="shared" si="15"/>
        <v>3.06561679790026</v>
      </c>
      <c r="AE13" s="21">
        <f t="shared" si="16"/>
        <v>95.0341207349082</v>
      </c>
      <c r="AF13" s="21">
        <f t="shared" si="17"/>
        <v>11930.1083464567</v>
      </c>
      <c r="AG13" s="7">
        <v>87</v>
      </c>
      <c r="AH13" s="25">
        <f t="shared" si="18"/>
        <v>7281.03</v>
      </c>
      <c r="AI13" s="53">
        <f t="shared" si="19"/>
        <v>0.915460671674767</v>
      </c>
    </row>
    <row r="14" ht="15" customHeight="1" spans="1:35">
      <c r="A14" s="7" t="s">
        <v>174</v>
      </c>
      <c r="B14" s="47" t="s">
        <v>175</v>
      </c>
      <c r="C14" s="7" t="s">
        <v>34</v>
      </c>
      <c r="D14" s="7" t="s">
        <v>35</v>
      </c>
      <c r="E14" s="7" t="s">
        <v>41</v>
      </c>
      <c r="F14" s="48">
        <v>123.29</v>
      </c>
      <c r="G14" s="48">
        <v>721</v>
      </c>
      <c r="H14" s="48">
        <v>6</v>
      </c>
      <c r="I14" s="48">
        <v>120</v>
      </c>
      <c r="J14" s="48">
        <v>413</v>
      </c>
      <c r="K14" s="7">
        <v>61152</v>
      </c>
      <c r="L14" s="21">
        <f t="shared" si="0"/>
        <v>8.42</v>
      </c>
      <c r="M14" s="21">
        <f t="shared" si="1"/>
        <v>447.02</v>
      </c>
      <c r="N14" s="21">
        <f t="shared" si="2"/>
        <v>55113.0958</v>
      </c>
      <c r="O14" s="21">
        <f t="shared" si="3"/>
        <v>2.01111111111111</v>
      </c>
      <c r="P14" s="21">
        <f t="shared" si="4"/>
        <v>248.344444444444</v>
      </c>
      <c r="Q14" s="21">
        <f t="shared" si="5"/>
        <v>45927.5798333333</v>
      </c>
      <c r="R14" s="21">
        <f t="shared" si="6"/>
        <v>248.344444444444</v>
      </c>
      <c r="S14" s="21">
        <f t="shared" si="7"/>
        <v>8.01111111111111</v>
      </c>
      <c r="T14" s="21">
        <f t="shared" si="8"/>
        <v>2.01111111111111</v>
      </c>
      <c r="U14" s="21">
        <f t="shared" si="9"/>
        <v>45927.5798333333</v>
      </c>
      <c r="V14" s="22">
        <v>1</v>
      </c>
      <c r="W14" s="21">
        <f t="shared" si="10"/>
        <v>8.01111111111111</v>
      </c>
      <c r="X14" s="21">
        <f t="shared" si="11"/>
        <v>248.344444444444</v>
      </c>
      <c r="Y14" s="21">
        <f t="shared" si="12"/>
        <v>45927.5798333333</v>
      </c>
      <c r="Z14" s="50">
        <v>156</v>
      </c>
      <c r="AA14" s="51">
        <f t="shared" si="13"/>
        <v>19233.24</v>
      </c>
      <c r="AB14" s="52">
        <f t="shared" si="14"/>
        <v>0.628159813878575</v>
      </c>
      <c r="AC14" s="22">
        <v>0</v>
      </c>
      <c r="AD14" s="21">
        <f t="shared" si="15"/>
        <v>0</v>
      </c>
      <c r="AE14" s="21">
        <f t="shared" si="16"/>
        <v>0</v>
      </c>
      <c r="AF14" s="21">
        <f t="shared" si="17"/>
        <v>0</v>
      </c>
      <c r="AG14" s="7">
        <v>104</v>
      </c>
      <c r="AH14" s="25">
        <f t="shared" si="18"/>
        <v>12822.16</v>
      </c>
      <c r="AI14" s="53" t="e">
        <f t="shared" si="19"/>
        <v>#DIV/0!</v>
      </c>
    </row>
    <row r="15" ht="15" customHeight="1" spans="1:35">
      <c r="A15" s="7" t="s">
        <v>761</v>
      </c>
      <c r="B15" s="54" t="s">
        <v>585</v>
      </c>
      <c r="C15" s="7" t="s">
        <v>34</v>
      </c>
      <c r="D15" s="7" t="s">
        <v>51</v>
      </c>
      <c r="E15" s="7" t="s">
        <v>165</v>
      </c>
      <c r="F15" s="48">
        <v>99.65</v>
      </c>
      <c r="G15" s="48">
        <v>872</v>
      </c>
      <c r="H15" s="48">
        <v>13</v>
      </c>
      <c r="I15" s="48">
        <v>67</v>
      </c>
      <c r="J15" s="48">
        <v>207</v>
      </c>
      <c r="K15" s="7">
        <v>20628</v>
      </c>
      <c r="L15" s="21">
        <f t="shared" si="0"/>
        <v>4.44</v>
      </c>
      <c r="M15" s="21">
        <f t="shared" si="1"/>
        <v>540.64</v>
      </c>
      <c r="N15" s="21">
        <f t="shared" si="2"/>
        <v>53874.776</v>
      </c>
      <c r="O15" s="21">
        <f t="shared" si="3"/>
        <v>-3.31111111111111</v>
      </c>
      <c r="P15" s="21">
        <f t="shared" si="4"/>
        <v>300.355555555556</v>
      </c>
      <c r="Q15" s="21">
        <f t="shared" si="5"/>
        <v>44895.6466666667</v>
      </c>
      <c r="R15" s="21">
        <f t="shared" si="6"/>
        <v>300.355555555556</v>
      </c>
      <c r="S15" s="21">
        <f t="shared" si="7"/>
        <v>9.68888888888889</v>
      </c>
      <c r="T15" s="21">
        <f t="shared" si="8"/>
        <v>-3.31111111111111</v>
      </c>
      <c r="U15" s="21">
        <f t="shared" si="9"/>
        <v>44895.6466666667</v>
      </c>
      <c r="V15" s="22">
        <v>0.589285714285714</v>
      </c>
      <c r="W15" s="21">
        <f t="shared" si="10"/>
        <v>5.70952380952381</v>
      </c>
      <c r="X15" s="21">
        <f t="shared" si="11"/>
        <v>176.995238095238</v>
      </c>
      <c r="Y15" s="21">
        <f t="shared" si="12"/>
        <v>26456.3632142857</v>
      </c>
      <c r="Z15" s="50">
        <v>380</v>
      </c>
      <c r="AA15" s="51">
        <f t="shared" si="13"/>
        <v>37867</v>
      </c>
      <c r="AB15" s="52">
        <f t="shared" si="14"/>
        <v>2.14695041566897</v>
      </c>
      <c r="AC15" s="22">
        <v>0.339285714285714</v>
      </c>
      <c r="AD15" s="21">
        <f t="shared" si="15"/>
        <v>3.28730158730159</v>
      </c>
      <c r="AE15" s="21">
        <f t="shared" si="16"/>
        <v>101.906349206349</v>
      </c>
      <c r="AF15" s="21">
        <f t="shared" si="17"/>
        <v>15232.451547619</v>
      </c>
      <c r="AG15" s="7">
        <v>163</v>
      </c>
      <c r="AH15" s="25">
        <f t="shared" si="18"/>
        <v>16242.95</v>
      </c>
      <c r="AI15" s="53">
        <f t="shared" si="19"/>
        <v>1.59950779582873</v>
      </c>
    </row>
    <row r="16" ht="15" customHeight="1" spans="1:35">
      <c r="A16" s="7" t="s">
        <v>762</v>
      </c>
      <c r="B16" s="47" t="s">
        <v>763</v>
      </c>
      <c r="C16" s="7" t="s">
        <v>34</v>
      </c>
      <c r="D16" s="7" t="s">
        <v>35</v>
      </c>
      <c r="E16" s="7" t="s">
        <v>36</v>
      </c>
      <c r="F16" s="48">
        <v>808.48</v>
      </c>
      <c r="G16" s="48">
        <v>93</v>
      </c>
      <c r="H16" s="48">
        <v>1</v>
      </c>
      <c r="I16" s="48">
        <v>93</v>
      </c>
      <c r="J16" s="48">
        <v>28</v>
      </c>
      <c r="K16" s="7">
        <v>22637</v>
      </c>
      <c r="L16" s="21">
        <f t="shared" si="0"/>
        <v>0.86</v>
      </c>
      <c r="M16" s="21">
        <f t="shared" si="1"/>
        <v>57.66</v>
      </c>
      <c r="N16" s="21">
        <f t="shared" si="2"/>
        <v>46616.9568</v>
      </c>
      <c r="O16" s="21">
        <f t="shared" si="3"/>
        <v>0.0333333333333333</v>
      </c>
      <c r="P16" s="21">
        <f t="shared" si="4"/>
        <v>32.0333333333333</v>
      </c>
      <c r="Q16" s="21">
        <f t="shared" si="5"/>
        <v>38847.464</v>
      </c>
      <c r="R16" s="21">
        <f t="shared" si="6"/>
        <v>32.0333333333333</v>
      </c>
      <c r="S16" s="21">
        <f t="shared" si="7"/>
        <v>1.03333333333333</v>
      </c>
      <c r="T16" s="21">
        <f t="shared" si="8"/>
        <v>0.0333333333333334</v>
      </c>
      <c r="U16" s="21">
        <f t="shared" si="9"/>
        <v>38847.464</v>
      </c>
      <c r="V16" s="22">
        <v>0.6</v>
      </c>
      <c r="W16" s="21">
        <f t="shared" si="10"/>
        <v>0.62</v>
      </c>
      <c r="X16" s="21">
        <f t="shared" si="11"/>
        <v>19.22</v>
      </c>
      <c r="Y16" s="21">
        <f t="shared" si="12"/>
        <v>23308.4784</v>
      </c>
      <c r="Z16" s="50">
        <v>21</v>
      </c>
      <c r="AA16" s="51">
        <f t="shared" si="13"/>
        <v>16978.08</v>
      </c>
      <c r="AB16" s="52">
        <f t="shared" si="14"/>
        <v>1.09261186264308</v>
      </c>
      <c r="AC16" s="22">
        <v>0.352941176470588</v>
      </c>
      <c r="AD16" s="21">
        <f t="shared" si="15"/>
        <v>0.364705882352941</v>
      </c>
      <c r="AE16" s="21">
        <f t="shared" si="16"/>
        <v>11.3058823529412</v>
      </c>
      <c r="AF16" s="21">
        <f t="shared" si="17"/>
        <v>13710.8696470588</v>
      </c>
      <c r="AG16" s="7">
        <v>77</v>
      </c>
      <c r="AH16" s="25">
        <f t="shared" si="18"/>
        <v>62252.96</v>
      </c>
      <c r="AI16" s="53">
        <f t="shared" si="19"/>
        <v>6.81061394380852</v>
      </c>
    </row>
    <row r="17" ht="15" customHeight="1" spans="1:35">
      <c r="A17" s="7" t="s">
        <v>667</v>
      </c>
      <c r="B17" s="47" t="s">
        <v>728</v>
      </c>
      <c r="C17" s="7" t="s">
        <v>34</v>
      </c>
      <c r="D17" s="7" t="s">
        <v>51</v>
      </c>
      <c r="E17" s="7" t="s">
        <v>165</v>
      </c>
      <c r="F17" s="48">
        <v>77.21</v>
      </c>
      <c r="G17" s="48">
        <v>955</v>
      </c>
      <c r="H17" s="48">
        <v>7</v>
      </c>
      <c r="I17" s="48">
        <v>136</v>
      </c>
      <c r="J17" s="48">
        <v>569</v>
      </c>
      <c r="K17" s="7">
        <v>53970</v>
      </c>
      <c r="L17" s="21">
        <f t="shared" si="0"/>
        <v>12.1</v>
      </c>
      <c r="M17" s="21">
        <f t="shared" si="1"/>
        <v>592.1</v>
      </c>
      <c r="N17" s="21">
        <f t="shared" si="2"/>
        <v>45716.041</v>
      </c>
      <c r="O17" s="21">
        <f t="shared" si="3"/>
        <v>3.61111111111111</v>
      </c>
      <c r="P17" s="21">
        <f t="shared" si="4"/>
        <v>328.944444444444</v>
      </c>
      <c r="Q17" s="21">
        <f t="shared" si="5"/>
        <v>38096.7008333333</v>
      </c>
      <c r="R17" s="21">
        <f t="shared" si="6"/>
        <v>328.944444444444</v>
      </c>
      <c r="S17" s="21">
        <f t="shared" si="7"/>
        <v>10.6111111111111</v>
      </c>
      <c r="T17" s="21">
        <f t="shared" si="8"/>
        <v>3.61111111111111</v>
      </c>
      <c r="U17" s="21">
        <f t="shared" si="9"/>
        <v>38096.7008333333</v>
      </c>
      <c r="V17" s="22">
        <v>0.315789473684211</v>
      </c>
      <c r="W17" s="21">
        <f t="shared" si="10"/>
        <v>3.35087719298246</v>
      </c>
      <c r="X17" s="21">
        <f t="shared" si="11"/>
        <v>103.877192982456</v>
      </c>
      <c r="Y17" s="21">
        <f t="shared" si="12"/>
        <v>12030.5371052632</v>
      </c>
      <c r="Z17" s="50">
        <v>192</v>
      </c>
      <c r="AA17" s="51">
        <f t="shared" si="13"/>
        <v>14824.32</v>
      </c>
      <c r="AB17" s="52">
        <f t="shared" si="14"/>
        <v>1.84833642965716</v>
      </c>
      <c r="AC17" s="49">
        <v>0.263157894736842</v>
      </c>
      <c r="AD17" s="21">
        <f t="shared" si="15"/>
        <v>2.79239766081871</v>
      </c>
      <c r="AE17" s="21">
        <f t="shared" si="16"/>
        <v>86.5643274853801</v>
      </c>
      <c r="AF17" s="21">
        <f t="shared" si="17"/>
        <v>10025.4475877193</v>
      </c>
      <c r="AG17" s="7">
        <v>148</v>
      </c>
      <c r="AH17" s="25">
        <f t="shared" si="18"/>
        <v>11427.08</v>
      </c>
      <c r="AI17" s="53">
        <f t="shared" si="19"/>
        <v>1.70971119743287</v>
      </c>
    </row>
    <row r="18" ht="15" customHeight="1" spans="1:35">
      <c r="A18" s="7" t="s">
        <v>39</v>
      </c>
      <c r="B18" s="47" t="s">
        <v>40</v>
      </c>
      <c r="C18" s="7" t="s">
        <v>34</v>
      </c>
      <c r="D18" s="7" t="s">
        <v>35</v>
      </c>
      <c r="E18" s="7" t="s">
        <v>41</v>
      </c>
      <c r="F18" s="48">
        <v>207.87</v>
      </c>
      <c r="G18" s="48">
        <v>347</v>
      </c>
      <c r="H18" s="48">
        <v>3</v>
      </c>
      <c r="I18" s="48">
        <v>115</v>
      </c>
      <c r="J18" s="48">
        <v>176</v>
      </c>
      <c r="K18" s="7">
        <v>40639</v>
      </c>
      <c r="L18" s="21">
        <f t="shared" si="0"/>
        <v>3.94</v>
      </c>
      <c r="M18" s="21">
        <f t="shared" si="1"/>
        <v>215.14</v>
      </c>
      <c r="N18" s="21">
        <f t="shared" si="2"/>
        <v>44721.1518</v>
      </c>
      <c r="O18" s="21">
        <f t="shared" si="3"/>
        <v>0.855555555555556</v>
      </c>
      <c r="P18" s="21">
        <f t="shared" si="4"/>
        <v>119.522222222222</v>
      </c>
      <c r="Q18" s="21">
        <f t="shared" si="5"/>
        <v>37267.6265</v>
      </c>
      <c r="R18" s="21">
        <f t="shared" si="6"/>
        <v>119.522222222222</v>
      </c>
      <c r="S18" s="21">
        <f t="shared" si="7"/>
        <v>3.85555555555556</v>
      </c>
      <c r="T18" s="21">
        <f t="shared" si="8"/>
        <v>0.855555555555556</v>
      </c>
      <c r="U18" s="21">
        <f t="shared" si="9"/>
        <v>37267.6265</v>
      </c>
      <c r="V18" s="22">
        <v>0.647058823529412</v>
      </c>
      <c r="W18" s="21">
        <f t="shared" si="10"/>
        <v>2.49477124183007</v>
      </c>
      <c r="X18" s="21">
        <f t="shared" si="11"/>
        <v>77.3379084967321</v>
      </c>
      <c r="Y18" s="21">
        <f t="shared" si="12"/>
        <v>24114.3465588235</v>
      </c>
      <c r="Z18" s="50">
        <v>79</v>
      </c>
      <c r="AA18" s="51">
        <f t="shared" si="13"/>
        <v>16421.73</v>
      </c>
      <c r="AB18" s="52">
        <f t="shared" si="14"/>
        <v>1.02149129108318</v>
      </c>
      <c r="AC18" s="22">
        <v>0.352941176470588</v>
      </c>
      <c r="AD18" s="21">
        <f t="shared" si="15"/>
        <v>1.36078431372549</v>
      </c>
      <c r="AE18" s="21">
        <f t="shared" si="16"/>
        <v>42.1843137254902</v>
      </c>
      <c r="AF18" s="21">
        <f t="shared" si="17"/>
        <v>13153.2799411765</v>
      </c>
      <c r="AG18" s="7">
        <v>179</v>
      </c>
      <c r="AH18" s="25">
        <f t="shared" si="18"/>
        <v>37208.73</v>
      </c>
      <c r="AI18" s="53">
        <f t="shared" si="19"/>
        <v>4.24328344333922</v>
      </c>
    </row>
    <row r="19" ht="15" customHeight="1" spans="1:35">
      <c r="A19" s="7" t="s">
        <v>44</v>
      </c>
      <c r="B19" s="54" t="s">
        <v>45</v>
      </c>
      <c r="C19" s="7" t="s">
        <v>34</v>
      </c>
      <c r="D19" s="7" t="s">
        <v>35</v>
      </c>
      <c r="E19" s="7" t="s">
        <v>46</v>
      </c>
      <c r="F19" s="48">
        <v>76.25</v>
      </c>
      <c r="G19" s="48">
        <v>938</v>
      </c>
      <c r="H19" s="48">
        <v>14</v>
      </c>
      <c r="I19" s="48">
        <v>67</v>
      </c>
      <c r="J19" s="48">
        <v>212</v>
      </c>
      <c r="K19" s="7">
        <v>16165</v>
      </c>
      <c r="L19" s="21">
        <f t="shared" si="0"/>
        <v>4.76</v>
      </c>
      <c r="M19" s="21">
        <f t="shared" si="1"/>
        <v>581.56</v>
      </c>
      <c r="N19" s="21">
        <f t="shared" si="2"/>
        <v>44343.95</v>
      </c>
      <c r="O19" s="21">
        <f t="shared" si="3"/>
        <v>-3.57777777777778</v>
      </c>
      <c r="P19" s="21">
        <f t="shared" si="4"/>
        <v>323.088888888889</v>
      </c>
      <c r="Q19" s="21">
        <f t="shared" si="5"/>
        <v>36953.2916666667</v>
      </c>
      <c r="R19" s="21">
        <f t="shared" si="6"/>
        <v>323.088888888889</v>
      </c>
      <c r="S19" s="21">
        <f t="shared" si="7"/>
        <v>10.4222222222222</v>
      </c>
      <c r="T19" s="21">
        <f t="shared" si="8"/>
        <v>-3.57777777777778</v>
      </c>
      <c r="U19" s="21">
        <f t="shared" si="9"/>
        <v>36953.2916666667</v>
      </c>
      <c r="V19" s="22">
        <v>0.428571428571429</v>
      </c>
      <c r="W19" s="21">
        <f t="shared" si="10"/>
        <v>4.46666666666667</v>
      </c>
      <c r="X19" s="21">
        <f t="shared" si="11"/>
        <v>138.466666666667</v>
      </c>
      <c r="Y19" s="21">
        <f t="shared" si="12"/>
        <v>15837.125</v>
      </c>
      <c r="Z19" s="50">
        <v>297</v>
      </c>
      <c r="AA19" s="51">
        <f t="shared" si="13"/>
        <v>22646.25</v>
      </c>
      <c r="AB19" s="52">
        <f t="shared" si="14"/>
        <v>2.14492055849783</v>
      </c>
      <c r="AC19" s="22">
        <v>0</v>
      </c>
      <c r="AD19" s="21">
        <f t="shared" si="15"/>
        <v>0</v>
      </c>
      <c r="AE19" s="21">
        <f t="shared" si="16"/>
        <v>0</v>
      </c>
      <c r="AF19" s="21">
        <f t="shared" si="17"/>
        <v>0</v>
      </c>
      <c r="AG19" s="7">
        <v>218</v>
      </c>
      <c r="AH19" s="25">
        <f t="shared" si="18"/>
        <v>16622.5</v>
      </c>
      <c r="AI19" s="53" t="e">
        <f t="shared" si="19"/>
        <v>#DIV/0!</v>
      </c>
    </row>
    <row r="20" ht="15" customHeight="1" spans="1:35">
      <c r="A20" s="7" t="s">
        <v>113</v>
      </c>
      <c r="B20" s="54" t="s">
        <v>114</v>
      </c>
      <c r="C20" s="7" t="s">
        <v>34</v>
      </c>
      <c r="D20" s="7" t="s">
        <v>51</v>
      </c>
      <c r="E20" s="7" t="s">
        <v>61</v>
      </c>
      <c r="F20" s="48">
        <v>248.05</v>
      </c>
      <c r="G20" s="48">
        <v>273</v>
      </c>
      <c r="H20" s="48">
        <v>3</v>
      </c>
      <c r="I20" s="48">
        <v>91</v>
      </c>
      <c r="J20" s="48">
        <v>107</v>
      </c>
      <c r="K20" s="7">
        <v>26541</v>
      </c>
      <c r="L20" s="21">
        <f t="shared" si="0"/>
        <v>2.46</v>
      </c>
      <c r="M20" s="21">
        <f t="shared" si="1"/>
        <v>169.26</v>
      </c>
      <c r="N20" s="21">
        <f t="shared" si="2"/>
        <v>41984.943</v>
      </c>
      <c r="O20" s="21">
        <f t="shared" si="3"/>
        <v>0.0333333333333333</v>
      </c>
      <c r="P20" s="21">
        <f t="shared" si="4"/>
        <v>94.0333333333333</v>
      </c>
      <c r="Q20" s="21">
        <f t="shared" si="5"/>
        <v>34987.4525</v>
      </c>
      <c r="R20" s="21">
        <f t="shared" si="6"/>
        <v>94.0333333333333</v>
      </c>
      <c r="S20" s="21">
        <f t="shared" si="7"/>
        <v>3.03333333333333</v>
      </c>
      <c r="T20" s="21">
        <f t="shared" si="8"/>
        <v>0.0333333333333332</v>
      </c>
      <c r="U20" s="21">
        <f t="shared" si="9"/>
        <v>34987.4525</v>
      </c>
      <c r="V20" s="49">
        <v>0.8</v>
      </c>
      <c r="W20" s="21">
        <f t="shared" si="10"/>
        <v>2.42666666666667</v>
      </c>
      <c r="X20" s="21">
        <f t="shared" si="11"/>
        <v>75.2266666666667</v>
      </c>
      <c r="Y20" s="21">
        <f t="shared" si="12"/>
        <v>27989.962</v>
      </c>
      <c r="Z20" s="50">
        <v>41</v>
      </c>
      <c r="AA20" s="51">
        <f t="shared" si="13"/>
        <v>10170.05</v>
      </c>
      <c r="AB20" s="52">
        <f t="shared" si="14"/>
        <v>0.5450194966324</v>
      </c>
      <c r="AC20" s="49">
        <v>0.2</v>
      </c>
      <c r="AD20" s="21">
        <f t="shared" si="15"/>
        <v>0.606666666666667</v>
      </c>
      <c r="AE20" s="21">
        <f t="shared" si="16"/>
        <v>18.8066666666667</v>
      </c>
      <c r="AF20" s="21">
        <f t="shared" si="17"/>
        <v>6997.4905</v>
      </c>
      <c r="AG20" s="7">
        <v>86</v>
      </c>
      <c r="AH20" s="25">
        <f t="shared" si="18"/>
        <v>21332.3</v>
      </c>
      <c r="AI20" s="53">
        <f t="shared" si="19"/>
        <v>4.57284650833037</v>
      </c>
    </row>
    <row r="21" ht="15" customHeight="1" spans="1:35">
      <c r="A21" s="7" t="s">
        <v>248</v>
      </c>
      <c r="B21" s="54" t="s">
        <v>249</v>
      </c>
      <c r="C21" s="7" t="s">
        <v>34</v>
      </c>
      <c r="D21" s="7" t="s">
        <v>35</v>
      </c>
      <c r="E21" s="7" t="s">
        <v>250</v>
      </c>
      <c r="F21" s="48">
        <v>48.99</v>
      </c>
      <c r="G21" s="48">
        <v>1203</v>
      </c>
      <c r="H21" s="48">
        <v>22</v>
      </c>
      <c r="I21" s="48">
        <v>54</v>
      </c>
      <c r="J21" s="48">
        <v>90</v>
      </c>
      <c r="K21" s="7">
        <v>4409</v>
      </c>
      <c r="L21" s="21">
        <f t="shared" si="0"/>
        <v>2.06</v>
      </c>
      <c r="M21" s="21">
        <f t="shared" si="1"/>
        <v>745.86</v>
      </c>
      <c r="N21" s="21">
        <f t="shared" si="2"/>
        <v>36539.6814</v>
      </c>
      <c r="O21" s="21">
        <f t="shared" si="3"/>
        <v>-8.63333333333333</v>
      </c>
      <c r="P21" s="21">
        <f t="shared" si="4"/>
        <v>414.366666666667</v>
      </c>
      <c r="Q21" s="21">
        <f t="shared" si="5"/>
        <v>30449.7345</v>
      </c>
      <c r="R21" s="21">
        <f t="shared" si="6"/>
        <v>414.366666666667</v>
      </c>
      <c r="S21" s="21">
        <f t="shared" si="7"/>
        <v>13.3666666666667</v>
      </c>
      <c r="T21" s="21">
        <f t="shared" si="8"/>
        <v>-8.63333333333333</v>
      </c>
      <c r="U21" s="21">
        <f t="shared" si="9"/>
        <v>30449.7345</v>
      </c>
      <c r="V21" s="22">
        <v>0.256410256410256</v>
      </c>
      <c r="W21" s="21">
        <f t="shared" si="10"/>
        <v>3.42735042735042</v>
      </c>
      <c r="X21" s="21">
        <f t="shared" si="11"/>
        <v>106.247863247863</v>
      </c>
      <c r="Y21" s="21">
        <f t="shared" si="12"/>
        <v>7807.62423076922</v>
      </c>
      <c r="Z21" s="50">
        <v>407</v>
      </c>
      <c r="AA21" s="51">
        <f t="shared" si="13"/>
        <v>19938.93</v>
      </c>
      <c r="AB21" s="52">
        <f t="shared" si="14"/>
        <v>3.83066527230312</v>
      </c>
      <c r="AC21" s="22">
        <v>0.743589743589744</v>
      </c>
      <c r="AD21" s="21">
        <f t="shared" si="15"/>
        <v>9.93931623931624</v>
      </c>
      <c r="AE21" s="21">
        <f t="shared" si="16"/>
        <v>308.118803418804</v>
      </c>
      <c r="AF21" s="21">
        <f t="shared" si="17"/>
        <v>22642.1102692308</v>
      </c>
      <c r="AG21" s="7">
        <v>248</v>
      </c>
      <c r="AH21" s="25">
        <f t="shared" si="18"/>
        <v>12149.52</v>
      </c>
      <c r="AI21" s="53">
        <f t="shared" si="19"/>
        <v>0.804884340871956</v>
      </c>
    </row>
    <row r="22" ht="15" customHeight="1" spans="1:35">
      <c r="A22" s="7" t="s">
        <v>764</v>
      </c>
      <c r="B22" s="47" t="s">
        <v>765</v>
      </c>
      <c r="C22" s="7" t="s">
        <v>34</v>
      </c>
      <c r="D22" s="7" t="s">
        <v>51</v>
      </c>
      <c r="E22" s="7" t="s">
        <v>283</v>
      </c>
      <c r="F22" s="48">
        <v>26.1</v>
      </c>
      <c r="G22" s="48">
        <v>2208</v>
      </c>
      <c r="H22" s="48">
        <v>20</v>
      </c>
      <c r="I22" s="48">
        <v>110</v>
      </c>
      <c r="J22" s="48">
        <v>1208</v>
      </c>
      <c r="K22" s="7">
        <v>36853</v>
      </c>
      <c r="L22" s="21">
        <f t="shared" si="0"/>
        <v>24.16</v>
      </c>
      <c r="M22" s="21">
        <f t="shared" si="1"/>
        <v>1368.96</v>
      </c>
      <c r="N22" s="21">
        <f t="shared" si="2"/>
        <v>35729.856</v>
      </c>
      <c r="O22" s="21">
        <f t="shared" si="3"/>
        <v>4.53333333333333</v>
      </c>
      <c r="P22" s="21">
        <f t="shared" si="4"/>
        <v>760.533333333333</v>
      </c>
      <c r="Q22" s="21">
        <f t="shared" si="5"/>
        <v>29774.88</v>
      </c>
      <c r="R22" s="21">
        <f t="shared" si="6"/>
        <v>760.533333333333</v>
      </c>
      <c r="S22" s="21">
        <f t="shared" si="7"/>
        <v>24.5333333333333</v>
      </c>
      <c r="T22" s="21">
        <f t="shared" si="8"/>
        <v>4.53333333333333</v>
      </c>
      <c r="U22" s="21">
        <f t="shared" si="9"/>
        <v>29774.88</v>
      </c>
      <c r="V22" s="22">
        <v>0.386363636363636</v>
      </c>
      <c r="W22" s="21">
        <f t="shared" si="10"/>
        <v>9.47878787878787</v>
      </c>
      <c r="X22" s="21">
        <f t="shared" si="11"/>
        <v>293.842424242424</v>
      </c>
      <c r="Y22" s="21">
        <f t="shared" si="12"/>
        <v>11503.9309090909</v>
      </c>
      <c r="Z22" s="50">
        <v>187</v>
      </c>
      <c r="AA22" s="51">
        <f t="shared" si="13"/>
        <v>4880.7</v>
      </c>
      <c r="AB22" s="52">
        <f t="shared" si="14"/>
        <v>0.636395511921459</v>
      </c>
      <c r="AC22" s="22">
        <v>0.568181818181818</v>
      </c>
      <c r="AD22" s="21">
        <f t="shared" si="15"/>
        <v>13.9393939393939</v>
      </c>
      <c r="AE22" s="21">
        <f t="shared" si="16"/>
        <v>432.121212121212</v>
      </c>
      <c r="AF22" s="21">
        <f t="shared" si="17"/>
        <v>16917.5454545454</v>
      </c>
      <c r="AG22" s="7">
        <v>874</v>
      </c>
      <c r="AH22" s="25">
        <f t="shared" si="18"/>
        <v>22811.4</v>
      </c>
      <c r="AI22" s="53">
        <f t="shared" si="19"/>
        <v>2.02258064516129</v>
      </c>
    </row>
    <row r="23" ht="15" customHeight="1" spans="1:35">
      <c r="A23" s="7" t="s">
        <v>746</v>
      </c>
      <c r="B23" s="47" t="s">
        <v>747</v>
      </c>
      <c r="C23" s="7" t="s">
        <v>34</v>
      </c>
      <c r="D23" s="7" t="s">
        <v>35</v>
      </c>
      <c r="E23" s="7" t="s">
        <v>41</v>
      </c>
      <c r="F23" s="48">
        <v>59.21</v>
      </c>
      <c r="G23" s="48">
        <v>935</v>
      </c>
      <c r="H23" s="48">
        <v>1</v>
      </c>
      <c r="I23" s="48">
        <v>935</v>
      </c>
      <c r="J23" s="48">
        <v>845</v>
      </c>
      <c r="K23" s="7">
        <v>72917</v>
      </c>
      <c r="L23" s="21">
        <f t="shared" si="0"/>
        <v>17.7</v>
      </c>
      <c r="M23" s="21">
        <f t="shared" si="1"/>
        <v>579.7</v>
      </c>
      <c r="N23" s="21">
        <f t="shared" si="2"/>
        <v>34324.037</v>
      </c>
      <c r="O23" s="21">
        <f t="shared" si="3"/>
        <v>9.38888888888889</v>
      </c>
      <c r="P23" s="21">
        <f t="shared" si="4"/>
        <v>322.055555555556</v>
      </c>
      <c r="Q23" s="21">
        <f t="shared" si="5"/>
        <v>28603.3641666667</v>
      </c>
      <c r="R23" s="21">
        <f t="shared" si="6"/>
        <v>322.055555555556</v>
      </c>
      <c r="S23" s="21">
        <f t="shared" si="7"/>
        <v>10.3888888888889</v>
      </c>
      <c r="T23" s="21">
        <f t="shared" si="8"/>
        <v>9.38888888888889</v>
      </c>
      <c r="U23" s="21">
        <f t="shared" si="9"/>
        <v>28603.3641666667</v>
      </c>
      <c r="V23" s="49">
        <v>0.55</v>
      </c>
      <c r="W23" s="21">
        <f t="shared" si="10"/>
        <v>5.71388888888889</v>
      </c>
      <c r="X23" s="21">
        <f t="shared" si="11"/>
        <v>177.130555555556</v>
      </c>
      <c r="Y23" s="21">
        <f t="shared" si="12"/>
        <v>15731.8502916667</v>
      </c>
      <c r="Z23" s="50">
        <v>96</v>
      </c>
      <c r="AA23" s="51">
        <f t="shared" si="13"/>
        <v>5684.16</v>
      </c>
      <c r="AB23" s="52">
        <f t="shared" si="14"/>
        <v>0.541973120893251</v>
      </c>
      <c r="AC23" s="49">
        <v>0.45</v>
      </c>
      <c r="AD23" s="21">
        <f t="shared" si="15"/>
        <v>4.675</v>
      </c>
      <c r="AE23" s="21">
        <f t="shared" si="16"/>
        <v>144.925</v>
      </c>
      <c r="AF23" s="21">
        <f t="shared" si="17"/>
        <v>12871.513875</v>
      </c>
      <c r="AG23" s="7">
        <v>242</v>
      </c>
      <c r="AH23" s="25">
        <f t="shared" si="18"/>
        <v>14328.82</v>
      </c>
      <c r="AI23" s="53">
        <f t="shared" si="19"/>
        <v>1.66982922201139</v>
      </c>
    </row>
    <row r="24" ht="15" customHeight="1" spans="1:35">
      <c r="A24" s="7" t="s">
        <v>555</v>
      </c>
      <c r="B24" s="54" t="s">
        <v>561</v>
      </c>
      <c r="C24" s="7" t="s">
        <v>34</v>
      </c>
      <c r="D24" s="7" t="s">
        <v>35</v>
      </c>
      <c r="E24" s="7" t="s">
        <v>338</v>
      </c>
      <c r="F24" s="48">
        <v>4.1901</v>
      </c>
      <c r="G24" s="48">
        <v>12568</v>
      </c>
      <c r="H24" s="48">
        <v>116</v>
      </c>
      <c r="I24" s="48">
        <v>108</v>
      </c>
      <c r="J24" s="48">
        <v>6765</v>
      </c>
      <c r="K24" s="7">
        <v>32792</v>
      </c>
      <c r="L24" s="21">
        <f t="shared" si="0"/>
        <v>135.36</v>
      </c>
      <c r="M24" s="21">
        <f t="shared" si="1"/>
        <v>7792.16</v>
      </c>
      <c r="N24" s="21">
        <f t="shared" si="2"/>
        <v>32649.929616</v>
      </c>
      <c r="O24" s="21">
        <f t="shared" si="3"/>
        <v>23.6444444444444</v>
      </c>
      <c r="P24" s="21">
        <f t="shared" si="4"/>
        <v>4328.97777777778</v>
      </c>
      <c r="Q24" s="21">
        <f t="shared" si="5"/>
        <v>27208.27468</v>
      </c>
      <c r="R24" s="21">
        <f t="shared" si="6"/>
        <v>4328.97777777778</v>
      </c>
      <c r="S24" s="21">
        <f t="shared" si="7"/>
        <v>139.644444444444</v>
      </c>
      <c r="T24" s="21">
        <f t="shared" si="8"/>
        <v>23.6444444444444</v>
      </c>
      <c r="U24" s="21">
        <f t="shared" si="9"/>
        <v>27208.27468</v>
      </c>
      <c r="V24" s="22">
        <v>0.2</v>
      </c>
      <c r="W24" s="21">
        <f t="shared" si="10"/>
        <v>27.9288888888889</v>
      </c>
      <c r="X24" s="21">
        <f t="shared" si="11"/>
        <v>865.795555555556</v>
      </c>
      <c r="Y24" s="21">
        <f t="shared" si="12"/>
        <v>5441.654936</v>
      </c>
      <c r="Z24" s="50">
        <v>1902</v>
      </c>
      <c r="AA24" s="51">
        <f t="shared" si="13"/>
        <v>7969.5702</v>
      </c>
      <c r="AB24" s="52">
        <f t="shared" si="14"/>
        <v>2.19682347385064</v>
      </c>
      <c r="AC24" s="22">
        <v>0.8</v>
      </c>
      <c r="AD24" s="21">
        <f t="shared" si="15"/>
        <v>111.715555555556</v>
      </c>
      <c r="AE24" s="21">
        <f t="shared" si="16"/>
        <v>3463.18222222222</v>
      </c>
      <c r="AF24" s="21">
        <f t="shared" si="17"/>
        <v>21766.619744</v>
      </c>
      <c r="AG24" s="7">
        <v>550</v>
      </c>
      <c r="AH24" s="25">
        <f t="shared" si="18"/>
        <v>2304.555</v>
      </c>
      <c r="AI24" s="53">
        <f t="shared" si="19"/>
        <v>0.158813474055974</v>
      </c>
    </row>
    <row r="25" ht="15" customHeight="1" spans="1:35">
      <c r="A25" s="7" t="s">
        <v>573</v>
      </c>
      <c r="B25" s="54" t="s">
        <v>693</v>
      </c>
      <c r="C25" s="7" t="s">
        <v>34</v>
      </c>
      <c r="D25" s="7" t="s">
        <v>35</v>
      </c>
      <c r="E25" s="7" t="s">
        <v>694</v>
      </c>
      <c r="F25" s="48">
        <v>31.97</v>
      </c>
      <c r="G25" s="48">
        <v>1617</v>
      </c>
      <c r="H25" s="48">
        <v>14</v>
      </c>
      <c r="I25" s="48">
        <v>115</v>
      </c>
      <c r="J25" s="48">
        <v>892</v>
      </c>
      <c r="K25" s="7">
        <v>33505</v>
      </c>
      <c r="L25" s="21">
        <f t="shared" si="0"/>
        <v>18.34</v>
      </c>
      <c r="M25" s="21">
        <f t="shared" si="1"/>
        <v>1002.54</v>
      </c>
      <c r="N25" s="21">
        <f t="shared" si="2"/>
        <v>32051.2038</v>
      </c>
      <c r="O25" s="21">
        <f t="shared" si="3"/>
        <v>3.96666666666667</v>
      </c>
      <c r="P25" s="21">
        <f t="shared" si="4"/>
        <v>556.966666666667</v>
      </c>
      <c r="Q25" s="21">
        <f t="shared" si="5"/>
        <v>26709.3365</v>
      </c>
      <c r="R25" s="21">
        <f t="shared" si="6"/>
        <v>556.966666666667</v>
      </c>
      <c r="S25" s="21">
        <f t="shared" si="7"/>
        <v>17.9666666666667</v>
      </c>
      <c r="T25" s="21">
        <f t="shared" si="8"/>
        <v>3.96666666666667</v>
      </c>
      <c r="U25" s="21">
        <f t="shared" si="9"/>
        <v>26709.3365</v>
      </c>
      <c r="V25" s="22">
        <v>0.6</v>
      </c>
      <c r="W25" s="21">
        <f t="shared" si="10"/>
        <v>10.78</v>
      </c>
      <c r="X25" s="21">
        <f t="shared" si="11"/>
        <v>334.18</v>
      </c>
      <c r="Y25" s="21">
        <f t="shared" si="12"/>
        <v>16025.6019</v>
      </c>
      <c r="Z25" s="50">
        <v>366</v>
      </c>
      <c r="AA25" s="51">
        <f t="shared" si="13"/>
        <v>11701.02</v>
      </c>
      <c r="AB25" s="52">
        <f t="shared" si="14"/>
        <v>1.09521814590939</v>
      </c>
      <c r="AC25" s="22">
        <v>0.4</v>
      </c>
      <c r="AD25" s="21">
        <f t="shared" si="15"/>
        <v>7.18666666666667</v>
      </c>
      <c r="AE25" s="21">
        <f t="shared" si="16"/>
        <v>222.786666666667</v>
      </c>
      <c r="AF25" s="21">
        <f t="shared" si="17"/>
        <v>10683.7346</v>
      </c>
      <c r="AG25" s="7">
        <v>66</v>
      </c>
      <c r="AH25" s="25">
        <f t="shared" si="18"/>
        <v>2110.02</v>
      </c>
      <c r="AI25" s="53">
        <f t="shared" si="19"/>
        <v>0.296247531270572</v>
      </c>
    </row>
    <row r="26" ht="15" customHeight="1" spans="1:35">
      <c r="A26" s="7" t="s">
        <v>116</v>
      </c>
      <c r="B26" s="56" t="s">
        <v>117</v>
      </c>
      <c r="C26" s="7" t="s">
        <v>34</v>
      </c>
      <c r="D26" s="7" t="s">
        <v>35</v>
      </c>
      <c r="E26" s="7" t="s">
        <v>41</v>
      </c>
      <c r="F26" s="48">
        <v>823.74</v>
      </c>
      <c r="G26" s="48">
        <v>60</v>
      </c>
      <c r="H26" s="55"/>
      <c r="I26" s="55"/>
      <c r="J26" s="48">
        <v>52</v>
      </c>
      <c r="K26" s="7">
        <v>61369</v>
      </c>
      <c r="L26" s="21">
        <f t="shared" si="0"/>
        <v>1.2</v>
      </c>
      <c r="M26" s="21">
        <f t="shared" si="1"/>
        <v>37.2</v>
      </c>
      <c r="N26" s="21">
        <f t="shared" si="2"/>
        <v>30643.128</v>
      </c>
      <c r="O26" s="21">
        <f t="shared" si="3"/>
        <v>0.666666666666667</v>
      </c>
      <c r="P26" s="21">
        <f t="shared" si="4"/>
        <v>20.6666666666667</v>
      </c>
      <c r="Q26" s="21">
        <f t="shared" si="5"/>
        <v>25535.94</v>
      </c>
      <c r="R26" s="21">
        <f t="shared" si="6"/>
        <v>20.6666666666667</v>
      </c>
      <c r="S26" s="21">
        <f t="shared" si="7"/>
        <v>0.666666666666667</v>
      </c>
      <c r="T26" s="21">
        <f t="shared" si="8"/>
        <v>0.666666666666667</v>
      </c>
      <c r="U26" s="21">
        <f t="shared" si="9"/>
        <v>25535.94</v>
      </c>
      <c r="V26" s="22">
        <v>0.884615384615385</v>
      </c>
      <c r="W26" s="21">
        <f t="shared" si="10"/>
        <v>0.58974358974359</v>
      </c>
      <c r="X26" s="21">
        <f t="shared" si="11"/>
        <v>18.2820512820513</v>
      </c>
      <c r="Y26" s="21">
        <f t="shared" si="12"/>
        <v>22589.4853846154</v>
      </c>
      <c r="Z26" s="50">
        <v>3</v>
      </c>
      <c r="AA26" s="51">
        <f t="shared" si="13"/>
        <v>2471.22</v>
      </c>
      <c r="AB26" s="52">
        <f t="shared" si="14"/>
        <v>0.164095371669004</v>
      </c>
      <c r="AC26" s="22">
        <v>0.115384615384615</v>
      </c>
      <c r="AD26" s="21">
        <f t="shared" si="15"/>
        <v>0.0769230769230767</v>
      </c>
      <c r="AE26" s="21">
        <f t="shared" si="16"/>
        <v>2.38461538461538</v>
      </c>
      <c r="AF26" s="21">
        <f t="shared" si="17"/>
        <v>2946.45461538461</v>
      </c>
      <c r="AG26" s="7">
        <v>5</v>
      </c>
      <c r="AH26" s="25">
        <f t="shared" si="18"/>
        <v>4118.7</v>
      </c>
      <c r="AI26" s="53">
        <f t="shared" si="19"/>
        <v>2.09677419354839</v>
      </c>
    </row>
    <row r="27" ht="15" customHeight="1" spans="1:35">
      <c r="A27" s="7" t="s">
        <v>553</v>
      </c>
      <c r="B27" s="54" t="s">
        <v>688</v>
      </c>
      <c r="C27" s="7" t="s">
        <v>34</v>
      </c>
      <c r="D27" s="7" t="s">
        <v>35</v>
      </c>
      <c r="E27" s="7" t="s">
        <v>106</v>
      </c>
      <c r="F27" s="48">
        <v>100.98</v>
      </c>
      <c r="G27" s="48">
        <v>488</v>
      </c>
      <c r="H27" s="48">
        <v>4</v>
      </c>
      <c r="I27" s="48">
        <v>122</v>
      </c>
      <c r="J27" s="48">
        <v>280</v>
      </c>
      <c r="K27" s="7">
        <v>33980</v>
      </c>
      <c r="L27" s="21">
        <f t="shared" si="0"/>
        <v>5.76</v>
      </c>
      <c r="M27" s="21">
        <f t="shared" si="1"/>
        <v>302.56</v>
      </c>
      <c r="N27" s="21">
        <f t="shared" si="2"/>
        <v>30552.5088</v>
      </c>
      <c r="O27" s="21">
        <f t="shared" si="3"/>
        <v>1.42222222222222</v>
      </c>
      <c r="P27" s="21">
        <f t="shared" si="4"/>
        <v>168.088888888889</v>
      </c>
      <c r="Q27" s="21">
        <f t="shared" si="5"/>
        <v>25460.424</v>
      </c>
      <c r="R27" s="21">
        <f t="shared" si="6"/>
        <v>168.088888888889</v>
      </c>
      <c r="S27" s="21">
        <f t="shared" si="7"/>
        <v>5.42222222222222</v>
      </c>
      <c r="T27" s="21">
        <f t="shared" si="8"/>
        <v>1.42222222222222</v>
      </c>
      <c r="U27" s="21">
        <f t="shared" si="9"/>
        <v>25460.424</v>
      </c>
      <c r="V27" s="49">
        <v>0.9</v>
      </c>
      <c r="W27" s="21">
        <f t="shared" si="10"/>
        <v>4.88</v>
      </c>
      <c r="X27" s="21">
        <f t="shared" si="11"/>
        <v>151.28</v>
      </c>
      <c r="Y27" s="21">
        <f t="shared" si="12"/>
        <v>22914.3816</v>
      </c>
      <c r="Z27" s="50">
        <v>137</v>
      </c>
      <c r="AA27" s="51">
        <f t="shared" si="13"/>
        <v>13834.26</v>
      </c>
      <c r="AB27" s="52">
        <f t="shared" si="14"/>
        <v>0.90560549973559</v>
      </c>
      <c r="AC27" s="49">
        <v>0.1</v>
      </c>
      <c r="AD27" s="21">
        <f t="shared" si="15"/>
        <v>0.542222222222222</v>
      </c>
      <c r="AE27" s="21">
        <f t="shared" si="16"/>
        <v>16.8088888888889</v>
      </c>
      <c r="AF27" s="21">
        <f t="shared" si="17"/>
        <v>2546.0424</v>
      </c>
      <c r="AG27" s="7">
        <v>13</v>
      </c>
      <c r="AH27" s="25">
        <f t="shared" si="18"/>
        <v>1312.74</v>
      </c>
      <c r="AI27" s="53">
        <f t="shared" si="19"/>
        <v>0.773400317292437</v>
      </c>
    </row>
    <row r="28" ht="15" customHeight="1" spans="1:35">
      <c r="A28" s="7" t="s">
        <v>59</v>
      </c>
      <c r="B28" s="47" t="s">
        <v>60</v>
      </c>
      <c r="C28" s="7" t="s">
        <v>34</v>
      </c>
      <c r="D28" s="7" t="s">
        <v>51</v>
      </c>
      <c r="E28" s="7" t="s">
        <v>61</v>
      </c>
      <c r="F28" s="48">
        <v>175.48</v>
      </c>
      <c r="G28" s="48">
        <v>272</v>
      </c>
      <c r="H28" s="48">
        <v>2</v>
      </c>
      <c r="I28" s="48">
        <v>136</v>
      </c>
      <c r="J28" s="48">
        <v>161</v>
      </c>
      <c r="K28" s="7">
        <v>34570</v>
      </c>
      <c r="L28" s="21">
        <f t="shared" si="0"/>
        <v>3.44</v>
      </c>
      <c r="M28" s="21">
        <f t="shared" si="1"/>
        <v>168.64</v>
      </c>
      <c r="N28" s="21">
        <f t="shared" si="2"/>
        <v>29592.9472</v>
      </c>
      <c r="O28" s="21">
        <f t="shared" si="3"/>
        <v>1.02222222222222</v>
      </c>
      <c r="P28" s="21">
        <f t="shared" si="4"/>
        <v>93.6888888888889</v>
      </c>
      <c r="Q28" s="21">
        <f t="shared" si="5"/>
        <v>24660.7893333333</v>
      </c>
      <c r="R28" s="21">
        <f t="shared" si="6"/>
        <v>93.6888888888889</v>
      </c>
      <c r="S28" s="21">
        <f t="shared" si="7"/>
        <v>3.02222222222222</v>
      </c>
      <c r="T28" s="21">
        <f t="shared" si="8"/>
        <v>1.02222222222222</v>
      </c>
      <c r="U28" s="21">
        <f t="shared" si="9"/>
        <v>24660.7893333333</v>
      </c>
      <c r="V28" s="22">
        <v>0.85</v>
      </c>
      <c r="W28" s="21">
        <f t="shared" si="10"/>
        <v>2.56888888888889</v>
      </c>
      <c r="X28" s="21">
        <f t="shared" si="11"/>
        <v>79.6355555555556</v>
      </c>
      <c r="Y28" s="21">
        <f t="shared" si="12"/>
        <v>20961.6709333333</v>
      </c>
      <c r="Z28" s="50">
        <v>47</v>
      </c>
      <c r="AA28" s="51">
        <f t="shared" si="13"/>
        <v>8247.56</v>
      </c>
      <c r="AB28" s="52">
        <f t="shared" si="14"/>
        <v>0.590188637124679</v>
      </c>
      <c r="AC28" s="22">
        <v>0.140909090909091</v>
      </c>
      <c r="AD28" s="21">
        <f t="shared" si="15"/>
        <v>0.425858585858586</v>
      </c>
      <c r="AE28" s="21">
        <f t="shared" si="16"/>
        <v>13.2016161616162</v>
      </c>
      <c r="AF28" s="21">
        <f t="shared" si="17"/>
        <v>3474.92940606061</v>
      </c>
      <c r="AG28" s="7">
        <v>36</v>
      </c>
      <c r="AH28" s="25">
        <f t="shared" si="18"/>
        <v>6317.28</v>
      </c>
      <c r="AI28" s="53">
        <f t="shared" si="19"/>
        <v>2.72693885046213</v>
      </c>
    </row>
    <row r="29" ht="15" customHeight="1" spans="1:35">
      <c r="A29" s="7" t="s">
        <v>576</v>
      </c>
      <c r="B29" s="56" t="s">
        <v>695</v>
      </c>
      <c r="C29" s="7" t="s">
        <v>34</v>
      </c>
      <c r="D29" s="7" t="s">
        <v>35</v>
      </c>
      <c r="E29" s="7" t="s">
        <v>250</v>
      </c>
      <c r="F29" s="48">
        <v>208.5</v>
      </c>
      <c r="G29" s="48">
        <v>223</v>
      </c>
      <c r="H29" s="48">
        <v>2</v>
      </c>
      <c r="I29" s="48">
        <v>111</v>
      </c>
      <c r="J29" s="48">
        <v>123</v>
      </c>
      <c r="K29" s="7">
        <v>30128</v>
      </c>
      <c r="L29" s="21">
        <f t="shared" si="0"/>
        <v>2.46</v>
      </c>
      <c r="M29" s="21">
        <f t="shared" si="1"/>
        <v>138.26</v>
      </c>
      <c r="N29" s="21">
        <f t="shared" si="2"/>
        <v>28827.21</v>
      </c>
      <c r="O29" s="21">
        <f t="shared" si="3"/>
        <v>0.477777777777778</v>
      </c>
      <c r="P29" s="21">
        <f t="shared" si="4"/>
        <v>76.8111111111111</v>
      </c>
      <c r="Q29" s="21">
        <f t="shared" si="5"/>
        <v>24022.675</v>
      </c>
      <c r="R29" s="21">
        <f t="shared" si="6"/>
        <v>76.8111111111111</v>
      </c>
      <c r="S29" s="21">
        <f t="shared" si="7"/>
        <v>2.47777777777778</v>
      </c>
      <c r="T29" s="21">
        <f t="shared" si="8"/>
        <v>0.477777777777778</v>
      </c>
      <c r="U29" s="21">
        <f t="shared" si="9"/>
        <v>24022.675</v>
      </c>
      <c r="V29" s="22">
        <v>0.875</v>
      </c>
      <c r="W29" s="21">
        <f t="shared" si="10"/>
        <v>2.16805555555556</v>
      </c>
      <c r="X29" s="21">
        <f t="shared" si="11"/>
        <v>67.2097222222222</v>
      </c>
      <c r="Y29" s="21">
        <f t="shared" si="12"/>
        <v>21019.840625</v>
      </c>
      <c r="Z29" s="50">
        <v>70</v>
      </c>
      <c r="AA29" s="51">
        <f t="shared" si="13"/>
        <v>14595</v>
      </c>
      <c r="AB29" s="52">
        <f t="shared" si="14"/>
        <v>1.04151598437726</v>
      </c>
      <c r="AC29" s="22">
        <v>0.125</v>
      </c>
      <c r="AD29" s="21">
        <f t="shared" si="15"/>
        <v>0.309722222222222</v>
      </c>
      <c r="AE29" s="21">
        <f t="shared" si="16"/>
        <v>9.60138888888889</v>
      </c>
      <c r="AF29" s="21">
        <f t="shared" si="17"/>
        <v>3002.834375</v>
      </c>
      <c r="AG29" s="7">
        <v>21</v>
      </c>
      <c r="AH29" s="25">
        <f t="shared" si="18"/>
        <v>4378.5</v>
      </c>
      <c r="AI29" s="53">
        <f t="shared" si="19"/>
        <v>2.18718356719225</v>
      </c>
    </row>
    <row r="30" ht="15" customHeight="1" spans="1:35">
      <c r="A30" s="7" t="s">
        <v>636</v>
      </c>
      <c r="B30" s="54" t="s">
        <v>715</v>
      </c>
      <c r="C30" s="7" t="s">
        <v>34</v>
      </c>
      <c r="D30" s="7" t="s">
        <v>35</v>
      </c>
      <c r="E30" s="7" t="s">
        <v>219</v>
      </c>
      <c r="F30" s="48">
        <v>126.57</v>
      </c>
      <c r="G30" s="48">
        <v>337</v>
      </c>
      <c r="H30" s="48">
        <v>3</v>
      </c>
      <c r="I30" s="48">
        <v>112</v>
      </c>
      <c r="J30" s="48">
        <v>167</v>
      </c>
      <c r="K30" s="7">
        <v>23099</v>
      </c>
      <c r="L30" s="21">
        <f t="shared" si="0"/>
        <v>3.74</v>
      </c>
      <c r="M30" s="21">
        <f t="shared" si="1"/>
        <v>208.94</v>
      </c>
      <c r="N30" s="21">
        <f t="shared" si="2"/>
        <v>26445.5358</v>
      </c>
      <c r="O30" s="21">
        <f t="shared" si="3"/>
        <v>0.744444444444444</v>
      </c>
      <c r="P30" s="21">
        <f t="shared" si="4"/>
        <v>116.077777777778</v>
      </c>
      <c r="Q30" s="21">
        <f t="shared" si="5"/>
        <v>22037.9465</v>
      </c>
      <c r="R30" s="21">
        <f t="shared" si="6"/>
        <v>116.077777777778</v>
      </c>
      <c r="S30" s="21">
        <f t="shared" si="7"/>
        <v>3.74444444444444</v>
      </c>
      <c r="T30" s="21">
        <f t="shared" si="8"/>
        <v>0.744444444444444</v>
      </c>
      <c r="U30" s="21">
        <f t="shared" si="9"/>
        <v>22037.9465</v>
      </c>
      <c r="V30" s="49">
        <v>0.2</v>
      </c>
      <c r="W30" s="21">
        <f t="shared" si="10"/>
        <v>0.748888888888889</v>
      </c>
      <c r="X30" s="21">
        <f t="shared" si="11"/>
        <v>23.2155555555556</v>
      </c>
      <c r="Y30" s="21">
        <f t="shared" si="12"/>
        <v>4407.5893</v>
      </c>
      <c r="Z30" s="50">
        <v>40</v>
      </c>
      <c r="AA30" s="51">
        <f t="shared" si="13"/>
        <v>5062.8</v>
      </c>
      <c r="AB30" s="52">
        <f t="shared" si="14"/>
        <v>1.72298267445199</v>
      </c>
      <c r="AC30" s="49">
        <v>0.8</v>
      </c>
      <c r="AD30" s="21">
        <f t="shared" si="15"/>
        <v>2.99555555555556</v>
      </c>
      <c r="AE30" s="21">
        <f t="shared" si="16"/>
        <v>92.8622222222222</v>
      </c>
      <c r="AF30" s="21">
        <f t="shared" si="17"/>
        <v>17630.3572</v>
      </c>
      <c r="AG30" s="7">
        <v>80</v>
      </c>
      <c r="AH30" s="25">
        <f t="shared" si="18"/>
        <v>10125.6</v>
      </c>
      <c r="AI30" s="53">
        <f t="shared" si="19"/>
        <v>0.861491337225998</v>
      </c>
    </row>
    <row r="31" ht="15" customHeight="1" spans="1:35">
      <c r="A31" s="7" t="s">
        <v>64</v>
      </c>
      <c r="B31" s="57" t="s">
        <v>65</v>
      </c>
      <c r="C31" s="7" t="s">
        <v>34</v>
      </c>
      <c r="D31" s="7" t="s">
        <v>35</v>
      </c>
      <c r="E31" s="7" t="s">
        <v>66</v>
      </c>
      <c r="F31" s="48">
        <v>93.44</v>
      </c>
      <c r="G31" s="48">
        <v>438</v>
      </c>
      <c r="H31" s="48">
        <v>1</v>
      </c>
      <c r="I31" s="48">
        <v>438</v>
      </c>
      <c r="J31" s="48">
        <v>368</v>
      </c>
      <c r="K31" s="7">
        <v>48963</v>
      </c>
      <c r="L31" s="21">
        <f t="shared" si="0"/>
        <v>7.76</v>
      </c>
      <c r="M31" s="21">
        <f t="shared" si="1"/>
        <v>271.56</v>
      </c>
      <c r="N31" s="21">
        <f t="shared" si="2"/>
        <v>25374.5664</v>
      </c>
      <c r="O31" s="21">
        <f t="shared" si="3"/>
        <v>3.86666666666667</v>
      </c>
      <c r="P31" s="21">
        <f t="shared" si="4"/>
        <v>150.866666666667</v>
      </c>
      <c r="Q31" s="21">
        <f t="shared" si="5"/>
        <v>21145.472</v>
      </c>
      <c r="R31" s="21">
        <f t="shared" si="6"/>
        <v>150.866666666667</v>
      </c>
      <c r="S31" s="21">
        <f t="shared" si="7"/>
        <v>4.86666666666667</v>
      </c>
      <c r="T31" s="21">
        <f t="shared" si="8"/>
        <v>3.86666666666667</v>
      </c>
      <c r="U31" s="21">
        <f t="shared" si="9"/>
        <v>21145.472</v>
      </c>
      <c r="V31" s="49">
        <v>0.5</v>
      </c>
      <c r="W31" s="21">
        <f t="shared" si="10"/>
        <v>2.43333333333333</v>
      </c>
      <c r="X31" s="21">
        <f t="shared" si="11"/>
        <v>75.4333333333333</v>
      </c>
      <c r="Y31" s="21">
        <f t="shared" si="12"/>
        <v>10572.736</v>
      </c>
      <c r="Z31" s="50">
        <v>9</v>
      </c>
      <c r="AA31" s="51">
        <f t="shared" si="13"/>
        <v>840.96</v>
      </c>
      <c r="AB31" s="52">
        <f t="shared" si="14"/>
        <v>0.119310649580203</v>
      </c>
      <c r="AC31" s="49">
        <v>0.5</v>
      </c>
      <c r="AD31" s="21">
        <f t="shared" si="15"/>
        <v>2.43333333333333</v>
      </c>
      <c r="AE31" s="21">
        <f t="shared" si="16"/>
        <v>75.4333333333333</v>
      </c>
      <c r="AF31" s="21">
        <f t="shared" si="17"/>
        <v>10572.736</v>
      </c>
      <c r="AG31" s="7">
        <v>0</v>
      </c>
      <c r="AH31" s="25">
        <f t="shared" si="18"/>
        <v>0</v>
      </c>
      <c r="AI31" s="53">
        <f t="shared" si="19"/>
        <v>0</v>
      </c>
    </row>
    <row r="32" ht="15" customHeight="1" spans="1:35">
      <c r="A32" s="7" t="s">
        <v>552</v>
      </c>
      <c r="B32" s="54" t="s">
        <v>686</v>
      </c>
      <c r="C32" s="7" t="s">
        <v>34</v>
      </c>
      <c r="D32" s="7" t="s">
        <v>35</v>
      </c>
      <c r="E32" s="7" t="s">
        <v>687</v>
      </c>
      <c r="F32" s="48">
        <v>22.27</v>
      </c>
      <c r="G32" s="48">
        <v>1672</v>
      </c>
      <c r="H32" s="48">
        <v>18</v>
      </c>
      <c r="I32" s="48">
        <v>92</v>
      </c>
      <c r="J32" s="48">
        <v>772</v>
      </c>
      <c r="K32" s="7">
        <v>17771</v>
      </c>
      <c r="L32" s="21">
        <f t="shared" si="0"/>
        <v>15.44</v>
      </c>
      <c r="M32" s="21">
        <f t="shared" si="1"/>
        <v>1036.64</v>
      </c>
      <c r="N32" s="21">
        <f t="shared" si="2"/>
        <v>23085.9728</v>
      </c>
      <c r="O32" s="21">
        <f t="shared" si="3"/>
        <v>0.577777777777778</v>
      </c>
      <c r="P32" s="21">
        <f t="shared" si="4"/>
        <v>575.911111111111</v>
      </c>
      <c r="Q32" s="21">
        <f t="shared" si="5"/>
        <v>19238.3106666667</v>
      </c>
      <c r="R32" s="21">
        <f t="shared" si="6"/>
        <v>575.911111111111</v>
      </c>
      <c r="S32" s="21">
        <f t="shared" si="7"/>
        <v>18.5777777777778</v>
      </c>
      <c r="T32" s="21">
        <f t="shared" si="8"/>
        <v>0.577777777777779</v>
      </c>
      <c r="U32" s="21">
        <f t="shared" si="9"/>
        <v>19238.3106666667</v>
      </c>
      <c r="V32" s="49">
        <v>0.6</v>
      </c>
      <c r="W32" s="21">
        <f t="shared" si="10"/>
        <v>11.1466666666667</v>
      </c>
      <c r="X32" s="21">
        <f t="shared" si="11"/>
        <v>345.546666666667</v>
      </c>
      <c r="Y32" s="21">
        <f t="shared" si="12"/>
        <v>11542.9864</v>
      </c>
      <c r="Z32" s="50">
        <v>265</v>
      </c>
      <c r="AA32" s="51">
        <f t="shared" si="13"/>
        <v>5901.55</v>
      </c>
      <c r="AB32" s="52">
        <f t="shared" si="14"/>
        <v>0.76690075628955</v>
      </c>
      <c r="AC32" s="49">
        <v>0.4</v>
      </c>
      <c r="AD32" s="21">
        <f t="shared" si="15"/>
        <v>7.43111111111111</v>
      </c>
      <c r="AE32" s="21">
        <f t="shared" si="16"/>
        <v>230.364444444444</v>
      </c>
      <c r="AF32" s="21">
        <f t="shared" si="17"/>
        <v>7695.32426666667</v>
      </c>
      <c r="AG32" s="7">
        <v>54</v>
      </c>
      <c r="AH32" s="25">
        <f t="shared" si="18"/>
        <v>1202.58</v>
      </c>
      <c r="AI32" s="53">
        <f t="shared" si="19"/>
        <v>0.234411174563976</v>
      </c>
    </row>
    <row r="33" ht="15" customHeight="1" spans="1:35">
      <c r="A33" s="7" t="s">
        <v>590</v>
      </c>
      <c r="B33" s="47" t="s">
        <v>698</v>
      </c>
      <c r="C33" s="7" t="s">
        <v>34</v>
      </c>
      <c r="D33" s="7" t="s">
        <v>51</v>
      </c>
      <c r="E33" s="7" t="s">
        <v>283</v>
      </c>
      <c r="F33" s="48">
        <v>84.15</v>
      </c>
      <c r="G33" s="48">
        <v>434</v>
      </c>
      <c r="H33" s="48">
        <v>1</v>
      </c>
      <c r="I33" s="48">
        <v>434</v>
      </c>
      <c r="J33" s="48">
        <v>351</v>
      </c>
      <c r="K33" s="7">
        <v>41486</v>
      </c>
      <c r="L33" s="21">
        <f t="shared" si="0"/>
        <v>7.68</v>
      </c>
      <c r="M33" s="21">
        <f t="shared" si="1"/>
        <v>269.08</v>
      </c>
      <c r="N33" s="21">
        <f t="shared" si="2"/>
        <v>22643.082</v>
      </c>
      <c r="O33" s="21">
        <f t="shared" si="3"/>
        <v>3.82222222222222</v>
      </c>
      <c r="P33" s="21">
        <f t="shared" si="4"/>
        <v>149.488888888889</v>
      </c>
      <c r="Q33" s="21">
        <f t="shared" si="5"/>
        <v>18869.235</v>
      </c>
      <c r="R33" s="21">
        <f t="shared" si="6"/>
        <v>149.488888888889</v>
      </c>
      <c r="S33" s="21">
        <f t="shared" si="7"/>
        <v>4.82222222222222</v>
      </c>
      <c r="T33" s="21">
        <f t="shared" si="8"/>
        <v>3.82222222222222</v>
      </c>
      <c r="U33" s="21">
        <f t="shared" si="9"/>
        <v>18869.235</v>
      </c>
      <c r="V33" s="22">
        <v>0.265486725663717</v>
      </c>
      <c r="W33" s="21">
        <f t="shared" si="10"/>
        <v>1.28023598820059</v>
      </c>
      <c r="X33" s="21">
        <f t="shared" si="11"/>
        <v>39.6873156342183</v>
      </c>
      <c r="Y33" s="21">
        <f t="shared" si="12"/>
        <v>5009.53141592921</v>
      </c>
      <c r="Z33" s="50">
        <v>10</v>
      </c>
      <c r="AA33" s="51">
        <f t="shared" si="13"/>
        <v>841.5</v>
      </c>
      <c r="AB33" s="52">
        <f t="shared" si="14"/>
        <v>0.251969674446261</v>
      </c>
      <c r="AC33" s="22">
        <v>0.734513274336283</v>
      </c>
      <c r="AD33" s="21">
        <f t="shared" si="15"/>
        <v>3.54198623402163</v>
      </c>
      <c r="AE33" s="21">
        <f t="shared" si="16"/>
        <v>109.801573254671</v>
      </c>
      <c r="AF33" s="21">
        <f t="shared" si="17"/>
        <v>13859.7035840708</v>
      </c>
      <c r="AG33" s="7">
        <v>141</v>
      </c>
      <c r="AH33" s="25">
        <f t="shared" si="18"/>
        <v>11865.15</v>
      </c>
      <c r="AI33" s="53">
        <f t="shared" si="19"/>
        <v>1.28413460591287</v>
      </c>
    </row>
    <row r="34" ht="15" customHeight="1" spans="1:35">
      <c r="A34" s="7" t="s">
        <v>158</v>
      </c>
      <c r="B34" s="47" t="s">
        <v>159</v>
      </c>
      <c r="C34" s="7" t="s">
        <v>34</v>
      </c>
      <c r="D34" s="7" t="s">
        <v>35</v>
      </c>
      <c r="E34" s="7" t="s">
        <v>160</v>
      </c>
      <c r="F34" s="48">
        <v>71.45</v>
      </c>
      <c r="G34" s="48">
        <v>508</v>
      </c>
      <c r="H34" s="55"/>
      <c r="I34" s="55"/>
      <c r="J34" s="48">
        <v>473</v>
      </c>
      <c r="K34" s="7">
        <v>49693</v>
      </c>
      <c r="L34" s="21">
        <f t="shared" si="0"/>
        <v>10.16</v>
      </c>
      <c r="M34" s="21">
        <f t="shared" si="1"/>
        <v>314.96</v>
      </c>
      <c r="N34" s="21">
        <f t="shared" si="2"/>
        <v>22503.892</v>
      </c>
      <c r="O34" s="21">
        <f t="shared" si="3"/>
        <v>5.64444444444444</v>
      </c>
      <c r="P34" s="21">
        <f t="shared" si="4"/>
        <v>174.977777777778</v>
      </c>
      <c r="Q34" s="21">
        <f t="shared" si="5"/>
        <v>18753.2433333333</v>
      </c>
      <c r="R34" s="21">
        <f t="shared" si="6"/>
        <v>174.977777777778</v>
      </c>
      <c r="S34" s="21">
        <f t="shared" si="7"/>
        <v>5.64444444444444</v>
      </c>
      <c r="T34" s="21">
        <f t="shared" si="8"/>
        <v>5.64444444444444</v>
      </c>
      <c r="U34" s="21">
        <f t="shared" si="9"/>
        <v>18753.2433333333</v>
      </c>
      <c r="V34" s="22">
        <v>1</v>
      </c>
      <c r="W34" s="21">
        <f t="shared" si="10"/>
        <v>5.64444444444444</v>
      </c>
      <c r="X34" s="21">
        <f t="shared" si="11"/>
        <v>174.977777777778</v>
      </c>
      <c r="Y34" s="21">
        <f t="shared" si="12"/>
        <v>18753.2433333333</v>
      </c>
      <c r="Z34" s="50">
        <v>193</v>
      </c>
      <c r="AA34" s="51">
        <f t="shared" si="13"/>
        <v>13789.85</v>
      </c>
      <c r="AB34" s="52">
        <f t="shared" si="14"/>
        <v>1.10299720599441</v>
      </c>
      <c r="AC34" s="22">
        <v>0</v>
      </c>
      <c r="AD34" s="21">
        <f t="shared" si="15"/>
        <v>0</v>
      </c>
      <c r="AE34" s="21">
        <f t="shared" si="16"/>
        <v>0</v>
      </c>
      <c r="AF34" s="21">
        <f t="shared" si="17"/>
        <v>0</v>
      </c>
      <c r="AG34" s="7">
        <v>74</v>
      </c>
      <c r="AH34" s="25">
        <f t="shared" si="18"/>
        <v>5287.3</v>
      </c>
      <c r="AI34" s="53" t="e">
        <f t="shared" si="19"/>
        <v>#DIV/0!</v>
      </c>
    </row>
    <row r="35" ht="15" customHeight="1" spans="1:35">
      <c r="A35" s="7" t="s">
        <v>96</v>
      </c>
      <c r="B35" s="47" t="s">
        <v>97</v>
      </c>
      <c r="C35" s="7" t="s">
        <v>34</v>
      </c>
      <c r="D35" s="7" t="s">
        <v>51</v>
      </c>
      <c r="E35" s="7" t="s">
        <v>61</v>
      </c>
      <c r="F35" s="48">
        <v>37.88</v>
      </c>
      <c r="G35" s="48">
        <v>955</v>
      </c>
      <c r="H35" s="55"/>
      <c r="I35" s="55"/>
      <c r="J35" s="48">
        <v>935</v>
      </c>
      <c r="K35" s="7">
        <v>52824</v>
      </c>
      <c r="L35" s="21">
        <f t="shared" si="0"/>
        <v>19.1</v>
      </c>
      <c r="M35" s="21">
        <f t="shared" si="1"/>
        <v>592.1</v>
      </c>
      <c r="N35" s="21">
        <f t="shared" si="2"/>
        <v>22428.748</v>
      </c>
      <c r="O35" s="21">
        <f t="shared" si="3"/>
        <v>10.6111111111111</v>
      </c>
      <c r="P35" s="21">
        <f t="shared" si="4"/>
        <v>328.944444444444</v>
      </c>
      <c r="Q35" s="21">
        <f t="shared" si="5"/>
        <v>18690.6233333333</v>
      </c>
      <c r="R35" s="21">
        <f t="shared" si="6"/>
        <v>328.944444444444</v>
      </c>
      <c r="S35" s="21">
        <f t="shared" si="7"/>
        <v>10.6111111111111</v>
      </c>
      <c r="T35" s="21">
        <f t="shared" si="8"/>
        <v>10.6111111111111</v>
      </c>
      <c r="U35" s="21">
        <f t="shared" si="9"/>
        <v>18690.6233333333</v>
      </c>
      <c r="V35" s="22">
        <v>0.296875</v>
      </c>
      <c r="W35" s="21">
        <f t="shared" si="10"/>
        <v>3.15017361111111</v>
      </c>
      <c r="X35" s="21">
        <f t="shared" si="11"/>
        <v>97.6553819444444</v>
      </c>
      <c r="Y35" s="21">
        <f t="shared" si="12"/>
        <v>5548.77880208333</v>
      </c>
      <c r="Z35" s="50">
        <v>46</v>
      </c>
      <c r="AA35" s="51">
        <f t="shared" si="13"/>
        <v>1742.48</v>
      </c>
      <c r="AB35" s="52">
        <f t="shared" si="14"/>
        <v>0.471044187059441</v>
      </c>
      <c r="AC35" s="22">
        <v>0.703125</v>
      </c>
      <c r="AD35" s="21">
        <f t="shared" si="15"/>
        <v>7.4609375</v>
      </c>
      <c r="AE35" s="21">
        <f t="shared" si="16"/>
        <v>231.2890625</v>
      </c>
      <c r="AF35" s="21">
        <f t="shared" si="17"/>
        <v>13141.84453125</v>
      </c>
      <c r="AG35" s="7">
        <v>105</v>
      </c>
      <c r="AH35" s="25">
        <f t="shared" si="18"/>
        <v>3977.4</v>
      </c>
      <c r="AI35" s="53">
        <f t="shared" si="19"/>
        <v>0.453977368687722</v>
      </c>
    </row>
    <row r="36" ht="15" customHeight="1" spans="1:35">
      <c r="A36" s="7" t="s">
        <v>766</v>
      </c>
      <c r="B36" s="54" t="s">
        <v>767</v>
      </c>
      <c r="C36" s="7" t="s">
        <v>34</v>
      </c>
      <c r="D36" s="7" t="s">
        <v>51</v>
      </c>
      <c r="E36" s="7" t="s">
        <v>283</v>
      </c>
      <c r="F36" s="48">
        <v>89.16</v>
      </c>
      <c r="G36" s="48">
        <v>395</v>
      </c>
      <c r="H36" s="48">
        <v>6</v>
      </c>
      <c r="I36" s="48">
        <v>65</v>
      </c>
      <c r="J36" s="48">
        <v>72</v>
      </c>
      <c r="K36" s="7">
        <v>6420</v>
      </c>
      <c r="L36" s="21">
        <f t="shared" si="0"/>
        <v>1.9</v>
      </c>
      <c r="M36" s="21">
        <f t="shared" si="1"/>
        <v>244.9</v>
      </c>
      <c r="N36" s="21">
        <f t="shared" si="2"/>
        <v>21835.284</v>
      </c>
      <c r="O36" s="21">
        <f t="shared" si="3"/>
        <v>-1.61111111111111</v>
      </c>
      <c r="P36" s="21">
        <f t="shared" si="4"/>
        <v>136.055555555556</v>
      </c>
      <c r="Q36" s="21">
        <f t="shared" si="5"/>
        <v>18196.07</v>
      </c>
      <c r="R36" s="21">
        <f t="shared" si="6"/>
        <v>136.055555555556</v>
      </c>
      <c r="S36" s="21">
        <f t="shared" si="7"/>
        <v>4.38888888888889</v>
      </c>
      <c r="T36" s="21">
        <f t="shared" si="8"/>
        <v>-1.61111111111111</v>
      </c>
      <c r="U36" s="21">
        <f t="shared" si="9"/>
        <v>18196.07</v>
      </c>
      <c r="V36" s="22">
        <v>1</v>
      </c>
      <c r="W36" s="21">
        <f t="shared" si="10"/>
        <v>4.38888888888889</v>
      </c>
      <c r="X36" s="21">
        <f t="shared" si="11"/>
        <v>136.055555555556</v>
      </c>
      <c r="Y36" s="21">
        <f t="shared" si="12"/>
        <v>18196.07</v>
      </c>
      <c r="Z36" s="50">
        <v>23</v>
      </c>
      <c r="AA36" s="51">
        <f t="shared" si="13"/>
        <v>2050.68</v>
      </c>
      <c r="AB36" s="52">
        <f t="shared" si="14"/>
        <v>0.169048591261739</v>
      </c>
      <c r="AC36" s="22">
        <v>0</v>
      </c>
      <c r="AD36" s="21">
        <f t="shared" si="15"/>
        <v>0</v>
      </c>
      <c r="AE36" s="21">
        <f t="shared" si="16"/>
        <v>0</v>
      </c>
      <c r="AF36" s="21">
        <f t="shared" si="17"/>
        <v>0</v>
      </c>
      <c r="AG36" s="7">
        <v>204</v>
      </c>
      <c r="AH36" s="25">
        <f t="shared" si="18"/>
        <v>18188.64</v>
      </c>
      <c r="AI36" s="53" t="e">
        <f t="shared" si="19"/>
        <v>#DIV/0!</v>
      </c>
    </row>
    <row r="37" ht="15" customHeight="1" spans="1:35">
      <c r="A37" s="7" t="s">
        <v>120</v>
      </c>
      <c r="B37" s="47" t="s">
        <v>121</v>
      </c>
      <c r="C37" s="7" t="s">
        <v>34</v>
      </c>
      <c r="D37" s="7" t="s">
        <v>35</v>
      </c>
      <c r="E37" s="7" t="s">
        <v>106</v>
      </c>
      <c r="F37" s="48">
        <v>67.4</v>
      </c>
      <c r="G37" s="48">
        <v>518</v>
      </c>
      <c r="H37" s="55"/>
      <c r="I37" s="55"/>
      <c r="J37" s="48">
        <v>472</v>
      </c>
      <c r="K37" s="7">
        <v>46472</v>
      </c>
      <c r="L37" s="21">
        <f t="shared" si="0"/>
        <v>10.36</v>
      </c>
      <c r="M37" s="21">
        <f t="shared" si="1"/>
        <v>321.16</v>
      </c>
      <c r="N37" s="21">
        <f t="shared" si="2"/>
        <v>21646.184</v>
      </c>
      <c r="O37" s="21">
        <f t="shared" si="3"/>
        <v>5.75555555555556</v>
      </c>
      <c r="P37" s="21">
        <f t="shared" si="4"/>
        <v>178.422222222222</v>
      </c>
      <c r="Q37" s="21">
        <f t="shared" si="5"/>
        <v>18038.4866666667</v>
      </c>
      <c r="R37" s="21">
        <f t="shared" si="6"/>
        <v>178.422222222222</v>
      </c>
      <c r="S37" s="21">
        <f t="shared" si="7"/>
        <v>5.75555555555556</v>
      </c>
      <c r="T37" s="21">
        <f t="shared" si="8"/>
        <v>5.75555555555556</v>
      </c>
      <c r="U37" s="21">
        <f t="shared" si="9"/>
        <v>18038.4866666667</v>
      </c>
      <c r="V37" s="49">
        <v>0.4</v>
      </c>
      <c r="W37" s="21">
        <f t="shared" ref="W37:W68" si="20">X37/31</f>
        <v>2.30222222222222</v>
      </c>
      <c r="X37" s="21">
        <f t="shared" ref="X37:X68" si="21">R37*V37</f>
        <v>71.3688888888889</v>
      </c>
      <c r="Y37" s="21">
        <f t="shared" ref="Y37:Y68" si="22">X37*F37*1.5</f>
        <v>7215.39466666667</v>
      </c>
      <c r="Z37" s="50">
        <v>44</v>
      </c>
      <c r="AA37" s="51">
        <f t="shared" ref="AA37:AA68" si="23">Z37*F37</f>
        <v>2965.6</v>
      </c>
      <c r="AB37" s="52">
        <f t="shared" ref="AB37:AB68" si="24">Z37/X37</f>
        <v>0.616515132644165</v>
      </c>
      <c r="AC37" s="49">
        <v>0.6</v>
      </c>
      <c r="AD37" s="21">
        <f t="shared" ref="AD37:AD68" si="25">AE37/31</f>
        <v>3.45333333333333</v>
      </c>
      <c r="AE37" s="21">
        <f t="shared" ref="AE37:AE68" si="26">R37*AC37</f>
        <v>107.053333333333</v>
      </c>
      <c r="AF37" s="21">
        <f t="shared" ref="AF37:AF68" si="27">F37*AE37*1.5</f>
        <v>10823.092</v>
      </c>
      <c r="AG37" s="7">
        <v>4</v>
      </c>
      <c r="AH37" s="25">
        <f t="shared" ref="AH37:AH68" si="28">AG37*F37</f>
        <v>269.6</v>
      </c>
      <c r="AI37" s="53">
        <f t="shared" ref="AI37:AI68" si="29">AG37/AE37</f>
        <v>0.0373645534935859</v>
      </c>
    </row>
    <row r="38" ht="15" customHeight="1" spans="1:35">
      <c r="A38" s="7" t="s">
        <v>186</v>
      </c>
      <c r="B38" s="56" t="s">
        <v>187</v>
      </c>
      <c r="C38" s="7" t="s">
        <v>34</v>
      </c>
      <c r="D38" s="7" t="s">
        <v>35</v>
      </c>
      <c r="E38" s="7" t="s">
        <v>125</v>
      </c>
      <c r="F38" s="48">
        <v>76.76</v>
      </c>
      <c r="G38" s="48">
        <v>442</v>
      </c>
      <c r="H38" s="48">
        <v>2</v>
      </c>
      <c r="I38" s="48">
        <v>221</v>
      </c>
      <c r="J38" s="48">
        <v>342</v>
      </c>
      <c r="K38" s="7">
        <v>36307</v>
      </c>
      <c r="L38" s="21">
        <f t="shared" si="0"/>
        <v>6.84</v>
      </c>
      <c r="M38" s="21">
        <f t="shared" si="1"/>
        <v>274.04</v>
      </c>
      <c r="N38" s="21">
        <f t="shared" si="2"/>
        <v>21035.3104</v>
      </c>
      <c r="O38" s="21">
        <f t="shared" si="3"/>
        <v>2.91111111111111</v>
      </c>
      <c r="P38" s="21">
        <f t="shared" si="4"/>
        <v>152.244444444444</v>
      </c>
      <c r="Q38" s="21">
        <f t="shared" si="5"/>
        <v>17529.4253333333</v>
      </c>
      <c r="R38" s="21">
        <f t="shared" si="6"/>
        <v>152.244444444444</v>
      </c>
      <c r="S38" s="21">
        <f t="shared" si="7"/>
        <v>4.91111111111111</v>
      </c>
      <c r="T38" s="21">
        <f t="shared" si="8"/>
        <v>2.91111111111111</v>
      </c>
      <c r="U38" s="21">
        <f t="shared" si="9"/>
        <v>17529.4253333333</v>
      </c>
      <c r="V38" s="49">
        <v>0.4</v>
      </c>
      <c r="W38" s="21">
        <f t="shared" si="20"/>
        <v>1.96444444444444</v>
      </c>
      <c r="X38" s="21">
        <f t="shared" si="21"/>
        <v>60.8977777777778</v>
      </c>
      <c r="Y38" s="21">
        <f t="shared" si="22"/>
        <v>7011.77013333334</v>
      </c>
      <c r="Z38" s="50">
        <v>29</v>
      </c>
      <c r="AA38" s="51">
        <f t="shared" si="23"/>
        <v>2226.04</v>
      </c>
      <c r="AB38" s="52">
        <f t="shared" si="24"/>
        <v>0.476207852868194</v>
      </c>
      <c r="AC38" s="49">
        <v>0.6</v>
      </c>
      <c r="AD38" s="21">
        <f t="shared" si="25"/>
        <v>2.94666666666667</v>
      </c>
      <c r="AE38" s="21">
        <f t="shared" si="26"/>
        <v>91.3466666666667</v>
      </c>
      <c r="AF38" s="21">
        <f t="shared" si="27"/>
        <v>10517.6552</v>
      </c>
      <c r="AG38" s="7">
        <v>66</v>
      </c>
      <c r="AH38" s="25">
        <f t="shared" si="28"/>
        <v>5066.16</v>
      </c>
      <c r="AI38" s="53">
        <f t="shared" si="29"/>
        <v>0.722522259524157</v>
      </c>
    </row>
    <row r="39" ht="15" customHeight="1" spans="1:35">
      <c r="A39" s="7" t="s">
        <v>104</v>
      </c>
      <c r="B39" s="47" t="s">
        <v>105</v>
      </c>
      <c r="C39" s="7" t="s">
        <v>34</v>
      </c>
      <c r="D39" s="7" t="s">
        <v>35</v>
      </c>
      <c r="E39" s="7" t="s">
        <v>106</v>
      </c>
      <c r="F39" s="48">
        <v>88.35</v>
      </c>
      <c r="G39" s="48">
        <v>371</v>
      </c>
      <c r="H39" s="48">
        <v>5</v>
      </c>
      <c r="I39" s="48">
        <v>74</v>
      </c>
      <c r="J39" s="48">
        <v>110</v>
      </c>
      <c r="K39" s="7">
        <v>9719</v>
      </c>
      <c r="L39" s="21">
        <f t="shared" si="0"/>
        <v>2.42</v>
      </c>
      <c r="M39" s="21">
        <f t="shared" si="1"/>
        <v>230.02</v>
      </c>
      <c r="N39" s="21">
        <f t="shared" si="2"/>
        <v>20322.267</v>
      </c>
      <c r="O39" s="21">
        <f t="shared" si="3"/>
        <v>-0.877777777777778</v>
      </c>
      <c r="P39" s="21">
        <f t="shared" si="4"/>
        <v>127.788888888889</v>
      </c>
      <c r="Q39" s="21">
        <f t="shared" si="5"/>
        <v>16935.2225</v>
      </c>
      <c r="R39" s="21">
        <f t="shared" si="6"/>
        <v>127.788888888889</v>
      </c>
      <c r="S39" s="21">
        <f t="shared" si="7"/>
        <v>4.12222222222222</v>
      </c>
      <c r="T39" s="21">
        <f t="shared" si="8"/>
        <v>-0.877777777777778</v>
      </c>
      <c r="U39" s="21">
        <f t="shared" si="9"/>
        <v>16935.2225</v>
      </c>
      <c r="V39" s="22">
        <v>0.555555555555556</v>
      </c>
      <c r="W39" s="21">
        <f t="shared" si="20"/>
        <v>2.29012345679013</v>
      </c>
      <c r="X39" s="21">
        <f t="shared" si="21"/>
        <v>70.9938271604939</v>
      </c>
      <c r="Y39" s="21">
        <f t="shared" si="22"/>
        <v>9408.45694444445</v>
      </c>
      <c r="Z39" s="50">
        <v>136</v>
      </c>
      <c r="AA39" s="51">
        <f t="shared" si="23"/>
        <v>12015.6</v>
      </c>
      <c r="AB39" s="52">
        <f t="shared" si="24"/>
        <v>1.91565950786888</v>
      </c>
      <c r="AC39" s="22">
        <v>0.444444444444444</v>
      </c>
      <c r="AD39" s="21">
        <f t="shared" si="25"/>
        <v>1.8320987654321</v>
      </c>
      <c r="AE39" s="21">
        <f t="shared" si="26"/>
        <v>56.795061728395</v>
      </c>
      <c r="AF39" s="21">
        <f t="shared" si="27"/>
        <v>7526.76555555555</v>
      </c>
      <c r="AG39" s="7">
        <v>13</v>
      </c>
      <c r="AH39" s="25">
        <f t="shared" si="28"/>
        <v>1148.55</v>
      </c>
      <c r="AI39" s="53">
        <f t="shared" si="29"/>
        <v>0.228893139726981</v>
      </c>
    </row>
    <row r="40" ht="15" customHeight="1" spans="1:35">
      <c r="A40" s="7" t="s">
        <v>397</v>
      </c>
      <c r="B40" s="54" t="s">
        <v>398</v>
      </c>
      <c r="C40" s="7" t="s">
        <v>34</v>
      </c>
      <c r="D40" s="7" t="s">
        <v>35</v>
      </c>
      <c r="E40" s="7" t="s">
        <v>110</v>
      </c>
      <c r="F40" s="48">
        <v>20.4</v>
      </c>
      <c r="G40" s="48">
        <v>1570</v>
      </c>
      <c r="H40" s="48">
        <v>9</v>
      </c>
      <c r="I40" s="48">
        <v>174</v>
      </c>
      <c r="J40" s="48">
        <v>1082</v>
      </c>
      <c r="K40" s="7">
        <v>29121</v>
      </c>
      <c r="L40" s="21">
        <f t="shared" si="0"/>
        <v>22.4</v>
      </c>
      <c r="M40" s="21">
        <f t="shared" si="1"/>
        <v>973.4</v>
      </c>
      <c r="N40" s="21">
        <f t="shared" si="2"/>
        <v>19857.36</v>
      </c>
      <c r="O40" s="21">
        <f t="shared" si="3"/>
        <v>8.44444444444444</v>
      </c>
      <c r="P40" s="21">
        <f t="shared" si="4"/>
        <v>540.777777777778</v>
      </c>
      <c r="Q40" s="21">
        <f t="shared" si="5"/>
        <v>16547.8</v>
      </c>
      <c r="R40" s="21">
        <f t="shared" si="6"/>
        <v>540.777777777778</v>
      </c>
      <c r="S40" s="21">
        <f t="shared" si="7"/>
        <v>17.4444444444444</v>
      </c>
      <c r="T40" s="21">
        <f t="shared" si="8"/>
        <v>8.44444444444444</v>
      </c>
      <c r="U40" s="21">
        <f t="shared" si="9"/>
        <v>16547.8</v>
      </c>
      <c r="V40" s="22">
        <v>0.265822784810127</v>
      </c>
      <c r="W40" s="21">
        <f t="shared" si="20"/>
        <v>4.63713080168777</v>
      </c>
      <c r="X40" s="21">
        <f t="shared" si="21"/>
        <v>143.751054852321</v>
      </c>
      <c r="Y40" s="21">
        <f t="shared" si="22"/>
        <v>4398.78227848102</v>
      </c>
      <c r="Z40" s="50">
        <v>121</v>
      </c>
      <c r="AA40" s="51">
        <f t="shared" si="23"/>
        <v>2468.4</v>
      </c>
      <c r="AB40" s="52">
        <f t="shared" si="24"/>
        <v>0.841732953711583</v>
      </c>
      <c r="AC40" s="22">
        <v>0.722724532851115</v>
      </c>
      <c r="AD40" s="21">
        <f t="shared" si="25"/>
        <v>12.6075279619583</v>
      </c>
      <c r="AE40" s="21">
        <f t="shared" si="26"/>
        <v>390.833366820708</v>
      </c>
      <c r="AF40" s="21">
        <f t="shared" si="27"/>
        <v>11959.5010247137</v>
      </c>
      <c r="AG40" s="7">
        <v>917</v>
      </c>
      <c r="AH40" s="25">
        <f t="shared" si="28"/>
        <v>18706.8</v>
      </c>
      <c r="AI40" s="53">
        <f t="shared" si="29"/>
        <v>2.34626845568349</v>
      </c>
    </row>
    <row r="41" ht="15" customHeight="1" spans="1:35">
      <c r="A41" s="7" t="s">
        <v>567</v>
      </c>
      <c r="B41" s="47" t="s">
        <v>691</v>
      </c>
      <c r="C41" s="7" t="s">
        <v>34</v>
      </c>
      <c r="D41" s="7" t="s">
        <v>35</v>
      </c>
      <c r="E41" s="7" t="s">
        <v>106</v>
      </c>
      <c r="F41" s="48">
        <v>48.74</v>
      </c>
      <c r="G41" s="48">
        <v>631</v>
      </c>
      <c r="H41" s="48">
        <v>2</v>
      </c>
      <c r="I41" s="48">
        <v>315</v>
      </c>
      <c r="J41" s="48">
        <v>488</v>
      </c>
      <c r="K41" s="7">
        <v>32875</v>
      </c>
      <c r="L41" s="21">
        <f t="shared" si="0"/>
        <v>10.62</v>
      </c>
      <c r="M41" s="21">
        <f t="shared" si="1"/>
        <v>391.22</v>
      </c>
      <c r="N41" s="21">
        <f t="shared" si="2"/>
        <v>19068.0628</v>
      </c>
      <c r="O41" s="21">
        <f t="shared" si="3"/>
        <v>5.01111111111111</v>
      </c>
      <c r="P41" s="21">
        <f t="shared" si="4"/>
        <v>217.344444444444</v>
      </c>
      <c r="Q41" s="21">
        <f t="shared" si="5"/>
        <v>15890.0523333333</v>
      </c>
      <c r="R41" s="21">
        <f t="shared" si="6"/>
        <v>217.344444444444</v>
      </c>
      <c r="S41" s="21">
        <f t="shared" si="7"/>
        <v>7.01111111111111</v>
      </c>
      <c r="T41" s="21">
        <f t="shared" si="8"/>
        <v>5.01111111111111</v>
      </c>
      <c r="U41" s="21">
        <f t="shared" si="9"/>
        <v>15890.0523333333</v>
      </c>
      <c r="V41" s="22">
        <v>0.616915422885572</v>
      </c>
      <c r="W41" s="21">
        <f t="shared" si="20"/>
        <v>4.32526257600884</v>
      </c>
      <c r="X41" s="21">
        <f t="shared" si="21"/>
        <v>134.083139856274</v>
      </c>
      <c r="Y41" s="21">
        <f t="shared" si="22"/>
        <v>9802.8183548922</v>
      </c>
      <c r="Z41" s="50">
        <v>99</v>
      </c>
      <c r="AA41" s="51">
        <f t="shared" si="23"/>
        <v>4825.26</v>
      </c>
      <c r="AB41" s="52">
        <f t="shared" si="24"/>
        <v>0.738347864661581</v>
      </c>
      <c r="AC41" s="22">
        <v>0.378109452736318</v>
      </c>
      <c r="AD41" s="21">
        <f t="shared" si="25"/>
        <v>2.65096738529574</v>
      </c>
      <c r="AE41" s="21">
        <f t="shared" si="26"/>
        <v>82.179988944168</v>
      </c>
      <c r="AF41" s="21">
        <f t="shared" si="27"/>
        <v>6008.17899170812</v>
      </c>
      <c r="AG41" s="7">
        <v>26</v>
      </c>
      <c r="AH41" s="25">
        <f t="shared" si="28"/>
        <v>1267.24</v>
      </c>
      <c r="AI41" s="53">
        <f t="shared" si="29"/>
        <v>0.316378723507301</v>
      </c>
    </row>
    <row r="42" ht="15" customHeight="1" spans="1:35">
      <c r="A42" s="7" t="s">
        <v>565</v>
      </c>
      <c r="B42" s="47" t="s">
        <v>647</v>
      </c>
      <c r="C42" s="7" t="s">
        <v>34</v>
      </c>
      <c r="D42" s="7" t="s">
        <v>35</v>
      </c>
      <c r="E42" s="7" t="s">
        <v>106</v>
      </c>
      <c r="F42" s="48">
        <v>77.79</v>
      </c>
      <c r="G42" s="48">
        <v>384</v>
      </c>
      <c r="H42" s="48">
        <v>1</v>
      </c>
      <c r="I42" s="48">
        <v>384</v>
      </c>
      <c r="J42" s="48">
        <v>313</v>
      </c>
      <c r="K42" s="7">
        <v>34305</v>
      </c>
      <c r="L42" s="21">
        <f t="shared" si="0"/>
        <v>6.68</v>
      </c>
      <c r="M42" s="21">
        <f t="shared" si="1"/>
        <v>238.08</v>
      </c>
      <c r="N42" s="21">
        <f t="shared" si="2"/>
        <v>18520.2432</v>
      </c>
      <c r="O42" s="21">
        <f t="shared" si="3"/>
        <v>3.26666666666667</v>
      </c>
      <c r="P42" s="21">
        <f t="shared" si="4"/>
        <v>132.266666666667</v>
      </c>
      <c r="Q42" s="21">
        <f t="shared" si="5"/>
        <v>15433.536</v>
      </c>
      <c r="R42" s="21">
        <f t="shared" si="6"/>
        <v>132.266666666667</v>
      </c>
      <c r="S42" s="21">
        <f t="shared" si="7"/>
        <v>4.26666666666667</v>
      </c>
      <c r="T42" s="21">
        <f t="shared" si="8"/>
        <v>3.26666666666667</v>
      </c>
      <c r="U42" s="21">
        <f t="shared" si="9"/>
        <v>15433.536</v>
      </c>
      <c r="V42" s="22">
        <v>1</v>
      </c>
      <c r="W42" s="21">
        <f t="shared" si="20"/>
        <v>4.26666666666667</v>
      </c>
      <c r="X42" s="21">
        <f t="shared" si="21"/>
        <v>132.266666666667</v>
      </c>
      <c r="Y42" s="21">
        <f t="shared" si="22"/>
        <v>15433.536</v>
      </c>
      <c r="Z42" s="50">
        <v>62</v>
      </c>
      <c r="AA42" s="51">
        <f t="shared" si="23"/>
        <v>4822.98</v>
      </c>
      <c r="AB42" s="52">
        <f t="shared" si="24"/>
        <v>0.468749999999999</v>
      </c>
      <c r="AC42" s="22">
        <v>0</v>
      </c>
      <c r="AD42" s="21">
        <f t="shared" si="25"/>
        <v>0</v>
      </c>
      <c r="AE42" s="21">
        <f t="shared" si="26"/>
        <v>0</v>
      </c>
      <c r="AF42" s="21">
        <f t="shared" si="27"/>
        <v>0</v>
      </c>
      <c r="AG42" s="7">
        <v>14</v>
      </c>
      <c r="AH42" s="25">
        <f t="shared" si="28"/>
        <v>1089.06</v>
      </c>
      <c r="AI42" s="53" t="e">
        <f t="shared" si="29"/>
        <v>#DIV/0!</v>
      </c>
    </row>
    <row r="43" ht="15" customHeight="1" spans="1:35">
      <c r="A43" s="7" t="s">
        <v>603</v>
      </c>
      <c r="B43" s="47" t="s">
        <v>633</v>
      </c>
      <c r="C43" s="7" t="s">
        <v>34</v>
      </c>
      <c r="D43" s="7" t="s">
        <v>51</v>
      </c>
      <c r="E43" s="7" t="s">
        <v>195</v>
      </c>
      <c r="F43" s="48">
        <v>18.56</v>
      </c>
      <c r="G43" s="48">
        <v>1599</v>
      </c>
      <c r="H43" s="48">
        <v>12</v>
      </c>
      <c r="I43" s="48">
        <v>133</v>
      </c>
      <c r="J43" s="48">
        <v>963</v>
      </c>
      <c r="K43" s="7">
        <v>22086</v>
      </c>
      <c r="L43" s="21">
        <f t="shared" si="0"/>
        <v>19.98</v>
      </c>
      <c r="M43" s="21">
        <f t="shared" si="1"/>
        <v>991.38</v>
      </c>
      <c r="N43" s="21">
        <f t="shared" si="2"/>
        <v>18400.0128</v>
      </c>
      <c r="O43" s="21">
        <f t="shared" si="3"/>
        <v>5.76666666666667</v>
      </c>
      <c r="P43" s="21">
        <f t="shared" si="4"/>
        <v>550.766666666667</v>
      </c>
      <c r="Q43" s="21">
        <f t="shared" si="5"/>
        <v>15333.344</v>
      </c>
      <c r="R43" s="21">
        <f t="shared" si="6"/>
        <v>550.766666666667</v>
      </c>
      <c r="S43" s="21">
        <f t="shared" si="7"/>
        <v>17.7666666666667</v>
      </c>
      <c r="T43" s="21">
        <f t="shared" si="8"/>
        <v>5.76666666666667</v>
      </c>
      <c r="U43" s="21">
        <f t="shared" si="9"/>
        <v>15333.344</v>
      </c>
      <c r="V43" s="22">
        <v>0.266666666666667</v>
      </c>
      <c r="W43" s="21">
        <f t="shared" si="20"/>
        <v>4.73777777777778</v>
      </c>
      <c r="X43" s="21">
        <f t="shared" si="21"/>
        <v>146.871111111111</v>
      </c>
      <c r="Y43" s="21">
        <f t="shared" si="22"/>
        <v>4088.89173333334</v>
      </c>
      <c r="Z43" s="50">
        <v>257</v>
      </c>
      <c r="AA43" s="51">
        <f t="shared" si="23"/>
        <v>4769.92</v>
      </c>
      <c r="AB43" s="52">
        <f t="shared" si="24"/>
        <v>1.74983356533317</v>
      </c>
      <c r="AC43" s="22">
        <v>0.733333333333333</v>
      </c>
      <c r="AD43" s="21">
        <f t="shared" si="25"/>
        <v>13.0288888888889</v>
      </c>
      <c r="AE43" s="21">
        <f t="shared" si="26"/>
        <v>403.895555555555</v>
      </c>
      <c r="AF43" s="21">
        <f t="shared" si="27"/>
        <v>11244.4522666667</v>
      </c>
      <c r="AG43" s="7">
        <v>253</v>
      </c>
      <c r="AH43" s="25">
        <f t="shared" si="28"/>
        <v>4695.68</v>
      </c>
      <c r="AI43" s="53">
        <f t="shared" si="29"/>
        <v>0.626399564243782</v>
      </c>
    </row>
    <row r="44" ht="15" customHeight="1" spans="1:35">
      <c r="A44" s="7" t="s">
        <v>549</v>
      </c>
      <c r="B44" s="54" t="s">
        <v>570</v>
      </c>
      <c r="C44" s="7" t="s">
        <v>34</v>
      </c>
      <c r="D44" s="7" t="s">
        <v>51</v>
      </c>
      <c r="E44" s="7" t="s">
        <v>283</v>
      </c>
      <c r="F44" s="48">
        <v>81.01</v>
      </c>
      <c r="G44" s="48">
        <v>356</v>
      </c>
      <c r="H44" s="48">
        <v>3</v>
      </c>
      <c r="I44" s="48">
        <v>118</v>
      </c>
      <c r="J44" s="48">
        <v>180</v>
      </c>
      <c r="K44" s="7">
        <v>16161</v>
      </c>
      <c r="L44" s="21">
        <f t="shared" si="0"/>
        <v>4.12</v>
      </c>
      <c r="M44" s="21">
        <f t="shared" si="1"/>
        <v>220.72</v>
      </c>
      <c r="N44" s="21">
        <f t="shared" si="2"/>
        <v>17880.5272</v>
      </c>
      <c r="O44" s="21">
        <f t="shared" si="3"/>
        <v>0.955555555555556</v>
      </c>
      <c r="P44" s="21">
        <f t="shared" si="4"/>
        <v>122.622222222222</v>
      </c>
      <c r="Q44" s="21">
        <f t="shared" si="5"/>
        <v>14900.4393333333</v>
      </c>
      <c r="R44" s="21">
        <f t="shared" si="6"/>
        <v>122.622222222222</v>
      </c>
      <c r="S44" s="21">
        <f t="shared" si="7"/>
        <v>3.95555555555556</v>
      </c>
      <c r="T44" s="21">
        <f t="shared" si="8"/>
        <v>0.955555555555556</v>
      </c>
      <c r="U44" s="21">
        <f t="shared" si="9"/>
        <v>14900.4393333333</v>
      </c>
      <c r="V44" s="22">
        <v>0.761904761904762</v>
      </c>
      <c r="W44" s="21">
        <f t="shared" si="20"/>
        <v>3.01375661375661</v>
      </c>
      <c r="X44" s="21">
        <f t="shared" si="21"/>
        <v>93.426455026455</v>
      </c>
      <c r="Y44" s="21">
        <f t="shared" si="22"/>
        <v>11352.7156825397</v>
      </c>
      <c r="Z44" s="50">
        <v>93</v>
      </c>
      <c r="AA44" s="51">
        <f t="shared" si="23"/>
        <v>7533.93</v>
      </c>
      <c r="AB44" s="52">
        <f t="shared" si="24"/>
        <v>0.995435393258427</v>
      </c>
      <c r="AC44" s="22">
        <v>0.216450216450216</v>
      </c>
      <c r="AD44" s="21">
        <f t="shared" si="25"/>
        <v>0.856180856180855</v>
      </c>
      <c r="AE44" s="21">
        <f t="shared" si="26"/>
        <v>26.5416065416065</v>
      </c>
      <c r="AF44" s="21">
        <f t="shared" si="27"/>
        <v>3225.20331890331</v>
      </c>
      <c r="AG44" s="7">
        <v>97</v>
      </c>
      <c r="AH44" s="25">
        <f t="shared" si="28"/>
        <v>7857.97</v>
      </c>
      <c r="AI44" s="53">
        <f t="shared" si="29"/>
        <v>3.65463936208772</v>
      </c>
    </row>
    <row r="45" ht="15" customHeight="1" spans="1:35">
      <c r="A45" s="7" t="s">
        <v>554</v>
      </c>
      <c r="B45" s="54" t="s">
        <v>572</v>
      </c>
      <c r="C45" s="7" t="s">
        <v>34</v>
      </c>
      <c r="D45" s="7" t="s">
        <v>51</v>
      </c>
      <c r="E45" s="7" t="s">
        <v>283</v>
      </c>
      <c r="F45" s="48">
        <v>81.01</v>
      </c>
      <c r="G45" s="48">
        <v>351</v>
      </c>
      <c r="H45" s="48">
        <v>4</v>
      </c>
      <c r="I45" s="48">
        <v>87</v>
      </c>
      <c r="J45" s="48">
        <v>126</v>
      </c>
      <c r="K45" s="7">
        <v>10207</v>
      </c>
      <c r="L45" s="21">
        <f t="shared" si="0"/>
        <v>3.02</v>
      </c>
      <c r="M45" s="21">
        <f t="shared" si="1"/>
        <v>217.62</v>
      </c>
      <c r="N45" s="21">
        <f t="shared" si="2"/>
        <v>17629.3962</v>
      </c>
      <c r="O45" s="21">
        <f t="shared" si="3"/>
        <v>-0.1</v>
      </c>
      <c r="P45" s="21">
        <f t="shared" si="4"/>
        <v>120.9</v>
      </c>
      <c r="Q45" s="21">
        <f t="shared" si="5"/>
        <v>14691.1635</v>
      </c>
      <c r="R45" s="21">
        <f t="shared" si="6"/>
        <v>120.9</v>
      </c>
      <c r="S45" s="21">
        <f t="shared" si="7"/>
        <v>3.9</v>
      </c>
      <c r="T45" s="21">
        <f t="shared" si="8"/>
        <v>-0.1</v>
      </c>
      <c r="U45" s="21">
        <f t="shared" si="9"/>
        <v>14691.1635</v>
      </c>
      <c r="V45" s="22">
        <v>1</v>
      </c>
      <c r="W45" s="21">
        <f t="shared" si="20"/>
        <v>3.9</v>
      </c>
      <c r="X45" s="21">
        <f t="shared" si="21"/>
        <v>120.9</v>
      </c>
      <c r="Y45" s="21">
        <f t="shared" si="22"/>
        <v>14691.1635</v>
      </c>
      <c r="Z45" s="50">
        <v>66</v>
      </c>
      <c r="AA45" s="51">
        <f t="shared" si="23"/>
        <v>5346.66</v>
      </c>
      <c r="AB45" s="52">
        <f t="shared" si="24"/>
        <v>0.54590570719603</v>
      </c>
      <c r="AC45" s="22">
        <v>0</v>
      </c>
      <c r="AD45" s="21">
        <f t="shared" si="25"/>
        <v>0</v>
      </c>
      <c r="AE45" s="21">
        <f t="shared" si="26"/>
        <v>0</v>
      </c>
      <c r="AF45" s="21">
        <f t="shared" si="27"/>
        <v>0</v>
      </c>
      <c r="AG45" s="7">
        <v>149</v>
      </c>
      <c r="AH45" s="25">
        <f t="shared" si="28"/>
        <v>12070.49</v>
      </c>
      <c r="AI45" s="53" t="e">
        <f t="shared" si="29"/>
        <v>#DIV/0!</v>
      </c>
    </row>
    <row r="46" ht="15" customHeight="1" spans="1:35">
      <c r="A46" s="7" t="s">
        <v>436</v>
      </c>
      <c r="B46" s="56" t="s">
        <v>437</v>
      </c>
      <c r="C46" s="7" t="s">
        <v>34</v>
      </c>
      <c r="D46" s="7" t="s">
        <v>35</v>
      </c>
      <c r="E46" s="7" t="s">
        <v>438</v>
      </c>
      <c r="F46" s="48">
        <v>107.88</v>
      </c>
      <c r="G46" s="48">
        <v>244</v>
      </c>
      <c r="H46" s="48">
        <v>1</v>
      </c>
      <c r="I46" s="48">
        <v>244</v>
      </c>
      <c r="J46" s="48">
        <v>153</v>
      </c>
      <c r="K46" s="7">
        <v>20821</v>
      </c>
      <c r="L46" s="21">
        <f t="shared" si="0"/>
        <v>3.88</v>
      </c>
      <c r="M46" s="21">
        <f t="shared" si="1"/>
        <v>151.28</v>
      </c>
      <c r="N46" s="21">
        <f t="shared" si="2"/>
        <v>16320.0864</v>
      </c>
      <c r="O46" s="21">
        <f t="shared" si="3"/>
        <v>1.71111111111111</v>
      </c>
      <c r="P46" s="21">
        <f t="shared" si="4"/>
        <v>84.0444444444445</v>
      </c>
      <c r="Q46" s="21">
        <f t="shared" si="5"/>
        <v>13600.072</v>
      </c>
      <c r="R46" s="21">
        <f t="shared" si="6"/>
        <v>84.0444444444445</v>
      </c>
      <c r="S46" s="21">
        <f t="shared" si="7"/>
        <v>2.71111111111111</v>
      </c>
      <c r="T46" s="21">
        <f t="shared" si="8"/>
        <v>1.71111111111111</v>
      </c>
      <c r="U46" s="21">
        <f t="shared" si="9"/>
        <v>13600.072</v>
      </c>
      <c r="V46" s="22">
        <v>0</v>
      </c>
      <c r="W46" s="21">
        <f t="shared" si="20"/>
        <v>0</v>
      </c>
      <c r="X46" s="21">
        <f t="shared" si="21"/>
        <v>0</v>
      </c>
      <c r="Y46" s="21">
        <f t="shared" si="22"/>
        <v>0</v>
      </c>
      <c r="Z46" s="50">
        <v>24</v>
      </c>
      <c r="AA46" s="51">
        <f t="shared" si="23"/>
        <v>2589.12</v>
      </c>
      <c r="AB46" s="52" t="e">
        <f t="shared" si="24"/>
        <v>#DIV/0!</v>
      </c>
      <c r="AC46" s="22">
        <v>1</v>
      </c>
      <c r="AD46" s="21">
        <f t="shared" si="25"/>
        <v>2.71111111111111</v>
      </c>
      <c r="AE46" s="21">
        <f t="shared" si="26"/>
        <v>84.0444444444445</v>
      </c>
      <c r="AF46" s="21">
        <f t="shared" si="27"/>
        <v>13600.072</v>
      </c>
      <c r="AG46" s="7">
        <v>20</v>
      </c>
      <c r="AH46" s="25">
        <f t="shared" si="28"/>
        <v>2157.6</v>
      </c>
      <c r="AI46" s="53">
        <f t="shared" si="29"/>
        <v>0.237969328397673</v>
      </c>
    </row>
    <row r="47" ht="15" customHeight="1" spans="1:35">
      <c r="A47" s="7" t="s">
        <v>311</v>
      </c>
      <c r="B47" s="54" t="s">
        <v>312</v>
      </c>
      <c r="C47" s="7" t="s">
        <v>34</v>
      </c>
      <c r="D47" s="7" t="s">
        <v>51</v>
      </c>
      <c r="E47" s="7" t="s">
        <v>313</v>
      </c>
      <c r="F47" s="48">
        <v>37.42</v>
      </c>
      <c r="G47" s="48">
        <v>700</v>
      </c>
      <c r="H47" s="48">
        <v>6</v>
      </c>
      <c r="I47" s="48">
        <v>116</v>
      </c>
      <c r="J47" s="48">
        <v>355</v>
      </c>
      <c r="K47" s="7">
        <v>14762</v>
      </c>
      <c r="L47" s="21">
        <f t="shared" si="0"/>
        <v>8</v>
      </c>
      <c r="M47" s="21">
        <f t="shared" si="1"/>
        <v>434</v>
      </c>
      <c r="N47" s="21">
        <f t="shared" si="2"/>
        <v>16240.28</v>
      </c>
      <c r="O47" s="21">
        <f t="shared" si="3"/>
        <v>1.77777777777778</v>
      </c>
      <c r="P47" s="21">
        <f t="shared" si="4"/>
        <v>241.111111111111</v>
      </c>
      <c r="Q47" s="21">
        <f t="shared" si="5"/>
        <v>13533.5666666667</v>
      </c>
      <c r="R47" s="21">
        <f t="shared" si="6"/>
        <v>241.111111111111</v>
      </c>
      <c r="S47" s="21">
        <f t="shared" si="7"/>
        <v>7.77777777777778</v>
      </c>
      <c r="T47" s="21">
        <f t="shared" si="8"/>
        <v>1.77777777777778</v>
      </c>
      <c r="U47" s="21">
        <f t="shared" si="9"/>
        <v>13533.5666666667</v>
      </c>
      <c r="V47" s="22">
        <v>0.814285714285714</v>
      </c>
      <c r="W47" s="21">
        <f t="shared" si="20"/>
        <v>6.33333333333333</v>
      </c>
      <c r="X47" s="21">
        <f t="shared" si="21"/>
        <v>196.333333333333</v>
      </c>
      <c r="Y47" s="21">
        <f t="shared" si="22"/>
        <v>11020.19</v>
      </c>
      <c r="Z47" s="50">
        <v>114</v>
      </c>
      <c r="AA47" s="51">
        <f t="shared" si="23"/>
        <v>4265.88</v>
      </c>
      <c r="AB47" s="52">
        <f t="shared" si="24"/>
        <v>0.580645161290324</v>
      </c>
      <c r="AC47" s="22">
        <v>0.185714285714286</v>
      </c>
      <c r="AD47" s="21">
        <f t="shared" si="25"/>
        <v>1.44444444444445</v>
      </c>
      <c r="AE47" s="21">
        <f t="shared" si="26"/>
        <v>44.7777777777778</v>
      </c>
      <c r="AF47" s="21">
        <f t="shared" si="27"/>
        <v>2513.37666666667</v>
      </c>
      <c r="AG47" s="7">
        <v>74</v>
      </c>
      <c r="AH47" s="25">
        <f t="shared" si="28"/>
        <v>2769.08</v>
      </c>
      <c r="AI47" s="53">
        <f t="shared" si="29"/>
        <v>1.65260545905707</v>
      </c>
    </row>
    <row r="48" ht="15" customHeight="1" spans="1:35">
      <c r="A48" s="7" t="s">
        <v>768</v>
      </c>
      <c r="B48" s="58" t="s">
        <v>769</v>
      </c>
      <c r="C48" s="7" t="s">
        <v>34</v>
      </c>
      <c r="D48" s="7" t="s">
        <v>51</v>
      </c>
      <c r="E48" s="7" t="s">
        <v>234</v>
      </c>
      <c r="F48" s="48">
        <v>257.4</v>
      </c>
      <c r="G48" s="48">
        <v>101</v>
      </c>
      <c r="H48" s="48">
        <v>1</v>
      </c>
      <c r="I48" s="48">
        <v>101</v>
      </c>
      <c r="J48" s="48">
        <v>18</v>
      </c>
      <c r="K48" s="7">
        <v>4633</v>
      </c>
      <c r="L48" s="21">
        <f t="shared" si="0"/>
        <v>1.02</v>
      </c>
      <c r="M48" s="21">
        <f t="shared" si="1"/>
        <v>62.62</v>
      </c>
      <c r="N48" s="21">
        <f t="shared" si="2"/>
        <v>16118.388</v>
      </c>
      <c r="O48" s="21">
        <f t="shared" si="3"/>
        <v>0.122222222222222</v>
      </c>
      <c r="P48" s="21">
        <f t="shared" si="4"/>
        <v>34.7888888888889</v>
      </c>
      <c r="Q48" s="21">
        <f t="shared" si="5"/>
        <v>13431.99</v>
      </c>
      <c r="R48" s="21">
        <f t="shared" si="6"/>
        <v>34.7888888888889</v>
      </c>
      <c r="S48" s="21">
        <f t="shared" si="7"/>
        <v>1.12222222222222</v>
      </c>
      <c r="T48" s="21">
        <f t="shared" si="8"/>
        <v>0.122222222222222</v>
      </c>
      <c r="U48" s="21">
        <f t="shared" si="9"/>
        <v>13431.99</v>
      </c>
      <c r="V48" s="22">
        <v>0.833333333333333</v>
      </c>
      <c r="W48" s="21">
        <f t="shared" si="20"/>
        <v>0.935185185185185</v>
      </c>
      <c r="X48" s="21">
        <f t="shared" si="21"/>
        <v>28.9907407407407</v>
      </c>
      <c r="Y48" s="21">
        <f t="shared" si="22"/>
        <v>11193.325</v>
      </c>
      <c r="Z48" s="50">
        <v>13</v>
      </c>
      <c r="AA48" s="51">
        <f t="shared" si="23"/>
        <v>3346.2</v>
      </c>
      <c r="AB48" s="52">
        <f t="shared" si="24"/>
        <v>0.448419035451933</v>
      </c>
      <c r="AC48" s="22">
        <v>0.166666666666667</v>
      </c>
      <c r="AD48" s="21">
        <f t="shared" si="25"/>
        <v>0.187037037037037</v>
      </c>
      <c r="AE48" s="21">
        <f t="shared" si="26"/>
        <v>5.79814814814816</v>
      </c>
      <c r="AF48" s="21">
        <f t="shared" si="27"/>
        <v>2238.665</v>
      </c>
      <c r="AG48" s="7">
        <v>60</v>
      </c>
      <c r="AH48" s="25">
        <f t="shared" si="28"/>
        <v>15444</v>
      </c>
      <c r="AI48" s="53">
        <f t="shared" si="29"/>
        <v>10.3481315873523</v>
      </c>
    </row>
    <row r="49" ht="15" customHeight="1" spans="1:35">
      <c r="A49" s="7" t="s">
        <v>443</v>
      </c>
      <c r="B49" s="54" t="s">
        <v>444</v>
      </c>
      <c r="C49" s="7" t="s">
        <v>34</v>
      </c>
      <c r="D49" s="7" t="s">
        <v>51</v>
      </c>
      <c r="E49" s="7" t="s">
        <v>283</v>
      </c>
      <c r="F49" s="48">
        <v>79.87</v>
      </c>
      <c r="G49" s="48">
        <v>303</v>
      </c>
      <c r="H49" s="48">
        <v>6</v>
      </c>
      <c r="I49" s="48">
        <v>50</v>
      </c>
      <c r="J49" s="48">
        <v>3</v>
      </c>
      <c r="K49" s="7">
        <v>240</v>
      </c>
      <c r="L49" s="21">
        <f t="shared" si="0"/>
        <v>0.06</v>
      </c>
      <c r="M49" s="21">
        <f t="shared" si="1"/>
        <v>187.86</v>
      </c>
      <c r="N49" s="21">
        <f t="shared" si="2"/>
        <v>15004.3782</v>
      </c>
      <c r="O49" s="21">
        <f t="shared" si="3"/>
        <v>-2.63333333333333</v>
      </c>
      <c r="P49" s="21">
        <f t="shared" si="4"/>
        <v>104.366666666667</v>
      </c>
      <c r="Q49" s="21">
        <f t="shared" si="5"/>
        <v>12503.6485</v>
      </c>
      <c r="R49" s="21">
        <f t="shared" si="6"/>
        <v>104.366666666667</v>
      </c>
      <c r="S49" s="21">
        <f t="shared" si="7"/>
        <v>3.36666666666667</v>
      </c>
      <c r="T49" s="21">
        <f t="shared" si="8"/>
        <v>-2.63333333333333</v>
      </c>
      <c r="U49" s="21">
        <f t="shared" si="9"/>
        <v>12503.6485</v>
      </c>
      <c r="V49" s="22">
        <v>0.142857142857143</v>
      </c>
      <c r="W49" s="21">
        <f t="shared" si="20"/>
        <v>0.480952380952381</v>
      </c>
      <c r="X49" s="21">
        <f t="shared" si="21"/>
        <v>14.9095238095238</v>
      </c>
      <c r="Y49" s="21">
        <f t="shared" si="22"/>
        <v>1786.2355</v>
      </c>
      <c r="Z49" s="50">
        <v>6</v>
      </c>
      <c r="AA49" s="51">
        <f t="shared" si="23"/>
        <v>479.22</v>
      </c>
      <c r="AB49" s="52">
        <f t="shared" si="24"/>
        <v>0.402427339508145</v>
      </c>
      <c r="AC49" s="22">
        <v>0.857142857142857</v>
      </c>
      <c r="AD49" s="21">
        <f t="shared" si="25"/>
        <v>2.88571428571429</v>
      </c>
      <c r="AE49" s="21">
        <f t="shared" si="26"/>
        <v>89.4571428571428</v>
      </c>
      <c r="AF49" s="21">
        <f t="shared" si="27"/>
        <v>10717.413</v>
      </c>
      <c r="AG49" s="7">
        <v>90</v>
      </c>
      <c r="AH49" s="25">
        <f t="shared" si="28"/>
        <v>7188.3</v>
      </c>
      <c r="AI49" s="53">
        <f t="shared" si="29"/>
        <v>1.00606834877036</v>
      </c>
    </row>
    <row r="50" ht="15" customHeight="1" spans="1:35">
      <c r="A50" s="7" t="s">
        <v>206</v>
      </c>
      <c r="B50" s="58" t="s">
        <v>207</v>
      </c>
      <c r="C50" s="7" t="s">
        <v>34</v>
      </c>
      <c r="D50" s="7" t="s">
        <v>35</v>
      </c>
      <c r="E50" s="7" t="s">
        <v>41</v>
      </c>
      <c r="F50" s="48">
        <v>616.96</v>
      </c>
      <c r="G50" s="48">
        <v>39</v>
      </c>
      <c r="H50" s="55"/>
      <c r="I50" s="55"/>
      <c r="J50" s="48">
        <v>33</v>
      </c>
      <c r="K50" s="7">
        <v>28997</v>
      </c>
      <c r="L50" s="21">
        <f t="shared" si="0"/>
        <v>0.78</v>
      </c>
      <c r="M50" s="21">
        <f t="shared" si="1"/>
        <v>24.18</v>
      </c>
      <c r="N50" s="21">
        <f t="shared" si="2"/>
        <v>14918.0928</v>
      </c>
      <c r="O50" s="21">
        <f t="shared" si="3"/>
        <v>0.433333333333333</v>
      </c>
      <c r="P50" s="21">
        <f t="shared" si="4"/>
        <v>13.4333333333333</v>
      </c>
      <c r="Q50" s="21">
        <f t="shared" si="5"/>
        <v>12431.744</v>
      </c>
      <c r="R50" s="21">
        <f t="shared" si="6"/>
        <v>13.4333333333333</v>
      </c>
      <c r="S50" s="21">
        <f t="shared" si="7"/>
        <v>0.433333333333333</v>
      </c>
      <c r="T50" s="21">
        <f t="shared" si="8"/>
        <v>0.433333333333333</v>
      </c>
      <c r="U50" s="21">
        <f t="shared" si="9"/>
        <v>12431.744</v>
      </c>
      <c r="V50" s="22">
        <v>0.809045226130653</v>
      </c>
      <c r="W50" s="21">
        <f t="shared" si="20"/>
        <v>0.350586264656616</v>
      </c>
      <c r="X50" s="21">
        <f t="shared" si="21"/>
        <v>10.8681742043551</v>
      </c>
      <c r="Y50" s="21">
        <f t="shared" si="22"/>
        <v>10057.8431356784</v>
      </c>
      <c r="Z50" s="50">
        <v>3</v>
      </c>
      <c r="AA50" s="51">
        <f t="shared" si="23"/>
        <v>1850.88</v>
      </c>
      <c r="AB50" s="52">
        <f t="shared" si="24"/>
        <v>0.276035325123684</v>
      </c>
      <c r="AC50" s="22">
        <v>0.170854271356784</v>
      </c>
      <c r="AD50" s="21">
        <f t="shared" si="25"/>
        <v>0.0740368509212731</v>
      </c>
      <c r="AE50" s="21">
        <f t="shared" si="26"/>
        <v>2.29514237855946</v>
      </c>
      <c r="AF50" s="21">
        <f t="shared" si="27"/>
        <v>2124.01656281407</v>
      </c>
      <c r="AG50" s="7">
        <v>3</v>
      </c>
      <c r="AH50" s="25">
        <f t="shared" si="28"/>
        <v>1850.88</v>
      </c>
      <c r="AI50" s="53">
        <f t="shared" si="29"/>
        <v>1.30710845132098</v>
      </c>
    </row>
    <row r="51" ht="15" customHeight="1" spans="1:35">
      <c r="A51" s="7" t="s">
        <v>274</v>
      </c>
      <c r="B51" s="54" t="s">
        <v>275</v>
      </c>
      <c r="C51" s="7" t="s">
        <v>34</v>
      </c>
      <c r="D51" s="7" t="s">
        <v>35</v>
      </c>
      <c r="E51" s="7" t="s">
        <v>110</v>
      </c>
      <c r="F51" s="48">
        <v>21.79</v>
      </c>
      <c r="G51" s="48">
        <v>1091</v>
      </c>
      <c r="H51" s="48">
        <v>15</v>
      </c>
      <c r="I51" s="48">
        <v>72</v>
      </c>
      <c r="J51" s="48">
        <v>306</v>
      </c>
      <c r="K51" s="7">
        <v>6668</v>
      </c>
      <c r="L51" s="21">
        <f t="shared" si="0"/>
        <v>6.82</v>
      </c>
      <c r="M51" s="21">
        <f t="shared" si="1"/>
        <v>676.42</v>
      </c>
      <c r="N51" s="21">
        <f t="shared" si="2"/>
        <v>14739.1918</v>
      </c>
      <c r="O51" s="21">
        <f t="shared" si="3"/>
        <v>-2.87777777777778</v>
      </c>
      <c r="P51" s="21">
        <f t="shared" si="4"/>
        <v>375.788888888889</v>
      </c>
      <c r="Q51" s="21">
        <f t="shared" si="5"/>
        <v>12282.6598333333</v>
      </c>
      <c r="R51" s="21">
        <f t="shared" si="6"/>
        <v>375.788888888889</v>
      </c>
      <c r="S51" s="21">
        <f t="shared" si="7"/>
        <v>12.1222222222222</v>
      </c>
      <c r="T51" s="21">
        <f t="shared" si="8"/>
        <v>-2.87777777777778</v>
      </c>
      <c r="U51" s="21">
        <f t="shared" si="9"/>
        <v>12282.6598333333</v>
      </c>
      <c r="V51" s="22">
        <v>0.285714285714286</v>
      </c>
      <c r="W51" s="21">
        <f t="shared" si="20"/>
        <v>3.46349206349207</v>
      </c>
      <c r="X51" s="21">
        <f t="shared" si="21"/>
        <v>107.368253968254</v>
      </c>
      <c r="Y51" s="21">
        <f t="shared" si="22"/>
        <v>3509.33138095238</v>
      </c>
      <c r="Z51" s="50">
        <v>210</v>
      </c>
      <c r="AA51" s="51">
        <f t="shared" si="23"/>
        <v>4575.9</v>
      </c>
      <c r="AB51" s="52">
        <f t="shared" si="24"/>
        <v>1.95588539664705</v>
      </c>
      <c r="AC51" s="22">
        <v>0.714285714285714</v>
      </c>
      <c r="AD51" s="21">
        <f t="shared" si="25"/>
        <v>8.65873015873016</v>
      </c>
      <c r="AE51" s="21">
        <f t="shared" si="26"/>
        <v>268.420634920635</v>
      </c>
      <c r="AF51" s="21">
        <f t="shared" si="27"/>
        <v>8773.32845238095</v>
      </c>
      <c r="AG51" s="7">
        <v>570</v>
      </c>
      <c r="AH51" s="25">
        <f t="shared" si="28"/>
        <v>12420.3</v>
      </c>
      <c r="AI51" s="53">
        <f t="shared" si="29"/>
        <v>2.12353271635966</v>
      </c>
    </row>
    <row r="52" ht="15" customHeight="1" spans="1:35">
      <c r="A52" s="7" t="s">
        <v>563</v>
      </c>
      <c r="B52" s="47" t="s">
        <v>671</v>
      </c>
      <c r="C52" s="7" t="s">
        <v>34</v>
      </c>
      <c r="D52" s="7" t="s">
        <v>35</v>
      </c>
      <c r="E52" s="7" t="s">
        <v>106</v>
      </c>
      <c r="F52" s="48">
        <v>27.45</v>
      </c>
      <c r="G52" s="48">
        <v>850</v>
      </c>
      <c r="H52" s="48">
        <v>5</v>
      </c>
      <c r="I52" s="48">
        <v>170</v>
      </c>
      <c r="J52" s="48">
        <v>554</v>
      </c>
      <c r="K52" s="7">
        <v>19558</v>
      </c>
      <c r="L52" s="21">
        <f t="shared" si="0"/>
        <v>12</v>
      </c>
      <c r="M52" s="21">
        <f t="shared" si="1"/>
        <v>527</v>
      </c>
      <c r="N52" s="21">
        <f t="shared" si="2"/>
        <v>14466.15</v>
      </c>
      <c r="O52" s="21">
        <f t="shared" si="3"/>
        <v>4.44444444444444</v>
      </c>
      <c r="P52" s="21">
        <f t="shared" si="4"/>
        <v>292.777777777778</v>
      </c>
      <c r="Q52" s="21">
        <f t="shared" si="5"/>
        <v>12055.125</v>
      </c>
      <c r="R52" s="21">
        <f t="shared" si="6"/>
        <v>292.777777777778</v>
      </c>
      <c r="S52" s="21">
        <f t="shared" si="7"/>
        <v>9.44444444444444</v>
      </c>
      <c r="T52" s="21">
        <f t="shared" si="8"/>
        <v>4.44444444444444</v>
      </c>
      <c r="U52" s="21">
        <f t="shared" si="9"/>
        <v>12055.125</v>
      </c>
      <c r="V52" s="49">
        <v>0.5</v>
      </c>
      <c r="W52" s="21">
        <f t="shared" si="20"/>
        <v>4.72222222222222</v>
      </c>
      <c r="X52" s="21">
        <f t="shared" si="21"/>
        <v>146.388888888889</v>
      </c>
      <c r="Y52" s="21">
        <f t="shared" si="22"/>
        <v>6027.5625</v>
      </c>
      <c r="Z52" s="50">
        <v>105</v>
      </c>
      <c r="AA52" s="51">
        <f t="shared" si="23"/>
        <v>2882.25</v>
      </c>
      <c r="AB52" s="52">
        <f t="shared" si="24"/>
        <v>0.717267552182163</v>
      </c>
      <c r="AC52" s="49">
        <v>0.5</v>
      </c>
      <c r="AD52" s="21">
        <f t="shared" si="25"/>
        <v>4.72222222222222</v>
      </c>
      <c r="AE52" s="21">
        <f t="shared" si="26"/>
        <v>146.388888888889</v>
      </c>
      <c r="AF52" s="21">
        <f t="shared" si="27"/>
        <v>6027.5625</v>
      </c>
      <c r="AG52" s="7">
        <v>32</v>
      </c>
      <c r="AH52" s="25">
        <f t="shared" si="28"/>
        <v>878.4</v>
      </c>
      <c r="AI52" s="53">
        <f t="shared" si="29"/>
        <v>0.218595825426945</v>
      </c>
    </row>
    <row r="53" ht="15" customHeight="1" spans="1:35">
      <c r="A53" s="7" t="s">
        <v>639</v>
      </c>
      <c r="B53" s="56" t="s">
        <v>717</v>
      </c>
      <c r="C53" s="7" t="s">
        <v>34</v>
      </c>
      <c r="D53" s="7" t="s">
        <v>35</v>
      </c>
      <c r="E53" s="7" t="s">
        <v>324</v>
      </c>
      <c r="F53" s="48">
        <v>93.26</v>
      </c>
      <c r="G53" s="48">
        <v>250</v>
      </c>
      <c r="H53" s="48">
        <v>2</v>
      </c>
      <c r="I53" s="48">
        <v>125</v>
      </c>
      <c r="J53" s="48">
        <v>139</v>
      </c>
      <c r="K53" s="7">
        <v>15295</v>
      </c>
      <c r="L53" s="21">
        <f t="shared" si="0"/>
        <v>3</v>
      </c>
      <c r="M53" s="21">
        <f t="shared" si="1"/>
        <v>155</v>
      </c>
      <c r="N53" s="21">
        <f t="shared" si="2"/>
        <v>14455.3</v>
      </c>
      <c r="O53" s="21">
        <f t="shared" si="3"/>
        <v>0.777777777777778</v>
      </c>
      <c r="P53" s="21">
        <f t="shared" si="4"/>
        <v>86.1111111111111</v>
      </c>
      <c r="Q53" s="21">
        <f t="shared" si="5"/>
        <v>12046.0833333333</v>
      </c>
      <c r="R53" s="21">
        <f t="shared" si="6"/>
        <v>86.1111111111111</v>
      </c>
      <c r="S53" s="21">
        <f t="shared" si="7"/>
        <v>2.77777777777778</v>
      </c>
      <c r="T53" s="21">
        <f t="shared" si="8"/>
        <v>0.777777777777778</v>
      </c>
      <c r="U53" s="21">
        <f t="shared" si="9"/>
        <v>12046.0833333333</v>
      </c>
      <c r="V53" s="22">
        <v>0.766666666666667</v>
      </c>
      <c r="W53" s="21">
        <f t="shared" si="20"/>
        <v>2.12962962962963</v>
      </c>
      <c r="X53" s="21">
        <f t="shared" si="21"/>
        <v>66.0185185185185</v>
      </c>
      <c r="Y53" s="21">
        <f t="shared" si="22"/>
        <v>9235.33055555556</v>
      </c>
      <c r="Z53" s="50">
        <v>61</v>
      </c>
      <c r="AA53" s="51">
        <f t="shared" si="23"/>
        <v>5688.86</v>
      </c>
      <c r="AB53" s="52">
        <f t="shared" si="24"/>
        <v>0.92398316970547</v>
      </c>
      <c r="AC53" s="22">
        <v>0.233333333333333</v>
      </c>
      <c r="AD53" s="21">
        <f t="shared" si="25"/>
        <v>0.648148148148147</v>
      </c>
      <c r="AE53" s="21">
        <f t="shared" si="26"/>
        <v>20.0925925925926</v>
      </c>
      <c r="AF53" s="21">
        <f t="shared" si="27"/>
        <v>2810.75277777777</v>
      </c>
      <c r="AG53" s="7">
        <v>24</v>
      </c>
      <c r="AH53" s="25">
        <f t="shared" si="28"/>
        <v>2238.24</v>
      </c>
      <c r="AI53" s="53">
        <f t="shared" si="29"/>
        <v>1.19447004608295</v>
      </c>
    </row>
    <row r="54" ht="15" customHeight="1" spans="1:35">
      <c r="A54" s="7" t="s">
        <v>641</v>
      </c>
      <c r="B54" s="47" t="s">
        <v>718</v>
      </c>
      <c r="C54" s="7" t="s">
        <v>34</v>
      </c>
      <c r="D54" s="7" t="s">
        <v>51</v>
      </c>
      <c r="E54" s="7" t="s">
        <v>719</v>
      </c>
      <c r="F54" s="48">
        <v>173.44</v>
      </c>
      <c r="G54" s="48">
        <v>134</v>
      </c>
      <c r="H54" s="55"/>
      <c r="I54" s="55"/>
      <c r="J54" s="48">
        <v>101</v>
      </c>
      <c r="K54" s="7">
        <v>23935</v>
      </c>
      <c r="L54" s="21">
        <f t="shared" si="0"/>
        <v>2.68</v>
      </c>
      <c r="M54" s="21">
        <f t="shared" si="1"/>
        <v>83.08</v>
      </c>
      <c r="N54" s="21">
        <f t="shared" si="2"/>
        <v>14409.3952</v>
      </c>
      <c r="O54" s="21">
        <f t="shared" si="3"/>
        <v>1.48888888888889</v>
      </c>
      <c r="P54" s="21">
        <f t="shared" si="4"/>
        <v>46.1555555555556</v>
      </c>
      <c r="Q54" s="21">
        <f t="shared" si="5"/>
        <v>12007.8293333333</v>
      </c>
      <c r="R54" s="21">
        <f t="shared" si="6"/>
        <v>46.1555555555556</v>
      </c>
      <c r="S54" s="21">
        <f t="shared" si="7"/>
        <v>1.48888888888889</v>
      </c>
      <c r="T54" s="21">
        <f t="shared" si="8"/>
        <v>1.48888888888889</v>
      </c>
      <c r="U54" s="21">
        <f t="shared" si="9"/>
        <v>12007.8293333333</v>
      </c>
      <c r="V54" s="49">
        <v>0.5</v>
      </c>
      <c r="W54" s="21">
        <f t="shared" si="20"/>
        <v>0.744444444444444</v>
      </c>
      <c r="X54" s="21">
        <f t="shared" si="21"/>
        <v>23.0777777777778</v>
      </c>
      <c r="Y54" s="21">
        <f t="shared" si="22"/>
        <v>6003.91466666667</v>
      </c>
      <c r="Z54" s="50">
        <v>20</v>
      </c>
      <c r="AA54" s="51">
        <f t="shared" si="23"/>
        <v>3468.8</v>
      </c>
      <c r="AB54" s="52">
        <f t="shared" si="24"/>
        <v>0.866634569090033</v>
      </c>
      <c r="AC54" s="49">
        <v>0.5</v>
      </c>
      <c r="AD54" s="21">
        <f t="shared" si="25"/>
        <v>0.744444444444444</v>
      </c>
      <c r="AE54" s="21">
        <f t="shared" si="26"/>
        <v>23.0777777777778</v>
      </c>
      <c r="AF54" s="21">
        <f t="shared" si="27"/>
        <v>6003.91466666667</v>
      </c>
      <c r="AG54" s="7">
        <v>24</v>
      </c>
      <c r="AH54" s="25">
        <f t="shared" si="28"/>
        <v>4162.56</v>
      </c>
      <c r="AI54" s="53">
        <f t="shared" si="29"/>
        <v>1.03996148290804</v>
      </c>
    </row>
    <row r="55" ht="15" customHeight="1" spans="1:35">
      <c r="A55" s="7" t="s">
        <v>244</v>
      </c>
      <c r="B55" s="54" t="s">
        <v>245</v>
      </c>
      <c r="C55" s="7" t="s">
        <v>34</v>
      </c>
      <c r="D55" s="7" t="s">
        <v>51</v>
      </c>
      <c r="E55" s="7" t="s">
        <v>80</v>
      </c>
      <c r="F55" s="48">
        <v>7.41</v>
      </c>
      <c r="G55" s="48">
        <v>3095</v>
      </c>
      <c r="H55" s="48">
        <v>30</v>
      </c>
      <c r="I55" s="48">
        <v>103</v>
      </c>
      <c r="J55" s="48">
        <v>1565</v>
      </c>
      <c r="K55" s="7">
        <v>12860</v>
      </c>
      <c r="L55" s="21">
        <f t="shared" si="0"/>
        <v>31.9</v>
      </c>
      <c r="M55" s="21">
        <f t="shared" si="1"/>
        <v>1918.9</v>
      </c>
      <c r="N55" s="21">
        <f t="shared" si="2"/>
        <v>14219.049</v>
      </c>
      <c r="O55" s="21">
        <f t="shared" si="3"/>
        <v>4.38888888888889</v>
      </c>
      <c r="P55" s="21">
        <f t="shared" si="4"/>
        <v>1066.05555555556</v>
      </c>
      <c r="Q55" s="21">
        <f t="shared" si="5"/>
        <v>11849.2075</v>
      </c>
      <c r="R55" s="21">
        <f t="shared" si="6"/>
        <v>1066.05555555556</v>
      </c>
      <c r="S55" s="21">
        <f t="shared" si="7"/>
        <v>34.3888888888889</v>
      </c>
      <c r="T55" s="21">
        <f t="shared" si="8"/>
        <v>4.38888888888889</v>
      </c>
      <c r="U55" s="21">
        <f t="shared" si="9"/>
        <v>11849.2075</v>
      </c>
      <c r="V55" s="49">
        <v>0.3</v>
      </c>
      <c r="W55" s="21">
        <f t="shared" si="20"/>
        <v>10.3166666666667</v>
      </c>
      <c r="X55" s="21">
        <f t="shared" si="21"/>
        <v>319.816666666667</v>
      </c>
      <c r="Y55" s="21">
        <f t="shared" si="22"/>
        <v>3554.76225</v>
      </c>
      <c r="Z55" s="50">
        <v>158</v>
      </c>
      <c r="AA55" s="51">
        <f t="shared" si="23"/>
        <v>1170.78</v>
      </c>
      <c r="AB55" s="52">
        <f t="shared" si="24"/>
        <v>0.494033039762363</v>
      </c>
      <c r="AC55" s="49">
        <v>0.7</v>
      </c>
      <c r="AD55" s="21">
        <f t="shared" si="25"/>
        <v>24.0722222222222</v>
      </c>
      <c r="AE55" s="21">
        <f t="shared" si="26"/>
        <v>746.238888888889</v>
      </c>
      <c r="AF55" s="21">
        <f t="shared" si="27"/>
        <v>8294.44525</v>
      </c>
      <c r="AG55" s="7">
        <v>772</v>
      </c>
      <c r="AH55" s="25">
        <f t="shared" si="28"/>
        <v>5720.52</v>
      </c>
      <c r="AI55" s="53">
        <f t="shared" si="29"/>
        <v>1.03452126590383</v>
      </c>
    </row>
    <row r="56" ht="15" customHeight="1" spans="1:35">
      <c r="A56" s="7" t="s">
        <v>154</v>
      </c>
      <c r="B56" s="56" t="s">
        <v>155</v>
      </c>
      <c r="C56" s="7" t="s">
        <v>34</v>
      </c>
      <c r="D56" s="7" t="s">
        <v>35</v>
      </c>
      <c r="E56" s="7" t="s">
        <v>156</v>
      </c>
      <c r="F56" s="48">
        <v>171.6</v>
      </c>
      <c r="G56" s="48">
        <v>130</v>
      </c>
      <c r="H56" s="55"/>
      <c r="I56" s="55"/>
      <c r="J56" s="48">
        <v>124</v>
      </c>
      <c r="K56" s="7">
        <v>31489</v>
      </c>
      <c r="L56" s="21">
        <f t="shared" si="0"/>
        <v>2.6</v>
      </c>
      <c r="M56" s="21">
        <f t="shared" si="1"/>
        <v>80.6</v>
      </c>
      <c r="N56" s="21">
        <f t="shared" si="2"/>
        <v>13830.96</v>
      </c>
      <c r="O56" s="21">
        <f t="shared" si="3"/>
        <v>1.44444444444444</v>
      </c>
      <c r="P56" s="21">
        <f t="shared" si="4"/>
        <v>44.7777777777778</v>
      </c>
      <c r="Q56" s="21">
        <f t="shared" si="5"/>
        <v>11525.8</v>
      </c>
      <c r="R56" s="21">
        <f t="shared" si="6"/>
        <v>44.7777777777778</v>
      </c>
      <c r="S56" s="21">
        <f t="shared" si="7"/>
        <v>1.44444444444444</v>
      </c>
      <c r="T56" s="21">
        <f t="shared" si="8"/>
        <v>1.44444444444444</v>
      </c>
      <c r="U56" s="21">
        <f t="shared" si="9"/>
        <v>11525.8</v>
      </c>
      <c r="V56" s="22">
        <v>0.521739130434783</v>
      </c>
      <c r="W56" s="21">
        <f t="shared" si="20"/>
        <v>0.753623188405798</v>
      </c>
      <c r="X56" s="21">
        <f t="shared" si="21"/>
        <v>23.3623188405797</v>
      </c>
      <c r="Y56" s="21">
        <f t="shared" si="22"/>
        <v>6013.46086956522</v>
      </c>
      <c r="Z56" s="50">
        <v>7</v>
      </c>
      <c r="AA56" s="51">
        <f t="shared" si="23"/>
        <v>1201.2</v>
      </c>
      <c r="AB56" s="52">
        <f t="shared" si="24"/>
        <v>0.299627791563276</v>
      </c>
      <c r="AC56" s="22">
        <v>0.478260869565217</v>
      </c>
      <c r="AD56" s="21">
        <f t="shared" si="25"/>
        <v>0.690821256038647</v>
      </c>
      <c r="AE56" s="21">
        <f t="shared" si="26"/>
        <v>21.415458937198</v>
      </c>
      <c r="AF56" s="21">
        <f t="shared" si="27"/>
        <v>5512.33913043478</v>
      </c>
      <c r="AG56" s="7">
        <v>2</v>
      </c>
      <c r="AH56" s="25">
        <f t="shared" si="28"/>
        <v>343.2</v>
      </c>
      <c r="AI56" s="53">
        <f t="shared" si="29"/>
        <v>0.093390480487255</v>
      </c>
    </row>
    <row r="57" ht="15" customHeight="1" spans="1:35">
      <c r="A57" s="7" t="s">
        <v>770</v>
      </c>
      <c r="B57" s="47" t="s">
        <v>589</v>
      </c>
      <c r="C57" s="7" t="s">
        <v>34</v>
      </c>
      <c r="D57" s="7" t="s">
        <v>35</v>
      </c>
      <c r="E57" s="7" t="s">
        <v>41</v>
      </c>
      <c r="F57" s="48">
        <v>89.68</v>
      </c>
      <c r="G57" s="48">
        <v>245</v>
      </c>
      <c r="H57" s="48">
        <v>4</v>
      </c>
      <c r="I57" s="48">
        <v>61</v>
      </c>
      <c r="J57" s="48">
        <v>12</v>
      </c>
      <c r="K57" s="7">
        <v>1076</v>
      </c>
      <c r="L57" s="21">
        <f t="shared" si="0"/>
        <v>0.9</v>
      </c>
      <c r="M57" s="21">
        <f t="shared" si="1"/>
        <v>151.9</v>
      </c>
      <c r="N57" s="21">
        <f t="shared" si="2"/>
        <v>13622.392</v>
      </c>
      <c r="O57" s="21">
        <f t="shared" si="3"/>
        <v>-1.27777777777778</v>
      </c>
      <c r="P57" s="21">
        <f t="shared" si="4"/>
        <v>84.3888888888889</v>
      </c>
      <c r="Q57" s="21">
        <f t="shared" si="5"/>
        <v>11351.9933333333</v>
      </c>
      <c r="R57" s="21">
        <f t="shared" si="6"/>
        <v>84.3888888888889</v>
      </c>
      <c r="S57" s="21">
        <f t="shared" si="7"/>
        <v>2.72222222222222</v>
      </c>
      <c r="T57" s="21">
        <f t="shared" si="8"/>
        <v>-1.27777777777778</v>
      </c>
      <c r="U57" s="21">
        <f t="shared" si="9"/>
        <v>11351.9933333333</v>
      </c>
      <c r="V57" s="22">
        <v>0.703296703296703</v>
      </c>
      <c r="W57" s="21">
        <f t="shared" si="20"/>
        <v>1.91452991452991</v>
      </c>
      <c r="X57" s="21">
        <f t="shared" si="21"/>
        <v>59.3504273504273</v>
      </c>
      <c r="Y57" s="21">
        <f t="shared" si="22"/>
        <v>7983.81948717948</v>
      </c>
      <c r="Z57" s="50">
        <v>141</v>
      </c>
      <c r="AA57" s="51">
        <f t="shared" si="23"/>
        <v>12644.88</v>
      </c>
      <c r="AB57" s="52">
        <f t="shared" si="24"/>
        <v>2.37572004608295</v>
      </c>
      <c r="AC57" s="22">
        <v>0.263736263736264</v>
      </c>
      <c r="AD57" s="21">
        <f t="shared" si="25"/>
        <v>0.717948717948719</v>
      </c>
      <c r="AE57" s="21">
        <f t="shared" si="26"/>
        <v>22.2564102564103</v>
      </c>
      <c r="AF57" s="21">
        <f t="shared" si="27"/>
        <v>2993.93230769231</v>
      </c>
      <c r="AG57" s="7">
        <v>88</v>
      </c>
      <c r="AH57" s="25">
        <f t="shared" si="28"/>
        <v>7891.84</v>
      </c>
      <c r="AI57" s="53">
        <f t="shared" si="29"/>
        <v>3.95391705069124</v>
      </c>
    </row>
    <row r="58" ht="15" customHeight="1" spans="1:35">
      <c r="A58" s="7" t="s">
        <v>601</v>
      </c>
      <c r="B58" s="59" t="s">
        <v>664</v>
      </c>
      <c r="C58" s="7" t="s">
        <v>34</v>
      </c>
      <c r="D58" s="7" t="s">
        <v>51</v>
      </c>
      <c r="E58" s="7" t="s">
        <v>320</v>
      </c>
      <c r="F58" s="48">
        <v>36.08</v>
      </c>
      <c r="G58" s="48">
        <v>581</v>
      </c>
      <c r="H58" s="48">
        <v>6</v>
      </c>
      <c r="I58" s="48">
        <v>96</v>
      </c>
      <c r="J58" s="48">
        <v>255</v>
      </c>
      <c r="K58" s="7">
        <v>9200</v>
      </c>
      <c r="L58" s="21">
        <f t="shared" si="0"/>
        <v>5.62</v>
      </c>
      <c r="M58" s="21">
        <f t="shared" si="1"/>
        <v>360.22</v>
      </c>
      <c r="N58" s="21">
        <f t="shared" si="2"/>
        <v>12996.7376</v>
      </c>
      <c r="O58" s="21">
        <f t="shared" si="3"/>
        <v>0.455555555555556</v>
      </c>
      <c r="P58" s="21">
        <f t="shared" si="4"/>
        <v>200.122222222222</v>
      </c>
      <c r="Q58" s="21">
        <f t="shared" si="5"/>
        <v>10830.6146666667</v>
      </c>
      <c r="R58" s="21">
        <f t="shared" si="6"/>
        <v>200.122222222222</v>
      </c>
      <c r="S58" s="21">
        <f t="shared" si="7"/>
        <v>6.45555555555556</v>
      </c>
      <c r="T58" s="21">
        <f t="shared" si="8"/>
        <v>0.455555555555556</v>
      </c>
      <c r="U58" s="21">
        <f t="shared" si="9"/>
        <v>10830.6146666667</v>
      </c>
      <c r="V58" s="49">
        <v>0.5</v>
      </c>
      <c r="W58" s="21">
        <f t="shared" si="20"/>
        <v>3.22777777777778</v>
      </c>
      <c r="X58" s="21">
        <f t="shared" si="21"/>
        <v>100.061111111111</v>
      </c>
      <c r="Y58" s="21">
        <f t="shared" si="22"/>
        <v>5415.30733333333</v>
      </c>
      <c r="Z58" s="50">
        <v>27</v>
      </c>
      <c r="AA58" s="51">
        <f t="shared" si="23"/>
        <v>974.16</v>
      </c>
      <c r="AB58" s="52">
        <f t="shared" si="24"/>
        <v>0.269835100771751</v>
      </c>
      <c r="AC58" s="49">
        <v>0.5</v>
      </c>
      <c r="AD58" s="21">
        <f t="shared" si="25"/>
        <v>3.22777777777778</v>
      </c>
      <c r="AE58" s="21">
        <f t="shared" si="26"/>
        <v>100.061111111111</v>
      </c>
      <c r="AF58" s="21">
        <f t="shared" si="27"/>
        <v>5415.30733333333</v>
      </c>
      <c r="AG58" s="7">
        <v>136</v>
      </c>
      <c r="AH58" s="25">
        <f t="shared" si="28"/>
        <v>4906.88</v>
      </c>
      <c r="AI58" s="53">
        <f t="shared" si="29"/>
        <v>1.35916939647993</v>
      </c>
    </row>
    <row r="59" ht="15" customHeight="1" spans="1:35">
      <c r="A59" s="7" t="s">
        <v>571</v>
      </c>
      <c r="B59" s="56" t="s">
        <v>634</v>
      </c>
      <c r="C59" s="7" t="s">
        <v>34</v>
      </c>
      <c r="D59" s="7" t="s">
        <v>51</v>
      </c>
      <c r="E59" s="7" t="s">
        <v>408</v>
      </c>
      <c r="F59" s="48">
        <v>25.69</v>
      </c>
      <c r="G59" s="48">
        <v>773</v>
      </c>
      <c r="H59" s="48">
        <v>14</v>
      </c>
      <c r="I59" s="48">
        <v>55</v>
      </c>
      <c r="J59" s="48">
        <v>52</v>
      </c>
      <c r="K59" s="7">
        <v>1336</v>
      </c>
      <c r="L59" s="21">
        <f t="shared" si="0"/>
        <v>1.46</v>
      </c>
      <c r="M59" s="21">
        <f t="shared" si="1"/>
        <v>479.26</v>
      </c>
      <c r="N59" s="21">
        <f t="shared" si="2"/>
        <v>12312.1894</v>
      </c>
      <c r="O59" s="21">
        <f t="shared" si="3"/>
        <v>-5.41111111111111</v>
      </c>
      <c r="P59" s="21">
        <f t="shared" si="4"/>
        <v>266.255555555556</v>
      </c>
      <c r="Q59" s="21">
        <f t="shared" si="5"/>
        <v>10260.1578333333</v>
      </c>
      <c r="R59" s="21">
        <f t="shared" si="6"/>
        <v>266.255555555556</v>
      </c>
      <c r="S59" s="21">
        <f t="shared" si="7"/>
        <v>8.58888888888889</v>
      </c>
      <c r="T59" s="21">
        <f t="shared" si="8"/>
        <v>-5.41111111111111</v>
      </c>
      <c r="U59" s="21">
        <f t="shared" si="9"/>
        <v>10260.1578333333</v>
      </c>
      <c r="V59" s="22">
        <v>0.642857142857143</v>
      </c>
      <c r="W59" s="21">
        <f t="shared" si="20"/>
        <v>5.52142857142857</v>
      </c>
      <c r="X59" s="21">
        <f t="shared" si="21"/>
        <v>171.164285714286</v>
      </c>
      <c r="Y59" s="21">
        <f t="shared" si="22"/>
        <v>6595.81575</v>
      </c>
      <c r="Z59" s="50">
        <v>150</v>
      </c>
      <c r="AA59" s="51">
        <f t="shared" si="23"/>
        <v>3853.5</v>
      </c>
      <c r="AB59" s="52">
        <f t="shared" si="24"/>
        <v>0.876351041188497</v>
      </c>
      <c r="AC59" s="22">
        <v>0.285714285714286</v>
      </c>
      <c r="AD59" s="21">
        <f t="shared" si="25"/>
        <v>2.45396825396826</v>
      </c>
      <c r="AE59" s="21">
        <f t="shared" si="26"/>
        <v>76.0730158730159</v>
      </c>
      <c r="AF59" s="21">
        <f t="shared" si="27"/>
        <v>2931.47366666667</v>
      </c>
      <c r="AG59" s="7">
        <v>93</v>
      </c>
      <c r="AH59" s="25">
        <f t="shared" si="28"/>
        <v>2389.17</v>
      </c>
      <c r="AI59" s="53">
        <f t="shared" si="29"/>
        <v>1.22250970245796</v>
      </c>
    </row>
    <row r="60" ht="15" customHeight="1" spans="1:35">
      <c r="A60" s="7" t="s">
        <v>771</v>
      </c>
      <c r="B60" s="47" t="s">
        <v>772</v>
      </c>
      <c r="C60" s="7" t="s">
        <v>34</v>
      </c>
      <c r="D60" s="7" t="s">
        <v>51</v>
      </c>
      <c r="E60" s="7" t="s">
        <v>165</v>
      </c>
      <c r="F60" s="48">
        <v>44.28</v>
      </c>
      <c r="G60" s="48">
        <v>441</v>
      </c>
      <c r="H60" s="48">
        <v>4</v>
      </c>
      <c r="I60" s="48">
        <v>110</v>
      </c>
      <c r="J60" s="48">
        <v>213</v>
      </c>
      <c r="K60" s="7">
        <v>10096</v>
      </c>
      <c r="L60" s="21">
        <f t="shared" si="0"/>
        <v>4.82</v>
      </c>
      <c r="M60" s="21">
        <f t="shared" si="1"/>
        <v>273.42</v>
      </c>
      <c r="N60" s="21">
        <f t="shared" si="2"/>
        <v>12107.0376</v>
      </c>
      <c r="O60" s="21">
        <f t="shared" si="3"/>
        <v>0.9</v>
      </c>
      <c r="P60" s="21">
        <f t="shared" si="4"/>
        <v>151.9</v>
      </c>
      <c r="Q60" s="21">
        <f t="shared" si="5"/>
        <v>10089.198</v>
      </c>
      <c r="R60" s="21">
        <f t="shared" si="6"/>
        <v>151.9</v>
      </c>
      <c r="S60" s="21">
        <f t="shared" si="7"/>
        <v>4.9</v>
      </c>
      <c r="T60" s="21">
        <f t="shared" si="8"/>
        <v>0.9</v>
      </c>
      <c r="U60" s="21">
        <f t="shared" si="9"/>
        <v>10089.198</v>
      </c>
      <c r="V60" s="49">
        <v>0.7</v>
      </c>
      <c r="W60" s="21">
        <f t="shared" si="20"/>
        <v>3.43</v>
      </c>
      <c r="X60" s="21">
        <f t="shared" si="21"/>
        <v>106.33</v>
      </c>
      <c r="Y60" s="21">
        <f t="shared" si="22"/>
        <v>7062.4386</v>
      </c>
      <c r="Z60" s="50">
        <v>156</v>
      </c>
      <c r="AA60" s="51">
        <f t="shared" si="23"/>
        <v>6907.68</v>
      </c>
      <c r="AB60" s="52">
        <f t="shared" si="24"/>
        <v>1.46713063105427</v>
      </c>
      <c r="AC60" s="49">
        <v>0.3</v>
      </c>
      <c r="AD60" s="21">
        <f t="shared" si="25"/>
        <v>1.47</v>
      </c>
      <c r="AE60" s="21">
        <f t="shared" si="26"/>
        <v>45.57</v>
      </c>
      <c r="AF60" s="21">
        <f t="shared" si="27"/>
        <v>3026.7594</v>
      </c>
      <c r="AG60" s="7">
        <v>43</v>
      </c>
      <c r="AH60" s="25">
        <f t="shared" si="28"/>
        <v>1904.04</v>
      </c>
      <c r="AI60" s="53">
        <f t="shared" si="29"/>
        <v>0.943603247750713</v>
      </c>
    </row>
    <row r="61" ht="15" customHeight="1" spans="1:35">
      <c r="A61" s="7" t="s">
        <v>606</v>
      </c>
      <c r="B61" s="54" t="s">
        <v>701</v>
      </c>
      <c r="C61" s="7" t="s">
        <v>34</v>
      </c>
      <c r="D61" s="7" t="s">
        <v>35</v>
      </c>
      <c r="E61" s="7" t="s">
        <v>324</v>
      </c>
      <c r="F61" s="48">
        <v>19.16</v>
      </c>
      <c r="G61" s="48">
        <v>1002</v>
      </c>
      <c r="H61" s="48">
        <v>19</v>
      </c>
      <c r="I61" s="48">
        <v>52</v>
      </c>
      <c r="J61" s="48">
        <v>31</v>
      </c>
      <c r="K61" s="7">
        <v>594</v>
      </c>
      <c r="L61" s="21">
        <f t="shared" si="0"/>
        <v>1.04</v>
      </c>
      <c r="M61" s="21">
        <f t="shared" si="1"/>
        <v>621.24</v>
      </c>
      <c r="N61" s="21">
        <f t="shared" si="2"/>
        <v>11902.9584</v>
      </c>
      <c r="O61" s="21">
        <f t="shared" si="3"/>
        <v>-7.86666666666667</v>
      </c>
      <c r="P61" s="21">
        <f t="shared" si="4"/>
        <v>345.133333333333</v>
      </c>
      <c r="Q61" s="21">
        <f t="shared" si="5"/>
        <v>9919.132</v>
      </c>
      <c r="R61" s="21">
        <f t="shared" si="6"/>
        <v>345.133333333333</v>
      </c>
      <c r="S61" s="21">
        <f t="shared" si="7"/>
        <v>11.1333333333333</v>
      </c>
      <c r="T61" s="21">
        <f t="shared" si="8"/>
        <v>-7.86666666666667</v>
      </c>
      <c r="U61" s="21">
        <f t="shared" si="9"/>
        <v>9919.132</v>
      </c>
      <c r="V61" s="22">
        <v>0.9</v>
      </c>
      <c r="W61" s="21">
        <f t="shared" si="20"/>
        <v>10.02</v>
      </c>
      <c r="X61" s="21">
        <f t="shared" si="21"/>
        <v>310.62</v>
      </c>
      <c r="Y61" s="21">
        <f t="shared" si="22"/>
        <v>8927.2188</v>
      </c>
      <c r="Z61" s="50">
        <v>401</v>
      </c>
      <c r="AA61" s="51">
        <f t="shared" si="23"/>
        <v>7683.16</v>
      </c>
      <c r="AB61" s="52">
        <f t="shared" si="24"/>
        <v>1.2909664541884</v>
      </c>
      <c r="AC61" s="22">
        <v>0.1</v>
      </c>
      <c r="AD61" s="21">
        <f t="shared" si="25"/>
        <v>1.11333333333333</v>
      </c>
      <c r="AE61" s="21">
        <f t="shared" si="26"/>
        <v>34.5133333333333</v>
      </c>
      <c r="AF61" s="21">
        <f t="shared" si="27"/>
        <v>991.9132</v>
      </c>
      <c r="AG61" s="7">
        <v>120</v>
      </c>
      <c r="AH61" s="25">
        <f t="shared" si="28"/>
        <v>2299.2</v>
      </c>
      <c r="AI61" s="53">
        <f t="shared" si="29"/>
        <v>3.47691713347499</v>
      </c>
    </row>
    <row r="62" ht="15" customHeight="1" spans="1:35">
      <c r="A62" s="7" t="s">
        <v>773</v>
      </c>
      <c r="B62" s="54" t="s">
        <v>774</v>
      </c>
      <c r="C62" s="7" t="s">
        <v>34</v>
      </c>
      <c r="D62" s="7" t="s">
        <v>51</v>
      </c>
      <c r="E62" s="7" t="s">
        <v>283</v>
      </c>
      <c r="F62" s="48">
        <v>84.15</v>
      </c>
      <c r="G62" s="48">
        <v>226</v>
      </c>
      <c r="H62" s="48">
        <v>3</v>
      </c>
      <c r="I62" s="48">
        <v>75</v>
      </c>
      <c r="J62" s="48">
        <v>71</v>
      </c>
      <c r="K62" s="7">
        <v>5975</v>
      </c>
      <c r="L62" s="21">
        <f t="shared" si="0"/>
        <v>1.52</v>
      </c>
      <c r="M62" s="21">
        <f t="shared" si="1"/>
        <v>140.12</v>
      </c>
      <c r="N62" s="21">
        <f t="shared" si="2"/>
        <v>11791.098</v>
      </c>
      <c r="O62" s="21">
        <f t="shared" si="3"/>
        <v>-0.488888888888889</v>
      </c>
      <c r="P62" s="21">
        <f t="shared" si="4"/>
        <v>77.8444444444444</v>
      </c>
      <c r="Q62" s="21">
        <f t="shared" si="5"/>
        <v>9825.915</v>
      </c>
      <c r="R62" s="21">
        <f t="shared" si="6"/>
        <v>77.8444444444444</v>
      </c>
      <c r="S62" s="21">
        <f t="shared" si="7"/>
        <v>2.51111111111111</v>
      </c>
      <c r="T62" s="21">
        <f t="shared" si="8"/>
        <v>-0.488888888888889</v>
      </c>
      <c r="U62" s="21">
        <f t="shared" si="9"/>
        <v>9825.915</v>
      </c>
      <c r="V62" s="22">
        <v>0.733333333333333</v>
      </c>
      <c r="W62" s="21">
        <f t="shared" si="20"/>
        <v>1.84148148148148</v>
      </c>
      <c r="X62" s="21">
        <f t="shared" si="21"/>
        <v>57.0859259259259</v>
      </c>
      <c r="Y62" s="21">
        <f t="shared" si="22"/>
        <v>7205.671</v>
      </c>
      <c r="Z62" s="50">
        <v>18</v>
      </c>
      <c r="AA62" s="51">
        <f t="shared" si="23"/>
        <v>1514.7</v>
      </c>
      <c r="AB62" s="52">
        <f t="shared" si="24"/>
        <v>0.315314146316145</v>
      </c>
      <c r="AC62" s="22">
        <v>0.0666666666666667</v>
      </c>
      <c r="AD62" s="21">
        <f t="shared" si="25"/>
        <v>0.167407407407407</v>
      </c>
      <c r="AE62" s="21">
        <f t="shared" si="26"/>
        <v>5.18962962962963</v>
      </c>
      <c r="AF62" s="21">
        <f t="shared" si="27"/>
        <v>655.061</v>
      </c>
      <c r="AG62" s="7">
        <v>77</v>
      </c>
      <c r="AH62" s="25">
        <f t="shared" si="28"/>
        <v>6479.55</v>
      </c>
      <c r="AI62" s="53">
        <f t="shared" si="29"/>
        <v>14.8372823294319</v>
      </c>
    </row>
    <row r="63" ht="15" customHeight="1" spans="1:35">
      <c r="A63" s="7" t="s">
        <v>556</v>
      </c>
      <c r="B63" s="54" t="s">
        <v>580</v>
      </c>
      <c r="C63" s="7" t="s">
        <v>34</v>
      </c>
      <c r="D63" s="7" t="s">
        <v>35</v>
      </c>
      <c r="E63" s="7" t="s">
        <v>324</v>
      </c>
      <c r="F63" s="48">
        <v>79.55</v>
      </c>
      <c r="G63" s="48">
        <v>233</v>
      </c>
      <c r="H63" s="48">
        <v>3</v>
      </c>
      <c r="I63" s="48">
        <v>77</v>
      </c>
      <c r="J63" s="48">
        <v>62</v>
      </c>
      <c r="K63" s="7">
        <v>4932</v>
      </c>
      <c r="L63" s="21">
        <f t="shared" si="0"/>
        <v>1.66</v>
      </c>
      <c r="M63" s="21">
        <f t="shared" si="1"/>
        <v>144.46</v>
      </c>
      <c r="N63" s="21">
        <f t="shared" si="2"/>
        <v>11491.793</v>
      </c>
      <c r="O63" s="21">
        <f t="shared" si="3"/>
        <v>-0.411111111111111</v>
      </c>
      <c r="P63" s="21">
        <f t="shared" si="4"/>
        <v>80.2555555555556</v>
      </c>
      <c r="Q63" s="21">
        <f t="shared" si="5"/>
        <v>9576.49416666667</v>
      </c>
      <c r="R63" s="21">
        <f t="shared" si="6"/>
        <v>80.2555555555556</v>
      </c>
      <c r="S63" s="21">
        <f t="shared" si="7"/>
        <v>2.58888888888889</v>
      </c>
      <c r="T63" s="21">
        <f t="shared" si="8"/>
        <v>-0.411111111111111</v>
      </c>
      <c r="U63" s="21">
        <f t="shared" si="9"/>
        <v>9576.49416666667</v>
      </c>
      <c r="V63" s="22">
        <v>0.714285714285714</v>
      </c>
      <c r="W63" s="21">
        <f t="shared" si="20"/>
        <v>1.84920634920635</v>
      </c>
      <c r="X63" s="21">
        <f t="shared" si="21"/>
        <v>57.3253968253968</v>
      </c>
      <c r="Y63" s="21">
        <f t="shared" si="22"/>
        <v>6840.35297619047</v>
      </c>
      <c r="Z63" s="50">
        <v>53</v>
      </c>
      <c r="AA63" s="51">
        <f t="shared" si="23"/>
        <v>4216.15</v>
      </c>
      <c r="AB63" s="52">
        <f t="shared" si="24"/>
        <v>0.9245465872906</v>
      </c>
      <c r="AC63" s="22">
        <v>0.285714285714286</v>
      </c>
      <c r="AD63" s="21">
        <f t="shared" si="25"/>
        <v>0.73968253968254</v>
      </c>
      <c r="AE63" s="21">
        <f t="shared" si="26"/>
        <v>22.9301587301588</v>
      </c>
      <c r="AF63" s="21">
        <f t="shared" si="27"/>
        <v>2736.14119047619</v>
      </c>
      <c r="AG63" s="7">
        <v>14</v>
      </c>
      <c r="AH63" s="25">
        <f t="shared" si="28"/>
        <v>1113.7</v>
      </c>
      <c r="AI63" s="53">
        <f t="shared" si="29"/>
        <v>0.610549633116432</v>
      </c>
    </row>
    <row r="64" ht="15" customHeight="1" spans="1:35">
      <c r="A64" s="7" t="s">
        <v>596</v>
      </c>
      <c r="B64" s="47" t="s">
        <v>611</v>
      </c>
      <c r="C64" s="7" t="s">
        <v>34</v>
      </c>
      <c r="D64" s="7" t="s">
        <v>51</v>
      </c>
      <c r="E64" s="7" t="s">
        <v>165</v>
      </c>
      <c r="F64" s="48">
        <v>123.84</v>
      </c>
      <c r="G64" s="48">
        <v>143</v>
      </c>
      <c r="H64" s="55"/>
      <c r="I64" s="55"/>
      <c r="J64" s="48">
        <v>113</v>
      </c>
      <c r="K64" s="7">
        <v>19505</v>
      </c>
      <c r="L64" s="21">
        <f t="shared" si="0"/>
        <v>2.86</v>
      </c>
      <c r="M64" s="21">
        <f t="shared" si="1"/>
        <v>88.66</v>
      </c>
      <c r="N64" s="21">
        <f t="shared" si="2"/>
        <v>10979.6544</v>
      </c>
      <c r="O64" s="21">
        <f t="shared" si="3"/>
        <v>1.58888888888889</v>
      </c>
      <c r="P64" s="21">
        <f t="shared" si="4"/>
        <v>49.2555555555556</v>
      </c>
      <c r="Q64" s="21">
        <f t="shared" si="5"/>
        <v>9149.712</v>
      </c>
      <c r="R64" s="21">
        <f t="shared" si="6"/>
        <v>49.2555555555556</v>
      </c>
      <c r="S64" s="21">
        <f t="shared" si="7"/>
        <v>1.58888888888889</v>
      </c>
      <c r="T64" s="21">
        <f t="shared" si="8"/>
        <v>1.58888888888889</v>
      </c>
      <c r="U64" s="21">
        <f t="shared" si="9"/>
        <v>9149.712</v>
      </c>
      <c r="V64" s="22">
        <v>0.05</v>
      </c>
      <c r="W64" s="21">
        <f t="shared" si="20"/>
        <v>0.0794444444444444</v>
      </c>
      <c r="X64" s="21">
        <f t="shared" si="21"/>
        <v>2.46277777777778</v>
      </c>
      <c r="Y64" s="21">
        <f t="shared" si="22"/>
        <v>457.4856</v>
      </c>
      <c r="Z64" s="50">
        <v>31</v>
      </c>
      <c r="AA64" s="51">
        <f t="shared" si="23"/>
        <v>3839.04</v>
      </c>
      <c r="AB64" s="52">
        <f t="shared" si="24"/>
        <v>12.5874125874126</v>
      </c>
      <c r="AC64" s="22">
        <v>0.95</v>
      </c>
      <c r="AD64" s="21">
        <f t="shared" si="25"/>
        <v>1.50944444444444</v>
      </c>
      <c r="AE64" s="21">
        <f t="shared" si="26"/>
        <v>46.7927777777778</v>
      </c>
      <c r="AF64" s="21">
        <f t="shared" si="27"/>
        <v>8692.2264</v>
      </c>
      <c r="AG64" s="7">
        <v>4</v>
      </c>
      <c r="AH64" s="25">
        <f t="shared" si="28"/>
        <v>495.36</v>
      </c>
      <c r="AI64" s="53">
        <f t="shared" si="29"/>
        <v>0.0854832773338715</v>
      </c>
    </row>
    <row r="65" ht="15" customHeight="1" spans="1:35">
      <c r="A65" s="7" t="s">
        <v>94</v>
      </c>
      <c r="B65" s="54" t="s">
        <v>95</v>
      </c>
      <c r="C65" s="7" t="s">
        <v>34</v>
      </c>
      <c r="D65" s="7" t="s">
        <v>35</v>
      </c>
      <c r="E65" s="7" t="s">
        <v>66</v>
      </c>
      <c r="F65" s="48">
        <v>127.34</v>
      </c>
      <c r="G65" s="48">
        <v>137</v>
      </c>
      <c r="H65" s="55"/>
      <c r="I65" s="55"/>
      <c r="J65" s="48">
        <v>132</v>
      </c>
      <c r="K65" s="7">
        <v>24959</v>
      </c>
      <c r="L65" s="21">
        <f t="shared" si="0"/>
        <v>2.74</v>
      </c>
      <c r="M65" s="21">
        <f t="shared" si="1"/>
        <v>84.94</v>
      </c>
      <c r="N65" s="21">
        <f t="shared" si="2"/>
        <v>10816.2596</v>
      </c>
      <c r="O65" s="21">
        <f t="shared" si="3"/>
        <v>1.52222222222222</v>
      </c>
      <c r="P65" s="21">
        <f t="shared" si="4"/>
        <v>47.1888888888889</v>
      </c>
      <c r="Q65" s="21">
        <f t="shared" si="5"/>
        <v>9013.54966666667</v>
      </c>
      <c r="R65" s="21">
        <f t="shared" si="6"/>
        <v>47.1888888888889</v>
      </c>
      <c r="S65" s="21">
        <f t="shared" si="7"/>
        <v>1.52222222222222</v>
      </c>
      <c r="T65" s="21">
        <f t="shared" si="8"/>
        <v>1.52222222222222</v>
      </c>
      <c r="U65" s="21">
        <f t="shared" si="9"/>
        <v>9013.54966666667</v>
      </c>
      <c r="V65" s="22">
        <v>0.78125</v>
      </c>
      <c r="W65" s="21">
        <f t="shared" si="20"/>
        <v>1.18923611111111</v>
      </c>
      <c r="X65" s="21">
        <f t="shared" si="21"/>
        <v>36.8663194444444</v>
      </c>
      <c r="Y65" s="21">
        <f t="shared" si="22"/>
        <v>7041.83567708333</v>
      </c>
      <c r="Z65" s="50">
        <v>2</v>
      </c>
      <c r="AA65" s="51">
        <f t="shared" si="23"/>
        <v>254.68</v>
      </c>
      <c r="AB65" s="52">
        <f t="shared" si="24"/>
        <v>0.0542500588650813</v>
      </c>
      <c r="AC65" s="22">
        <v>0.21875</v>
      </c>
      <c r="AD65" s="21">
        <f t="shared" si="25"/>
        <v>0.332986111111111</v>
      </c>
      <c r="AE65" s="21">
        <f t="shared" si="26"/>
        <v>10.3225694444444</v>
      </c>
      <c r="AF65" s="21">
        <f t="shared" si="27"/>
        <v>1971.71398958333</v>
      </c>
      <c r="AG65" s="7">
        <v>0</v>
      </c>
      <c r="AH65" s="25">
        <f t="shared" si="28"/>
        <v>0</v>
      </c>
      <c r="AI65" s="53">
        <f t="shared" si="29"/>
        <v>0</v>
      </c>
    </row>
    <row r="66" ht="15" customHeight="1" spans="1:35">
      <c r="A66" s="7" t="s">
        <v>126</v>
      </c>
      <c r="B66" s="47" t="s">
        <v>127</v>
      </c>
      <c r="C66" s="7" t="s">
        <v>34</v>
      </c>
      <c r="D66" s="7" t="s">
        <v>51</v>
      </c>
      <c r="E66" s="7" t="s">
        <v>128</v>
      </c>
      <c r="F66" s="48">
        <v>203.33</v>
      </c>
      <c r="G66" s="48">
        <v>85</v>
      </c>
      <c r="H66" s="55"/>
      <c r="I66" s="55"/>
      <c r="J66" s="48">
        <v>70</v>
      </c>
      <c r="K66" s="7">
        <v>20130</v>
      </c>
      <c r="L66" s="21">
        <f t="shared" si="0"/>
        <v>1.7</v>
      </c>
      <c r="M66" s="21">
        <f t="shared" si="1"/>
        <v>52.7</v>
      </c>
      <c r="N66" s="21">
        <f t="shared" si="2"/>
        <v>10715.491</v>
      </c>
      <c r="O66" s="21">
        <f t="shared" si="3"/>
        <v>0.944444444444444</v>
      </c>
      <c r="P66" s="21">
        <f t="shared" si="4"/>
        <v>29.2777777777778</v>
      </c>
      <c r="Q66" s="21">
        <f t="shared" si="5"/>
        <v>8929.57583333333</v>
      </c>
      <c r="R66" s="21">
        <f t="shared" si="6"/>
        <v>29.2777777777778</v>
      </c>
      <c r="S66" s="21">
        <f t="shared" si="7"/>
        <v>0.944444444444444</v>
      </c>
      <c r="T66" s="21">
        <f t="shared" si="8"/>
        <v>0.944444444444444</v>
      </c>
      <c r="U66" s="21">
        <f t="shared" si="9"/>
        <v>8929.57583333333</v>
      </c>
      <c r="V66" s="22">
        <v>0.651162790697674</v>
      </c>
      <c r="W66" s="21">
        <f t="shared" si="20"/>
        <v>0.614987080103359</v>
      </c>
      <c r="X66" s="21">
        <f t="shared" si="21"/>
        <v>19.0645994832041</v>
      </c>
      <c r="Y66" s="21">
        <f t="shared" si="22"/>
        <v>5814.60751937984</v>
      </c>
      <c r="Z66" s="50">
        <v>0</v>
      </c>
      <c r="AA66" s="51">
        <f t="shared" si="23"/>
        <v>0</v>
      </c>
      <c r="AB66" s="52">
        <f t="shared" si="24"/>
        <v>0</v>
      </c>
      <c r="AC66" s="22">
        <v>0.348837209302326</v>
      </c>
      <c r="AD66" s="21">
        <f t="shared" si="25"/>
        <v>0.329457364341086</v>
      </c>
      <c r="AE66" s="21">
        <f t="shared" si="26"/>
        <v>10.2131782945737</v>
      </c>
      <c r="AF66" s="21">
        <f t="shared" si="27"/>
        <v>3114.96831395349</v>
      </c>
      <c r="AG66" s="7">
        <v>4</v>
      </c>
      <c r="AH66" s="25">
        <f t="shared" si="28"/>
        <v>813.32</v>
      </c>
      <c r="AI66" s="53">
        <f t="shared" si="29"/>
        <v>0.391650853889941</v>
      </c>
    </row>
    <row r="67" ht="15" customHeight="1" spans="1:35">
      <c r="A67" s="7" t="s">
        <v>577</v>
      </c>
      <c r="B67" s="47" t="s">
        <v>673</v>
      </c>
      <c r="C67" s="7" t="s">
        <v>34</v>
      </c>
      <c r="D67" s="7" t="s">
        <v>35</v>
      </c>
      <c r="E67" s="7" t="s">
        <v>106</v>
      </c>
      <c r="F67" s="48">
        <v>18.48</v>
      </c>
      <c r="G67" s="48">
        <v>898</v>
      </c>
      <c r="H67" s="48">
        <v>4</v>
      </c>
      <c r="I67" s="48">
        <v>224</v>
      </c>
      <c r="J67" s="48">
        <v>650</v>
      </c>
      <c r="K67" s="7">
        <v>16179</v>
      </c>
      <c r="L67" s="21">
        <f t="shared" si="0"/>
        <v>13.96</v>
      </c>
      <c r="M67" s="21">
        <f t="shared" si="1"/>
        <v>556.76</v>
      </c>
      <c r="N67" s="21">
        <f t="shared" si="2"/>
        <v>10288.9248</v>
      </c>
      <c r="O67" s="21">
        <f t="shared" si="3"/>
        <v>5.97777777777778</v>
      </c>
      <c r="P67" s="21">
        <f t="shared" si="4"/>
        <v>309.311111111111</v>
      </c>
      <c r="Q67" s="21">
        <f t="shared" si="5"/>
        <v>8574.104</v>
      </c>
      <c r="R67" s="21">
        <f t="shared" si="6"/>
        <v>309.311111111111</v>
      </c>
      <c r="S67" s="21">
        <f t="shared" si="7"/>
        <v>9.97777777777778</v>
      </c>
      <c r="T67" s="21">
        <f t="shared" si="8"/>
        <v>5.97777777777778</v>
      </c>
      <c r="U67" s="21">
        <f t="shared" si="9"/>
        <v>8574.104</v>
      </c>
      <c r="V67" s="22">
        <v>0.829268292682927</v>
      </c>
      <c r="W67" s="21">
        <f t="shared" si="20"/>
        <v>8.27425474254743</v>
      </c>
      <c r="X67" s="21">
        <f t="shared" si="21"/>
        <v>256.50189701897</v>
      </c>
      <c r="Y67" s="21">
        <f t="shared" si="22"/>
        <v>7110.23258536586</v>
      </c>
      <c r="Z67" s="50">
        <v>98</v>
      </c>
      <c r="AA67" s="51">
        <f t="shared" si="23"/>
        <v>1811.04</v>
      </c>
      <c r="AB67" s="52">
        <f t="shared" si="24"/>
        <v>0.382063451143803</v>
      </c>
      <c r="AC67" s="22">
        <v>0.170731707317073</v>
      </c>
      <c r="AD67" s="21">
        <f t="shared" si="25"/>
        <v>1.70352303523035</v>
      </c>
      <c r="AE67" s="21">
        <f t="shared" si="26"/>
        <v>52.8092140921409</v>
      </c>
      <c r="AF67" s="21">
        <f t="shared" si="27"/>
        <v>1463.87141463414</v>
      </c>
      <c r="AG67" s="7">
        <v>36</v>
      </c>
      <c r="AH67" s="25">
        <f t="shared" si="28"/>
        <v>665.28</v>
      </c>
      <c r="AI67" s="53">
        <f t="shared" si="29"/>
        <v>0.681699218950459</v>
      </c>
    </row>
    <row r="68" ht="15" customHeight="1" spans="1:35">
      <c r="A68" s="7" t="s">
        <v>602</v>
      </c>
      <c r="B68" s="54" t="s">
        <v>616</v>
      </c>
      <c r="C68" s="7" t="s">
        <v>34</v>
      </c>
      <c r="D68" s="7" t="s">
        <v>51</v>
      </c>
      <c r="E68" s="7" t="s">
        <v>617</v>
      </c>
      <c r="F68" s="48">
        <v>28.84</v>
      </c>
      <c r="G68" s="48">
        <v>572</v>
      </c>
      <c r="H68" s="48">
        <v>8</v>
      </c>
      <c r="I68" s="48">
        <v>71</v>
      </c>
      <c r="J68" s="48">
        <v>151</v>
      </c>
      <c r="K68" s="7">
        <v>4355</v>
      </c>
      <c r="L68" s="21">
        <f t="shared" ref="L68:L131" si="30">(G68-(H68*50))/50</f>
        <v>3.44</v>
      </c>
      <c r="M68" s="21">
        <f t="shared" ref="M68:M131" si="31">31*(L68+H68)</f>
        <v>354.64</v>
      </c>
      <c r="N68" s="21">
        <f t="shared" ref="N68:N131" si="32">M68*F68</f>
        <v>10227.8176</v>
      </c>
      <c r="O68" s="21">
        <f t="shared" ref="O68:O131" si="33">(G68-(H68*90))/90</f>
        <v>-1.64444444444444</v>
      </c>
      <c r="P68" s="21">
        <f t="shared" ref="P68:P131" si="34">31*(O68+H68)</f>
        <v>197.022222222222</v>
      </c>
      <c r="Q68" s="21">
        <f t="shared" ref="Q68:Q131" si="35">(O68+H68)*31*F68*1.5</f>
        <v>8523.18133333333</v>
      </c>
      <c r="R68" s="21">
        <f t="shared" ref="R68:R131" si="36">P68</f>
        <v>197.022222222222</v>
      </c>
      <c r="S68" s="21">
        <f t="shared" ref="S68:S131" si="37">R68/31</f>
        <v>6.35555555555556</v>
      </c>
      <c r="T68" s="21">
        <f t="shared" ref="T68:T131" si="38">S68-H68</f>
        <v>-1.64444444444444</v>
      </c>
      <c r="U68" s="21">
        <f t="shared" ref="U68:U131" si="39">Q68</f>
        <v>8523.18133333333</v>
      </c>
      <c r="V68" s="22">
        <v>0.5</v>
      </c>
      <c r="W68" s="21">
        <f t="shared" si="20"/>
        <v>3.17777777777778</v>
      </c>
      <c r="X68" s="21">
        <f t="shared" si="21"/>
        <v>98.5111111111111</v>
      </c>
      <c r="Y68" s="21">
        <f t="shared" si="22"/>
        <v>4261.59066666667</v>
      </c>
      <c r="Z68" s="50">
        <v>180</v>
      </c>
      <c r="AA68" s="51">
        <f t="shared" si="23"/>
        <v>5191.2</v>
      </c>
      <c r="AB68" s="52">
        <f t="shared" si="24"/>
        <v>1.8272050530115</v>
      </c>
      <c r="AC68" s="22">
        <v>0.5</v>
      </c>
      <c r="AD68" s="21">
        <f t="shared" si="25"/>
        <v>3.17777777777778</v>
      </c>
      <c r="AE68" s="21">
        <f t="shared" si="26"/>
        <v>98.5111111111111</v>
      </c>
      <c r="AF68" s="21">
        <f t="shared" si="27"/>
        <v>4261.59066666667</v>
      </c>
      <c r="AG68" s="7">
        <v>118</v>
      </c>
      <c r="AH68" s="25">
        <f t="shared" si="28"/>
        <v>3403.12</v>
      </c>
      <c r="AI68" s="53">
        <f t="shared" si="29"/>
        <v>1.19783442364088</v>
      </c>
    </row>
    <row r="69" ht="15" customHeight="1" spans="1:35">
      <c r="A69" s="7" t="s">
        <v>318</v>
      </c>
      <c r="B69" s="47" t="s">
        <v>319</v>
      </c>
      <c r="C69" s="7" t="s">
        <v>34</v>
      </c>
      <c r="D69" s="7" t="s">
        <v>51</v>
      </c>
      <c r="E69" s="7" t="s">
        <v>320</v>
      </c>
      <c r="F69" s="48">
        <v>157.1</v>
      </c>
      <c r="G69" s="48">
        <v>104</v>
      </c>
      <c r="H69" s="55"/>
      <c r="I69" s="55"/>
      <c r="J69" s="48">
        <v>84</v>
      </c>
      <c r="K69" s="7">
        <v>18538</v>
      </c>
      <c r="L69" s="21">
        <f t="shared" si="30"/>
        <v>2.08</v>
      </c>
      <c r="M69" s="21">
        <f t="shared" si="31"/>
        <v>64.48</v>
      </c>
      <c r="N69" s="21">
        <f t="shared" si="32"/>
        <v>10129.808</v>
      </c>
      <c r="O69" s="21">
        <f t="shared" si="33"/>
        <v>1.15555555555556</v>
      </c>
      <c r="P69" s="21">
        <f t="shared" si="34"/>
        <v>35.8222222222222</v>
      </c>
      <c r="Q69" s="21">
        <f t="shared" si="35"/>
        <v>8441.50666666666</v>
      </c>
      <c r="R69" s="21">
        <f t="shared" si="36"/>
        <v>35.8222222222222</v>
      </c>
      <c r="S69" s="21">
        <f t="shared" si="37"/>
        <v>1.15555555555556</v>
      </c>
      <c r="T69" s="21">
        <f t="shared" si="38"/>
        <v>1.15555555555556</v>
      </c>
      <c r="U69" s="21">
        <f t="shared" si="39"/>
        <v>8441.50666666666</v>
      </c>
      <c r="V69" s="22">
        <v>0.857142857142857</v>
      </c>
      <c r="W69" s="21">
        <f t="shared" ref="W69:W100" si="40">X69/31</f>
        <v>0.99047619047619</v>
      </c>
      <c r="X69" s="21">
        <f t="shared" ref="X69:X100" si="41">R69*V69</f>
        <v>30.7047619047619</v>
      </c>
      <c r="Y69" s="21">
        <f t="shared" ref="Y69:Y100" si="42">X69*F69*1.5</f>
        <v>7235.57714285714</v>
      </c>
      <c r="Z69" s="50">
        <v>4</v>
      </c>
      <c r="AA69" s="51">
        <f t="shared" ref="AA69:AA100" si="43">Z69*F69</f>
        <v>628.4</v>
      </c>
      <c r="AB69" s="52">
        <f t="shared" ref="AB69:AB100" si="44">Z69/X69</f>
        <v>0.130272952853598</v>
      </c>
      <c r="AC69" s="22">
        <v>0.142857142857143</v>
      </c>
      <c r="AD69" s="21">
        <f t="shared" ref="AD69:AD100" si="45">AE69/31</f>
        <v>0.165079365079365</v>
      </c>
      <c r="AE69" s="21">
        <f t="shared" ref="AE69:AE100" si="46">R69*AC69</f>
        <v>5.11746031746032</v>
      </c>
      <c r="AF69" s="21">
        <f t="shared" ref="AF69:AF100" si="47">F69*AE69*1.5</f>
        <v>1205.92952380952</v>
      </c>
      <c r="AG69" s="7">
        <v>7</v>
      </c>
      <c r="AH69" s="25">
        <f t="shared" ref="AH69:AH100" si="48">AG69*F69</f>
        <v>1099.7</v>
      </c>
      <c r="AI69" s="53">
        <f t="shared" ref="AI69:AI100" si="49">AG69/AE69</f>
        <v>1.36786600496278</v>
      </c>
    </row>
    <row r="70" ht="15" customHeight="1" spans="1:35">
      <c r="A70" s="7" t="s">
        <v>232</v>
      </c>
      <c r="B70" s="47" t="s">
        <v>233</v>
      </c>
      <c r="C70" s="7" t="s">
        <v>34</v>
      </c>
      <c r="D70" s="7" t="s">
        <v>51</v>
      </c>
      <c r="E70" s="7" t="s">
        <v>234</v>
      </c>
      <c r="F70" s="48">
        <v>170.66</v>
      </c>
      <c r="G70" s="48">
        <v>92</v>
      </c>
      <c r="H70" s="55"/>
      <c r="I70" s="55"/>
      <c r="J70" s="48">
        <v>74</v>
      </c>
      <c r="K70" s="7">
        <v>17663</v>
      </c>
      <c r="L70" s="21">
        <f t="shared" si="30"/>
        <v>1.84</v>
      </c>
      <c r="M70" s="21">
        <f t="shared" si="31"/>
        <v>57.04</v>
      </c>
      <c r="N70" s="21">
        <f t="shared" si="32"/>
        <v>9734.4464</v>
      </c>
      <c r="O70" s="21">
        <f t="shared" si="33"/>
        <v>1.02222222222222</v>
      </c>
      <c r="P70" s="21">
        <f t="shared" si="34"/>
        <v>31.6888888888889</v>
      </c>
      <c r="Q70" s="21">
        <f t="shared" si="35"/>
        <v>8112.03866666667</v>
      </c>
      <c r="R70" s="21">
        <f t="shared" si="36"/>
        <v>31.6888888888889</v>
      </c>
      <c r="S70" s="21">
        <f t="shared" si="37"/>
        <v>1.02222222222222</v>
      </c>
      <c r="T70" s="21">
        <f t="shared" si="38"/>
        <v>1.02222222222222</v>
      </c>
      <c r="U70" s="21">
        <f t="shared" si="39"/>
        <v>8112.03866666667</v>
      </c>
      <c r="V70" s="49">
        <v>0.3</v>
      </c>
      <c r="W70" s="21">
        <f t="shared" si="40"/>
        <v>0.306666666666667</v>
      </c>
      <c r="X70" s="21">
        <f t="shared" si="41"/>
        <v>9.50666666666667</v>
      </c>
      <c r="Y70" s="21">
        <f t="shared" si="42"/>
        <v>2433.6116</v>
      </c>
      <c r="Z70" s="50">
        <v>9</v>
      </c>
      <c r="AA70" s="51">
        <f t="shared" si="43"/>
        <v>1535.94</v>
      </c>
      <c r="AB70" s="52">
        <f t="shared" si="44"/>
        <v>0.946704067321178</v>
      </c>
      <c r="AC70" s="49">
        <v>0.7</v>
      </c>
      <c r="AD70" s="21">
        <f t="shared" si="45"/>
        <v>0.715555555555555</v>
      </c>
      <c r="AE70" s="21">
        <f t="shared" si="46"/>
        <v>22.1822222222222</v>
      </c>
      <c r="AF70" s="21">
        <f t="shared" si="47"/>
        <v>5678.42706666667</v>
      </c>
      <c r="AG70" s="7">
        <v>19</v>
      </c>
      <c r="AH70" s="25">
        <f t="shared" si="48"/>
        <v>3242.54</v>
      </c>
      <c r="AI70" s="53">
        <f t="shared" si="49"/>
        <v>0.856541775195352</v>
      </c>
    </row>
    <row r="71" ht="15" customHeight="1" spans="1:35">
      <c r="A71" s="7" t="s">
        <v>581</v>
      </c>
      <c r="B71" s="47" t="s">
        <v>625</v>
      </c>
      <c r="C71" s="7" t="s">
        <v>34</v>
      </c>
      <c r="D71" s="7" t="s">
        <v>51</v>
      </c>
      <c r="E71" s="7" t="s">
        <v>61</v>
      </c>
      <c r="F71" s="48">
        <v>18.76</v>
      </c>
      <c r="G71" s="48">
        <v>811</v>
      </c>
      <c r="H71" s="48">
        <v>5</v>
      </c>
      <c r="I71" s="48">
        <v>162</v>
      </c>
      <c r="J71" s="48">
        <v>526</v>
      </c>
      <c r="K71" s="7">
        <v>12663</v>
      </c>
      <c r="L71" s="21">
        <f t="shared" si="30"/>
        <v>11.22</v>
      </c>
      <c r="M71" s="21">
        <f t="shared" si="31"/>
        <v>502.82</v>
      </c>
      <c r="N71" s="21">
        <f t="shared" si="32"/>
        <v>9432.9032</v>
      </c>
      <c r="O71" s="21">
        <f t="shared" si="33"/>
        <v>4.01111111111111</v>
      </c>
      <c r="P71" s="21">
        <f t="shared" si="34"/>
        <v>279.344444444444</v>
      </c>
      <c r="Q71" s="21">
        <f t="shared" si="35"/>
        <v>7860.75266666667</v>
      </c>
      <c r="R71" s="21">
        <f t="shared" si="36"/>
        <v>279.344444444444</v>
      </c>
      <c r="S71" s="21">
        <f t="shared" si="37"/>
        <v>9.01111111111111</v>
      </c>
      <c r="T71" s="21">
        <f t="shared" si="38"/>
        <v>4.01111111111111</v>
      </c>
      <c r="U71" s="21">
        <f t="shared" si="39"/>
        <v>7860.75266666667</v>
      </c>
      <c r="V71" s="22">
        <v>0.306818181818182</v>
      </c>
      <c r="W71" s="21">
        <f t="shared" si="40"/>
        <v>2.76477272727273</v>
      </c>
      <c r="X71" s="21">
        <f t="shared" si="41"/>
        <v>85.7079545454546</v>
      </c>
      <c r="Y71" s="21">
        <f t="shared" si="42"/>
        <v>2411.82184090909</v>
      </c>
      <c r="Z71" s="50">
        <v>92</v>
      </c>
      <c r="AA71" s="51">
        <f t="shared" si="43"/>
        <v>1725.92</v>
      </c>
      <c r="AB71" s="52">
        <f t="shared" si="44"/>
        <v>1.07341261949273</v>
      </c>
      <c r="AC71" s="22">
        <v>0.693181818181818</v>
      </c>
      <c r="AD71" s="21">
        <f t="shared" si="45"/>
        <v>6.24633838383838</v>
      </c>
      <c r="AE71" s="21">
        <f t="shared" si="46"/>
        <v>193.63648989899</v>
      </c>
      <c r="AF71" s="21">
        <f t="shared" si="47"/>
        <v>5448.93082575757</v>
      </c>
      <c r="AG71" s="7">
        <v>131</v>
      </c>
      <c r="AH71" s="25">
        <f t="shared" si="48"/>
        <v>2457.56</v>
      </c>
      <c r="AI71" s="53">
        <f t="shared" si="49"/>
        <v>0.676525380460758</v>
      </c>
    </row>
    <row r="72" ht="15" customHeight="1" spans="1:35">
      <c r="A72" s="7" t="s">
        <v>163</v>
      </c>
      <c r="B72" s="47" t="s">
        <v>164</v>
      </c>
      <c r="C72" s="7" t="s">
        <v>34</v>
      </c>
      <c r="D72" s="7" t="s">
        <v>51</v>
      </c>
      <c r="E72" s="7" t="s">
        <v>165</v>
      </c>
      <c r="F72" s="48">
        <v>87.12</v>
      </c>
      <c r="G72" s="48">
        <v>174</v>
      </c>
      <c r="H72" s="55"/>
      <c r="I72" s="55"/>
      <c r="J72" s="48">
        <v>164</v>
      </c>
      <c r="K72" s="7">
        <v>21083</v>
      </c>
      <c r="L72" s="21">
        <f t="shared" si="30"/>
        <v>3.48</v>
      </c>
      <c r="M72" s="21">
        <f t="shared" si="31"/>
        <v>107.88</v>
      </c>
      <c r="N72" s="21">
        <f t="shared" si="32"/>
        <v>9398.5056</v>
      </c>
      <c r="O72" s="21">
        <f t="shared" si="33"/>
        <v>1.93333333333333</v>
      </c>
      <c r="P72" s="21">
        <f t="shared" si="34"/>
        <v>59.9333333333333</v>
      </c>
      <c r="Q72" s="21">
        <f t="shared" si="35"/>
        <v>7832.088</v>
      </c>
      <c r="R72" s="21">
        <f t="shared" si="36"/>
        <v>59.9333333333333</v>
      </c>
      <c r="S72" s="21">
        <f t="shared" si="37"/>
        <v>1.93333333333333</v>
      </c>
      <c r="T72" s="21">
        <f t="shared" si="38"/>
        <v>1.93333333333333</v>
      </c>
      <c r="U72" s="21">
        <f t="shared" si="39"/>
        <v>7832.088</v>
      </c>
      <c r="V72" s="22">
        <v>0.895833333333333</v>
      </c>
      <c r="W72" s="21">
        <f t="shared" si="40"/>
        <v>1.73194444444444</v>
      </c>
      <c r="X72" s="21">
        <f t="shared" si="41"/>
        <v>53.6902777777778</v>
      </c>
      <c r="Y72" s="21">
        <f t="shared" si="42"/>
        <v>7016.2455</v>
      </c>
      <c r="Z72" s="50">
        <v>4</v>
      </c>
      <c r="AA72" s="51">
        <f t="shared" si="43"/>
        <v>348.48</v>
      </c>
      <c r="AB72" s="52">
        <f t="shared" si="44"/>
        <v>0.0745013839666813</v>
      </c>
      <c r="AC72" s="22">
        <v>0.0625</v>
      </c>
      <c r="AD72" s="21">
        <f t="shared" si="45"/>
        <v>0.120833333333333</v>
      </c>
      <c r="AE72" s="21">
        <f t="shared" si="46"/>
        <v>3.74583333333333</v>
      </c>
      <c r="AF72" s="21">
        <f t="shared" si="47"/>
        <v>489.5055</v>
      </c>
      <c r="AG72" s="7">
        <v>0</v>
      </c>
      <c r="AH72" s="25">
        <f t="shared" si="48"/>
        <v>0</v>
      </c>
      <c r="AI72" s="53">
        <f t="shared" si="49"/>
        <v>0</v>
      </c>
    </row>
    <row r="73" ht="15" customHeight="1" spans="1:35">
      <c r="A73" s="7" t="s">
        <v>775</v>
      </c>
      <c r="B73" s="54" t="s">
        <v>776</v>
      </c>
      <c r="C73" s="7" t="s">
        <v>34</v>
      </c>
      <c r="D73" s="7" t="s">
        <v>35</v>
      </c>
      <c r="E73" s="7" t="s">
        <v>156</v>
      </c>
      <c r="F73" s="48">
        <v>133.9</v>
      </c>
      <c r="G73" s="48">
        <v>113</v>
      </c>
      <c r="H73" s="48">
        <v>1</v>
      </c>
      <c r="I73" s="48">
        <v>113</v>
      </c>
      <c r="J73" s="48">
        <v>20</v>
      </c>
      <c r="K73" s="7">
        <v>2678</v>
      </c>
      <c r="L73" s="21">
        <f t="shared" si="30"/>
        <v>1.26</v>
      </c>
      <c r="M73" s="21">
        <f t="shared" si="31"/>
        <v>70.06</v>
      </c>
      <c r="N73" s="21">
        <f t="shared" si="32"/>
        <v>9381.034</v>
      </c>
      <c r="O73" s="21">
        <f t="shared" si="33"/>
        <v>0.255555555555556</v>
      </c>
      <c r="P73" s="21">
        <f t="shared" si="34"/>
        <v>38.9222222222222</v>
      </c>
      <c r="Q73" s="21">
        <f t="shared" si="35"/>
        <v>7817.52833333333</v>
      </c>
      <c r="R73" s="21">
        <f t="shared" si="36"/>
        <v>38.9222222222222</v>
      </c>
      <c r="S73" s="21">
        <f t="shared" si="37"/>
        <v>1.25555555555556</v>
      </c>
      <c r="T73" s="21">
        <f t="shared" si="38"/>
        <v>0.255555555555556</v>
      </c>
      <c r="U73" s="21">
        <f t="shared" si="39"/>
        <v>7817.52833333333</v>
      </c>
      <c r="V73" s="22">
        <v>0.65</v>
      </c>
      <c r="W73" s="21">
        <f t="shared" si="40"/>
        <v>0.816111111111111</v>
      </c>
      <c r="X73" s="21">
        <f t="shared" si="41"/>
        <v>25.2994444444444</v>
      </c>
      <c r="Y73" s="21">
        <f t="shared" si="42"/>
        <v>5081.39341666667</v>
      </c>
      <c r="Z73" s="50">
        <v>32</v>
      </c>
      <c r="AA73" s="51">
        <f t="shared" si="43"/>
        <v>4284.8</v>
      </c>
      <c r="AB73" s="52">
        <f t="shared" si="44"/>
        <v>1.26484990886932</v>
      </c>
      <c r="AC73" s="22">
        <v>0.35</v>
      </c>
      <c r="AD73" s="21">
        <f t="shared" si="45"/>
        <v>0.439444444444444</v>
      </c>
      <c r="AE73" s="21">
        <f t="shared" si="46"/>
        <v>13.6227777777778</v>
      </c>
      <c r="AF73" s="21">
        <f t="shared" si="47"/>
        <v>2736.13491666667</v>
      </c>
      <c r="AG73" s="7">
        <v>35</v>
      </c>
      <c r="AH73" s="25">
        <f t="shared" si="48"/>
        <v>4686.5</v>
      </c>
      <c r="AI73" s="53">
        <f t="shared" si="49"/>
        <v>2.5692263773908</v>
      </c>
    </row>
    <row r="74" ht="15" customHeight="1" spans="1:35">
      <c r="A74" s="7" t="s">
        <v>322</v>
      </c>
      <c r="B74" s="54" t="s">
        <v>323</v>
      </c>
      <c r="C74" s="7" t="s">
        <v>34</v>
      </c>
      <c r="D74" s="7" t="s">
        <v>35</v>
      </c>
      <c r="E74" s="7" t="s">
        <v>324</v>
      </c>
      <c r="F74" s="48">
        <v>117.04</v>
      </c>
      <c r="G74" s="48">
        <v>126</v>
      </c>
      <c r="H74" s="55"/>
      <c r="I74" s="55"/>
      <c r="J74" s="48">
        <v>118</v>
      </c>
      <c r="K74" s="7">
        <v>20306</v>
      </c>
      <c r="L74" s="21">
        <f t="shared" si="30"/>
        <v>2.52</v>
      </c>
      <c r="M74" s="21">
        <f t="shared" si="31"/>
        <v>78.12</v>
      </c>
      <c r="N74" s="21">
        <f t="shared" si="32"/>
        <v>9143.1648</v>
      </c>
      <c r="O74" s="21">
        <f t="shared" si="33"/>
        <v>1.4</v>
      </c>
      <c r="P74" s="21">
        <f t="shared" si="34"/>
        <v>43.4</v>
      </c>
      <c r="Q74" s="21">
        <f t="shared" si="35"/>
        <v>7619.304</v>
      </c>
      <c r="R74" s="21">
        <f t="shared" si="36"/>
        <v>43.4</v>
      </c>
      <c r="S74" s="21">
        <f t="shared" si="37"/>
        <v>1.4</v>
      </c>
      <c r="T74" s="21">
        <f t="shared" si="38"/>
        <v>1.4</v>
      </c>
      <c r="U74" s="21">
        <f t="shared" si="39"/>
        <v>7619.304</v>
      </c>
      <c r="V74" s="22">
        <v>0.5</v>
      </c>
      <c r="W74" s="21">
        <f t="shared" si="40"/>
        <v>0.7</v>
      </c>
      <c r="X74" s="21">
        <f t="shared" si="41"/>
        <v>21.7</v>
      </c>
      <c r="Y74" s="21">
        <f t="shared" si="42"/>
        <v>3809.652</v>
      </c>
      <c r="Z74" s="50">
        <v>39</v>
      </c>
      <c r="AA74" s="51">
        <f t="shared" si="43"/>
        <v>4564.56</v>
      </c>
      <c r="AB74" s="52">
        <f t="shared" si="44"/>
        <v>1.79723502304147</v>
      </c>
      <c r="AC74" s="22">
        <v>0.5</v>
      </c>
      <c r="AD74" s="21">
        <f t="shared" si="45"/>
        <v>0.7</v>
      </c>
      <c r="AE74" s="21">
        <f t="shared" si="46"/>
        <v>21.7</v>
      </c>
      <c r="AF74" s="21">
        <f t="shared" si="47"/>
        <v>3809.652</v>
      </c>
      <c r="AG74" s="7">
        <v>0</v>
      </c>
      <c r="AH74" s="25">
        <f t="shared" si="48"/>
        <v>0</v>
      </c>
      <c r="AI74" s="53">
        <f t="shared" si="49"/>
        <v>0</v>
      </c>
    </row>
    <row r="75" ht="15" customHeight="1" spans="1:35">
      <c r="A75" s="7" t="s">
        <v>624</v>
      </c>
      <c r="B75" s="47" t="s">
        <v>621</v>
      </c>
      <c r="C75" s="7" t="s">
        <v>34</v>
      </c>
      <c r="D75" s="7" t="s">
        <v>51</v>
      </c>
      <c r="E75" s="7" t="s">
        <v>195</v>
      </c>
      <c r="F75" s="48">
        <v>19.06</v>
      </c>
      <c r="G75" s="48">
        <v>753</v>
      </c>
      <c r="H75" s="48">
        <v>5</v>
      </c>
      <c r="I75" s="48">
        <v>150</v>
      </c>
      <c r="J75" s="48">
        <v>467</v>
      </c>
      <c r="K75" s="7">
        <v>11169</v>
      </c>
      <c r="L75" s="21">
        <f t="shared" si="30"/>
        <v>10.06</v>
      </c>
      <c r="M75" s="21">
        <f t="shared" si="31"/>
        <v>466.86</v>
      </c>
      <c r="N75" s="21">
        <f t="shared" si="32"/>
        <v>8898.3516</v>
      </c>
      <c r="O75" s="21">
        <f t="shared" si="33"/>
        <v>3.36666666666667</v>
      </c>
      <c r="P75" s="21">
        <f t="shared" si="34"/>
        <v>259.366666666667</v>
      </c>
      <c r="Q75" s="21">
        <f t="shared" si="35"/>
        <v>7415.293</v>
      </c>
      <c r="R75" s="21">
        <f t="shared" si="36"/>
        <v>259.366666666667</v>
      </c>
      <c r="S75" s="21">
        <f t="shared" si="37"/>
        <v>8.36666666666667</v>
      </c>
      <c r="T75" s="21">
        <f t="shared" si="38"/>
        <v>3.36666666666667</v>
      </c>
      <c r="U75" s="21">
        <f t="shared" si="39"/>
        <v>7415.293</v>
      </c>
      <c r="V75" s="22">
        <v>0.955882352941176</v>
      </c>
      <c r="W75" s="21">
        <f t="shared" si="40"/>
        <v>7.99754901960784</v>
      </c>
      <c r="X75" s="21">
        <f t="shared" si="41"/>
        <v>247.924019607843</v>
      </c>
      <c r="Y75" s="21">
        <f t="shared" si="42"/>
        <v>7088.14772058823</v>
      </c>
      <c r="Z75" s="50">
        <v>143</v>
      </c>
      <c r="AA75" s="51">
        <f t="shared" si="43"/>
        <v>2725.58</v>
      </c>
      <c r="AB75" s="52">
        <f t="shared" si="44"/>
        <v>0.576789615730626</v>
      </c>
      <c r="AC75" s="22">
        <v>0.0441176470588235</v>
      </c>
      <c r="AD75" s="21">
        <f t="shared" si="45"/>
        <v>0.369117647058823</v>
      </c>
      <c r="AE75" s="21">
        <f t="shared" si="46"/>
        <v>11.4426470588235</v>
      </c>
      <c r="AF75" s="21">
        <f t="shared" si="47"/>
        <v>327.145279411764</v>
      </c>
      <c r="AG75" s="7">
        <v>80</v>
      </c>
      <c r="AH75" s="25">
        <f t="shared" si="48"/>
        <v>1524.8</v>
      </c>
      <c r="AI75" s="53">
        <f t="shared" si="49"/>
        <v>6.99138928158336</v>
      </c>
    </row>
    <row r="76" ht="15" customHeight="1" spans="1:35">
      <c r="A76" s="7" t="s">
        <v>777</v>
      </c>
      <c r="B76" s="7" t="s">
        <v>778</v>
      </c>
      <c r="C76" s="7" t="s">
        <v>34</v>
      </c>
      <c r="D76" s="7" t="s">
        <v>51</v>
      </c>
      <c r="E76" s="7" t="s">
        <v>165</v>
      </c>
      <c r="F76" s="48">
        <v>55.95</v>
      </c>
      <c r="G76" s="48">
        <v>253</v>
      </c>
      <c r="H76" s="48">
        <v>3</v>
      </c>
      <c r="I76" s="48">
        <v>84</v>
      </c>
      <c r="J76" s="48">
        <v>68</v>
      </c>
      <c r="K76" s="7">
        <v>3805</v>
      </c>
      <c r="L76" s="21">
        <f t="shared" si="30"/>
        <v>2.06</v>
      </c>
      <c r="M76" s="21">
        <f t="shared" si="31"/>
        <v>156.86</v>
      </c>
      <c r="N76" s="21">
        <f t="shared" si="32"/>
        <v>8776.317</v>
      </c>
      <c r="O76" s="21">
        <f t="shared" si="33"/>
        <v>-0.188888888888889</v>
      </c>
      <c r="P76" s="21">
        <f t="shared" si="34"/>
        <v>87.1444444444444</v>
      </c>
      <c r="Q76" s="21">
        <f t="shared" si="35"/>
        <v>7313.5975</v>
      </c>
      <c r="R76" s="21">
        <f t="shared" si="36"/>
        <v>87.1444444444444</v>
      </c>
      <c r="S76" s="21">
        <f t="shared" si="37"/>
        <v>2.81111111111111</v>
      </c>
      <c r="T76" s="21">
        <f t="shared" si="38"/>
        <v>-0.188888888888889</v>
      </c>
      <c r="U76" s="21">
        <f t="shared" si="39"/>
        <v>7313.5975</v>
      </c>
      <c r="V76" s="22">
        <v>1</v>
      </c>
      <c r="W76" s="21">
        <f t="shared" si="40"/>
        <v>2.81111111111111</v>
      </c>
      <c r="X76" s="21">
        <f t="shared" si="41"/>
        <v>87.1444444444444</v>
      </c>
      <c r="Y76" s="21">
        <f t="shared" si="42"/>
        <v>7313.5975</v>
      </c>
      <c r="Z76" s="50">
        <v>179</v>
      </c>
      <c r="AA76" s="51">
        <f t="shared" si="43"/>
        <v>10015.05</v>
      </c>
      <c r="AB76" s="52">
        <f t="shared" si="44"/>
        <v>2.05406094606656</v>
      </c>
      <c r="AC76" s="22">
        <v>0</v>
      </c>
      <c r="AD76" s="21">
        <f t="shared" si="45"/>
        <v>0</v>
      </c>
      <c r="AE76" s="21">
        <f t="shared" si="46"/>
        <v>0</v>
      </c>
      <c r="AF76" s="21">
        <f t="shared" si="47"/>
        <v>0</v>
      </c>
      <c r="AG76" s="7">
        <v>23</v>
      </c>
      <c r="AH76" s="25">
        <f t="shared" si="48"/>
        <v>1286.85</v>
      </c>
      <c r="AI76" s="53" t="e">
        <f t="shared" si="49"/>
        <v>#DIV/0!</v>
      </c>
    </row>
    <row r="77" ht="15" customHeight="1" spans="1:35">
      <c r="A77" s="7" t="s">
        <v>427</v>
      </c>
      <c r="B77" s="7" t="s">
        <v>428</v>
      </c>
      <c r="C77" s="7" t="s">
        <v>34</v>
      </c>
      <c r="D77" s="7" t="s">
        <v>51</v>
      </c>
      <c r="E77" s="7" t="s">
        <v>61</v>
      </c>
      <c r="F77" s="48">
        <v>79.14</v>
      </c>
      <c r="G77" s="48">
        <v>170</v>
      </c>
      <c r="H77" s="48">
        <v>1</v>
      </c>
      <c r="I77" s="48">
        <v>170</v>
      </c>
      <c r="J77" s="48">
        <v>119</v>
      </c>
      <c r="K77" s="7">
        <v>12504</v>
      </c>
      <c r="L77" s="21">
        <f t="shared" si="30"/>
        <v>2.4</v>
      </c>
      <c r="M77" s="21">
        <f t="shared" si="31"/>
        <v>105.4</v>
      </c>
      <c r="N77" s="21">
        <f t="shared" si="32"/>
        <v>8341.356</v>
      </c>
      <c r="O77" s="21">
        <f t="shared" si="33"/>
        <v>0.888888888888889</v>
      </c>
      <c r="P77" s="21">
        <f t="shared" si="34"/>
        <v>58.5555555555556</v>
      </c>
      <c r="Q77" s="21">
        <f t="shared" si="35"/>
        <v>6951.13</v>
      </c>
      <c r="R77" s="21">
        <f t="shared" si="36"/>
        <v>58.5555555555556</v>
      </c>
      <c r="S77" s="21">
        <f t="shared" si="37"/>
        <v>1.88888888888889</v>
      </c>
      <c r="T77" s="21">
        <f t="shared" si="38"/>
        <v>0.888888888888889</v>
      </c>
      <c r="U77" s="21">
        <f t="shared" si="39"/>
        <v>6951.13</v>
      </c>
      <c r="V77" s="22">
        <v>0.241935483870968</v>
      </c>
      <c r="W77" s="21">
        <f t="shared" si="40"/>
        <v>0.456989247311828</v>
      </c>
      <c r="X77" s="21">
        <f t="shared" si="41"/>
        <v>14.1666666666667</v>
      </c>
      <c r="Y77" s="21">
        <f t="shared" si="42"/>
        <v>1681.725</v>
      </c>
      <c r="Z77" s="50">
        <v>43</v>
      </c>
      <c r="AA77" s="51">
        <f t="shared" si="43"/>
        <v>3403.02</v>
      </c>
      <c r="AB77" s="52">
        <f t="shared" si="44"/>
        <v>3.03529411764705</v>
      </c>
      <c r="AC77" s="22">
        <v>0.758064516129032</v>
      </c>
      <c r="AD77" s="21">
        <f t="shared" si="45"/>
        <v>1.43189964157706</v>
      </c>
      <c r="AE77" s="21">
        <f t="shared" si="46"/>
        <v>44.3888888888889</v>
      </c>
      <c r="AF77" s="21">
        <f t="shared" si="47"/>
        <v>5269.405</v>
      </c>
      <c r="AG77" s="7">
        <v>53</v>
      </c>
      <c r="AH77" s="25">
        <f t="shared" si="48"/>
        <v>4194.42</v>
      </c>
      <c r="AI77" s="53">
        <f t="shared" si="49"/>
        <v>1.19399249061327</v>
      </c>
    </row>
    <row r="78" ht="15" customHeight="1" spans="1:35">
      <c r="A78" s="7" t="s">
        <v>358</v>
      </c>
      <c r="B78" s="7" t="s">
        <v>359</v>
      </c>
      <c r="C78" s="7" t="s">
        <v>34</v>
      </c>
      <c r="D78" s="7" t="s">
        <v>51</v>
      </c>
      <c r="E78" s="7" t="s">
        <v>203</v>
      </c>
      <c r="F78" s="48">
        <v>155.28</v>
      </c>
      <c r="G78" s="48">
        <v>86</v>
      </c>
      <c r="H78" s="55"/>
      <c r="I78" s="55"/>
      <c r="J78" s="48">
        <v>61</v>
      </c>
      <c r="K78" s="7">
        <v>12655</v>
      </c>
      <c r="L78" s="21">
        <f t="shared" si="30"/>
        <v>1.72</v>
      </c>
      <c r="M78" s="21">
        <f t="shared" si="31"/>
        <v>53.32</v>
      </c>
      <c r="N78" s="21">
        <f t="shared" si="32"/>
        <v>8279.5296</v>
      </c>
      <c r="O78" s="21">
        <f t="shared" si="33"/>
        <v>0.955555555555556</v>
      </c>
      <c r="P78" s="21">
        <f t="shared" si="34"/>
        <v>29.6222222222222</v>
      </c>
      <c r="Q78" s="21">
        <f t="shared" si="35"/>
        <v>6899.608</v>
      </c>
      <c r="R78" s="21">
        <f t="shared" si="36"/>
        <v>29.6222222222222</v>
      </c>
      <c r="S78" s="21">
        <f t="shared" si="37"/>
        <v>0.955555555555556</v>
      </c>
      <c r="T78" s="21">
        <f t="shared" si="38"/>
        <v>0.955555555555556</v>
      </c>
      <c r="U78" s="21">
        <f t="shared" si="39"/>
        <v>6899.608</v>
      </c>
      <c r="V78" s="22">
        <v>0.833333333333333</v>
      </c>
      <c r="W78" s="21">
        <f t="shared" si="40"/>
        <v>0.796296296296296</v>
      </c>
      <c r="X78" s="21">
        <f t="shared" si="41"/>
        <v>24.6851851851852</v>
      </c>
      <c r="Y78" s="21">
        <f t="shared" si="42"/>
        <v>5749.67333333333</v>
      </c>
      <c r="Z78" s="50">
        <v>3</v>
      </c>
      <c r="AA78" s="51">
        <f t="shared" si="43"/>
        <v>465.84</v>
      </c>
      <c r="AB78" s="52">
        <f t="shared" si="44"/>
        <v>0.121530382595649</v>
      </c>
      <c r="AC78" s="22">
        <v>0.166666666666667</v>
      </c>
      <c r="AD78" s="21">
        <f t="shared" si="45"/>
        <v>0.15925925925926</v>
      </c>
      <c r="AE78" s="21">
        <f t="shared" si="46"/>
        <v>4.93703703703705</v>
      </c>
      <c r="AF78" s="21">
        <f t="shared" si="47"/>
        <v>1149.93466666667</v>
      </c>
      <c r="AG78" s="7">
        <v>11</v>
      </c>
      <c r="AH78" s="25">
        <f t="shared" si="48"/>
        <v>1708.08</v>
      </c>
      <c r="AI78" s="53">
        <f t="shared" si="49"/>
        <v>2.22805701425356</v>
      </c>
    </row>
    <row r="79" ht="15" customHeight="1" spans="1:35">
      <c r="A79" s="7" t="s">
        <v>137</v>
      </c>
      <c r="B79" s="7" t="s">
        <v>138</v>
      </c>
      <c r="C79" s="7" t="s">
        <v>34</v>
      </c>
      <c r="D79" s="7" t="s">
        <v>35</v>
      </c>
      <c r="E79" s="7" t="s">
        <v>110</v>
      </c>
      <c r="F79" s="48">
        <v>19.31</v>
      </c>
      <c r="G79" s="48">
        <v>684</v>
      </c>
      <c r="H79" s="48">
        <v>11</v>
      </c>
      <c r="I79" s="48">
        <v>62</v>
      </c>
      <c r="J79" s="48">
        <v>134</v>
      </c>
      <c r="K79" s="7">
        <v>2588</v>
      </c>
      <c r="L79" s="21">
        <f t="shared" si="30"/>
        <v>2.68</v>
      </c>
      <c r="M79" s="21">
        <f t="shared" si="31"/>
        <v>424.08</v>
      </c>
      <c r="N79" s="21">
        <f t="shared" si="32"/>
        <v>8188.9848</v>
      </c>
      <c r="O79" s="21">
        <f t="shared" si="33"/>
        <v>-3.4</v>
      </c>
      <c r="P79" s="21">
        <f t="shared" si="34"/>
        <v>235.6</v>
      </c>
      <c r="Q79" s="21">
        <f t="shared" si="35"/>
        <v>6824.154</v>
      </c>
      <c r="R79" s="21">
        <f t="shared" si="36"/>
        <v>235.6</v>
      </c>
      <c r="S79" s="21">
        <f t="shared" si="37"/>
        <v>7.6</v>
      </c>
      <c r="T79" s="21">
        <f t="shared" si="38"/>
        <v>-3.4</v>
      </c>
      <c r="U79" s="21">
        <f t="shared" si="39"/>
        <v>6824.154</v>
      </c>
      <c r="V79" s="22">
        <v>0.363636363636364</v>
      </c>
      <c r="W79" s="21">
        <f t="shared" si="40"/>
        <v>2.76363636363637</v>
      </c>
      <c r="X79" s="21">
        <f t="shared" si="41"/>
        <v>85.6727272727274</v>
      </c>
      <c r="Y79" s="21">
        <f t="shared" si="42"/>
        <v>2481.51054545455</v>
      </c>
      <c r="Z79" s="50">
        <v>236</v>
      </c>
      <c r="AA79" s="51">
        <f t="shared" si="43"/>
        <v>4557.16</v>
      </c>
      <c r="AB79" s="52">
        <f t="shared" si="44"/>
        <v>2.75466893039049</v>
      </c>
      <c r="AC79" s="22">
        <v>0.636363636363636</v>
      </c>
      <c r="AD79" s="21">
        <f t="shared" si="45"/>
        <v>4.83636363636363</v>
      </c>
      <c r="AE79" s="21">
        <f t="shared" si="46"/>
        <v>149.927272727273</v>
      </c>
      <c r="AF79" s="21">
        <f t="shared" si="47"/>
        <v>4342.64345454545</v>
      </c>
      <c r="AG79" s="7">
        <v>162</v>
      </c>
      <c r="AH79" s="25">
        <f t="shared" si="48"/>
        <v>3128.22</v>
      </c>
      <c r="AI79" s="53">
        <f t="shared" si="49"/>
        <v>1.08052389037109</v>
      </c>
    </row>
    <row r="80" ht="15" customHeight="1" spans="1:35">
      <c r="A80" s="7" t="s">
        <v>779</v>
      </c>
      <c r="B80" s="7" t="s">
        <v>780</v>
      </c>
      <c r="C80" s="7" t="s">
        <v>34</v>
      </c>
      <c r="D80" s="7" t="s">
        <v>35</v>
      </c>
      <c r="E80" s="7" t="s">
        <v>36</v>
      </c>
      <c r="F80" s="48">
        <v>119.0776</v>
      </c>
      <c r="G80" s="48">
        <v>103</v>
      </c>
      <c r="H80" s="48">
        <v>1</v>
      </c>
      <c r="I80" s="48">
        <v>103</v>
      </c>
      <c r="J80" s="48">
        <v>22</v>
      </c>
      <c r="K80" s="7">
        <v>2620</v>
      </c>
      <c r="L80" s="21">
        <f t="shared" si="30"/>
        <v>1.06</v>
      </c>
      <c r="M80" s="21">
        <f t="shared" si="31"/>
        <v>63.86</v>
      </c>
      <c r="N80" s="21">
        <f t="shared" si="32"/>
        <v>7604.295536</v>
      </c>
      <c r="O80" s="21">
        <f t="shared" si="33"/>
        <v>0.144444444444444</v>
      </c>
      <c r="P80" s="21">
        <f t="shared" si="34"/>
        <v>35.4777777777778</v>
      </c>
      <c r="Q80" s="21">
        <f t="shared" si="35"/>
        <v>6336.91294666667</v>
      </c>
      <c r="R80" s="21">
        <f t="shared" si="36"/>
        <v>35.4777777777778</v>
      </c>
      <c r="S80" s="21">
        <f t="shared" si="37"/>
        <v>1.14444444444444</v>
      </c>
      <c r="T80" s="21">
        <f t="shared" si="38"/>
        <v>0.144444444444444</v>
      </c>
      <c r="U80" s="21">
        <f t="shared" si="39"/>
        <v>6336.91294666667</v>
      </c>
      <c r="V80" s="22">
        <v>0</v>
      </c>
      <c r="W80" s="21">
        <f t="shared" si="40"/>
        <v>0</v>
      </c>
      <c r="X80" s="21">
        <f t="shared" si="41"/>
        <v>0</v>
      </c>
      <c r="Y80" s="21">
        <f t="shared" si="42"/>
        <v>0</v>
      </c>
      <c r="Z80" s="50">
        <v>88</v>
      </c>
      <c r="AA80" s="51">
        <f t="shared" si="43"/>
        <v>10478.8288</v>
      </c>
      <c r="AB80" s="52" t="e">
        <f t="shared" si="44"/>
        <v>#DIV/0!</v>
      </c>
      <c r="AC80" s="22">
        <v>0</v>
      </c>
      <c r="AD80" s="21">
        <f t="shared" si="45"/>
        <v>0</v>
      </c>
      <c r="AE80" s="21">
        <f t="shared" si="46"/>
        <v>0</v>
      </c>
      <c r="AF80" s="21">
        <f t="shared" si="47"/>
        <v>0</v>
      </c>
      <c r="AG80" s="7">
        <v>23</v>
      </c>
      <c r="AH80" s="25">
        <f t="shared" si="48"/>
        <v>2738.7848</v>
      </c>
      <c r="AI80" s="53" t="e">
        <f t="shared" si="49"/>
        <v>#DIV/0!</v>
      </c>
    </row>
    <row r="81" ht="15" customHeight="1" spans="1:35">
      <c r="A81" s="7" t="s">
        <v>629</v>
      </c>
      <c r="B81" s="7" t="s">
        <v>711</v>
      </c>
      <c r="C81" s="7" t="s">
        <v>34</v>
      </c>
      <c r="D81" s="7" t="s">
        <v>51</v>
      </c>
      <c r="E81" s="7" t="s">
        <v>712</v>
      </c>
      <c r="F81" s="48">
        <v>15.86</v>
      </c>
      <c r="G81" s="48">
        <v>763</v>
      </c>
      <c r="H81" s="48">
        <v>13</v>
      </c>
      <c r="I81" s="48">
        <v>58</v>
      </c>
      <c r="J81" s="48">
        <v>75</v>
      </c>
      <c r="K81" s="7">
        <v>1190</v>
      </c>
      <c r="L81" s="21">
        <f t="shared" si="30"/>
        <v>2.26</v>
      </c>
      <c r="M81" s="21">
        <f t="shared" si="31"/>
        <v>473.06</v>
      </c>
      <c r="N81" s="21">
        <f t="shared" si="32"/>
        <v>7502.7316</v>
      </c>
      <c r="O81" s="21">
        <f t="shared" si="33"/>
        <v>-4.52222222222222</v>
      </c>
      <c r="P81" s="21">
        <f t="shared" si="34"/>
        <v>262.811111111111</v>
      </c>
      <c r="Q81" s="21">
        <f t="shared" si="35"/>
        <v>6252.27633333333</v>
      </c>
      <c r="R81" s="21">
        <f t="shared" si="36"/>
        <v>262.811111111111</v>
      </c>
      <c r="S81" s="21">
        <f t="shared" si="37"/>
        <v>8.47777777777778</v>
      </c>
      <c r="T81" s="21">
        <f t="shared" si="38"/>
        <v>-4.52222222222222</v>
      </c>
      <c r="U81" s="21">
        <f t="shared" si="39"/>
        <v>6252.27633333333</v>
      </c>
      <c r="V81" s="22">
        <v>1</v>
      </c>
      <c r="W81" s="21">
        <f t="shared" si="40"/>
        <v>8.47777777777778</v>
      </c>
      <c r="X81" s="21">
        <f t="shared" si="41"/>
        <v>262.811111111111</v>
      </c>
      <c r="Y81" s="21">
        <f t="shared" si="42"/>
        <v>6252.27633333333</v>
      </c>
      <c r="Z81" s="50">
        <v>360</v>
      </c>
      <c r="AA81" s="51">
        <f t="shared" si="43"/>
        <v>5709.6</v>
      </c>
      <c r="AB81" s="52">
        <f t="shared" si="44"/>
        <v>1.36980509871898</v>
      </c>
      <c r="AC81" s="22">
        <v>0</v>
      </c>
      <c r="AD81" s="21">
        <f t="shared" si="45"/>
        <v>0</v>
      </c>
      <c r="AE81" s="21">
        <f t="shared" si="46"/>
        <v>0</v>
      </c>
      <c r="AF81" s="21">
        <f t="shared" si="47"/>
        <v>0</v>
      </c>
      <c r="AG81" s="7">
        <v>145</v>
      </c>
      <c r="AH81" s="25">
        <f t="shared" si="48"/>
        <v>2299.7</v>
      </c>
      <c r="AI81" s="53" t="e">
        <f t="shared" si="49"/>
        <v>#DIV/0!</v>
      </c>
    </row>
    <row r="82" ht="15" customHeight="1" spans="1:35">
      <c r="A82" s="7" t="s">
        <v>595</v>
      </c>
      <c r="B82" s="7" t="s">
        <v>700</v>
      </c>
      <c r="C82" s="7" t="s">
        <v>34</v>
      </c>
      <c r="D82" s="7" t="s">
        <v>35</v>
      </c>
      <c r="E82" s="7" t="s">
        <v>106</v>
      </c>
      <c r="F82" s="48">
        <v>22.02</v>
      </c>
      <c r="G82" s="48">
        <v>549</v>
      </c>
      <c r="H82" s="48">
        <v>3</v>
      </c>
      <c r="I82" s="48">
        <v>183</v>
      </c>
      <c r="J82" s="48">
        <v>399</v>
      </c>
      <c r="K82" s="7">
        <v>11858</v>
      </c>
      <c r="L82" s="21">
        <f t="shared" si="30"/>
        <v>7.98</v>
      </c>
      <c r="M82" s="21">
        <f t="shared" si="31"/>
        <v>340.38</v>
      </c>
      <c r="N82" s="21">
        <f t="shared" si="32"/>
        <v>7495.1676</v>
      </c>
      <c r="O82" s="21">
        <f t="shared" si="33"/>
        <v>3.1</v>
      </c>
      <c r="P82" s="21">
        <f t="shared" si="34"/>
        <v>189.1</v>
      </c>
      <c r="Q82" s="21">
        <f t="shared" si="35"/>
        <v>6245.973</v>
      </c>
      <c r="R82" s="21">
        <f t="shared" si="36"/>
        <v>189.1</v>
      </c>
      <c r="S82" s="21">
        <f t="shared" si="37"/>
        <v>6.1</v>
      </c>
      <c r="T82" s="21">
        <f t="shared" si="38"/>
        <v>3.1</v>
      </c>
      <c r="U82" s="21">
        <f t="shared" si="39"/>
        <v>6245.973</v>
      </c>
      <c r="V82" s="22">
        <v>0</v>
      </c>
      <c r="W82" s="21">
        <f t="shared" si="40"/>
        <v>0</v>
      </c>
      <c r="X82" s="21">
        <f t="shared" si="41"/>
        <v>0</v>
      </c>
      <c r="Y82" s="21">
        <f t="shared" si="42"/>
        <v>0</v>
      </c>
      <c r="Z82" s="50">
        <v>75</v>
      </c>
      <c r="AA82" s="51">
        <f t="shared" si="43"/>
        <v>1651.5</v>
      </c>
      <c r="AB82" s="52" t="e">
        <f t="shared" si="44"/>
        <v>#DIV/0!</v>
      </c>
      <c r="AC82" s="22">
        <v>1</v>
      </c>
      <c r="AD82" s="21">
        <f t="shared" si="45"/>
        <v>6.1</v>
      </c>
      <c r="AE82" s="21">
        <f t="shared" si="46"/>
        <v>189.1</v>
      </c>
      <c r="AF82" s="21">
        <f t="shared" si="47"/>
        <v>6245.973</v>
      </c>
      <c r="AG82" s="7">
        <v>36</v>
      </c>
      <c r="AH82" s="25">
        <f t="shared" si="48"/>
        <v>792.72</v>
      </c>
      <c r="AI82" s="53">
        <f t="shared" si="49"/>
        <v>0.190375462718139</v>
      </c>
    </row>
    <row r="83" ht="15" customHeight="1" spans="1:35">
      <c r="A83" s="7" t="s">
        <v>178</v>
      </c>
      <c r="B83" s="7" t="s">
        <v>179</v>
      </c>
      <c r="C83" s="7" t="s">
        <v>34</v>
      </c>
      <c r="D83" s="7" t="s">
        <v>51</v>
      </c>
      <c r="E83" s="7" t="s">
        <v>180</v>
      </c>
      <c r="F83" s="48">
        <v>152.93</v>
      </c>
      <c r="G83" s="48">
        <v>78</v>
      </c>
      <c r="H83" s="55"/>
      <c r="I83" s="55"/>
      <c r="J83" s="48">
        <v>75</v>
      </c>
      <c r="K83" s="7">
        <v>16975</v>
      </c>
      <c r="L83" s="21">
        <f t="shared" si="30"/>
        <v>1.56</v>
      </c>
      <c r="M83" s="21">
        <f t="shared" si="31"/>
        <v>48.36</v>
      </c>
      <c r="N83" s="21">
        <f t="shared" si="32"/>
        <v>7395.6948</v>
      </c>
      <c r="O83" s="21">
        <f t="shared" si="33"/>
        <v>0.866666666666667</v>
      </c>
      <c r="P83" s="21">
        <f t="shared" si="34"/>
        <v>26.8666666666667</v>
      </c>
      <c r="Q83" s="21">
        <f t="shared" si="35"/>
        <v>6163.079</v>
      </c>
      <c r="R83" s="21">
        <f t="shared" si="36"/>
        <v>26.8666666666667</v>
      </c>
      <c r="S83" s="21">
        <f t="shared" si="37"/>
        <v>0.866666666666667</v>
      </c>
      <c r="T83" s="21">
        <f t="shared" si="38"/>
        <v>0.866666666666667</v>
      </c>
      <c r="U83" s="21">
        <f t="shared" si="39"/>
        <v>6163.079</v>
      </c>
      <c r="V83" s="22">
        <v>0</v>
      </c>
      <c r="W83" s="21">
        <f t="shared" si="40"/>
        <v>0</v>
      </c>
      <c r="X83" s="21">
        <f t="shared" si="41"/>
        <v>0</v>
      </c>
      <c r="Y83" s="21">
        <f t="shared" si="42"/>
        <v>0</v>
      </c>
      <c r="Z83" s="50">
        <v>0</v>
      </c>
      <c r="AA83" s="51">
        <f t="shared" si="43"/>
        <v>0</v>
      </c>
      <c r="AB83" s="52" t="e">
        <f t="shared" si="44"/>
        <v>#DIV/0!</v>
      </c>
      <c r="AC83" s="22">
        <v>0</v>
      </c>
      <c r="AD83" s="21">
        <f t="shared" si="45"/>
        <v>0</v>
      </c>
      <c r="AE83" s="21">
        <f t="shared" si="46"/>
        <v>0</v>
      </c>
      <c r="AF83" s="21">
        <f t="shared" si="47"/>
        <v>0</v>
      </c>
      <c r="AG83" s="7">
        <v>4</v>
      </c>
      <c r="AH83" s="25">
        <f t="shared" si="48"/>
        <v>611.72</v>
      </c>
      <c r="AI83" s="53" t="e">
        <f t="shared" si="49"/>
        <v>#DIV/0!</v>
      </c>
    </row>
    <row r="84" ht="15" customHeight="1" spans="1:35">
      <c r="A84" s="7" t="s">
        <v>378</v>
      </c>
      <c r="B84" s="7" t="s">
        <v>379</v>
      </c>
      <c r="C84" s="7" t="s">
        <v>34</v>
      </c>
      <c r="D84" s="7" t="s">
        <v>51</v>
      </c>
      <c r="E84" s="7" t="s">
        <v>380</v>
      </c>
      <c r="F84" s="48">
        <v>14.03</v>
      </c>
      <c r="G84" s="48">
        <v>830</v>
      </c>
      <c r="H84" s="48">
        <v>4</v>
      </c>
      <c r="I84" s="48">
        <v>207</v>
      </c>
      <c r="J84" s="48">
        <v>610</v>
      </c>
      <c r="K84" s="7">
        <v>11603</v>
      </c>
      <c r="L84" s="21">
        <f t="shared" si="30"/>
        <v>12.6</v>
      </c>
      <c r="M84" s="21">
        <f t="shared" si="31"/>
        <v>514.6</v>
      </c>
      <c r="N84" s="21">
        <f t="shared" si="32"/>
        <v>7219.838</v>
      </c>
      <c r="O84" s="21">
        <f t="shared" si="33"/>
        <v>5.22222222222222</v>
      </c>
      <c r="P84" s="21">
        <f t="shared" si="34"/>
        <v>285.888888888889</v>
      </c>
      <c r="Q84" s="21">
        <f t="shared" si="35"/>
        <v>6016.53166666667</v>
      </c>
      <c r="R84" s="21">
        <f t="shared" si="36"/>
        <v>285.888888888889</v>
      </c>
      <c r="S84" s="21">
        <f t="shared" si="37"/>
        <v>9.22222222222222</v>
      </c>
      <c r="T84" s="21">
        <f t="shared" si="38"/>
        <v>5.22222222222222</v>
      </c>
      <c r="U84" s="21">
        <f t="shared" si="39"/>
        <v>6016.53166666667</v>
      </c>
      <c r="V84" s="22">
        <v>0</v>
      </c>
      <c r="W84" s="21">
        <f t="shared" si="40"/>
        <v>0</v>
      </c>
      <c r="X84" s="21">
        <f t="shared" si="41"/>
        <v>0</v>
      </c>
      <c r="Y84" s="21">
        <f t="shared" si="42"/>
        <v>0</v>
      </c>
      <c r="Z84" s="50">
        <v>77</v>
      </c>
      <c r="AA84" s="51">
        <f t="shared" si="43"/>
        <v>1080.31</v>
      </c>
      <c r="AB84" s="52" t="e">
        <f t="shared" si="44"/>
        <v>#DIV/0!</v>
      </c>
      <c r="AC84" s="22">
        <v>0</v>
      </c>
      <c r="AD84" s="21">
        <f t="shared" si="45"/>
        <v>0</v>
      </c>
      <c r="AE84" s="21">
        <f t="shared" si="46"/>
        <v>0</v>
      </c>
      <c r="AF84" s="21">
        <f t="shared" si="47"/>
        <v>0</v>
      </c>
      <c r="AG84" s="7">
        <v>172</v>
      </c>
      <c r="AH84" s="25">
        <f t="shared" si="48"/>
        <v>2413.16</v>
      </c>
      <c r="AI84" s="53" t="e">
        <f t="shared" si="49"/>
        <v>#DIV/0!</v>
      </c>
    </row>
    <row r="85" ht="15" customHeight="1" spans="1:35">
      <c r="A85" s="7" t="s">
        <v>654</v>
      </c>
      <c r="B85" s="7" t="s">
        <v>723</v>
      </c>
      <c r="C85" s="7" t="s">
        <v>34</v>
      </c>
      <c r="D85" s="7" t="s">
        <v>35</v>
      </c>
      <c r="E85" s="7" t="s">
        <v>492</v>
      </c>
      <c r="F85" s="48">
        <v>120.46</v>
      </c>
      <c r="G85" s="48">
        <v>91</v>
      </c>
      <c r="H85" s="55"/>
      <c r="I85" s="55"/>
      <c r="J85" s="48">
        <v>58</v>
      </c>
      <c r="K85" s="7">
        <v>8854</v>
      </c>
      <c r="L85" s="21">
        <f t="shared" si="30"/>
        <v>1.82</v>
      </c>
      <c r="M85" s="21">
        <f t="shared" si="31"/>
        <v>56.42</v>
      </c>
      <c r="N85" s="21">
        <f t="shared" si="32"/>
        <v>6796.3532</v>
      </c>
      <c r="O85" s="21">
        <f t="shared" si="33"/>
        <v>1.01111111111111</v>
      </c>
      <c r="P85" s="21">
        <f t="shared" si="34"/>
        <v>31.3444444444444</v>
      </c>
      <c r="Q85" s="21">
        <f t="shared" si="35"/>
        <v>5663.62766666667</v>
      </c>
      <c r="R85" s="21">
        <f t="shared" si="36"/>
        <v>31.3444444444444</v>
      </c>
      <c r="S85" s="21">
        <f t="shared" si="37"/>
        <v>1.01111111111111</v>
      </c>
      <c r="T85" s="21">
        <f t="shared" si="38"/>
        <v>1.01111111111111</v>
      </c>
      <c r="U85" s="21">
        <f t="shared" si="39"/>
        <v>5663.62766666667</v>
      </c>
      <c r="V85" s="22">
        <v>0.5</v>
      </c>
      <c r="W85" s="21">
        <f t="shared" si="40"/>
        <v>0.505555555555556</v>
      </c>
      <c r="X85" s="21">
        <f t="shared" si="41"/>
        <v>15.6722222222222</v>
      </c>
      <c r="Y85" s="21">
        <f t="shared" si="42"/>
        <v>2831.81383333333</v>
      </c>
      <c r="Z85" s="50">
        <v>2</v>
      </c>
      <c r="AA85" s="51">
        <f t="shared" si="43"/>
        <v>240.92</v>
      </c>
      <c r="AB85" s="52">
        <f t="shared" si="44"/>
        <v>0.127614321162708</v>
      </c>
      <c r="AC85" s="22">
        <v>0.5</v>
      </c>
      <c r="AD85" s="21">
        <f t="shared" si="45"/>
        <v>0.505555555555556</v>
      </c>
      <c r="AE85" s="21">
        <f t="shared" si="46"/>
        <v>15.6722222222222</v>
      </c>
      <c r="AF85" s="21">
        <f t="shared" si="47"/>
        <v>2831.81383333333</v>
      </c>
      <c r="AG85" s="7">
        <v>30</v>
      </c>
      <c r="AH85" s="25">
        <f t="shared" si="48"/>
        <v>3613.8</v>
      </c>
      <c r="AI85" s="53">
        <f t="shared" si="49"/>
        <v>1.91421481744063</v>
      </c>
    </row>
    <row r="86" ht="15" customHeight="1" spans="1:35">
      <c r="A86" s="7" t="s">
        <v>336</v>
      </c>
      <c r="B86" s="7" t="s">
        <v>337</v>
      </c>
      <c r="C86" s="7" t="s">
        <v>34</v>
      </c>
      <c r="D86" s="7" t="s">
        <v>35</v>
      </c>
      <c r="E86" s="7" t="s">
        <v>338</v>
      </c>
      <c r="F86" s="48">
        <v>22.4909</v>
      </c>
      <c r="G86" s="48">
        <v>470</v>
      </c>
      <c r="H86" s="48">
        <v>1</v>
      </c>
      <c r="I86" s="48">
        <v>470</v>
      </c>
      <c r="J86" s="48">
        <v>415</v>
      </c>
      <c r="K86" s="7">
        <v>13506</v>
      </c>
      <c r="L86" s="21">
        <f t="shared" si="30"/>
        <v>8.4</v>
      </c>
      <c r="M86" s="21">
        <f t="shared" si="31"/>
        <v>291.4</v>
      </c>
      <c r="N86" s="21">
        <f t="shared" si="32"/>
        <v>6553.84826</v>
      </c>
      <c r="O86" s="21">
        <f t="shared" si="33"/>
        <v>4.22222222222222</v>
      </c>
      <c r="P86" s="21">
        <f t="shared" si="34"/>
        <v>161.888888888889</v>
      </c>
      <c r="Q86" s="21">
        <f t="shared" si="35"/>
        <v>5461.54021666667</v>
      </c>
      <c r="R86" s="21">
        <f t="shared" si="36"/>
        <v>161.888888888889</v>
      </c>
      <c r="S86" s="21">
        <f t="shared" si="37"/>
        <v>5.22222222222222</v>
      </c>
      <c r="T86" s="21">
        <f t="shared" si="38"/>
        <v>4.22222222222222</v>
      </c>
      <c r="U86" s="21">
        <f t="shared" si="39"/>
        <v>5461.54021666667</v>
      </c>
      <c r="V86" s="22">
        <v>0</v>
      </c>
      <c r="W86" s="21">
        <f t="shared" si="40"/>
        <v>0</v>
      </c>
      <c r="X86" s="21">
        <f t="shared" si="41"/>
        <v>0</v>
      </c>
      <c r="Y86" s="21">
        <f t="shared" si="42"/>
        <v>0</v>
      </c>
      <c r="Z86" s="50">
        <v>44</v>
      </c>
      <c r="AA86" s="51">
        <f t="shared" si="43"/>
        <v>989.5996</v>
      </c>
      <c r="AB86" s="52" t="e">
        <f t="shared" si="44"/>
        <v>#DIV/0!</v>
      </c>
      <c r="AC86" s="22">
        <v>1</v>
      </c>
      <c r="AD86" s="21">
        <f t="shared" si="45"/>
        <v>5.22222222222222</v>
      </c>
      <c r="AE86" s="21">
        <f t="shared" si="46"/>
        <v>161.888888888889</v>
      </c>
      <c r="AF86" s="21">
        <f t="shared" si="47"/>
        <v>5461.54021666667</v>
      </c>
      <c r="AG86" s="7">
        <v>15</v>
      </c>
      <c r="AH86" s="25">
        <f t="shared" si="48"/>
        <v>337.3635</v>
      </c>
      <c r="AI86" s="53">
        <f t="shared" si="49"/>
        <v>0.092656142759094</v>
      </c>
    </row>
    <row r="87" ht="15" customHeight="1" spans="1:35">
      <c r="A87" s="7" t="s">
        <v>314</v>
      </c>
      <c r="B87" s="7" t="s">
        <v>315</v>
      </c>
      <c r="C87" s="7" t="s">
        <v>34</v>
      </c>
      <c r="D87" s="7" t="s">
        <v>51</v>
      </c>
      <c r="E87" s="7" t="s">
        <v>316</v>
      </c>
      <c r="F87" s="48">
        <v>102.36</v>
      </c>
      <c r="G87" s="48">
        <v>102</v>
      </c>
      <c r="H87" s="55"/>
      <c r="I87" s="55"/>
      <c r="J87" s="48">
        <v>94</v>
      </c>
      <c r="K87" s="7">
        <v>14075</v>
      </c>
      <c r="L87" s="21">
        <f t="shared" si="30"/>
        <v>2.04</v>
      </c>
      <c r="M87" s="21">
        <f t="shared" si="31"/>
        <v>63.24</v>
      </c>
      <c r="N87" s="21">
        <f t="shared" si="32"/>
        <v>6473.2464</v>
      </c>
      <c r="O87" s="21">
        <f t="shared" si="33"/>
        <v>1.13333333333333</v>
      </c>
      <c r="P87" s="21">
        <f t="shared" si="34"/>
        <v>35.1333333333333</v>
      </c>
      <c r="Q87" s="21">
        <f t="shared" si="35"/>
        <v>5394.372</v>
      </c>
      <c r="R87" s="21">
        <f t="shared" si="36"/>
        <v>35.1333333333333</v>
      </c>
      <c r="S87" s="21">
        <f t="shared" si="37"/>
        <v>1.13333333333333</v>
      </c>
      <c r="T87" s="21">
        <f t="shared" si="38"/>
        <v>1.13333333333333</v>
      </c>
      <c r="U87" s="21">
        <f t="shared" si="39"/>
        <v>5394.372</v>
      </c>
      <c r="V87" s="22">
        <v>0</v>
      </c>
      <c r="W87" s="21">
        <f t="shared" si="40"/>
        <v>0</v>
      </c>
      <c r="X87" s="21">
        <f t="shared" si="41"/>
        <v>0</v>
      </c>
      <c r="Y87" s="21">
        <f t="shared" si="42"/>
        <v>0</v>
      </c>
      <c r="Z87" s="50">
        <v>2</v>
      </c>
      <c r="AA87" s="51">
        <f t="shared" si="43"/>
        <v>204.72</v>
      </c>
      <c r="AB87" s="52" t="e">
        <f t="shared" si="44"/>
        <v>#DIV/0!</v>
      </c>
      <c r="AC87" s="22">
        <v>0</v>
      </c>
      <c r="AD87" s="21">
        <f t="shared" si="45"/>
        <v>0</v>
      </c>
      <c r="AE87" s="21">
        <f t="shared" si="46"/>
        <v>0</v>
      </c>
      <c r="AF87" s="21">
        <f t="shared" si="47"/>
        <v>0</v>
      </c>
      <c r="AG87" s="7">
        <v>23</v>
      </c>
      <c r="AH87" s="25">
        <f t="shared" si="48"/>
        <v>2354.28</v>
      </c>
      <c r="AI87" s="53" t="e">
        <f t="shared" si="49"/>
        <v>#DIV/0!</v>
      </c>
    </row>
    <row r="88" ht="15" customHeight="1" spans="1:35">
      <c r="A88" s="7" t="s">
        <v>230</v>
      </c>
      <c r="B88" s="7" t="s">
        <v>231</v>
      </c>
      <c r="C88" s="7" t="s">
        <v>34</v>
      </c>
      <c r="D88" s="7" t="s">
        <v>35</v>
      </c>
      <c r="E88" s="7" t="s">
        <v>156</v>
      </c>
      <c r="F88" s="48">
        <v>124.16</v>
      </c>
      <c r="G88" s="48">
        <v>84</v>
      </c>
      <c r="H88" s="55"/>
      <c r="I88" s="55"/>
      <c r="J88" s="48">
        <v>63</v>
      </c>
      <c r="K88" s="7">
        <v>10678</v>
      </c>
      <c r="L88" s="21">
        <f t="shared" si="30"/>
        <v>1.68</v>
      </c>
      <c r="M88" s="21">
        <f t="shared" si="31"/>
        <v>52.08</v>
      </c>
      <c r="N88" s="21">
        <f t="shared" si="32"/>
        <v>6466.2528</v>
      </c>
      <c r="O88" s="21">
        <f t="shared" si="33"/>
        <v>0.933333333333333</v>
      </c>
      <c r="P88" s="21">
        <f t="shared" si="34"/>
        <v>28.9333333333333</v>
      </c>
      <c r="Q88" s="21">
        <f t="shared" si="35"/>
        <v>5388.544</v>
      </c>
      <c r="R88" s="21">
        <f t="shared" si="36"/>
        <v>28.9333333333333</v>
      </c>
      <c r="S88" s="21">
        <f t="shared" si="37"/>
        <v>0.933333333333333</v>
      </c>
      <c r="T88" s="21">
        <f t="shared" si="38"/>
        <v>0.933333333333333</v>
      </c>
      <c r="U88" s="21">
        <f t="shared" si="39"/>
        <v>5388.544</v>
      </c>
      <c r="V88" s="22">
        <v>0</v>
      </c>
      <c r="W88" s="21">
        <f t="shared" si="40"/>
        <v>0</v>
      </c>
      <c r="X88" s="21">
        <f t="shared" si="41"/>
        <v>0</v>
      </c>
      <c r="Y88" s="21">
        <f t="shared" si="42"/>
        <v>0</v>
      </c>
      <c r="Z88" s="50">
        <v>7</v>
      </c>
      <c r="AA88" s="51">
        <f t="shared" si="43"/>
        <v>869.12</v>
      </c>
      <c r="AB88" s="52" t="e">
        <f t="shared" si="44"/>
        <v>#DIV/0!</v>
      </c>
      <c r="AC88" s="22">
        <v>1</v>
      </c>
      <c r="AD88" s="21">
        <f t="shared" si="45"/>
        <v>0.933333333333333</v>
      </c>
      <c r="AE88" s="21">
        <f t="shared" si="46"/>
        <v>28.9333333333333</v>
      </c>
      <c r="AF88" s="21">
        <f t="shared" si="47"/>
        <v>5388.544</v>
      </c>
      <c r="AG88" s="7">
        <v>3</v>
      </c>
      <c r="AH88" s="25">
        <f t="shared" si="48"/>
        <v>372.48</v>
      </c>
      <c r="AI88" s="53">
        <f t="shared" si="49"/>
        <v>0.103686635944701</v>
      </c>
    </row>
    <row r="89" ht="15" customHeight="1" spans="1:35">
      <c r="A89" s="7" t="s">
        <v>627</v>
      </c>
      <c r="B89" s="7" t="s">
        <v>677</v>
      </c>
      <c r="C89" s="7" t="s">
        <v>34</v>
      </c>
      <c r="D89" s="7" t="s">
        <v>35</v>
      </c>
      <c r="E89" s="7" t="s">
        <v>525</v>
      </c>
      <c r="F89" s="48">
        <v>57.88</v>
      </c>
      <c r="G89" s="48">
        <v>179</v>
      </c>
      <c r="H89" s="48">
        <v>1</v>
      </c>
      <c r="I89" s="48">
        <v>179</v>
      </c>
      <c r="J89" s="48">
        <v>129</v>
      </c>
      <c r="K89" s="7">
        <v>10042</v>
      </c>
      <c r="L89" s="21">
        <f t="shared" si="30"/>
        <v>2.58</v>
      </c>
      <c r="M89" s="21">
        <f t="shared" si="31"/>
        <v>110.98</v>
      </c>
      <c r="N89" s="21">
        <f t="shared" si="32"/>
        <v>6423.5224</v>
      </c>
      <c r="O89" s="21">
        <f t="shared" si="33"/>
        <v>0.988888888888889</v>
      </c>
      <c r="P89" s="21">
        <f t="shared" si="34"/>
        <v>61.6555555555556</v>
      </c>
      <c r="Q89" s="21">
        <f t="shared" si="35"/>
        <v>5352.93533333333</v>
      </c>
      <c r="R89" s="21">
        <f t="shared" si="36"/>
        <v>61.6555555555556</v>
      </c>
      <c r="S89" s="21">
        <f t="shared" si="37"/>
        <v>1.98888888888889</v>
      </c>
      <c r="T89" s="21">
        <f t="shared" si="38"/>
        <v>0.988888888888889</v>
      </c>
      <c r="U89" s="21">
        <f t="shared" si="39"/>
        <v>5352.93533333333</v>
      </c>
      <c r="V89" s="22">
        <v>0</v>
      </c>
      <c r="W89" s="21">
        <f t="shared" si="40"/>
        <v>0</v>
      </c>
      <c r="X89" s="21">
        <f t="shared" si="41"/>
        <v>0</v>
      </c>
      <c r="Y89" s="21">
        <f t="shared" si="42"/>
        <v>0</v>
      </c>
      <c r="Z89" s="50">
        <v>35</v>
      </c>
      <c r="AA89" s="51">
        <f t="shared" si="43"/>
        <v>2025.8</v>
      </c>
      <c r="AB89" s="52" t="e">
        <f t="shared" si="44"/>
        <v>#DIV/0!</v>
      </c>
      <c r="AC89" s="22">
        <v>1</v>
      </c>
      <c r="AD89" s="21">
        <f t="shared" si="45"/>
        <v>1.98888888888889</v>
      </c>
      <c r="AE89" s="21">
        <f t="shared" si="46"/>
        <v>61.6555555555556</v>
      </c>
      <c r="AF89" s="21">
        <f t="shared" si="47"/>
        <v>5352.93533333333</v>
      </c>
      <c r="AG89" s="7">
        <v>8</v>
      </c>
      <c r="AH89" s="25">
        <f t="shared" si="48"/>
        <v>463.04</v>
      </c>
      <c r="AI89" s="53">
        <f t="shared" si="49"/>
        <v>0.129753108668228</v>
      </c>
    </row>
    <row r="90" ht="15" customHeight="1" spans="1:35">
      <c r="A90" s="7" t="s">
        <v>781</v>
      </c>
      <c r="B90" s="7" t="s">
        <v>675</v>
      </c>
      <c r="C90" s="7" t="s">
        <v>34</v>
      </c>
      <c r="D90" s="7" t="s">
        <v>51</v>
      </c>
      <c r="E90" s="7" t="s">
        <v>165</v>
      </c>
      <c r="F90" s="48">
        <v>58.17</v>
      </c>
      <c r="G90" s="48">
        <v>167</v>
      </c>
      <c r="H90" s="48">
        <v>2</v>
      </c>
      <c r="I90" s="48">
        <v>83</v>
      </c>
      <c r="J90" s="48">
        <v>37</v>
      </c>
      <c r="K90" s="7">
        <v>2152</v>
      </c>
      <c r="L90" s="21">
        <f t="shared" si="30"/>
        <v>1.34</v>
      </c>
      <c r="M90" s="21">
        <f t="shared" si="31"/>
        <v>103.54</v>
      </c>
      <c r="N90" s="21">
        <f t="shared" si="32"/>
        <v>6022.9218</v>
      </c>
      <c r="O90" s="21">
        <f t="shared" si="33"/>
        <v>-0.144444444444444</v>
      </c>
      <c r="P90" s="21">
        <f t="shared" si="34"/>
        <v>57.5222222222222</v>
      </c>
      <c r="Q90" s="21">
        <f t="shared" si="35"/>
        <v>5019.1015</v>
      </c>
      <c r="R90" s="21">
        <f t="shared" si="36"/>
        <v>57.5222222222222</v>
      </c>
      <c r="S90" s="21">
        <f t="shared" si="37"/>
        <v>1.85555555555556</v>
      </c>
      <c r="T90" s="21">
        <f t="shared" si="38"/>
        <v>-0.144444444444444</v>
      </c>
      <c r="U90" s="21">
        <f t="shared" si="39"/>
        <v>5019.1015</v>
      </c>
      <c r="V90" s="22">
        <v>0.367875647668394</v>
      </c>
      <c r="W90" s="21">
        <f t="shared" si="40"/>
        <v>0.682613701784687</v>
      </c>
      <c r="X90" s="21">
        <f t="shared" si="41"/>
        <v>21.1610247553253</v>
      </c>
      <c r="Y90" s="21">
        <f t="shared" si="42"/>
        <v>1846.40521502591</v>
      </c>
      <c r="Z90" s="50">
        <v>54</v>
      </c>
      <c r="AA90" s="51">
        <f t="shared" si="43"/>
        <v>3141.18</v>
      </c>
      <c r="AB90" s="52">
        <f t="shared" si="44"/>
        <v>2.55186129331523</v>
      </c>
      <c r="AC90" s="22">
        <v>0.632124352331606</v>
      </c>
      <c r="AD90" s="21">
        <f t="shared" si="45"/>
        <v>1.17294185377087</v>
      </c>
      <c r="AE90" s="21">
        <f t="shared" si="46"/>
        <v>36.3611974668969</v>
      </c>
      <c r="AF90" s="21">
        <f t="shared" si="47"/>
        <v>3172.69628497409</v>
      </c>
      <c r="AG90" s="7">
        <v>107</v>
      </c>
      <c r="AH90" s="25">
        <f t="shared" si="48"/>
        <v>6224.19</v>
      </c>
      <c r="AI90" s="53">
        <f t="shared" si="49"/>
        <v>2.94269736571279</v>
      </c>
    </row>
    <row r="91" ht="15" customHeight="1" spans="1:35">
      <c r="A91" s="7" t="s">
        <v>406</v>
      </c>
      <c r="B91" s="7" t="s">
        <v>407</v>
      </c>
      <c r="C91" s="7" t="s">
        <v>34</v>
      </c>
      <c r="D91" s="7" t="s">
        <v>51</v>
      </c>
      <c r="E91" s="7" t="s">
        <v>408</v>
      </c>
      <c r="F91" s="48">
        <v>16.57</v>
      </c>
      <c r="G91" s="48">
        <v>578</v>
      </c>
      <c r="H91" s="48">
        <v>7</v>
      </c>
      <c r="I91" s="48">
        <v>82</v>
      </c>
      <c r="J91" s="48">
        <v>192</v>
      </c>
      <c r="K91" s="7">
        <v>3181</v>
      </c>
      <c r="L91" s="21">
        <f t="shared" si="30"/>
        <v>4.56</v>
      </c>
      <c r="M91" s="21">
        <f t="shared" si="31"/>
        <v>358.36</v>
      </c>
      <c r="N91" s="21">
        <f t="shared" si="32"/>
        <v>5938.0252</v>
      </c>
      <c r="O91" s="21">
        <f t="shared" si="33"/>
        <v>-0.577777777777778</v>
      </c>
      <c r="P91" s="21">
        <f t="shared" si="34"/>
        <v>199.088888888889</v>
      </c>
      <c r="Q91" s="21">
        <f t="shared" si="35"/>
        <v>4948.35433333333</v>
      </c>
      <c r="R91" s="21">
        <f t="shared" si="36"/>
        <v>199.088888888889</v>
      </c>
      <c r="S91" s="21">
        <f t="shared" si="37"/>
        <v>6.42222222222222</v>
      </c>
      <c r="T91" s="21">
        <f t="shared" si="38"/>
        <v>-0.577777777777778</v>
      </c>
      <c r="U91" s="21">
        <f t="shared" si="39"/>
        <v>4948.35433333333</v>
      </c>
      <c r="V91" s="22">
        <v>0.108433734939759</v>
      </c>
      <c r="W91" s="21">
        <f t="shared" si="40"/>
        <v>0.696385542168674</v>
      </c>
      <c r="X91" s="21">
        <f t="shared" si="41"/>
        <v>21.5879518072289</v>
      </c>
      <c r="Y91" s="21">
        <f t="shared" si="42"/>
        <v>536.568542168675</v>
      </c>
      <c r="Z91" s="50">
        <v>75</v>
      </c>
      <c r="AA91" s="51">
        <f t="shared" si="43"/>
        <v>1242.75</v>
      </c>
      <c r="AB91" s="52">
        <f t="shared" si="44"/>
        <v>3.47416006250698</v>
      </c>
      <c r="AC91" s="22">
        <v>0.891566265060241</v>
      </c>
      <c r="AD91" s="21">
        <f t="shared" si="45"/>
        <v>5.72583668005355</v>
      </c>
      <c r="AE91" s="21">
        <f t="shared" si="46"/>
        <v>177.50093708166</v>
      </c>
      <c r="AF91" s="21">
        <f t="shared" si="47"/>
        <v>4411.78579116466</v>
      </c>
      <c r="AG91" s="7">
        <v>21</v>
      </c>
      <c r="AH91" s="25">
        <f t="shared" si="48"/>
        <v>347.97</v>
      </c>
      <c r="AI91" s="53">
        <f t="shared" si="49"/>
        <v>0.118309234561048</v>
      </c>
    </row>
    <row r="92" ht="15" customHeight="1" spans="1:35">
      <c r="A92" s="7" t="s">
        <v>198</v>
      </c>
      <c r="B92" s="7" t="s">
        <v>199</v>
      </c>
      <c r="C92" s="7" t="s">
        <v>34</v>
      </c>
      <c r="D92" s="7" t="s">
        <v>35</v>
      </c>
      <c r="E92" s="7" t="s">
        <v>200</v>
      </c>
      <c r="F92" s="48">
        <v>32.08</v>
      </c>
      <c r="G92" s="48">
        <v>295</v>
      </c>
      <c r="H92" s="55"/>
      <c r="I92" s="55"/>
      <c r="J92" s="48">
        <v>272</v>
      </c>
      <c r="K92" s="7">
        <v>12784</v>
      </c>
      <c r="L92" s="21">
        <f t="shared" si="30"/>
        <v>5.9</v>
      </c>
      <c r="M92" s="21">
        <f t="shared" si="31"/>
        <v>182.9</v>
      </c>
      <c r="N92" s="21">
        <f t="shared" si="32"/>
        <v>5867.432</v>
      </c>
      <c r="O92" s="21">
        <f t="shared" si="33"/>
        <v>3.27777777777778</v>
      </c>
      <c r="P92" s="21">
        <f t="shared" si="34"/>
        <v>101.611111111111</v>
      </c>
      <c r="Q92" s="21">
        <f t="shared" si="35"/>
        <v>4889.52666666667</v>
      </c>
      <c r="R92" s="21">
        <f t="shared" si="36"/>
        <v>101.611111111111</v>
      </c>
      <c r="S92" s="21">
        <f t="shared" si="37"/>
        <v>3.27777777777778</v>
      </c>
      <c r="T92" s="21">
        <f t="shared" si="38"/>
        <v>3.27777777777778</v>
      </c>
      <c r="U92" s="21">
        <f t="shared" si="39"/>
        <v>4889.52666666667</v>
      </c>
      <c r="V92" s="22">
        <v>1</v>
      </c>
      <c r="W92" s="21">
        <f t="shared" si="40"/>
        <v>3.27777777777778</v>
      </c>
      <c r="X92" s="21">
        <f t="shared" si="41"/>
        <v>101.611111111111</v>
      </c>
      <c r="Y92" s="21">
        <f t="shared" si="42"/>
        <v>4889.52666666667</v>
      </c>
      <c r="Z92" s="50">
        <v>118</v>
      </c>
      <c r="AA92" s="51">
        <f t="shared" si="43"/>
        <v>3785.44</v>
      </c>
      <c r="AB92" s="52">
        <f t="shared" si="44"/>
        <v>1.16129032258065</v>
      </c>
      <c r="AC92" s="22">
        <v>0</v>
      </c>
      <c r="AD92" s="21">
        <f t="shared" si="45"/>
        <v>0</v>
      </c>
      <c r="AE92" s="21">
        <f t="shared" si="46"/>
        <v>0</v>
      </c>
      <c r="AF92" s="21">
        <f t="shared" si="47"/>
        <v>0</v>
      </c>
      <c r="AG92" s="7">
        <v>7</v>
      </c>
      <c r="AH92" s="25">
        <f t="shared" si="48"/>
        <v>224.56</v>
      </c>
      <c r="AI92" s="53" t="e">
        <f t="shared" si="49"/>
        <v>#DIV/0!</v>
      </c>
    </row>
    <row r="93" ht="15" customHeight="1" spans="1:35">
      <c r="A93" s="7" t="s">
        <v>782</v>
      </c>
      <c r="B93" s="7" t="s">
        <v>783</v>
      </c>
      <c r="C93" s="7" t="s">
        <v>34</v>
      </c>
      <c r="D93" s="7" t="s">
        <v>35</v>
      </c>
      <c r="E93" s="7" t="s">
        <v>784</v>
      </c>
      <c r="F93" s="48">
        <v>327.84</v>
      </c>
      <c r="G93" s="48">
        <v>27</v>
      </c>
      <c r="H93" s="55"/>
      <c r="I93" s="55"/>
      <c r="J93" s="48">
        <v>21</v>
      </c>
      <c r="K93" s="7">
        <v>9507</v>
      </c>
      <c r="L93" s="21">
        <f t="shared" si="30"/>
        <v>0.54</v>
      </c>
      <c r="M93" s="21">
        <f t="shared" si="31"/>
        <v>16.74</v>
      </c>
      <c r="N93" s="21">
        <f t="shared" si="32"/>
        <v>5488.0416</v>
      </c>
      <c r="O93" s="21">
        <f t="shared" si="33"/>
        <v>0.3</v>
      </c>
      <c r="P93" s="21">
        <f t="shared" si="34"/>
        <v>9.3</v>
      </c>
      <c r="Q93" s="21">
        <f t="shared" si="35"/>
        <v>4573.368</v>
      </c>
      <c r="R93" s="21">
        <f t="shared" si="36"/>
        <v>9.3</v>
      </c>
      <c r="S93" s="21">
        <f t="shared" si="37"/>
        <v>0.3</v>
      </c>
      <c r="T93" s="21">
        <f t="shared" si="38"/>
        <v>0.3</v>
      </c>
      <c r="U93" s="21">
        <f t="shared" si="39"/>
        <v>4573.368</v>
      </c>
      <c r="V93" s="22">
        <v>0</v>
      </c>
      <c r="W93" s="21">
        <f t="shared" si="40"/>
        <v>0</v>
      </c>
      <c r="X93" s="21">
        <f t="shared" si="41"/>
        <v>0</v>
      </c>
      <c r="Y93" s="21">
        <f t="shared" si="42"/>
        <v>0</v>
      </c>
      <c r="Z93" s="50">
        <v>20</v>
      </c>
      <c r="AA93" s="51">
        <f t="shared" si="43"/>
        <v>6556.8</v>
      </c>
      <c r="AB93" s="52" t="e">
        <f t="shared" si="44"/>
        <v>#DIV/0!</v>
      </c>
      <c r="AC93" s="22">
        <v>0</v>
      </c>
      <c r="AD93" s="21">
        <f t="shared" si="45"/>
        <v>0</v>
      </c>
      <c r="AE93" s="21">
        <f t="shared" si="46"/>
        <v>0</v>
      </c>
      <c r="AF93" s="21">
        <f t="shared" si="47"/>
        <v>0</v>
      </c>
      <c r="AG93" s="7">
        <v>1</v>
      </c>
      <c r="AH93" s="25">
        <f t="shared" si="48"/>
        <v>327.84</v>
      </c>
      <c r="AI93" s="53" t="e">
        <f t="shared" si="49"/>
        <v>#DIV/0!</v>
      </c>
    </row>
    <row r="94" ht="15" customHeight="1" spans="1:35">
      <c r="A94" s="7" t="s">
        <v>284</v>
      </c>
      <c r="B94" s="7" t="s">
        <v>285</v>
      </c>
      <c r="C94" s="7" t="s">
        <v>34</v>
      </c>
      <c r="D94" s="7" t="s">
        <v>51</v>
      </c>
      <c r="E94" s="7" t="s">
        <v>286</v>
      </c>
      <c r="F94" s="48">
        <v>19.5</v>
      </c>
      <c r="G94" s="48">
        <v>437</v>
      </c>
      <c r="H94" s="48">
        <v>1</v>
      </c>
      <c r="I94" s="48">
        <v>437</v>
      </c>
      <c r="J94" s="48">
        <v>379</v>
      </c>
      <c r="K94" s="7">
        <v>10628</v>
      </c>
      <c r="L94" s="21">
        <f t="shared" si="30"/>
        <v>7.74</v>
      </c>
      <c r="M94" s="21">
        <f t="shared" si="31"/>
        <v>270.94</v>
      </c>
      <c r="N94" s="21">
        <f t="shared" si="32"/>
        <v>5283.33</v>
      </c>
      <c r="O94" s="21">
        <f t="shared" si="33"/>
        <v>3.85555555555556</v>
      </c>
      <c r="P94" s="21">
        <f t="shared" si="34"/>
        <v>150.522222222222</v>
      </c>
      <c r="Q94" s="21">
        <f t="shared" si="35"/>
        <v>4402.775</v>
      </c>
      <c r="R94" s="21">
        <f t="shared" si="36"/>
        <v>150.522222222222</v>
      </c>
      <c r="S94" s="21">
        <f t="shared" si="37"/>
        <v>4.85555555555556</v>
      </c>
      <c r="T94" s="21">
        <f t="shared" si="38"/>
        <v>3.85555555555556</v>
      </c>
      <c r="U94" s="21">
        <f t="shared" si="39"/>
        <v>4402.775</v>
      </c>
      <c r="V94" s="22">
        <v>0</v>
      </c>
      <c r="W94" s="21">
        <f t="shared" si="40"/>
        <v>0</v>
      </c>
      <c r="X94" s="21">
        <f t="shared" si="41"/>
        <v>0</v>
      </c>
      <c r="Y94" s="21">
        <f t="shared" si="42"/>
        <v>0</v>
      </c>
      <c r="Z94" s="50">
        <v>29</v>
      </c>
      <c r="AA94" s="51">
        <f t="shared" si="43"/>
        <v>565.5</v>
      </c>
      <c r="AB94" s="52" t="e">
        <f t="shared" si="44"/>
        <v>#DIV/0!</v>
      </c>
      <c r="AC94" s="22">
        <v>0</v>
      </c>
      <c r="AD94" s="21">
        <f t="shared" si="45"/>
        <v>0</v>
      </c>
      <c r="AE94" s="21">
        <f t="shared" si="46"/>
        <v>0</v>
      </c>
      <c r="AF94" s="21">
        <f t="shared" si="47"/>
        <v>0</v>
      </c>
      <c r="AG94" s="7">
        <v>7</v>
      </c>
      <c r="AH94" s="25">
        <f t="shared" si="48"/>
        <v>136.5</v>
      </c>
      <c r="AI94" s="53" t="e">
        <f t="shared" si="49"/>
        <v>#DIV/0!</v>
      </c>
    </row>
    <row r="95" ht="15" customHeight="1" spans="1:35">
      <c r="A95" s="7" t="s">
        <v>434</v>
      </c>
      <c r="B95" s="7" t="s">
        <v>435</v>
      </c>
      <c r="C95" s="7" t="s">
        <v>34</v>
      </c>
      <c r="D95" s="7" t="s">
        <v>35</v>
      </c>
      <c r="E95" s="7" t="s">
        <v>192</v>
      </c>
      <c r="F95" s="48">
        <v>81.71</v>
      </c>
      <c r="G95" s="48">
        <v>99</v>
      </c>
      <c r="H95" s="55"/>
      <c r="I95" s="55"/>
      <c r="J95" s="48">
        <v>73</v>
      </c>
      <c r="K95" s="7">
        <v>8089</v>
      </c>
      <c r="L95" s="21">
        <f t="shared" si="30"/>
        <v>1.98</v>
      </c>
      <c r="M95" s="21">
        <f t="shared" si="31"/>
        <v>61.38</v>
      </c>
      <c r="N95" s="21">
        <f t="shared" si="32"/>
        <v>5015.3598</v>
      </c>
      <c r="O95" s="21">
        <f t="shared" si="33"/>
        <v>1.1</v>
      </c>
      <c r="P95" s="21">
        <f t="shared" si="34"/>
        <v>34.1</v>
      </c>
      <c r="Q95" s="21">
        <f t="shared" si="35"/>
        <v>4179.4665</v>
      </c>
      <c r="R95" s="21">
        <f t="shared" si="36"/>
        <v>34.1</v>
      </c>
      <c r="S95" s="21">
        <f t="shared" si="37"/>
        <v>1.1</v>
      </c>
      <c r="T95" s="21">
        <f t="shared" si="38"/>
        <v>1.1</v>
      </c>
      <c r="U95" s="21">
        <f t="shared" si="39"/>
        <v>4179.4665</v>
      </c>
      <c r="V95" s="22">
        <v>0.25531914893617</v>
      </c>
      <c r="W95" s="21">
        <f t="shared" si="40"/>
        <v>0.280851063829787</v>
      </c>
      <c r="X95" s="21">
        <f t="shared" si="41"/>
        <v>8.7063829787234</v>
      </c>
      <c r="Y95" s="21">
        <f t="shared" si="42"/>
        <v>1067.09782978723</v>
      </c>
      <c r="Z95" s="50">
        <v>36</v>
      </c>
      <c r="AA95" s="51">
        <f t="shared" si="43"/>
        <v>2941.56</v>
      </c>
      <c r="AB95" s="52">
        <f t="shared" si="44"/>
        <v>4.13489736070381</v>
      </c>
      <c r="AC95" s="22">
        <v>0.74468085106383</v>
      </c>
      <c r="AD95" s="21">
        <f t="shared" si="45"/>
        <v>0.819148936170213</v>
      </c>
      <c r="AE95" s="21">
        <f t="shared" si="46"/>
        <v>25.3936170212766</v>
      </c>
      <c r="AF95" s="21">
        <f t="shared" si="47"/>
        <v>3112.36867021277</v>
      </c>
      <c r="AG95" s="7">
        <v>3</v>
      </c>
      <c r="AH95" s="25">
        <f t="shared" si="48"/>
        <v>245.13</v>
      </c>
      <c r="AI95" s="53">
        <f t="shared" si="49"/>
        <v>0.118139924591537</v>
      </c>
    </row>
    <row r="96" ht="15" customHeight="1" spans="1:35">
      <c r="A96" s="7" t="s">
        <v>215</v>
      </c>
      <c r="B96" s="7" t="s">
        <v>216</v>
      </c>
      <c r="C96" s="7" t="s">
        <v>34</v>
      </c>
      <c r="D96" s="7" t="s">
        <v>35</v>
      </c>
      <c r="E96" s="7" t="s">
        <v>57</v>
      </c>
      <c r="F96" s="48">
        <v>401.76</v>
      </c>
      <c r="G96" s="48">
        <v>20</v>
      </c>
      <c r="H96" s="55"/>
      <c r="I96" s="55"/>
      <c r="J96" s="48">
        <v>14</v>
      </c>
      <c r="K96" s="7">
        <v>7433</v>
      </c>
      <c r="L96" s="21">
        <f t="shared" si="30"/>
        <v>0.4</v>
      </c>
      <c r="M96" s="21">
        <f t="shared" si="31"/>
        <v>12.4</v>
      </c>
      <c r="N96" s="21">
        <f t="shared" si="32"/>
        <v>4981.824</v>
      </c>
      <c r="O96" s="21">
        <f t="shared" si="33"/>
        <v>0.222222222222222</v>
      </c>
      <c r="P96" s="21">
        <f t="shared" si="34"/>
        <v>6.88888888888889</v>
      </c>
      <c r="Q96" s="21">
        <f t="shared" si="35"/>
        <v>4151.52</v>
      </c>
      <c r="R96" s="21">
        <f t="shared" si="36"/>
        <v>6.88888888888889</v>
      </c>
      <c r="S96" s="21">
        <f t="shared" si="37"/>
        <v>0.222222222222222</v>
      </c>
      <c r="T96" s="21">
        <f t="shared" si="38"/>
        <v>0.222222222222222</v>
      </c>
      <c r="U96" s="21">
        <f t="shared" si="39"/>
        <v>4151.52</v>
      </c>
      <c r="V96" s="22">
        <v>0</v>
      </c>
      <c r="W96" s="21">
        <f t="shared" si="40"/>
        <v>0</v>
      </c>
      <c r="X96" s="21">
        <f t="shared" si="41"/>
        <v>0</v>
      </c>
      <c r="Y96" s="21">
        <f t="shared" si="42"/>
        <v>0</v>
      </c>
      <c r="Z96" s="50">
        <v>1</v>
      </c>
      <c r="AA96" s="51">
        <f t="shared" si="43"/>
        <v>401.76</v>
      </c>
      <c r="AB96" s="52" t="e">
        <f t="shared" si="44"/>
        <v>#DIV/0!</v>
      </c>
      <c r="AC96" s="22">
        <v>1</v>
      </c>
      <c r="AD96" s="21">
        <f t="shared" si="45"/>
        <v>0.222222222222222</v>
      </c>
      <c r="AE96" s="21">
        <f t="shared" si="46"/>
        <v>6.88888888888889</v>
      </c>
      <c r="AF96" s="21">
        <f t="shared" si="47"/>
        <v>4151.52</v>
      </c>
      <c r="AG96" s="7">
        <v>19</v>
      </c>
      <c r="AH96" s="25">
        <f t="shared" si="48"/>
        <v>7633.44</v>
      </c>
      <c r="AI96" s="53">
        <f t="shared" si="49"/>
        <v>2.75806451612903</v>
      </c>
    </row>
    <row r="97" ht="15" customHeight="1" spans="1:35">
      <c r="A97" s="7" t="s">
        <v>468</v>
      </c>
      <c r="B97" s="7" t="s">
        <v>469</v>
      </c>
      <c r="C97" s="7" t="s">
        <v>34</v>
      </c>
      <c r="D97" s="7" t="s">
        <v>51</v>
      </c>
      <c r="E97" s="7" t="s">
        <v>316</v>
      </c>
      <c r="F97" s="48">
        <v>242.36</v>
      </c>
      <c r="G97" s="48">
        <v>33</v>
      </c>
      <c r="H97" s="55"/>
      <c r="I97" s="55"/>
      <c r="J97" s="48">
        <v>20</v>
      </c>
      <c r="K97" s="7">
        <v>5938</v>
      </c>
      <c r="L97" s="21">
        <f t="shared" si="30"/>
        <v>0.66</v>
      </c>
      <c r="M97" s="21">
        <f t="shared" si="31"/>
        <v>20.46</v>
      </c>
      <c r="N97" s="21">
        <f t="shared" si="32"/>
        <v>4958.6856</v>
      </c>
      <c r="O97" s="21">
        <f t="shared" si="33"/>
        <v>0.366666666666667</v>
      </c>
      <c r="P97" s="21">
        <f t="shared" si="34"/>
        <v>11.3666666666667</v>
      </c>
      <c r="Q97" s="21">
        <f t="shared" si="35"/>
        <v>4132.238</v>
      </c>
      <c r="R97" s="21">
        <f t="shared" si="36"/>
        <v>11.3666666666667</v>
      </c>
      <c r="S97" s="21">
        <f t="shared" si="37"/>
        <v>0.366666666666667</v>
      </c>
      <c r="T97" s="21">
        <f t="shared" si="38"/>
        <v>0.366666666666667</v>
      </c>
      <c r="U97" s="21">
        <f t="shared" si="39"/>
        <v>4132.238</v>
      </c>
      <c r="V97" s="22">
        <v>0</v>
      </c>
      <c r="W97" s="21">
        <f t="shared" si="40"/>
        <v>0</v>
      </c>
      <c r="X97" s="21">
        <f t="shared" si="41"/>
        <v>0</v>
      </c>
      <c r="Y97" s="21">
        <f t="shared" si="42"/>
        <v>0</v>
      </c>
      <c r="Z97" s="50">
        <v>0</v>
      </c>
      <c r="AA97" s="51">
        <f t="shared" si="43"/>
        <v>0</v>
      </c>
      <c r="AB97" s="52" t="e">
        <f t="shared" si="44"/>
        <v>#DIV/0!</v>
      </c>
      <c r="AC97" s="22">
        <v>0</v>
      </c>
      <c r="AD97" s="21">
        <f t="shared" si="45"/>
        <v>0</v>
      </c>
      <c r="AE97" s="21">
        <f t="shared" si="46"/>
        <v>0</v>
      </c>
      <c r="AF97" s="21">
        <f t="shared" si="47"/>
        <v>0</v>
      </c>
      <c r="AG97" s="7">
        <v>12</v>
      </c>
      <c r="AH97" s="25">
        <f t="shared" si="48"/>
        <v>2908.32</v>
      </c>
      <c r="AI97" s="53" t="e">
        <f t="shared" si="49"/>
        <v>#DIV/0!</v>
      </c>
    </row>
    <row r="98" ht="15" customHeight="1" spans="1:35">
      <c r="A98" s="7" t="s">
        <v>785</v>
      </c>
      <c r="B98" s="7" t="s">
        <v>786</v>
      </c>
      <c r="C98" s="7" t="s">
        <v>34</v>
      </c>
      <c r="D98" s="7" t="s">
        <v>51</v>
      </c>
      <c r="E98" s="7" t="s">
        <v>787</v>
      </c>
      <c r="F98" s="48">
        <v>2.346</v>
      </c>
      <c r="G98" s="48">
        <v>3382</v>
      </c>
      <c r="H98" s="48">
        <v>55</v>
      </c>
      <c r="I98" s="48">
        <v>61</v>
      </c>
      <c r="J98" s="48">
        <v>624</v>
      </c>
      <c r="K98" s="7">
        <v>1464</v>
      </c>
      <c r="L98" s="21">
        <f t="shared" si="30"/>
        <v>12.64</v>
      </c>
      <c r="M98" s="21">
        <f t="shared" si="31"/>
        <v>2096.84</v>
      </c>
      <c r="N98" s="21">
        <f t="shared" si="32"/>
        <v>4919.18664</v>
      </c>
      <c r="O98" s="21">
        <f t="shared" si="33"/>
        <v>-17.4222222222222</v>
      </c>
      <c r="P98" s="21">
        <f t="shared" si="34"/>
        <v>1164.91111111111</v>
      </c>
      <c r="Q98" s="21">
        <f t="shared" si="35"/>
        <v>4099.3222</v>
      </c>
      <c r="R98" s="21">
        <f t="shared" si="36"/>
        <v>1164.91111111111</v>
      </c>
      <c r="S98" s="21">
        <f t="shared" si="37"/>
        <v>37.5777777777778</v>
      </c>
      <c r="T98" s="21">
        <f t="shared" si="38"/>
        <v>-17.4222222222222</v>
      </c>
      <c r="U98" s="21">
        <f t="shared" si="39"/>
        <v>4099.3222</v>
      </c>
      <c r="V98" s="22">
        <v>1</v>
      </c>
      <c r="W98" s="21">
        <f t="shared" si="40"/>
        <v>37.5777777777778</v>
      </c>
      <c r="X98" s="21">
        <f t="shared" si="41"/>
        <v>1164.91111111111</v>
      </c>
      <c r="Y98" s="21">
        <f t="shared" si="42"/>
        <v>4099.3222</v>
      </c>
      <c r="Z98" s="50">
        <v>642</v>
      </c>
      <c r="AA98" s="51">
        <f t="shared" si="43"/>
        <v>1506.132</v>
      </c>
      <c r="AB98" s="52">
        <f t="shared" si="44"/>
        <v>0.55111501115965</v>
      </c>
      <c r="AC98" s="22">
        <v>0</v>
      </c>
      <c r="AD98" s="21">
        <f t="shared" si="45"/>
        <v>0</v>
      </c>
      <c r="AE98" s="21">
        <f t="shared" si="46"/>
        <v>0</v>
      </c>
      <c r="AF98" s="21">
        <f t="shared" si="47"/>
        <v>0</v>
      </c>
      <c r="AG98" s="7">
        <v>765</v>
      </c>
      <c r="AH98" s="25">
        <f t="shared" si="48"/>
        <v>1794.69</v>
      </c>
      <c r="AI98" s="53" t="e">
        <f t="shared" si="49"/>
        <v>#DIV/0!</v>
      </c>
    </row>
    <row r="99" ht="15" customHeight="1" spans="1:35">
      <c r="A99" s="7" t="s">
        <v>788</v>
      </c>
      <c r="B99" s="7" t="s">
        <v>789</v>
      </c>
      <c r="C99" s="7" t="s">
        <v>34</v>
      </c>
      <c r="D99" s="7" t="s">
        <v>35</v>
      </c>
      <c r="E99" s="7" t="s">
        <v>525</v>
      </c>
      <c r="F99" s="48">
        <v>87.69</v>
      </c>
      <c r="G99" s="48">
        <v>89</v>
      </c>
      <c r="H99" s="48">
        <v>1</v>
      </c>
      <c r="I99" s="48">
        <v>89</v>
      </c>
      <c r="J99" s="48">
        <v>3</v>
      </c>
      <c r="K99" s="7">
        <v>263</v>
      </c>
      <c r="L99" s="21">
        <f t="shared" si="30"/>
        <v>0.78</v>
      </c>
      <c r="M99" s="21">
        <f t="shared" si="31"/>
        <v>55.18</v>
      </c>
      <c r="N99" s="21">
        <f t="shared" si="32"/>
        <v>4838.7342</v>
      </c>
      <c r="O99" s="21">
        <f t="shared" si="33"/>
        <v>-0.0111111111111111</v>
      </c>
      <c r="P99" s="21">
        <f t="shared" si="34"/>
        <v>30.6555555555556</v>
      </c>
      <c r="Q99" s="21">
        <f t="shared" si="35"/>
        <v>4032.2785</v>
      </c>
      <c r="R99" s="21">
        <f t="shared" si="36"/>
        <v>30.6555555555556</v>
      </c>
      <c r="S99" s="21">
        <f t="shared" si="37"/>
        <v>0.988888888888889</v>
      </c>
      <c r="T99" s="21">
        <f t="shared" si="38"/>
        <v>-0.011111111111111</v>
      </c>
      <c r="U99" s="21">
        <f t="shared" si="39"/>
        <v>4032.2785</v>
      </c>
      <c r="V99" s="22">
        <v>1</v>
      </c>
      <c r="W99" s="21">
        <f t="shared" si="40"/>
        <v>0.988888888888889</v>
      </c>
      <c r="X99" s="21">
        <f t="shared" si="41"/>
        <v>30.6555555555556</v>
      </c>
      <c r="Y99" s="21">
        <f t="shared" si="42"/>
        <v>4032.2785</v>
      </c>
      <c r="Z99" s="50">
        <v>10</v>
      </c>
      <c r="AA99" s="51">
        <f t="shared" si="43"/>
        <v>876.9</v>
      </c>
      <c r="AB99" s="52">
        <f t="shared" si="44"/>
        <v>0.326205146792316</v>
      </c>
      <c r="AC99" s="22">
        <v>0</v>
      </c>
      <c r="AD99" s="21">
        <f t="shared" si="45"/>
        <v>0</v>
      </c>
      <c r="AE99" s="21">
        <f t="shared" si="46"/>
        <v>0</v>
      </c>
      <c r="AF99" s="21">
        <f t="shared" si="47"/>
        <v>0</v>
      </c>
      <c r="AG99" s="7">
        <v>25</v>
      </c>
      <c r="AH99" s="25">
        <f t="shared" si="48"/>
        <v>2192.25</v>
      </c>
      <c r="AI99" s="53" t="e">
        <f t="shared" si="49"/>
        <v>#DIV/0!</v>
      </c>
    </row>
    <row r="100" ht="15" customHeight="1" spans="1:35">
      <c r="A100" s="7" t="s">
        <v>652</v>
      </c>
      <c r="B100" s="7" t="s">
        <v>722</v>
      </c>
      <c r="C100" s="7" t="s">
        <v>34</v>
      </c>
      <c r="D100" s="7" t="s">
        <v>35</v>
      </c>
      <c r="E100" s="7" t="s">
        <v>125</v>
      </c>
      <c r="F100" s="48">
        <v>118.9</v>
      </c>
      <c r="G100" s="48">
        <v>65</v>
      </c>
      <c r="H100" s="55"/>
      <c r="I100" s="55"/>
      <c r="J100" s="48">
        <v>34</v>
      </c>
      <c r="K100" s="7">
        <v>4578</v>
      </c>
      <c r="L100" s="21">
        <f t="shared" si="30"/>
        <v>1.3</v>
      </c>
      <c r="M100" s="21">
        <f t="shared" si="31"/>
        <v>40.3</v>
      </c>
      <c r="N100" s="21">
        <f t="shared" si="32"/>
        <v>4791.67</v>
      </c>
      <c r="O100" s="21">
        <f t="shared" si="33"/>
        <v>0.722222222222222</v>
      </c>
      <c r="P100" s="21">
        <f t="shared" si="34"/>
        <v>22.3888888888889</v>
      </c>
      <c r="Q100" s="21">
        <f t="shared" si="35"/>
        <v>3993.05833333333</v>
      </c>
      <c r="R100" s="21">
        <f t="shared" si="36"/>
        <v>22.3888888888889</v>
      </c>
      <c r="S100" s="21">
        <f t="shared" si="37"/>
        <v>0.722222222222222</v>
      </c>
      <c r="T100" s="21">
        <f t="shared" si="38"/>
        <v>0.722222222222222</v>
      </c>
      <c r="U100" s="21">
        <f t="shared" si="39"/>
        <v>3993.05833333333</v>
      </c>
      <c r="V100" s="22">
        <v>0</v>
      </c>
      <c r="W100" s="21">
        <f t="shared" si="40"/>
        <v>0</v>
      </c>
      <c r="X100" s="21">
        <f t="shared" si="41"/>
        <v>0</v>
      </c>
      <c r="Y100" s="21">
        <f t="shared" si="42"/>
        <v>0</v>
      </c>
      <c r="Z100" s="50">
        <v>15</v>
      </c>
      <c r="AA100" s="51">
        <f t="shared" si="43"/>
        <v>1783.5</v>
      </c>
      <c r="AB100" s="52" t="e">
        <f t="shared" si="44"/>
        <v>#DIV/0!</v>
      </c>
      <c r="AC100" s="22">
        <v>1</v>
      </c>
      <c r="AD100" s="21">
        <f t="shared" si="45"/>
        <v>0.722222222222222</v>
      </c>
      <c r="AE100" s="21">
        <f t="shared" si="46"/>
        <v>22.3888888888889</v>
      </c>
      <c r="AF100" s="21">
        <f t="shared" si="47"/>
        <v>3993.05833333333</v>
      </c>
      <c r="AG100" s="7">
        <v>4</v>
      </c>
      <c r="AH100" s="25">
        <f t="shared" si="48"/>
        <v>475.6</v>
      </c>
      <c r="AI100" s="53">
        <f t="shared" si="49"/>
        <v>0.178660049627791</v>
      </c>
    </row>
    <row r="101" ht="15" customHeight="1" spans="1:35">
      <c r="A101" s="7" t="s">
        <v>678</v>
      </c>
      <c r="B101" s="7" t="s">
        <v>643</v>
      </c>
      <c r="C101" s="7" t="s">
        <v>34</v>
      </c>
      <c r="D101" s="7" t="s">
        <v>51</v>
      </c>
      <c r="E101" s="7" t="s">
        <v>203</v>
      </c>
      <c r="F101" s="48">
        <v>163.83</v>
      </c>
      <c r="G101" s="48">
        <v>47</v>
      </c>
      <c r="H101" s="55"/>
      <c r="I101" s="55"/>
      <c r="J101" s="48">
        <v>42</v>
      </c>
      <c r="K101" s="7">
        <v>9994</v>
      </c>
      <c r="L101" s="21">
        <f t="shared" si="30"/>
        <v>0.94</v>
      </c>
      <c r="M101" s="21">
        <f t="shared" si="31"/>
        <v>29.14</v>
      </c>
      <c r="N101" s="21">
        <f t="shared" si="32"/>
        <v>4774.0062</v>
      </c>
      <c r="O101" s="21">
        <f t="shared" si="33"/>
        <v>0.522222222222222</v>
      </c>
      <c r="P101" s="21">
        <f t="shared" si="34"/>
        <v>16.1888888888889</v>
      </c>
      <c r="Q101" s="21">
        <f t="shared" si="35"/>
        <v>3978.3385</v>
      </c>
      <c r="R101" s="21">
        <f t="shared" si="36"/>
        <v>16.1888888888889</v>
      </c>
      <c r="S101" s="21">
        <f t="shared" si="37"/>
        <v>0.522222222222222</v>
      </c>
      <c r="T101" s="21">
        <f t="shared" si="38"/>
        <v>0.522222222222222</v>
      </c>
      <c r="U101" s="21">
        <f t="shared" si="39"/>
        <v>3978.3385</v>
      </c>
      <c r="V101" s="22">
        <v>0</v>
      </c>
      <c r="W101" s="21">
        <f t="shared" ref="W101:W132" si="50">X101/31</f>
        <v>0</v>
      </c>
      <c r="X101" s="21">
        <f t="shared" ref="X101:X132" si="51">R101*V101</f>
        <v>0</v>
      </c>
      <c r="Y101" s="21">
        <f t="shared" ref="Y101:Y132" si="52">X101*F101*1.5</f>
        <v>0</v>
      </c>
      <c r="Z101" s="50">
        <v>7</v>
      </c>
      <c r="AA101" s="51">
        <f t="shared" ref="AA101:AA132" si="53">Z101*F101</f>
        <v>1146.81</v>
      </c>
      <c r="AB101" s="52" t="e">
        <f t="shared" ref="AB101:AB132" si="54">Z101/X101</f>
        <v>#DIV/0!</v>
      </c>
      <c r="AC101" s="22">
        <v>0</v>
      </c>
      <c r="AD101" s="21">
        <f t="shared" ref="AD101:AD132" si="55">AE101/31</f>
        <v>0</v>
      </c>
      <c r="AE101" s="21">
        <f t="shared" ref="AE101:AE132" si="56">R101*AC101</f>
        <v>0</v>
      </c>
      <c r="AF101" s="21">
        <f t="shared" ref="AF101:AF132" si="57">F101*AE101*1.5</f>
        <v>0</v>
      </c>
      <c r="AG101" s="7">
        <v>9</v>
      </c>
      <c r="AH101" s="25">
        <f t="shared" ref="AH101:AH132" si="58">AG101*F101</f>
        <v>1474.47</v>
      </c>
      <c r="AI101" s="53" t="e">
        <f t="shared" ref="AI101:AI132" si="59">AG101/AE101</f>
        <v>#DIV/0!</v>
      </c>
    </row>
    <row r="102" ht="15" customHeight="1" spans="1:35">
      <c r="A102" s="7" t="s">
        <v>429</v>
      </c>
      <c r="B102" s="60" t="s">
        <v>430</v>
      </c>
      <c r="C102" s="7" t="s">
        <v>34</v>
      </c>
      <c r="D102" s="7" t="s">
        <v>35</v>
      </c>
      <c r="E102" s="7" t="s">
        <v>431</v>
      </c>
      <c r="F102" s="48">
        <v>20.33</v>
      </c>
      <c r="G102" s="48">
        <v>360</v>
      </c>
      <c r="H102" s="48">
        <v>1</v>
      </c>
      <c r="I102" s="48">
        <v>360</v>
      </c>
      <c r="J102" s="48">
        <v>307</v>
      </c>
      <c r="K102" s="7">
        <v>8925</v>
      </c>
      <c r="L102" s="21">
        <f t="shared" si="30"/>
        <v>6.2</v>
      </c>
      <c r="M102" s="21">
        <f t="shared" si="31"/>
        <v>223.2</v>
      </c>
      <c r="N102" s="21">
        <f t="shared" si="32"/>
        <v>4537.656</v>
      </c>
      <c r="O102" s="21">
        <f t="shared" si="33"/>
        <v>3</v>
      </c>
      <c r="P102" s="21">
        <f t="shared" si="34"/>
        <v>124</v>
      </c>
      <c r="Q102" s="21">
        <f t="shared" si="35"/>
        <v>3781.38</v>
      </c>
      <c r="R102" s="21">
        <f t="shared" si="36"/>
        <v>124</v>
      </c>
      <c r="S102" s="21">
        <f t="shared" si="37"/>
        <v>4</v>
      </c>
      <c r="T102" s="21">
        <f t="shared" si="38"/>
        <v>3</v>
      </c>
      <c r="U102" s="21">
        <f t="shared" si="39"/>
        <v>3781.38</v>
      </c>
      <c r="V102" s="22">
        <v>0</v>
      </c>
      <c r="W102" s="21">
        <f t="shared" si="50"/>
        <v>0</v>
      </c>
      <c r="X102" s="21">
        <f t="shared" si="51"/>
        <v>0</v>
      </c>
      <c r="Y102" s="21">
        <f t="shared" si="52"/>
        <v>0</v>
      </c>
      <c r="Z102" s="50">
        <v>42</v>
      </c>
      <c r="AA102" s="51">
        <f t="shared" si="53"/>
        <v>853.86</v>
      </c>
      <c r="AB102" s="52" t="e">
        <f t="shared" si="54"/>
        <v>#DIV/0!</v>
      </c>
      <c r="AC102" s="22">
        <v>0</v>
      </c>
      <c r="AD102" s="21">
        <f t="shared" si="55"/>
        <v>0</v>
      </c>
      <c r="AE102" s="21">
        <f t="shared" si="56"/>
        <v>0</v>
      </c>
      <c r="AF102" s="21">
        <f t="shared" si="57"/>
        <v>0</v>
      </c>
      <c r="AG102" s="7">
        <v>9</v>
      </c>
      <c r="AH102" s="25">
        <f t="shared" si="58"/>
        <v>182.97</v>
      </c>
      <c r="AI102" s="53" t="e">
        <f t="shared" si="59"/>
        <v>#DIV/0!</v>
      </c>
    </row>
    <row r="103" ht="15" customHeight="1" spans="1:35">
      <c r="A103" s="7" t="s">
        <v>586</v>
      </c>
      <c r="B103" s="7" t="s">
        <v>630</v>
      </c>
      <c r="C103" s="7" t="s">
        <v>34</v>
      </c>
      <c r="D103" s="7" t="s">
        <v>51</v>
      </c>
      <c r="E103" s="7" t="s">
        <v>408</v>
      </c>
      <c r="F103" s="48">
        <v>23.48</v>
      </c>
      <c r="G103" s="48">
        <v>299</v>
      </c>
      <c r="H103" s="48">
        <v>4</v>
      </c>
      <c r="I103" s="48">
        <v>74</v>
      </c>
      <c r="J103" s="48">
        <v>89</v>
      </c>
      <c r="K103" s="7">
        <v>2090</v>
      </c>
      <c r="L103" s="21">
        <f t="shared" si="30"/>
        <v>1.98</v>
      </c>
      <c r="M103" s="21">
        <f t="shared" si="31"/>
        <v>185.38</v>
      </c>
      <c r="N103" s="21">
        <f t="shared" si="32"/>
        <v>4352.7224</v>
      </c>
      <c r="O103" s="21">
        <f t="shared" si="33"/>
        <v>-0.677777777777778</v>
      </c>
      <c r="P103" s="21">
        <f t="shared" si="34"/>
        <v>102.988888888889</v>
      </c>
      <c r="Q103" s="21">
        <f t="shared" si="35"/>
        <v>3627.26866666667</v>
      </c>
      <c r="R103" s="21">
        <f t="shared" si="36"/>
        <v>102.988888888889</v>
      </c>
      <c r="S103" s="21">
        <f t="shared" si="37"/>
        <v>3.32222222222222</v>
      </c>
      <c r="T103" s="21">
        <f t="shared" si="38"/>
        <v>-0.677777777777778</v>
      </c>
      <c r="U103" s="21">
        <f t="shared" si="39"/>
        <v>3627.26866666667</v>
      </c>
      <c r="V103" s="22">
        <v>0.5</v>
      </c>
      <c r="W103" s="21">
        <f t="shared" si="50"/>
        <v>1.66111111111111</v>
      </c>
      <c r="X103" s="21">
        <f t="shared" si="51"/>
        <v>51.4944444444444</v>
      </c>
      <c r="Y103" s="21">
        <f t="shared" si="52"/>
        <v>1813.63433333333</v>
      </c>
      <c r="Z103" s="50">
        <v>32</v>
      </c>
      <c r="AA103" s="51">
        <f t="shared" si="53"/>
        <v>751.36</v>
      </c>
      <c r="AB103" s="52">
        <f t="shared" si="54"/>
        <v>0.621426259574928</v>
      </c>
      <c r="AC103" s="22">
        <v>0.5</v>
      </c>
      <c r="AD103" s="21">
        <f t="shared" si="55"/>
        <v>1.66111111111111</v>
      </c>
      <c r="AE103" s="21">
        <f t="shared" si="56"/>
        <v>51.4944444444444</v>
      </c>
      <c r="AF103" s="21">
        <f t="shared" si="57"/>
        <v>1813.63433333333</v>
      </c>
      <c r="AG103" s="7">
        <v>24</v>
      </c>
      <c r="AH103" s="25">
        <f t="shared" si="58"/>
        <v>563.52</v>
      </c>
      <c r="AI103" s="53">
        <f t="shared" si="59"/>
        <v>0.466069694681196</v>
      </c>
    </row>
    <row r="104" ht="15" customHeight="1" spans="1:35">
      <c r="A104" s="7" t="s">
        <v>296</v>
      </c>
      <c r="B104" s="7" t="s">
        <v>297</v>
      </c>
      <c r="C104" s="7" t="s">
        <v>34</v>
      </c>
      <c r="D104" s="7" t="s">
        <v>35</v>
      </c>
      <c r="E104" s="7" t="s">
        <v>298</v>
      </c>
      <c r="F104" s="48">
        <v>345.3</v>
      </c>
      <c r="G104" s="48">
        <v>20</v>
      </c>
      <c r="H104" s="55"/>
      <c r="I104" s="55"/>
      <c r="J104" s="48">
        <v>20</v>
      </c>
      <c r="K104" s="7">
        <v>10359</v>
      </c>
      <c r="L104" s="21">
        <f t="shared" si="30"/>
        <v>0.4</v>
      </c>
      <c r="M104" s="21">
        <f t="shared" si="31"/>
        <v>12.4</v>
      </c>
      <c r="N104" s="21">
        <f t="shared" si="32"/>
        <v>4281.72</v>
      </c>
      <c r="O104" s="21">
        <f t="shared" si="33"/>
        <v>0.222222222222222</v>
      </c>
      <c r="P104" s="21">
        <f t="shared" si="34"/>
        <v>6.88888888888889</v>
      </c>
      <c r="Q104" s="21">
        <f t="shared" si="35"/>
        <v>3568.1</v>
      </c>
      <c r="R104" s="21">
        <f t="shared" si="36"/>
        <v>6.88888888888889</v>
      </c>
      <c r="S104" s="21">
        <f t="shared" si="37"/>
        <v>0.222222222222222</v>
      </c>
      <c r="T104" s="21">
        <f t="shared" si="38"/>
        <v>0.222222222222222</v>
      </c>
      <c r="U104" s="21">
        <f t="shared" si="39"/>
        <v>3568.1</v>
      </c>
      <c r="V104" s="22">
        <v>0.4</v>
      </c>
      <c r="W104" s="21">
        <f t="shared" si="50"/>
        <v>0.0888888888888889</v>
      </c>
      <c r="X104" s="21">
        <f t="shared" si="51"/>
        <v>2.75555555555556</v>
      </c>
      <c r="Y104" s="21">
        <f t="shared" si="52"/>
        <v>1427.24</v>
      </c>
      <c r="Z104" s="50">
        <v>1</v>
      </c>
      <c r="AA104" s="51">
        <f t="shared" si="53"/>
        <v>345.3</v>
      </c>
      <c r="AB104" s="52">
        <f t="shared" si="54"/>
        <v>0.362903225806451</v>
      </c>
      <c r="AC104" s="22">
        <v>0.6</v>
      </c>
      <c r="AD104" s="21">
        <f t="shared" si="55"/>
        <v>0.133333333333333</v>
      </c>
      <c r="AE104" s="21">
        <f t="shared" si="56"/>
        <v>4.13333333333333</v>
      </c>
      <c r="AF104" s="21">
        <f t="shared" si="57"/>
        <v>2140.86</v>
      </c>
      <c r="AG104" s="7">
        <v>0</v>
      </c>
      <c r="AH104" s="25">
        <f t="shared" si="58"/>
        <v>0</v>
      </c>
      <c r="AI104" s="53">
        <f t="shared" si="59"/>
        <v>0</v>
      </c>
    </row>
    <row r="105" ht="15" customHeight="1" spans="1:35">
      <c r="A105" s="7" t="s">
        <v>220</v>
      </c>
      <c r="B105" s="7" t="s">
        <v>221</v>
      </c>
      <c r="C105" s="7" t="s">
        <v>34</v>
      </c>
      <c r="D105" s="7" t="s">
        <v>51</v>
      </c>
      <c r="E105" s="7" t="s">
        <v>222</v>
      </c>
      <c r="F105" s="48">
        <v>15.41</v>
      </c>
      <c r="G105" s="48">
        <v>424</v>
      </c>
      <c r="H105" s="48">
        <v>5</v>
      </c>
      <c r="I105" s="48">
        <v>84</v>
      </c>
      <c r="J105" s="48">
        <v>174</v>
      </c>
      <c r="K105" s="7">
        <v>2681</v>
      </c>
      <c r="L105" s="21">
        <f t="shared" si="30"/>
        <v>3.48</v>
      </c>
      <c r="M105" s="21">
        <f t="shared" si="31"/>
        <v>262.88</v>
      </c>
      <c r="N105" s="21">
        <f t="shared" si="32"/>
        <v>4050.9808</v>
      </c>
      <c r="O105" s="21">
        <f t="shared" si="33"/>
        <v>-0.288888888888889</v>
      </c>
      <c r="P105" s="21">
        <f t="shared" si="34"/>
        <v>146.044444444444</v>
      </c>
      <c r="Q105" s="21">
        <f t="shared" si="35"/>
        <v>3375.81733333333</v>
      </c>
      <c r="R105" s="21">
        <f t="shared" si="36"/>
        <v>146.044444444444</v>
      </c>
      <c r="S105" s="21">
        <f t="shared" si="37"/>
        <v>4.71111111111111</v>
      </c>
      <c r="T105" s="21">
        <f t="shared" si="38"/>
        <v>-0.288888888888889</v>
      </c>
      <c r="U105" s="21">
        <f t="shared" si="39"/>
        <v>3375.81733333333</v>
      </c>
      <c r="V105" s="22">
        <v>1</v>
      </c>
      <c r="W105" s="21">
        <f t="shared" si="50"/>
        <v>4.71111111111111</v>
      </c>
      <c r="X105" s="21">
        <f t="shared" si="51"/>
        <v>146.044444444444</v>
      </c>
      <c r="Y105" s="21">
        <f t="shared" si="52"/>
        <v>3375.81733333333</v>
      </c>
      <c r="Z105" s="50">
        <v>42</v>
      </c>
      <c r="AA105" s="51">
        <f t="shared" si="53"/>
        <v>647.22</v>
      </c>
      <c r="AB105" s="52">
        <f t="shared" si="54"/>
        <v>0.287583688374925</v>
      </c>
      <c r="AC105" s="22">
        <v>0</v>
      </c>
      <c r="AD105" s="21">
        <f t="shared" si="55"/>
        <v>0</v>
      </c>
      <c r="AE105" s="21">
        <f t="shared" si="56"/>
        <v>0</v>
      </c>
      <c r="AF105" s="21">
        <f t="shared" si="57"/>
        <v>0</v>
      </c>
      <c r="AG105" s="7">
        <v>2</v>
      </c>
      <c r="AH105" s="25">
        <f t="shared" si="58"/>
        <v>30.82</v>
      </c>
      <c r="AI105" s="53" t="e">
        <f t="shared" si="59"/>
        <v>#DIV/0!</v>
      </c>
    </row>
    <row r="106" ht="15" customHeight="1" spans="1:35">
      <c r="A106" s="7" t="s">
        <v>381</v>
      </c>
      <c r="B106" s="7" t="s">
        <v>382</v>
      </c>
      <c r="C106" s="7" t="s">
        <v>34</v>
      </c>
      <c r="D106" s="7" t="s">
        <v>35</v>
      </c>
      <c r="E106" s="7" t="s">
        <v>110</v>
      </c>
      <c r="F106" s="48">
        <v>17.92</v>
      </c>
      <c r="G106" s="48">
        <v>336</v>
      </c>
      <c r="H106" s="48">
        <v>5</v>
      </c>
      <c r="I106" s="48">
        <v>67</v>
      </c>
      <c r="J106" s="48">
        <v>80</v>
      </c>
      <c r="K106" s="7">
        <v>1434</v>
      </c>
      <c r="L106" s="21">
        <f t="shared" si="30"/>
        <v>1.72</v>
      </c>
      <c r="M106" s="21">
        <f t="shared" si="31"/>
        <v>208.32</v>
      </c>
      <c r="N106" s="21">
        <f t="shared" si="32"/>
        <v>3733.0944</v>
      </c>
      <c r="O106" s="21">
        <f t="shared" si="33"/>
        <v>-1.26666666666667</v>
      </c>
      <c r="P106" s="21">
        <f t="shared" si="34"/>
        <v>115.733333333333</v>
      </c>
      <c r="Q106" s="21">
        <f t="shared" si="35"/>
        <v>3110.912</v>
      </c>
      <c r="R106" s="21">
        <f t="shared" si="36"/>
        <v>115.733333333333</v>
      </c>
      <c r="S106" s="21">
        <f t="shared" si="37"/>
        <v>3.73333333333333</v>
      </c>
      <c r="T106" s="21">
        <f t="shared" si="38"/>
        <v>-1.26666666666667</v>
      </c>
      <c r="U106" s="21">
        <f t="shared" si="39"/>
        <v>3110.912</v>
      </c>
      <c r="V106" s="22">
        <v>0.902439024390244</v>
      </c>
      <c r="W106" s="21">
        <f t="shared" si="50"/>
        <v>3.36910569105691</v>
      </c>
      <c r="X106" s="21">
        <f t="shared" si="51"/>
        <v>104.442276422764</v>
      </c>
      <c r="Y106" s="21">
        <f t="shared" si="52"/>
        <v>2807.4083902439</v>
      </c>
      <c r="Z106" s="50">
        <v>81</v>
      </c>
      <c r="AA106" s="51">
        <f t="shared" si="53"/>
        <v>1451.52</v>
      </c>
      <c r="AB106" s="52">
        <f t="shared" si="54"/>
        <v>0.775548013451241</v>
      </c>
      <c r="AC106" s="22">
        <v>0.0975609756097561</v>
      </c>
      <c r="AD106" s="21">
        <f t="shared" si="55"/>
        <v>0.364227642276423</v>
      </c>
      <c r="AE106" s="21">
        <f t="shared" si="56"/>
        <v>11.2910569105691</v>
      </c>
      <c r="AF106" s="21">
        <f t="shared" si="57"/>
        <v>303.503609756098</v>
      </c>
      <c r="AG106" s="7">
        <v>151</v>
      </c>
      <c r="AH106" s="25">
        <f t="shared" si="58"/>
        <v>2705.92</v>
      </c>
      <c r="AI106" s="53">
        <f t="shared" si="59"/>
        <v>13.3734158986175</v>
      </c>
    </row>
    <row r="107" ht="15" customHeight="1" spans="1:35">
      <c r="A107" s="7" t="s">
        <v>217</v>
      </c>
      <c r="B107" s="7" t="s">
        <v>218</v>
      </c>
      <c r="C107" s="7" t="s">
        <v>34</v>
      </c>
      <c r="D107" s="7" t="s">
        <v>35</v>
      </c>
      <c r="E107" s="7" t="s">
        <v>219</v>
      </c>
      <c r="F107" s="48">
        <v>92.46</v>
      </c>
      <c r="G107" s="48">
        <v>63</v>
      </c>
      <c r="H107" s="55"/>
      <c r="I107" s="55"/>
      <c r="J107" s="48">
        <v>62</v>
      </c>
      <c r="K107" s="7">
        <v>8553</v>
      </c>
      <c r="L107" s="21">
        <f t="shared" si="30"/>
        <v>1.26</v>
      </c>
      <c r="M107" s="21">
        <f t="shared" si="31"/>
        <v>39.06</v>
      </c>
      <c r="N107" s="21">
        <f t="shared" si="32"/>
        <v>3611.4876</v>
      </c>
      <c r="O107" s="21">
        <f t="shared" si="33"/>
        <v>0.7</v>
      </c>
      <c r="P107" s="21">
        <f t="shared" si="34"/>
        <v>21.7</v>
      </c>
      <c r="Q107" s="21">
        <f t="shared" si="35"/>
        <v>3009.573</v>
      </c>
      <c r="R107" s="21">
        <f t="shared" si="36"/>
        <v>21.7</v>
      </c>
      <c r="S107" s="21">
        <f t="shared" si="37"/>
        <v>0.7</v>
      </c>
      <c r="T107" s="21">
        <f t="shared" si="38"/>
        <v>0.7</v>
      </c>
      <c r="U107" s="21">
        <f t="shared" si="39"/>
        <v>3009.573</v>
      </c>
      <c r="V107" s="22">
        <v>0.666666666666667</v>
      </c>
      <c r="W107" s="21">
        <f t="shared" si="50"/>
        <v>0.466666666666667</v>
      </c>
      <c r="X107" s="21">
        <f t="shared" si="51"/>
        <v>14.4666666666667</v>
      </c>
      <c r="Y107" s="21">
        <f t="shared" si="52"/>
        <v>2006.382</v>
      </c>
      <c r="Z107" s="50">
        <v>1</v>
      </c>
      <c r="AA107" s="51">
        <f t="shared" si="53"/>
        <v>92.46</v>
      </c>
      <c r="AB107" s="52">
        <f t="shared" si="54"/>
        <v>0.0691244239631335</v>
      </c>
      <c r="AC107" s="22">
        <v>0.333333333333333</v>
      </c>
      <c r="AD107" s="21">
        <f t="shared" si="55"/>
        <v>0.233333333333333</v>
      </c>
      <c r="AE107" s="21">
        <f t="shared" si="56"/>
        <v>7.23333333333333</v>
      </c>
      <c r="AF107" s="21">
        <f t="shared" si="57"/>
        <v>1003.191</v>
      </c>
      <c r="AG107" s="7">
        <v>0</v>
      </c>
      <c r="AH107" s="25">
        <f t="shared" si="58"/>
        <v>0</v>
      </c>
      <c r="AI107" s="53">
        <f t="shared" si="59"/>
        <v>0</v>
      </c>
    </row>
    <row r="108" ht="15" customHeight="1" spans="1:35">
      <c r="A108" s="7" t="s">
        <v>228</v>
      </c>
      <c r="B108" s="7" t="s">
        <v>229</v>
      </c>
      <c r="C108" s="7" t="s">
        <v>34</v>
      </c>
      <c r="D108" s="7" t="s">
        <v>51</v>
      </c>
      <c r="E108" s="7" t="s">
        <v>180</v>
      </c>
      <c r="F108" s="48">
        <v>80.47</v>
      </c>
      <c r="G108" s="48">
        <v>72</v>
      </c>
      <c r="H108" s="55"/>
      <c r="I108" s="55"/>
      <c r="J108" s="48">
        <v>72</v>
      </c>
      <c r="K108" s="7">
        <v>8691</v>
      </c>
      <c r="L108" s="21">
        <f t="shared" si="30"/>
        <v>1.44</v>
      </c>
      <c r="M108" s="21">
        <f t="shared" si="31"/>
        <v>44.64</v>
      </c>
      <c r="N108" s="21">
        <f t="shared" si="32"/>
        <v>3592.1808</v>
      </c>
      <c r="O108" s="21">
        <f t="shared" si="33"/>
        <v>0.8</v>
      </c>
      <c r="P108" s="21">
        <f t="shared" si="34"/>
        <v>24.8</v>
      </c>
      <c r="Q108" s="21">
        <f t="shared" si="35"/>
        <v>2993.484</v>
      </c>
      <c r="R108" s="21">
        <f t="shared" si="36"/>
        <v>24.8</v>
      </c>
      <c r="S108" s="21">
        <f t="shared" si="37"/>
        <v>0.8</v>
      </c>
      <c r="T108" s="21">
        <f t="shared" si="38"/>
        <v>0.8</v>
      </c>
      <c r="U108" s="21">
        <f t="shared" si="39"/>
        <v>2993.484</v>
      </c>
      <c r="V108" s="22">
        <v>0.3</v>
      </c>
      <c r="W108" s="21">
        <f t="shared" si="50"/>
        <v>0.24</v>
      </c>
      <c r="X108" s="21">
        <f t="shared" si="51"/>
        <v>7.44</v>
      </c>
      <c r="Y108" s="21">
        <f t="shared" si="52"/>
        <v>898.0452</v>
      </c>
      <c r="Z108" s="50">
        <v>0</v>
      </c>
      <c r="AA108" s="51">
        <f t="shared" si="53"/>
        <v>0</v>
      </c>
      <c r="AB108" s="52">
        <f t="shared" si="54"/>
        <v>0</v>
      </c>
      <c r="AC108" s="22">
        <v>0.7</v>
      </c>
      <c r="AD108" s="21">
        <f t="shared" si="55"/>
        <v>0.56</v>
      </c>
      <c r="AE108" s="21">
        <f t="shared" si="56"/>
        <v>17.36</v>
      </c>
      <c r="AF108" s="21">
        <f t="shared" si="57"/>
        <v>2095.4388</v>
      </c>
      <c r="AG108" s="7">
        <v>1</v>
      </c>
      <c r="AH108" s="25">
        <f t="shared" si="58"/>
        <v>80.47</v>
      </c>
      <c r="AI108" s="53">
        <f t="shared" si="59"/>
        <v>0.0576036866359447</v>
      </c>
    </row>
    <row r="109" ht="15" customHeight="1" spans="1:35">
      <c r="A109" s="7" t="s">
        <v>404</v>
      </c>
      <c r="B109" s="7" t="s">
        <v>405</v>
      </c>
      <c r="C109" s="7" t="s">
        <v>34</v>
      </c>
      <c r="D109" s="7" t="s">
        <v>35</v>
      </c>
      <c r="E109" s="7" t="s">
        <v>250</v>
      </c>
      <c r="F109" s="48">
        <v>146.2</v>
      </c>
      <c r="G109" s="48">
        <v>39</v>
      </c>
      <c r="H109" s="55"/>
      <c r="I109" s="55"/>
      <c r="J109" s="48">
        <v>38</v>
      </c>
      <c r="K109" s="7">
        <v>8260</v>
      </c>
      <c r="L109" s="21">
        <f t="shared" si="30"/>
        <v>0.78</v>
      </c>
      <c r="M109" s="21">
        <f t="shared" si="31"/>
        <v>24.18</v>
      </c>
      <c r="N109" s="21">
        <f t="shared" si="32"/>
        <v>3535.116</v>
      </c>
      <c r="O109" s="21">
        <f t="shared" si="33"/>
        <v>0.433333333333333</v>
      </c>
      <c r="P109" s="21">
        <f t="shared" si="34"/>
        <v>13.4333333333333</v>
      </c>
      <c r="Q109" s="21">
        <f t="shared" si="35"/>
        <v>2945.93</v>
      </c>
      <c r="R109" s="21">
        <f t="shared" si="36"/>
        <v>13.4333333333333</v>
      </c>
      <c r="S109" s="21">
        <f t="shared" si="37"/>
        <v>0.433333333333333</v>
      </c>
      <c r="T109" s="21">
        <f t="shared" si="38"/>
        <v>0.433333333333333</v>
      </c>
      <c r="U109" s="21">
        <f t="shared" si="39"/>
        <v>2945.93</v>
      </c>
      <c r="V109" s="49">
        <v>1</v>
      </c>
      <c r="W109" s="21">
        <f t="shared" si="50"/>
        <v>0.433333333333333</v>
      </c>
      <c r="X109" s="21">
        <f t="shared" si="51"/>
        <v>13.4333333333333</v>
      </c>
      <c r="Y109" s="21">
        <f t="shared" si="52"/>
        <v>2945.93</v>
      </c>
      <c r="Z109" s="50">
        <v>3</v>
      </c>
      <c r="AA109" s="51">
        <f t="shared" si="53"/>
        <v>438.6</v>
      </c>
      <c r="AB109" s="52">
        <f t="shared" si="54"/>
        <v>0.22332506203474</v>
      </c>
      <c r="AC109" s="49">
        <v>0</v>
      </c>
      <c r="AD109" s="21">
        <f t="shared" si="55"/>
        <v>0</v>
      </c>
      <c r="AE109" s="21">
        <f t="shared" si="56"/>
        <v>0</v>
      </c>
      <c r="AF109" s="21">
        <f t="shared" si="57"/>
        <v>0</v>
      </c>
      <c r="AG109" s="7">
        <v>2</v>
      </c>
      <c r="AH109" s="25">
        <f t="shared" si="58"/>
        <v>292.4</v>
      </c>
      <c r="AI109" s="53" t="e">
        <f t="shared" si="59"/>
        <v>#DIV/0!</v>
      </c>
    </row>
    <row r="110" ht="15" customHeight="1" spans="1:35">
      <c r="A110" s="7" t="s">
        <v>266</v>
      </c>
      <c r="B110" s="7" t="s">
        <v>267</v>
      </c>
      <c r="C110" s="7" t="s">
        <v>34</v>
      </c>
      <c r="D110" s="7" t="s">
        <v>35</v>
      </c>
      <c r="E110" s="7" t="s">
        <v>250</v>
      </c>
      <c r="F110" s="48">
        <v>160.68</v>
      </c>
      <c r="G110" s="48">
        <v>35</v>
      </c>
      <c r="H110" s="55"/>
      <c r="I110" s="55"/>
      <c r="J110" s="48">
        <v>34</v>
      </c>
      <c r="K110" s="7">
        <v>8114</v>
      </c>
      <c r="L110" s="21">
        <f t="shared" si="30"/>
        <v>0.7</v>
      </c>
      <c r="M110" s="21">
        <f t="shared" si="31"/>
        <v>21.7</v>
      </c>
      <c r="N110" s="21">
        <f t="shared" si="32"/>
        <v>3486.756</v>
      </c>
      <c r="O110" s="21">
        <f t="shared" si="33"/>
        <v>0.388888888888889</v>
      </c>
      <c r="P110" s="21">
        <f t="shared" si="34"/>
        <v>12.0555555555556</v>
      </c>
      <c r="Q110" s="21">
        <f t="shared" si="35"/>
        <v>2905.63</v>
      </c>
      <c r="R110" s="21">
        <f t="shared" si="36"/>
        <v>12.0555555555556</v>
      </c>
      <c r="S110" s="21">
        <f t="shared" si="37"/>
        <v>0.388888888888889</v>
      </c>
      <c r="T110" s="21">
        <f t="shared" si="38"/>
        <v>0.388888888888889</v>
      </c>
      <c r="U110" s="21">
        <f t="shared" si="39"/>
        <v>2905.63</v>
      </c>
      <c r="V110" s="49">
        <v>0.5</v>
      </c>
      <c r="W110" s="21">
        <f t="shared" si="50"/>
        <v>0.194444444444444</v>
      </c>
      <c r="X110" s="21">
        <f t="shared" si="51"/>
        <v>6.02777777777778</v>
      </c>
      <c r="Y110" s="21">
        <f t="shared" si="52"/>
        <v>1452.815</v>
      </c>
      <c r="Z110" s="50">
        <v>0</v>
      </c>
      <c r="AA110" s="51">
        <f t="shared" si="53"/>
        <v>0</v>
      </c>
      <c r="AB110" s="52">
        <f t="shared" si="54"/>
        <v>0</v>
      </c>
      <c r="AC110" s="49">
        <v>0.5</v>
      </c>
      <c r="AD110" s="21">
        <f t="shared" si="55"/>
        <v>0.194444444444444</v>
      </c>
      <c r="AE110" s="21">
        <f t="shared" si="56"/>
        <v>6.02777777777778</v>
      </c>
      <c r="AF110" s="21">
        <f t="shared" si="57"/>
        <v>1452.815</v>
      </c>
      <c r="AG110" s="7">
        <v>0</v>
      </c>
      <c r="AH110" s="25">
        <f t="shared" si="58"/>
        <v>0</v>
      </c>
      <c r="AI110" s="53">
        <f t="shared" si="59"/>
        <v>0</v>
      </c>
    </row>
    <row r="111" ht="15" customHeight="1" spans="1:35">
      <c r="A111" s="7" t="s">
        <v>223</v>
      </c>
      <c r="B111" s="7" t="s">
        <v>224</v>
      </c>
      <c r="C111" s="7" t="s">
        <v>34</v>
      </c>
      <c r="D111" s="7" t="s">
        <v>35</v>
      </c>
      <c r="E111" s="7" t="s">
        <v>66</v>
      </c>
      <c r="F111" s="48">
        <v>109.41</v>
      </c>
      <c r="G111" s="48">
        <v>50</v>
      </c>
      <c r="H111" s="55"/>
      <c r="I111" s="55"/>
      <c r="J111" s="48">
        <v>50</v>
      </c>
      <c r="K111" s="7">
        <v>8206</v>
      </c>
      <c r="L111" s="21">
        <f t="shared" si="30"/>
        <v>1</v>
      </c>
      <c r="M111" s="21">
        <f t="shared" si="31"/>
        <v>31</v>
      </c>
      <c r="N111" s="21">
        <f t="shared" si="32"/>
        <v>3391.71</v>
      </c>
      <c r="O111" s="21">
        <f t="shared" si="33"/>
        <v>0.555555555555556</v>
      </c>
      <c r="P111" s="21">
        <f t="shared" si="34"/>
        <v>17.2222222222222</v>
      </c>
      <c r="Q111" s="21">
        <f t="shared" si="35"/>
        <v>2826.425</v>
      </c>
      <c r="R111" s="21">
        <f t="shared" si="36"/>
        <v>17.2222222222222</v>
      </c>
      <c r="S111" s="21">
        <f t="shared" si="37"/>
        <v>0.555555555555556</v>
      </c>
      <c r="T111" s="21">
        <f t="shared" si="38"/>
        <v>0.555555555555556</v>
      </c>
      <c r="U111" s="21">
        <f t="shared" si="39"/>
        <v>2826.425</v>
      </c>
      <c r="V111" s="49">
        <v>0.5</v>
      </c>
      <c r="W111" s="21">
        <f t="shared" si="50"/>
        <v>0.277777777777778</v>
      </c>
      <c r="X111" s="21">
        <f t="shared" si="51"/>
        <v>8.61111111111111</v>
      </c>
      <c r="Y111" s="21">
        <f t="shared" si="52"/>
        <v>1413.2125</v>
      </c>
      <c r="Z111" s="50">
        <v>0</v>
      </c>
      <c r="AA111" s="51">
        <f t="shared" si="53"/>
        <v>0</v>
      </c>
      <c r="AB111" s="52">
        <f t="shared" si="54"/>
        <v>0</v>
      </c>
      <c r="AC111" s="49">
        <v>0.5</v>
      </c>
      <c r="AD111" s="21">
        <f t="shared" si="55"/>
        <v>0.277777777777778</v>
      </c>
      <c r="AE111" s="21">
        <f t="shared" si="56"/>
        <v>8.61111111111111</v>
      </c>
      <c r="AF111" s="21">
        <f t="shared" si="57"/>
        <v>1413.2125</v>
      </c>
      <c r="AG111" s="7">
        <v>0</v>
      </c>
      <c r="AH111" s="25">
        <f t="shared" si="58"/>
        <v>0</v>
      </c>
      <c r="AI111" s="53">
        <f t="shared" si="59"/>
        <v>0</v>
      </c>
    </row>
    <row r="112" ht="15" customHeight="1" spans="1:35">
      <c r="A112" s="7" t="s">
        <v>614</v>
      </c>
      <c r="B112" s="7" t="s">
        <v>705</v>
      </c>
      <c r="C112" s="7" t="s">
        <v>34</v>
      </c>
      <c r="D112" s="7" t="s">
        <v>35</v>
      </c>
      <c r="E112" s="7" t="s">
        <v>706</v>
      </c>
      <c r="F112" s="48">
        <v>179.23</v>
      </c>
      <c r="G112" s="48">
        <v>30</v>
      </c>
      <c r="H112" s="55"/>
      <c r="I112" s="55"/>
      <c r="J112" s="48">
        <v>20</v>
      </c>
      <c r="K112" s="7">
        <v>4660</v>
      </c>
      <c r="L112" s="21">
        <f t="shared" si="30"/>
        <v>0.6</v>
      </c>
      <c r="M112" s="21">
        <f t="shared" si="31"/>
        <v>18.6</v>
      </c>
      <c r="N112" s="21">
        <f t="shared" si="32"/>
        <v>3333.678</v>
      </c>
      <c r="O112" s="21">
        <f t="shared" si="33"/>
        <v>0.333333333333333</v>
      </c>
      <c r="P112" s="21">
        <f t="shared" si="34"/>
        <v>10.3333333333333</v>
      </c>
      <c r="Q112" s="21">
        <f t="shared" si="35"/>
        <v>2778.065</v>
      </c>
      <c r="R112" s="21">
        <f t="shared" si="36"/>
        <v>10.3333333333333</v>
      </c>
      <c r="S112" s="21">
        <f t="shared" si="37"/>
        <v>0.333333333333333</v>
      </c>
      <c r="T112" s="21">
        <f t="shared" si="38"/>
        <v>0.333333333333333</v>
      </c>
      <c r="U112" s="21">
        <f t="shared" si="39"/>
        <v>2778.065</v>
      </c>
      <c r="V112" s="22">
        <v>0.882352941176471</v>
      </c>
      <c r="W112" s="21">
        <f t="shared" si="50"/>
        <v>0.294117647058824</v>
      </c>
      <c r="X112" s="21">
        <f t="shared" si="51"/>
        <v>9.11764705882353</v>
      </c>
      <c r="Y112" s="21">
        <f t="shared" si="52"/>
        <v>2451.23382352941</v>
      </c>
      <c r="Z112" s="50">
        <v>2</v>
      </c>
      <c r="AA112" s="51">
        <f t="shared" si="53"/>
        <v>358.46</v>
      </c>
      <c r="AB112" s="52">
        <f t="shared" si="54"/>
        <v>0.219354838709677</v>
      </c>
      <c r="AC112" s="22">
        <v>0.117647058823529</v>
      </c>
      <c r="AD112" s="21">
        <f t="shared" si="55"/>
        <v>0.0392156862745097</v>
      </c>
      <c r="AE112" s="21">
        <f t="shared" si="56"/>
        <v>1.2156862745098</v>
      </c>
      <c r="AF112" s="21">
        <f t="shared" si="57"/>
        <v>326.831176470587</v>
      </c>
      <c r="AG112" s="7">
        <v>2</v>
      </c>
      <c r="AH112" s="25">
        <f t="shared" si="58"/>
        <v>358.46</v>
      </c>
      <c r="AI112" s="53">
        <f t="shared" si="59"/>
        <v>1.64516129032259</v>
      </c>
    </row>
    <row r="113" ht="15" customHeight="1" spans="1:35">
      <c r="A113" s="7" t="s">
        <v>790</v>
      </c>
      <c r="B113" s="7" t="s">
        <v>791</v>
      </c>
      <c r="C113" s="7" t="s">
        <v>34</v>
      </c>
      <c r="D113" s="7" t="s">
        <v>51</v>
      </c>
      <c r="E113" s="7" t="s">
        <v>165</v>
      </c>
      <c r="F113" s="48">
        <v>95.97</v>
      </c>
      <c r="G113" s="48">
        <v>55</v>
      </c>
      <c r="H113" s="55"/>
      <c r="I113" s="55"/>
      <c r="J113" s="48">
        <v>10</v>
      </c>
      <c r="K113" s="7">
        <v>960</v>
      </c>
      <c r="L113" s="21">
        <f t="shared" si="30"/>
        <v>1.1</v>
      </c>
      <c r="M113" s="21">
        <f t="shared" si="31"/>
        <v>34.1</v>
      </c>
      <c r="N113" s="21">
        <f t="shared" si="32"/>
        <v>3272.577</v>
      </c>
      <c r="O113" s="21">
        <f t="shared" si="33"/>
        <v>0.611111111111111</v>
      </c>
      <c r="P113" s="21">
        <f t="shared" si="34"/>
        <v>18.9444444444444</v>
      </c>
      <c r="Q113" s="21">
        <f t="shared" si="35"/>
        <v>2727.1475</v>
      </c>
      <c r="R113" s="21">
        <f t="shared" si="36"/>
        <v>18.9444444444444</v>
      </c>
      <c r="S113" s="21">
        <f t="shared" si="37"/>
        <v>0.611111111111111</v>
      </c>
      <c r="T113" s="21">
        <f t="shared" si="38"/>
        <v>0.611111111111111</v>
      </c>
      <c r="U113" s="21">
        <f t="shared" si="39"/>
        <v>2727.1475</v>
      </c>
      <c r="V113" s="49">
        <v>0.5</v>
      </c>
      <c r="W113" s="21">
        <f t="shared" si="50"/>
        <v>0.305555555555556</v>
      </c>
      <c r="X113" s="21">
        <f t="shared" si="51"/>
        <v>9.47222222222222</v>
      </c>
      <c r="Y113" s="21">
        <f t="shared" si="52"/>
        <v>1363.57375</v>
      </c>
      <c r="Z113" s="50">
        <v>38</v>
      </c>
      <c r="AA113" s="51">
        <f t="shared" si="53"/>
        <v>3646.86</v>
      </c>
      <c r="AB113" s="52">
        <f t="shared" si="54"/>
        <v>4.01173020527859</v>
      </c>
      <c r="AC113" s="22">
        <v>1</v>
      </c>
      <c r="AD113" s="21">
        <f t="shared" si="55"/>
        <v>0.611111111111111</v>
      </c>
      <c r="AE113" s="21">
        <f t="shared" si="56"/>
        <v>18.9444444444444</v>
      </c>
      <c r="AF113" s="21">
        <f t="shared" si="57"/>
        <v>2727.1475</v>
      </c>
      <c r="AG113" s="7">
        <v>16</v>
      </c>
      <c r="AH113" s="25">
        <f t="shared" si="58"/>
        <v>1535.52</v>
      </c>
      <c r="AI113" s="53">
        <f t="shared" si="59"/>
        <v>0.844574780058653</v>
      </c>
    </row>
    <row r="114" ht="15" customHeight="1" spans="1:35">
      <c r="A114" s="7" t="s">
        <v>626</v>
      </c>
      <c r="B114" s="7" t="s">
        <v>709</v>
      </c>
      <c r="C114" s="7" t="s">
        <v>34</v>
      </c>
      <c r="D114" s="7" t="s">
        <v>35</v>
      </c>
      <c r="E114" s="7" t="s">
        <v>492</v>
      </c>
      <c r="F114" s="48">
        <v>49.18</v>
      </c>
      <c r="G114" s="48">
        <v>104</v>
      </c>
      <c r="H114" s="55"/>
      <c r="I114" s="55"/>
      <c r="J114" s="48">
        <v>94</v>
      </c>
      <c r="K114" s="7">
        <v>6738</v>
      </c>
      <c r="L114" s="21">
        <f t="shared" si="30"/>
        <v>2.08</v>
      </c>
      <c r="M114" s="21">
        <f t="shared" si="31"/>
        <v>64.48</v>
      </c>
      <c r="N114" s="21">
        <f t="shared" si="32"/>
        <v>3171.1264</v>
      </c>
      <c r="O114" s="21">
        <f t="shared" si="33"/>
        <v>1.15555555555556</v>
      </c>
      <c r="P114" s="21">
        <f t="shared" si="34"/>
        <v>35.8222222222222</v>
      </c>
      <c r="Q114" s="21">
        <f t="shared" si="35"/>
        <v>2642.60533333333</v>
      </c>
      <c r="R114" s="21">
        <f t="shared" si="36"/>
        <v>35.8222222222222</v>
      </c>
      <c r="S114" s="21">
        <f t="shared" si="37"/>
        <v>1.15555555555556</v>
      </c>
      <c r="T114" s="21">
        <f t="shared" si="38"/>
        <v>1.15555555555556</v>
      </c>
      <c r="U114" s="21">
        <f t="shared" si="39"/>
        <v>2642.60533333333</v>
      </c>
      <c r="V114" s="22">
        <v>0.635714285714286</v>
      </c>
      <c r="W114" s="21">
        <f t="shared" si="50"/>
        <v>0.734603174603175</v>
      </c>
      <c r="X114" s="21">
        <f t="shared" si="51"/>
        <v>22.7726984126984</v>
      </c>
      <c r="Y114" s="21">
        <f t="shared" si="52"/>
        <v>1679.94196190476</v>
      </c>
      <c r="Z114" s="50">
        <v>11</v>
      </c>
      <c r="AA114" s="51">
        <f t="shared" si="53"/>
        <v>540.98</v>
      </c>
      <c r="AB114" s="52">
        <f t="shared" si="54"/>
        <v>0.483034544288622</v>
      </c>
      <c r="AC114" s="22">
        <v>0.357142857142857</v>
      </c>
      <c r="AD114" s="21">
        <f t="shared" si="55"/>
        <v>0.412698412698412</v>
      </c>
      <c r="AE114" s="21">
        <f t="shared" si="56"/>
        <v>12.7936507936508</v>
      </c>
      <c r="AF114" s="21">
        <f t="shared" si="57"/>
        <v>943.787619047618</v>
      </c>
      <c r="AG114" s="7">
        <v>8</v>
      </c>
      <c r="AH114" s="25">
        <f t="shared" si="58"/>
        <v>393.44</v>
      </c>
      <c r="AI114" s="53">
        <f t="shared" si="59"/>
        <v>0.62531017369727</v>
      </c>
    </row>
    <row r="115" ht="15" customHeight="1" spans="1:35">
      <c r="A115" s="7" t="s">
        <v>291</v>
      </c>
      <c r="B115" s="7" t="s">
        <v>292</v>
      </c>
      <c r="C115" s="7" t="s">
        <v>34</v>
      </c>
      <c r="D115" s="7" t="s">
        <v>51</v>
      </c>
      <c r="E115" s="7" t="s">
        <v>180</v>
      </c>
      <c r="F115" s="48">
        <v>110.8</v>
      </c>
      <c r="G115" s="48">
        <v>46</v>
      </c>
      <c r="H115" s="55"/>
      <c r="I115" s="55"/>
      <c r="J115" s="48">
        <v>43</v>
      </c>
      <c r="K115" s="7">
        <v>6980</v>
      </c>
      <c r="L115" s="21">
        <f t="shared" si="30"/>
        <v>0.92</v>
      </c>
      <c r="M115" s="21">
        <f t="shared" si="31"/>
        <v>28.52</v>
      </c>
      <c r="N115" s="21">
        <f t="shared" si="32"/>
        <v>3160.016</v>
      </c>
      <c r="O115" s="21">
        <f t="shared" si="33"/>
        <v>0.511111111111111</v>
      </c>
      <c r="P115" s="21">
        <f t="shared" si="34"/>
        <v>15.8444444444444</v>
      </c>
      <c r="Q115" s="21">
        <f t="shared" si="35"/>
        <v>2633.34666666667</v>
      </c>
      <c r="R115" s="21">
        <f t="shared" si="36"/>
        <v>15.8444444444444</v>
      </c>
      <c r="S115" s="21">
        <f t="shared" si="37"/>
        <v>0.511111111111111</v>
      </c>
      <c r="T115" s="21">
        <f t="shared" si="38"/>
        <v>0.511111111111111</v>
      </c>
      <c r="U115" s="21">
        <f t="shared" si="39"/>
        <v>2633.34666666667</v>
      </c>
      <c r="V115" s="22">
        <v>1</v>
      </c>
      <c r="W115" s="21">
        <f t="shared" si="50"/>
        <v>0.511111111111111</v>
      </c>
      <c r="X115" s="21">
        <f t="shared" si="51"/>
        <v>15.8444444444444</v>
      </c>
      <c r="Y115" s="21">
        <f t="shared" si="52"/>
        <v>2633.34666666667</v>
      </c>
      <c r="Z115" s="50">
        <v>2</v>
      </c>
      <c r="AA115" s="51">
        <f t="shared" si="53"/>
        <v>221.6</v>
      </c>
      <c r="AB115" s="52">
        <f t="shared" si="54"/>
        <v>0.126227208976157</v>
      </c>
      <c r="AC115" s="22">
        <v>0</v>
      </c>
      <c r="AD115" s="21">
        <f t="shared" si="55"/>
        <v>0</v>
      </c>
      <c r="AE115" s="21">
        <f t="shared" si="56"/>
        <v>0</v>
      </c>
      <c r="AF115" s="21">
        <f t="shared" si="57"/>
        <v>0</v>
      </c>
      <c r="AG115" s="7">
        <v>3</v>
      </c>
      <c r="AH115" s="25">
        <f t="shared" si="58"/>
        <v>332.4</v>
      </c>
      <c r="AI115" s="53" t="e">
        <f t="shared" si="59"/>
        <v>#DIV/0!</v>
      </c>
    </row>
    <row r="116" ht="15" customHeight="1" spans="1:35">
      <c r="A116" s="7" t="s">
        <v>241</v>
      </c>
      <c r="B116" s="60" t="s">
        <v>242</v>
      </c>
      <c r="C116" s="7" t="s">
        <v>34</v>
      </c>
      <c r="D116" s="7" t="s">
        <v>51</v>
      </c>
      <c r="E116" s="7" t="s">
        <v>243</v>
      </c>
      <c r="F116" s="48">
        <v>43.54</v>
      </c>
      <c r="G116" s="48">
        <v>115</v>
      </c>
      <c r="H116" s="55"/>
      <c r="I116" s="55"/>
      <c r="J116" s="48">
        <v>114</v>
      </c>
      <c r="K116" s="7">
        <v>7424</v>
      </c>
      <c r="L116" s="21">
        <f t="shared" si="30"/>
        <v>2.3</v>
      </c>
      <c r="M116" s="21">
        <f t="shared" si="31"/>
        <v>71.3</v>
      </c>
      <c r="N116" s="21">
        <f t="shared" si="32"/>
        <v>3104.402</v>
      </c>
      <c r="O116" s="21">
        <f t="shared" si="33"/>
        <v>1.27777777777778</v>
      </c>
      <c r="P116" s="21">
        <f t="shared" si="34"/>
        <v>39.6111111111111</v>
      </c>
      <c r="Q116" s="21">
        <f t="shared" si="35"/>
        <v>2587.00166666667</v>
      </c>
      <c r="R116" s="21">
        <f t="shared" si="36"/>
        <v>39.6111111111111</v>
      </c>
      <c r="S116" s="21">
        <f t="shared" si="37"/>
        <v>1.27777777777778</v>
      </c>
      <c r="T116" s="21">
        <f t="shared" si="38"/>
        <v>1.27777777777778</v>
      </c>
      <c r="U116" s="21">
        <f t="shared" si="39"/>
        <v>2587.00166666667</v>
      </c>
      <c r="V116" s="22">
        <v>0</v>
      </c>
      <c r="W116" s="21">
        <f t="shared" si="50"/>
        <v>0</v>
      </c>
      <c r="X116" s="21">
        <f t="shared" si="51"/>
        <v>0</v>
      </c>
      <c r="Y116" s="21">
        <f t="shared" si="52"/>
        <v>0</v>
      </c>
      <c r="Z116" s="50">
        <v>0</v>
      </c>
      <c r="AA116" s="51">
        <f t="shared" si="53"/>
        <v>0</v>
      </c>
      <c r="AB116" s="52" t="e">
        <f t="shared" si="54"/>
        <v>#DIV/0!</v>
      </c>
      <c r="AC116" s="22">
        <v>0</v>
      </c>
      <c r="AD116" s="21">
        <f t="shared" si="55"/>
        <v>0</v>
      </c>
      <c r="AE116" s="21">
        <f t="shared" si="56"/>
        <v>0</v>
      </c>
      <c r="AF116" s="21">
        <f t="shared" si="57"/>
        <v>0</v>
      </c>
      <c r="AG116" s="7">
        <v>1</v>
      </c>
      <c r="AH116" s="25">
        <f t="shared" si="58"/>
        <v>43.54</v>
      </c>
      <c r="AI116" s="53" t="e">
        <f t="shared" si="59"/>
        <v>#DIV/0!</v>
      </c>
    </row>
    <row r="117" ht="15" customHeight="1" spans="1:35">
      <c r="A117" s="7" t="s">
        <v>792</v>
      </c>
      <c r="B117" s="7" t="s">
        <v>793</v>
      </c>
      <c r="C117" s="7" t="s">
        <v>34</v>
      </c>
      <c r="D117" s="7" t="s">
        <v>51</v>
      </c>
      <c r="E117" s="7" t="s">
        <v>203</v>
      </c>
      <c r="F117" s="48">
        <v>120.08</v>
      </c>
      <c r="G117" s="48">
        <v>40</v>
      </c>
      <c r="H117" s="55"/>
      <c r="I117" s="55"/>
      <c r="J117" s="48">
        <v>20</v>
      </c>
      <c r="K117" s="7">
        <v>2642</v>
      </c>
      <c r="L117" s="21">
        <f t="shared" si="30"/>
        <v>0.8</v>
      </c>
      <c r="M117" s="21">
        <f t="shared" si="31"/>
        <v>24.8</v>
      </c>
      <c r="N117" s="21">
        <f t="shared" si="32"/>
        <v>2977.984</v>
      </c>
      <c r="O117" s="21">
        <f t="shared" si="33"/>
        <v>0.444444444444444</v>
      </c>
      <c r="P117" s="21">
        <f t="shared" si="34"/>
        <v>13.7777777777778</v>
      </c>
      <c r="Q117" s="21">
        <f t="shared" si="35"/>
        <v>2481.65333333333</v>
      </c>
      <c r="R117" s="21">
        <f t="shared" si="36"/>
        <v>13.7777777777778</v>
      </c>
      <c r="S117" s="21">
        <f t="shared" si="37"/>
        <v>0.444444444444444</v>
      </c>
      <c r="T117" s="21">
        <f t="shared" si="38"/>
        <v>0.444444444444444</v>
      </c>
      <c r="U117" s="21">
        <f t="shared" si="39"/>
        <v>2481.65333333333</v>
      </c>
      <c r="V117" s="22">
        <v>0.125</v>
      </c>
      <c r="W117" s="21">
        <f t="shared" si="50"/>
        <v>0.0555555555555556</v>
      </c>
      <c r="X117" s="21">
        <f t="shared" si="51"/>
        <v>1.72222222222222</v>
      </c>
      <c r="Y117" s="21">
        <f t="shared" si="52"/>
        <v>310.206666666667</v>
      </c>
      <c r="Z117" s="50">
        <v>14</v>
      </c>
      <c r="AA117" s="51">
        <f t="shared" si="53"/>
        <v>1681.12</v>
      </c>
      <c r="AB117" s="52">
        <f t="shared" si="54"/>
        <v>8.12903225806453</v>
      </c>
      <c r="AC117" s="22">
        <v>0.875</v>
      </c>
      <c r="AD117" s="21">
        <f t="shared" si="55"/>
        <v>0.388888888888889</v>
      </c>
      <c r="AE117" s="21">
        <f t="shared" si="56"/>
        <v>12.0555555555556</v>
      </c>
      <c r="AF117" s="21">
        <f t="shared" si="57"/>
        <v>2171.44666666667</v>
      </c>
      <c r="AG117" s="7">
        <v>4</v>
      </c>
      <c r="AH117" s="25">
        <f t="shared" si="58"/>
        <v>480.32</v>
      </c>
      <c r="AI117" s="53">
        <f t="shared" si="59"/>
        <v>0.33179723502304</v>
      </c>
    </row>
    <row r="118" ht="15" customHeight="1" spans="1:35">
      <c r="A118" s="7" t="s">
        <v>646</v>
      </c>
      <c r="B118" s="7" t="s">
        <v>670</v>
      </c>
      <c r="C118" s="7" t="s">
        <v>34</v>
      </c>
      <c r="D118" s="7" t="s">
        <v>51</v>
      </c>
      <c r="E118" s="7" t="s">
        <v>320</v>
      </c>
      <c r="F118" s="48">
        <v>62.89</v>
      </c>
      <c r="G118" s="48">
        <v>76</v>
      </c>
      <c r="H118" s="48">
        <v>1</v>
      </c>
      <c r="I118" s="48">
        <v>76</v>
      </c>
      <c r="J118" s="48">
        <v>23</v>
      </c>
      <c r="K118" s="7">
        <v>1446</v>
      </c>
      <c r="L118" s="21">
        <f t="shared" si="30"/>
        <v>0.52</v>
      </c>
      <c r="M118" s="21">
        <f t="shared" si="31"/>
        <v>47.12</v>
      </c>
      <c r="N118" s="21">
        <f t="shared" si="32"/>
        <v>2963.3768</v>
      </c>
      <c r="O118" s="21">
        <f t="shared" si="33"/>
        <v>-0.155555555555556</v>
      </c>
      <c r="P118" s="21">
        <f t="shared" si="34"/>
        <v>26.1777777777778</v>
      </c>
      <c r="Q118" s="21">
        <f t="shared" si="35"/>
        <v>2469.48066666667</v>
      </c>
      <c r="R118" s="21">
        <f t="shared" si="36"/>
        <v>26.1777777777778</v>
      </c>
      <c r="S118" s="21">
        <f t="shared" si="37"/>
        <v>0.844444444444444</v>
      </c>
      <c r="T118" s="21">
        <f t="shared" si="38"/>
        <v>-0.155555555555556</v>
      </c>
      <c r="U118" s="21">
        <f t="shared" si="39"/>
        <v>2469.48066666667</v>
      </c>
      <c r="V118" s="22">
        <v>1</v>
      </c>
      <c r="W118" s="21">
        <f t="shared" si="50"/>
        <v>0.844444444444444</v>
      </c>
      <c r="X118" s="21">
        <f t="shared" si="51"/>
        <v>26.1777777777778</v>
      </c>
      <c r="Y118" s="21">
        <f t="shared" si="52"/>
        <v>2469.48066666667</v>
      </c>
      <c r="Z118" s="50">
        <v>5</v>
      </c>
      <c r="AA118" s="51">
        <f t="shared" si="53"/>
        <v>314.45</v>
      </c>
      <c r="AB118" s="52">
        <f t="shared" si="54"/>
        <v>0.191001697792869</v>
      </c>
      <c r="AC118" s="22">
        <v>0</v>
      </c>
      <c r="AD118" s="21">
        <f t="shared" si="55"/>
        <v>0</v>
      </c>
      <c r="AE118" s="21">
        <f t="shared" si="56"/>
        <v>0</v>
      </c>
      <c r="AF118" s="21">
        <f t="shared" si="57"/>
        <v>0</v>
      </c>
      <c r="AG118" s="7">
        <v>15</v>
      </c>
      <c r="AH118" s="25">
        <f t="shared" si="58"/>
        <v>943.35</v>
      </c>
      <c r="AI118" s="53" t="e">
        <f t="shared" si="59"/>
        <v>#DIV/0!</v>
      </c>
    </row>
    <row r="119" ht="15" customHeight="1" spans="1:35">
      <c r="A119" s="7" t="s">
        <v>794</v>
      </c>
      <c r="B119" s="7" t="s">
        <v>645</v>
      </c>
      <c r="C119" s="7" t="s">
        <v>34</v>
      </c>
      <c r="D119" s="7" t="s">
        <v>35</v>
      </c>
      <c r="E119" s="7" t="s">
        <v>156</v>
      </c>
      <c r="F119" s="48">
        <v>129.47</v>
      </c>
      <c r="G119" s="48">
        <v>36</v>
      </c>
      <c r="H119" s="55"/>
      <c r="I119" s="55"/>
      <c r="J119" s="48">
        <v>5</v>
      </c>
      <c r="K119" s="7">
        <v>647</v>
      </c>
      <c r="L119" s="21">
        <f t="shared" si="30"/>
        <v>0.72</v>
      </c>
      <c r="M119" s="21">
        <f t="shared" si="31"/>
        <v>22.32</v>
      </c>
      <c r="N119" s="21">
        <f t="shared" si="32"/>
        <v>2889.7704</v>
      </c>
      <c r="O119" s="21">
        <f t="shared" si="33"/>
        <v>0.4</v>
      </c>
      <c r="P119" s="21">
        <f t="shared" si="34"/>
        <v>12.4</v>
      </c>
      <c r="Q119" s="21">
        <f t="shared" si="35"/>
        <v>2408.142</v>
      </c>
      <c r="R119" s="21">
        <f t="shared" si="36"/>
        <v>12.4</v>
      </c>
      <c r="S119" s="21">
        <f t="shared" si="37"/>
        <v>0.4</v>
      </c>
      <c r="T119" s="21">
        <f t="shared" si="38"/>
        <v>0.4</v>
      </c>
      <c r="U119" s="21">
        <f t="shared" si="39"/>
        <v>2408.142</v>
      </c>
      <c r="V119" s="22">
        <v>1</v>
      </c>
      <c r="W119" s="21">
        <f t="shared" si="50"/>
        <v>0.4</v>
      </c>
      <c r="X119" s="21">
        <f t="shared" si="51"/>
        <v>12.4</v>
      </c>
      <c r="Y119" s="21">
        <f t="shared" si="52"/>
        <v>2408.142</v>
      </c>
      <c r="Z119" s="50">
        <v>7</v>
      </c>
      <c r="AA119" s="51">
        <f t="shared" si="53"/>
        <v>906.29</v>
      </c>
      <c r="AB119" s="52">
        <f t="shared" si="54"/>
        <v>0.564516129032258</v>
      </c>
      <c r="AC119" s="22">
        <v>0</v>
      </c>
      <c r="AD119" s="21">
        <f t="shared" si="55"/>
        <v>0</v>
      </c>
      <c r="AE119" s="21">
        <f t="shared" si="56"/>
        <v>0</v>
      </c>
      <c r="AF119" s="21">
        <f t="shared" si="57"/>
        <v>0</v>
      </c>
      <c r="AG119" s="7">
        <v>17</v>
      </c>
      <c r="AH119" s="25">
        <f t="shared" si="58"/>
        <v>2200.99</v>
      </c>
      <c r="AI119" s="53" t="e">
        <f t="shared" si="59"/>
        <v>#DIV/0!</v>
      </c>
    </row>
    <row r="120" ht="15" customHeight="1" spans="1:35">
      <c r="A120" s="7" t="s">
        <v>672</v>
      </c>
      <c r="B120" s="7" t="s">
        <v>730</v>
      </c>
      <c r="C120" s="7" t="s">
        <v>34</v>
      </c>
      <c r="D120" s="7" t="s">
        <v>51</v>
      </c>
      <c r="E120" s="7" t="s">
        <v>203</v>
      </c>
      <c r="F120" s="48">
        <v>113.04</v>
      </c>
      <c r="G120" s="48">
        <v>41</v>
      </c>
      <c r="H120" s="55"/>
      <c r="I120" s="55"/>
      <c r="J120" s="48">
        <v>26</v>
      </c>
      <c r="K120" s="7">
        <v>3730</v>
      </c>
      <c r="L120" s="21">
        <f t="shared" si="30"/>
        <v>0.82</v>
      </c>
      <c r="M120" s="21">
        <f t="shared" si="31"/>
        <v>25.42</v>
      </c>
      <c r="N120" s="21">
        <f t="shared" si="32"/>
        <v>2873.4768</v>
      </c>
      <c r="O120" s="21">
        <f t="shared" si="33"/>
        <v>0.455555555555556</v>
      </c>
      <c r="P120" s="21">
        <f t="shared" si="34"/>
        <v>14.1222222222222</v>
      </c>
      <c r="Q120" s="21">
        <f t="shared" si="35"/>
        <v>2394.564</v>
      </c>
      <c r="R120" s="21">
        <f t="shared" si="36"/>
        <v>14.1222222222222</v>
      </c>
      <c r="S120" s="21">
        <f t="shared" si="37"/>
        <v>0.455555555555556</v>
      </c>
      <c r="T120" s="21">
        <f t="shared" si="38"/>
        <v>0.455555555555556</v>
      </c>
      <c r="U120" s="21">
        <f t="shared" si="39"/>
        <v>2394.564</v>
      </c>
      <c r="V120" s="22">
        <v>0.90625</v>
      </c>
      <c r="W120" s="21">
        <f t="shared" si="50"/>
        <v>0.412847222222222</v>
      </c>
      <c r="X120" s="21">
        <f t="shared" si="51"/>
        <v>12.7982638888889</v>
      </c>
      <c r="Y120" s="21">
        <f t="shared" si="52"/>
        <v>2170.073625</v>
      </c>
      <c r="Z120" s="50">
        <v>11</v>
      </c>
      <c r="AA120" s="51">
        <f t="shared" si="53"/>
        <v>1243.44</v>
      </c>
      <c r="AB120" s="52">
        <f t="shared" si="54"/>
        <v>0.859491576005859</v>
      </c>
      <c r="AC120" s="22">
        <v>0.09375</v>
      </c>
      <c r="AD120" s="21">
        <f t="shared" si="55"/>
        <v>0.0427083333333333</v>
      </c>
      <c r="AE120" s="21">
        <f t="shared" si="56"/>
        <v>1.32395833333333</v>
      </c>
      <c r="AF120" s="21">
        <f t="shared" si="57"/>
        <v>224.490375</v>
      </c>
      <c r="AG120" s="7">
        <v>3</v>
      </c>
      <c r="AH120" s="25">
        <f t="shared" si="58"/>
        <v>339.12</v>
      </c>
      <c r="AI120" s="53">
        <f t="shared" si="59"/>
        <v>2.26593233674273</v>
      </c>
    </row>
    <row r="121" ht="15" customHeight="1" spans="1:35">
      <c r="A121" s="7" t="s">
        <v>620</v>
      </c>
      <c r="B121" s="7" t="s">
        <v>708</v>
      </c>
      <c r="C121" s="7" t="s">
        <v>34</v>
      </c>
      <c r="D121" s="7" t="s">
        <v>35</v>
      </c>
      <c r="E121" s="7" t="s">
        <v>500</v>
      </c>
      <c r="F121" s="48">
        <v>40.27</v>
      </c>
      <c r="G121" s="48">
        <v>115</v>
      </c>
      <c r="H121" s="55"/>
      <c r="I121" s="55"/>
      <c r="J121" s="48">
        <v>97</v>
      </c>
      <c r="K121" s="7">
        <v>5557</v>
      </c>
      <c r="L121" s="21">
        <f t="shared" si="30"/>
        <v>2.3</v>
      </c>
      <c r="M121" s="21">
        <f t="shared" si="31"/>
        <v>71.3</v>
      </c>
      <c r="N121" s="21">
        <f t="shared" si="32"/>
        <v>2871.251</v>
      </c>
      <c r="O121" s="21">
        <f t="shared" si="33"/>
        <v>1.27777777777778</v>
      </c>
      <c r="P121" s="21">
        <f t="shared" si="34"/>
        <v>39.6111111111111</v>
      </c>
      <c r="Q121" s="21">
        <f t="shared" si="35"/>
        <v>2392.70916666667</v>
      </c>
      <c r="R121" s="21">
        <f t="shared" si="36"/>
        <v>39.6111111111111</v>
      </c>
      <c r="S121" s="21">
        <f t="shared" si="37"/>
        <v>1.27777777777778</v>
      </c>
      <c r="T121" s="21">
        <f t="shared" si="38"/>
        <v>1.27777777777778</v>
      </c>
      <c r="U121" s="21">
        <f t="shared" si="39"/>
        <v>2392.70916666667</v>
      </c>
      <c r="V121" s="22">
        <v>1</v>
      </c>
      <c r="W121" s="21">
        <f t="shared" si="50"/>
        <v>1.27777777777778</v>
      </c>
      <c r="X121" s="21">
        <f t="shared" si="51"/>
        <v>39.6111111111111</v>
      </c>
      <c r="Y121" s="21">
        <f t="shared" si="52"/>
        <v>2392.70916666667</v>
      </c>
      <c r="Z121" s="50">
        <v>5</v>
      </c>
      <c r="AA121" s="51">
        <f t="shared" si="53"/>
        <v>201.35</v>
      </c>
      <c r="AB121" s="52">
        <f t="shared" si="54"/>
        <v>0.126227208976157</v>
      </c>
      <c r="AC121" s="22">
        <v>0</v>
      </c>
      <c r="AD121" s="21">
        <f t="shared" si="55"/>
        <v>0</v>
      </c>
      <c r="AE121" s="21">
        <f t="shared" si="56"/>
        <v>0</v>
      </c>
      <c r="AF121" s="21">
        <f t="shared" si="57"/>
        <v>0</v>
      </c>
      <c r="AG121" s="7">
        <v>11</v>
      </c>
      <c r="AH121" s="25">
        <f t="shared" si="58"/>
        <v>442.97</v>
      </c>
      <c r="AI121" s="53" t="e">
        <f t="shared" si="59"/>
        <v>#DIV/0!</v>
      </c>
    </row>
    <row r="122" ht="15" customHeight="1" spans="1:35">
      <c r="A122" s="7" t="s">
        <v>368</v>
      </c>
      <c r="B122" s="7" t="s">
        <v>369</v>
      </c>
      <c r="C122" s="7" t="s">
        <v>34</v>
      </c>
      <c r="D122" s="7" t="s">
        <v>51</v>
      </c>
      <c r="E122" s="7" t="s">
        <v>180</v>
      </c>
      <c r="F122" s="48">
        <v>103.03</v>
      </c>
      <c r="G122" s="48">
        <v>44</v>
      </c>
      <c r="H122" s="55"/>
      <c r="I122" s="55"/>
      <c r="J122" s="48">
        <v>38</v>
      </c>
      <c r="K122" s="7">
        <v>5615</v>
      </c>
      <c r="L122" s="21">
        <f t="shared" si="30"/>
        <v>0.88</v>
      </c>
      <c r="M122" s="21">
        <f t="shared" si="31"/>
        <v>27.28</v>
      </c>
      <c r="N122" s="21">
        <f t="shared" si="32"/>
        <v>2810.6584</v>
      </c>
      <c r="O122" s="21">
        <f t="shared" si="33"/>
        <v>0.488888888888889</v>
      </c>
      <c r="P122" s="21">
        <f t="shared" si="34"/>
        <v>15.1555555555556</v>
      </c>
      <c r="Q122" s="21">
        <f t="shared" si="35"/>
        <v>2342.21533333333</v>
      </c>
      <c r="R122" s="21">
        <f t="shared" si="36"/>
        <v>15.1555555555556</v>
      </c>
      <c r="S122" s="21">
        <f t="shared" si="37"/>
        <v>0.488888888888889</v>
      </c>
      <c r="T122" s="21">
        <f t="shared" si="38"/>
        <v>0.488888888888889</v>
      </c>
      <c r="U122" s="21">
        <f t="shared" si="39"/>
        <v>2342.21533333333</v>
      </c>
      <c r="V122" s="22">
        <v>0</v>
      </c>
      <c r="W122" s="21">
        <f t="shared" si="50"/>
        <v>0</v>
      </c>
      <c r="X122" s="21">
        <f t="shared" si="51"/>
        <v>0</v>
      </c>
      <c r="Y122" s="21">
        <f t="shared" si="52"/>
        <v>0</v>
      </c>
      <c r="Z122" s="50">
        <v>0</v>
      </c>
      <c r="AA122" s="51">
        <f t="shared" si="53"/>
        <v>0</v>
      </c>
      <c r="AB122" s="52" t="e">
        <f t="shared" si="54"/>
        <v>#DIV/0!</v>
      </c>
      <c r="AC122" s="22">
        <v>0</v>
      </c>
      <c r="AD122" s="21">
        <f t="shared" si="55"/>
        <v>0</v>
      </c>
      <c r="AE122" s="21">
        <f t="shared" si="56"/>
        <v>0</v>
      </c>
      <c r="AF122" s="21">
        <f t="shared" si="57"/>
        <v>0</v>
      </c>
      <c r="AG122" s="7">
        <v>5</v>
      </c>
      <c r="AH122" s="25">
        <f t="shared" si="58"/>
        <v>515.15</v>
      </c>
      <c r="AI122" s="53" t="e">
        <f t="shared" si="59"/>
        <v>#DIV/0!</v>
      </c>
    </row>
    <row r="123" ht="15" customHeight="1" spans="1:35">
      <c r="A123" s="7" t="s">
        <v>681</v>
      </c>
      <c r="B123" s="7" t="s">
        <v>736</v>
      </c>
      <c r="C123" s="7" t="s">
        <v>34</v>
      </c>
      <c r="D123" s="7" t="s">
        <v>51</v>
      </c>
      <c r="E123" s="7" t="s">
        <v>737</v>
      </c>
      <c r="F123" s="48">
        <v>12.42</v>
      </c>
      <c r="G123" s="48">
        <v>341</v>
      </c>
      <c r="H123" s="48">
        <v>5</v>
      </c>
      <c r="I123" s="48">
        <v>68</v>
      </c>
      <c r="J123" s="48">
        <v>58</v>
      </c>
      <c r="K123" s="7">
        <v>720</v>
      </c>
      <c r="L123" s="21">
        <f t="shared" si="30"/>
        <v>1.82</v>
      </c>
      <c r="M123" s="21">
        <f t="shared" si="31"/>
        <v>211.42</v>
      </c>
      <c r="N123" s="21">
        <f t="shared" si="32"/>
        <v>2625.8364</v>
      </c>
      <c r="O123" s="21">
        <f t="shared" si="33"/>
        <v>-1.21111111111111</v>
      </c>
      <c r="P123" s="21">
        <f t="shared" si="34"/>
        <v>117.455555555556</v>
      </c>
      <c r="Q123" s="21">
        <f t="shared" si="35"/>
        <v>2188.197</v>
      </c>
      <c r="R123" s="21">
        <f t="shared" si="36"/>
        <v>117.455555555556</v>
      </c>
      <c r="S123" s="21">
        <f t="shared" si="37"/>
        <v>3.78888888888889</v>
      </c>
      <c r="T123" s="21">
        <f t="shared" si="38"/>
        <v>-1.21111111111111</v>
      </c>
      <c r="U123" s="21">
        <f t="shared" si="39"/>
        <v>2188.197</v>
      </c>
      <c r="V123" s="22">
        <v>0.739130434782609</v>
      </c>
      <c r="W123" s="21">
        <f t="shared" si="50"/>
        <v>2.80048309178744</v>
      </c>
      <c r="X123" s="21">
        <f t="shared" si="51"/>
        <v>86.8149758454107</v>
      </c>
      <c r="Y123" s="21">
        <f t="shared" si="52"/>
        <v>1617.363</v>
      </c>
      <c r="Z123" s="50">
        <v>138</v>
      </c>
      <c r="AA123" s="51">
        <f t="shared" si="53"/>
        <v>1713.96</v>
      </c>
      <c r="AB123" s="52">
        <f t="shared" si="54"/>
        <v>1.58958749520052</v>
      </c>
      <c r="AC123" s="22">
        <v>0.260869565217391</v>
      </c>
      <c r="AD123" s="21">
        <f t="shared" si="55"/>
        <v>0.988405797101448</v>
      </c>
      <c r="AE123" s="21">
        <f t="shared" si="56"/>
        <v>30.6405797101449</v>
      </c>
      <c r="AF123" s="21">
        <f t="shared" si="57"/>
        <v>570.833999999999</v>
      </c>
      <c r="AG123" s="7">
        <v>32</v>
      </c>
      <c r="AH123" s="25">
        <f t="shared" si="58"/>
        <v>397.44</v>
      </c>
      <c r="AI123" s="53">
        <f t="shared" si="59"/>
        <v>1.04436666351339</v>
      </c>
    </row>
    <row r="124" ht="15" customHeight="1" spans="1:35">
      <c r="A124" s="7" t="s">
        <v>604</v>
      </c>
      <c r="B124" s="7" t="s">
        <v>640</v>
      </c>
      <c r="C124" s="7" t="s">
        <v>34</v>
      </c>
      <c r="D124" s="7" t="s">
        <v>35</v>
      </c>
      <c r="E124" s="7" t="s">
        <v>141</v>
      </c>
      <c r="F124" s="48">
        <v>20.85</v>
      </c>
      <c r="G124" s="48">
        <v>200</v>
      </c>
      <c r="H124" s="55"/>
      <c r="I124" s="55"/>
      <c r="J124" s="48">
        <v>200</v>
      </c>
      <c r="K124" s="7">
        <v>6255</v>
      </c>
      <c r="L124" s="21">
        <f t="shared" si="30"/>
        <v>4</v>
      </c>
      <c r="M124" s="21">
        <f t="shared" si="31"/>
        <v>124</v>
      </c>
      <c r="N124" s="21">
        <f t="shared" si="32"/>
        <v>2585.4</v>
      </c>
      <c r="O124" s="21">
        <f t="shared" si="33"/>
        <v>2.22222222222222</v>
      </c>
      <c r="P124" s="21">
        <f t="shared" si="34"/>
        <v>68.8888888888889</v>
      </c>
      <c r="Q124" s="21">
        <f t="shared" si="35"/>
        <v>2154.5</v>
      </c>
      <c r="R124" s="21">
        <f t="shared" si="36"/>
        <v>68.8888888888889</v>
      </c>
      <c r="S124" s="21">
        <f t="shared" si="37"/>
        <v>2.22222222222222</v>
      </c>
      <c r="T124" s="21">
        <f t="shared" si="38"/>
        <v>2.22222222222222</v>
      </c>
      <c r="U124" s="21">
        <f t="shared" si="39"/>
        <v>2154.5</v>
      </c>
      <c r="V124" s="22">
        <v>0.25</v>
      </c>
      <c r="W124" s="21">
        <f t="shared" si="50"/>
        <v>0.555555555555556</v>
      </c>
      <c r="X124" s="21">
        <f t="shared" si="51"/>
        <v>17.2222222222222</v>
      </c>
      <c r="Y124" s="21">
        <f t="shared" si="52"/>
        <v>538.625</v>
      </c>
      <c r="Z124" s="50">
        <v>4</v>
      </c>
      <c r="AA124" s="51">
        <f t="shared" si="53"/>
        <v>83.4</v>
      </c>
      <c r="AB124" s="52">
        <f t="shared" si="54"/>
        <v>0.232258064516129</v>
      </c>
      <c r="AC124" s="22">
        <v>0.75</v>
      </c>
      <c r="AD124" s="21">
        <f t="shared" si="55"/>
        <v>1.66666666666667</v>
      </c>
      <c r="AE124" s="21">
        <f t="shared" si="56"/>
        <v>51.6666666666667</v>
      </c>
      <c r="AF124" s="21">
        <f t="shared" si="57"/>
        <v>1615.875</v>
      </c>
      <c r="AG124" s="7">
        <v>6</v>
      </c>
      <c r="AH124" s="25">
        <f t="shared" si="58"/>
        <v>125.1</v>
      </c>
      <c r="AI124" s="53">
        <f t="shared" si="59"/>
        <v>0.116129032258064</v>
      </c>
    </row>
    <row r="125" ht="15" customHeight="1" spans="1:35">
      <c r="A125" s="7" t="s">
        <v>631</v>
      </c>
      <c r="B125" s="7" t="s">
        <v>713</v>
      </c>
      <c r="C125" s="7" t="s">
        <v>34</v>
      </c>
      <c r="D125" s="7" t="s">
        <v>35</v>
      </c>
      <c r="E125" s="7" t="s">
        <v>141</v>
      </c>
      <c r="F125" s="48">
        <v>20.85</v>
      </c>
      <c r="G125" s="48">
        <v>200</v>
      </c>
      <c r="H125" s="55"/>
      <c r="I125" s="55"/>
      <c r="J125" s="48">
        <v>200</v>
      </c>
      <c r="K125" s="7">
        <v>6255</v>
      </c>
      <c r="L125" s="21">
        <f t="shared" si="30"/>
        <v>4</v>
      </c>
      <c r="M125" s="21">
        <f t="shared" si="31"/>
        <v>124</v>
      </c>
      <c r="N125" s="21">
        <f t="shared" si="32"/>
        <v>2585.4</v>
      </c>
      <c r="O125" s="21">
        <f t="shared" si="33"/>
        <v>2.22222222222222</v>
      </c>
      <c r="P125" s="21">
        <f t="shared" si="34"/>
        <v>68.8888888888889</v>
      </c>
      <c r="Q125" s="21">
        <f t="shared" si="35"/>
        <v>2154.5</v>
      </c>
      <c r="R125" s="21">
        <f t="shared" si="36"/>
        <v>68.8888888888889</v>
      </c>
      <c r="S125" s="21">
        <f t="shared" si="37"/>
        <v>2.22222222222222</v>
      </c>
      <c r="T125" s="21">
        <f t="shared" si="38"/>
        <v>2.22222222222222</v>
      </c>
      <c r="U125" s="21">
        <f t="shared" si="39"/>
        <v>2154.5</v>
      </c>
      <c r="V125" s="22">
        <v>0</v>
      </c>
      <c r="W125" s="21">
        <f t="shared" si="50"/>
        <v>0</v>
      </c>
      <c r="X125" s="21">
        <f t="shared" si="51"/>
        <v>0</v>
      </c>
      <c r="Y125" s="21">
        <f t="shared" si="52"/>
        <v>0</v>
      </c>
      <c r="Z125" s="50">
        <v>7</v>
      </c>
      <c r="AA125" s="51">
        <f t="shared" si="53"/>
        <v>145.95</v>
      </c>
      <c r="AB125" s="52" t="e">
        <f t="shared" si="54"/>
        <v>#DIV/0!</v>
      </c>
      <c r="AC125" s="22">
        <v>0</v>
      </c>
      <c r="AD125" s="21">
        <f t="shared" si="55"/>
        <v>0</v>
      </c>
      <c r="AE125" s="21">
        <f t="shared" si="56"/>
        <v>0</v>
      </c>
      <c r="AF125" s="21">
        <f t="shared" si="57"/>
        <v>0</v>
      </c>
      <c r="AG125" s="7">
        <v>20</v>
      </c>
      <c r="AH125" s="25">
        <f t="shared" si="58"/>
        <v>417</v>
      </c>
      <c r="AI125" s="53" t="e">
        <f t="shared" si="59"/>
        <v>#DIV/0!</v>
      </c>
    </row>
    <row r="126" ht="15" customHeight="1" spans="1:35">
      <c r="A126" s="7" t="s">
        <v>795</v>
      </c>
      <c r="B126" s="7" t="s">
        <v>796</v>
      </c>
      <c r="C126" s="7" t="s">
        <v>34</v>
      </c>
      <c r="D126" s="7" t="s">
        <v>35</v>
      </c>
      <c r="E126" s="7" t="s">
        <v>141</v>
      </c>
      <c r="F126" s="48">
        <v>20.85</v>
      </c>
      <c r="G126" s="48">
        <v>200</v>
      </c>
      <c r="H126" s="55"/>
      <c r="I126" s="55"/>
      <c r="J126" s="48">
        <v>200</v>
      </c>
      <c r="K126" s="7">
        <v>6255</v>
      </c>
      <c r="L126" s="21">
        <f t="shared" si="30"/>
        <v>4</v>
      </c>
      <c r="M126" s="21">
        <f t="shared" si="31"/>
        <v>124</v>
      </c>
      <c r="N126" s="21">
        <f t="shared" si="32"/>
        <v>2585.4</v>
      </c>
      <c r="O126" s="21">
        <f t="shared" si="33"/>
        <v>2.22222222222222</v>
      </c>
      <c r="P126" s="21">
        <f t="shared" si="34"/>
        <v>68.8888888888889</v>
      </c>
      <c r="Q126" s="21">
        <f t="shared" si="35"/>
        <v>2154.5</v>
      </c>
      <c r="R126" s="21">
        <f t="shared" si="36"/>
        <v>68.8888888888889</v>
      </c>
      <c r="S126" s="21">
        <f t="shared" si="37"/>
        <v>2.22222222222222</v>
      </c>
      <c r="T126" s="21">
        <f t="shared" si="38"/>
        <v>2.22222222222222</v>
      </c>
      <c r="U126" s="21">
        <f t="shared" si="39"/>
        <v>2154.5</v>
      </c>
      <c r="V126" s="22">
        <v>0</v>
      </c>
      <c r="W126" s="21">
        <f t="shared" si="50"/>
        <v>0</v>
      </c>
      <c r="X126" s="21">
        <f t="shared" si="51"/>
        <v>0</v>
      </c>
      <c r="Y126" s="21">
        <f t="shared" si="52"/>
        <v>0</v>
      </c>
      <c r="Z126" s="50">
        <v>17</v>
      </c>
      <c r="AA126" s="51">
        <f t="shared" si="53"/>
        <v>354.45</v>
      </c>
      <c r="AB126" s="52" t="e">
        <f t="shared" si="54"/>
        <v>#DIV/0!</v>
      </c>
      <c r="AC126" s="22">
        <v>0</v>
      </c>
      <c r="AD126" s="21">
        <f t="shared" si="55"/>
        <v>0</v>
      </c>
      <c r="AE126" s="21">
        <f t="shared" si="56"/>
        <v>0</v>
      </c>
      <c r="AF126" s="21">
        <f t="shared" si="57"/>
        <v>0</v>
      </c>
      <c r="AG126" s="7">
        <v>66</v>
      </c>
      <c r="AH126" s="25">
        <f t="shared" si="58"/>
        <v>1376.1</v>
      </c>
      <c r="AI126" s="53" t="e">
        <f t="shared" si="59"/>
        <v>#DIV/0!</v>
      </c>
    </row>
    <row r="127" ht="15" customHeight="1" spans="1:35">
      <c r="A127" s="7" t="s">
        <v>797</v>
      </c>
      <c r="B127" s="7" t="s">
        <v>798</v>
      </c>
      <c r="C127" s="7" t="s">
        <v>34</v>
      </c>
      <c r="D127" s="7" t="s">
        <v>51</v>
      </c>
      <c r="E127" s="7" t="s">
        <v>185</v>
      </c>
      <c r="F127" s="48">
        <v>9.2</v>
      </c>
      <c r="G127" s="48">
        <v>437</v>
      </c>
      <c r="H127" s="48">
        <v>8</v>
      </c>
      <c r="I127" s="48">
        <v>54</v>
      </c>
      <c r="J127" s="48">
        <v>9</v>
      </c>
      <c r="K127" s="7">
        <v>83</v>
      </c>
      <c r="L127" s="21">
        <f t="shared" si="30"/>
        <v>0.74</v>
      </c>
      <c r="M127" s="21">
        <f t="shared" si="31"/>
        <v>270.94</v>
      </c>
      <c r="N127" s="21">
        <f t="shared" si="32"/>
        <v>2492.648</v>
      </c>
      <c r="O127" s="21">
        <f t="shared" si="33"/>
        <v>-3.14444444444444</v>
      </c>
      <c r="P127" s="21">
        <f t="shared" si="34"/>
        <v>150.522222222222</v>
      </c>
      <c r="Q127" s="21">
        <f t="shared" si="35"/>
        <v>2077.20666666667</v>
      </c>
      <c r="R127" s="21">
        <f t="shared" si="36"/>
        <v>150.522222222222</v>
      </c>
      <c r="S127" s="21">
        <f t="shared" si="37"/>
        <v>4.85555555555556</v>
      </c>
      <c r="T127" s="21">
        <f t="shared" si="38"/>
        <v>-3.14444444444444</v>
      </c>
      <c r="U127" s="21">
        <f t="shared" si="39"/>
        <v>2077.20666666667</v>
      </c>
      <c r="V127" s="22">
        <v>0.754098360655738</v>
      </c>
      <c r="W127" s="21">
        <f t="shared" si="50"/>
        <v>3.66156648451731</v>
      </c>
      <c r="X127" s="21">
        <f t="shared" si="51"/>
        <v>113.508561020036</v>
      </c>
      <c r="Y127" s="21">
        <f t="shared" si="52"/>
        <v>1566.4181420765</v>
      </c>
      <c r="Z127" s="50">
        <v>34</v>
      </c>
      <c r="AA127" s="51">
        <f t="shared" si="53"/>
        <v>312.8</v>
      </c>
      <c r="AB127" s="52">
        <f t="shared" si="54"/>
        <v>0.299536878050973</v>
      </c>
      <c r="AC127" s="22">
        <v>0.229508196721311</v>
      </c>
      <c r="AD127" s="21">
        <f t="shared" si="55"/>
        <v>1.1143897996357</v>
      </c>
      <c r="AE127" s="21">
        <f t="shared" si="56"/>
        <v>34.5460837887067</v>
      </c>
      <c r="AF127" s="21">
        <f t="shared" si="57"/>
        <v>476.735956284152</v>
      </c>
      <c r="AG127" s="7">
        <v>337</v>
      </c>
      <c r="AH127" s="25">
        <f t="shared" si="58"/>
        <v>3100.4</v>
      </c>
      <c r="AI127" s="53">
        <f t="shared" si="59"/>
        <v>9.75508546963483</v>
      </c>
    </row>
    <row r="128" ht="15" customHeight="1" spans="1:35">
      <c r="A128" s="7" t="s">
        <v>799</v>
      </c>
      <c r="B128" s="7" t="s">
        <v>593</v>
      </c>
      <c r="C128" s="7" t="s">
        <v>34</v>
      </c>
      <c r="D128" s="7" t="s">
        <v>35</v>
      </c>
      <c r="E128" s="7" t="s">
        <v>192</v>
      </c>
      <c r="F128" s="48">
        <v>87.02</v>
      </c>
      <c r="G128" s="48">
        <v>46</v>
      </c>
      <c r="H128" s="55"/>
      <c r="I128" s="55"/>
      <c r="J128" s="48">
        <v>8</v>
      </c>
      <c r="K128" s="7">
        <v>696</v>
      </c>
      <c r="L128" s="21">
        <f t="shared" si="30"/>
        <v>0.92</v>
      </c>
      <c r="M128" s="21">
        <f t="shared" si="31"/>
        <v>28.52</v>
      </c>
      <c r="N128" s="21">
        <f t="shared" si="32"/>
        <v>2481.8104</v>
      </c>
      <c r="O128" s="21">
        <f t="shared" si="33"/>
        <v>0.511111111111111</v>
      </c>
      <c r="P128" s="21">
        <f t="shared" si="34"/>
        <v>15.8444444444444</v>
      </c>
      <c r="Q128" s="21">
        <f t="shared" si="35"/>
        <v>2068.17533333333</v>
      </c>
      <c r="R128" s="21">
        <f t="shared" si="36"/>
        <v>15.8444444444444</v>
      </c>
      <c r="S128" s="21">
        <f t="shared" si="37"/>
        <v>0.511111111111111</v>
      </c>
      <c r="T128" s="21">
        <f t="shared" si="38"/>
        <v>0.511111111111111</v>
      </c>
      <c r="U128" s="21">
        <f t="shared" si="39"/>
        <v>2068.17533333333</v>
      </c>
      <c r="V128" s="22">
        <v>0</v>
      </c>
      <c r="W128" s="21">
        <f t="shared" si="50"/>
        <v>0</v>
      </c>
      <c r="X128" s="21">
        <f t="shared" si="51"/>
        <v>0</v>
      </c>
      <c r="Y128" s="21">
        <f t="shared" si="52"/>
        <v>0</v>
      </c>
      <c r="Z128" s="50">
        <v>38</v>
      </c>
      <c r="AA128" s="51">
        <f t="shared" si="53"/>
        <v>3306.76</v>
      </c>
      <c r="AB128" s="52" t="e">
        <f t="shared" si="54"/>
        <v>#DIV/0!</v>
      </c>
      <c r="AC128" s="22">
        <v>1</v>
      </c>
      <c r="AD128" s="21">
        <f t="shared" si="55"/>
        <v>0.511111111111111</v>
      </c>
      <c r="AE128" s="21">
        <f t="shared" si="56"/>
        <v>15.8444444444444</v>
      </c>
      <c r="AF128" s="21">
        <f t="shared" si="57"/>
        <v>2068.17533333333</v>
      </c>
      <c r="AG128" s="7">
        <v>1</v>
      </c>
      <c r="AH128" s="25">
        <f t="shared" si="58"/>
        <v>87.02</v>
      </c>
      <c r="AI128" s="53">
        <f t="shared" si="59"/>
        <v>0.0631136044880787</v>
      </c>
    </row>
    <row r="129" ht="15" customHeight="1" spans="1:35">
      <c r="A129" s="7" t="s">
        <v>490</v>
      </c>
      <c r="B129" s="7" t="s">
        <v>491</v>
      </c>
      <c r="C129" s="7" t="s">
        <v>34</v>
      </c>
      <c r="D129" s="7" t="s">
        <v>35</v>
      </c>
      <c r="E129" s="7" t="s">
        <v>492</v>
      </c>
      <c r="F129" s="48">
        <v>59.3</v>
      </c>
      <c r="G129" s="48">
        <v>67</v>
      </c>
      <c r="H129" s="55"/>
      <c r="I129" s="55"/>
      <c r="J129" s="48">
        <v>34</v>
      </c>
      <c r="K129" s="7">
        <v>2224</v>
      </c>
      <c r="L129" s="21">
        <f t="shared" si="30"/>
        <v>1.34</v>
      </c>
      <c r="M129" s="21">
        <f t="shared" si="31"/>
        <v>41.54</v>
      </c>
      <c r="N129" s="21">
        <f t="shared" si="32"/>
        <v>2463.322</v>
      </c>
      <c r="O129" s="21">
        <f t="shared" si="33"/>
        <v>0.744444444444444</v>
      </c>
      <c r="P129" s="21">
        <f t="shared" si="34"/>
        <v>23.0777777777778</v>
      </c>
      <c r="Q129" s="21">
        <f t="shared" si="35"/>
        <v>2052.76833333333</v>
      </c>
      <c r="R129" s="21">
        <f t="shared" si="36"/>
        <v>23.0777777777778</v>
      </c>
      <c r="S129" s="21">
        <f t="shared" si="37"/>
        <v>0.744444444444444</v>
      </c>
      <c r="T129" s="21">
        <f t="shared" si="38"/>
        <v>0.744444444444444</v>
      </c>
      <c r="U129" s="21">
        <f t="shared" si="39"/>
        <v>2052.76833333333</v>
      </c>
      <c r="V129" s="22">
        <v>0</v>
      </c>
      <c r="W129" s="21">
        <f t="shared" si="50"/>
        <v>0</v>
      </c>
      <c r="X129" s="21">
        <f t="shared" si="51"/>
        <v>0</v>
      </c>
      <c r="Y129" s="21">
        <f t="shared" si="52"/>
        <v>0</v>
      </c>
      <c r="Z129" s="50">
        <v>22</v>
      </c>
      <c r="AA129" s="51">
        <f t="shared" si="53"/>
        <v>1304.6</v>
      </c>
      <c r="AB129" s="52" t="e">
        <f t="shared" si="54"/>
        <v>#DIV/0!</v>
      </c>
      <c r="AC129" s="22">
        <v>0</v>
      </c>
      <c r="AD129" s="21">
        <f t="shared" si="55"/>
        <v>0</v>
      </c>
      <c r="AE129" s="21">
        <f t="shared" si="56"/>
        <v>0</v>
      </c>
      <c r="AF129" s="21">
        <f t="shared" si="57"/>
        <v>0</v>
      </c>
      <c r="AG129" s="7">
        <v>5</v>
      </c>
      <c r="AH129" s="25">
        <f t="shared" si="58"/>
        <v>296.5</v>
      </c>
      <c r="AI129" s="53" t="e">
        <f t="shared" si="59"/>
        <v>#DIV/0!</v>
      </c>
    </row>
    <row r="130" ht="15" customHeight="1" spans="1:35">
      <c r="A130" s="7" t="s">
        <v>484</v>
      </c>
      <c r="B130" s="7" t="s">
        <v>485</v>
      </c>
      <c r="C130" s="7" t="s">
        <v>34</v>
      </c>
      <c r="D130" s="7" t="s">
        <v>35</v>
      </c>
      <c r="E130" s="7" t="s">
        <v>250</v>
      </c>
      <c r="F130" s="48">
        <v>63.58</v>
      </c>
      <c r="G130" s="48">
        <v>62</v>
      </c>
      <c r="H130" s="55"/>
      <c r="I130" s="55"/>
      <c r="J130" s="48">
        <v>46</v>
      </c>
      <c r="K130" s="7">
        <v>3974</v>
      </c>
      <c r="L130" s="21">
        <f t="shared" si="30"/>
        <v>1.24</v>
      </c>
      <c r="M130" s="21">
        <f t="shared" si="31"/>
        <v>38.44</v>
      </c>
      <c r="N130" s="21">
        <f t="shared" si="32"/>
        <v>2444.0152</v>
      </c>
      <c r="O130" s="21">
        <f t="shared" si="33"/>
        <v>0.688888888888889</v>
      </c>
      <c r="P130" s="21">
        <f t="shared" si="34"/>
        <v>21.3555555555556</v>
      </c>
      <c r="Q130" s="21">
        <f t="shared" si="35"/>
        <v>2036.67933333333</v>
      </c>
      <c r="R130" s="21">
        <f t="shared" si="36"/>
        <v>21.3555555555556</v>
      </c>
      <c r="S130" s="21">
        <f t="shared" si="37"/>
        <v>0.688888888888889</v>
      </c>
      <c r="T130" s="21">
        <f t="shared" si="38"/>
        <v>0.688888888888889</v>
      </c>
      <c r="U130" s="21">
        <f t="shared" si="39"/>
        <v>2036.67933333333</v>
      </c>
      <c r="V130" s="22">
        <v>0</v>
      </c>
      <c r="W130" s="21">
        <f t="shared" si="50"/>
        <v>0</v>
      </c>
      <c r="X130" s="21">
        <f t="shared" si="51"/>
        <v>0</v>
      </c>
      <c r="Y130" s="21">
        <f t="shared" si="52"/>
        <v>0</v>
      </c>
      <c r="Z130" s="50">
        <v>2</v>
      </c>
      <c r="AA130" s="51">
        <f t="shared" si="53"/>
        <v>127.16</v>
      </c>
      <c r="AB130" s="52" t="e">
        <f t="shared" si="54"/>
        <v>#DIV/0!</v>
      </c>
      <c r="AC130" s="22">
        <v>1</v>
      </c>
      <c r="AD130" s="21">
        <f t="shared" si="55"/>
        <v>0.688888888888889</v>
      </c>
      <c r="AE130" s="21">
        <f t="shared" si="56"/>
        <v>21.3555555555556</v>
      </c>
      <c r="AF130" s="21">
        <f t="shared" si="57"/>
        <v>2036.67933333333</v>
      </c>
      <c r="AG130" s="7">
        <v>1</v>
      </c>
      <c r="AH130" s="25">
        <f t="shared" si="58"/>
        <v>63.58</v>
      </c>
      <c r="AI130" s="53">
        <f t="shared" si="59"/>
        <v>0.0468262226847033</v>
      </c>
    </row>
    <row r="131" ht="15" customHeight="1" spans="1:35">
      <c r="A131" s="7" t="s">
        <v>262</v>
      </c>
      <c r="B131" s="7" t="s">
        <v>263</v>
      </c>
      <c r="C131" s="7" t="s">
        <v>34</v>
      </c>
      <c r="D131" s="7" t="s">
        <v>35</v>
      </c>
      <c r="E131" s="7" t="s">
        <v>264</v>
      </c>
      <c r="F131" s="48">
        <v>32.95</v>
      </c>
      <c r="G131" s="48">
        <v>119</v>
      </c>
      <c r="H131" s="55"/>
      <c r="I131" s="55"/>
      <c r="J131" s="48">
        <v>119</v>
      </c>
      <c r="K131" s="7">
        <v>5882</v>
      </c>
      <c r="L131" s="21">
        <f t="shared" si="30"/>
        <v>2.38</v>
      </c>
      <c r="M131" s="21">
        <f t="shared" si="31"/>
        <v>73.78</v>
      </c>
      <c r="N131" s="21">
        <f t="shared" si="32"/>
        <v>2431.051</v>
      </c>
      <c r="O131" s="21">
        <f t="shared" si="33"/>
        <v>1.32222222222222</v>
      </c>
      <c r="P131" s="21">
        <f t="shared" si="34"/>
        <v>40.9888888888889</v>
      </c>
      <c r="Q131" s="21">
        <f t="shared" si="35"/>
        <v>2025.87583333333</v>
      </c>
      <c r="R131" s="21">
        <f t="shared" si="36"/>
        <v>40.9888888888889</v>
      </c>
      <c r="S131" s="21">
        <f t="shared" si="37"/>
        <v>1.32222222222222</v>
      </c>
      <c r="T131" s="21">
        <f t="shared" si="38"/>
        <v>1.32222222222222</v>
      </c>
      <c r="U131" s="21">
        <f t="shared" si="39"/>
        <v>2025.87583333333</v>
      </c>
      <c r="V131" s="22">
        <v>0</v>
      </c>
      <c r="W131" s="21">
        <f t="shared" si="50"/>
        <v>0</v>
      </c>
      <c r="X131" s="21">
        <f t="shared" si="51"/>
        <v>0</v>
      </c>
      <c r="Y131" s="21">
        <f t="shared" si="52"/>
        <v>0</v>
      </c>
      <c r="Z131" s="50">
        <v>3</v>
      </c>
      <c r="AA131" s="51">
        <f t="shared" si="53"/>
        <v>98.85</v>
      </c>
      <c r="AB131" s="52" t="e">
        <f t="shared" si="54"/>
        <v>#DIV/0!</v>
      </c>
      <c r="AC131" s="22">
        <v>0</v>
      </c>
      <c r="AD131" s="21">
        <f t="shared" si="55"/>
        <v>0</v>
      </c>
      <c r="AE131" s="21">
        <f t="shared" si="56"/>
        <v>0</v>
      </c>
      <c r="AF131" s="21">
        <f t="shared" si="57"/>
        <v>0</v>
      </c>
      <c r="AG131" s="7">
        <v>0</v>
      </c>
      <c r="AH131" s="25">
        <f t="shared" si="58"/>
        <v>0</v>
      </c>
      <c r="AI131" s="53" t="e">
        <f t="shared" si="59"/>
        <v>#DIV/0!</v>
      </c>
    </row>
    <row r="132" ht="15" customHeight="1" spans="1:35">
      <c r="A132" s="7" t="s">
        <v>800</v>
      </c>
      <c r="B132" s="7" t="s">
        <v>801</v>
      </c>
      <c r="C132" s="7" t="s">
        <v>34</v>
      </c>
      <c r="D132" s="7" t="s">
        <v>35</v>
      </c>
      <c r="E132" s="7" t="s">
        <v>784</v>
      </c>
      <c r="F132" s="48">
        <v>434.94</v>
      </c>
      <c r="G132" s="48">
        <v>9</v>
      </c>
      <c r="H132" s="55"/>
      <c r="I132" s="55"/>
      <c r="J132" s="48">
        <v>8</v>
      </c>
      <c r="K132" s="7">
        <v>5002</v>
      </c>
      <c r="L132" s="21">
        <f t="shared" ref="L132:L189" si="60">(G132-(H132*50))/50</f>
        <v>0.18</v>
      </c>
      <c r="M132" s="21">
        <f t="shared" ref="M132:M189" si="61">31*(L132+H132)</f>
        <v>5.58</v>
      </c>
      <c r="N132" s="21">
        <f t="shared" ref="N132:N189" si="62">M132*F132</f>
        <v>2426.9652</v>
      </c>
      <c r="O132" s="21">
        <f t="shared" ref="O132:O189" si="63">(G132-(H132*90))/90</f>
        <v>0.1</v>
      </c>
      <c r="P132" s="21">
        <f t="shared" ref="P132:P189" si="64">31*(O132+H132)</f>
        <v>3.1</v>
      </c>
      <c r="Q132" s="21">
        <f t="shared" ref="Q132:Q189" si="65">(O132+H132)*31*F132*1.5</f>
        <v>2022.471</v>
      </c>
      <c r="R132" s="21">
        <f t="shared" ref="R132:R189" si="66">P132</f>
        <v>3.1</v>
      </c>
      <c r="S132" s="21">
        <f t="shared" ref="S132:S189" si="67">R132/31</f>
        <v>0.1</v>
      </c>
      <c r="T132" s="21">
        <f t="shared" ref="T132:T189" si="68">S132-H132</f>
        <v>0.1</v>
      </c>
      <c r="U132" s="21">
        <f t="shared" ref="U132:U189" si="69">Q132</f>
        <v>2022.471</v>
      </c>
      <c r="V132" s="22">
        <v>0.862068965517241</v>
      </c>
      <c r="W132" s="21">
        <f t="shared" si="50"/>
        <v>0.0862068965517241</v>
      </c>
      <c r="X132" s="21">
        <f t="shared" si="51"/>
        <v>2.67241379310345</v>
      </c>
      <c r="Y132" s="21">
        <f t="shared" si="52"/>
        <v>1743.50948275862</v>
      </c>
      <c r="Z132" s="50">
        <v>6</v>
      </c>
      <c r="AA132" s="51">
        <f t="shared" si="53"/>
        <v>2609.64</v>
      </c>
      <c r="AB132" s="52">
        <f t="shared" si="54"/>
        <v>2.24516129032258</v>
      </c>
      <c r="AC132" s="22">
        <v>0.0344827586206896</v>
      </c>
      <c r="AD132" s="21">
        <f t="shared" si="55"/>
        <v>0.00344827586206896</v>
      </c>
      <c r="AE132" s="21">
        <f t="shared" si="56"/>
        <v>0.106896551724138</v>
      </c>
      <c r="AF132" s="21">
        <f t="shared" si="57"/>
        <v>69.7403793103447</v>
      </c>
      <c r="AG132" s="7">
        <v>0</v>
      </c>
      <c r="AH132" s="25">
        <f t="shared" si="58"/>
        <v>0</v>
      </c>
      <c r="AI132" s="53">
        <f t="shared" si="59"/>
        <v>0</v>
      </c>
    </row>
    <row r="133" ht="15" customHeight="1" spans="1:35">
      <c r="A133" s="7" t="s">
        <v>526</v>
      </c>
      <c r="B133" s="7" t="s">
        <v>527</v>
      </c>
      <c r="C133" s="7" t="s">
        <v>34</v>
      </c>
      <c r="D133" s="7" t="s">
        <v>35</v>
      </c>
      <c r="E133" s="7" t="s">
        <v>141</v>
      </c>
      <c r="F133" s="48">
        <v>31.97</v>
      </c>
      <c r="G133" s="48">
        <v>120</v>
      </c>
      <c r="H133" s="55"/>
      <c r="I133" s="55"/>
      <c r="J133" s="48">
        <v>120</v>
      </c>
      <c r="K133" s="7">
        <v>5755</v>
      </c>
      <c r="L133" s="21">
        <f t="shared" si="60"/>
        <v>2.4</v>
      </c>
      <c r="M133" s="21">
        <f t="shared" si="61"/>
        <v>74.4</v>
      </c>
      <c r="N133" s="21">
        <f t="shared" si="62"/>
        <v>2378.568</v>
      </c>
      <c r="O133" s="21">
        <f t="shared" si="63"/>
        <v>1.33333333333333</v>
      </c>
      <c r="P133" s="21">
        <f t="shared" si="64"/>
        <v>41.3333333333333</v>
      </c>
      <c r="Q133" s="21">
        <f t="shared" si="65"/>
        <v>1982.14</v>
      </c>
      <c r="R133" s="21">
        <f t="shared" si="66"/>
        <v>41.3333333333333</v>
      </c>
      <c r="S133" s="21">
        <f t="shared" si="67"/>
        <v>1.33333333333333</v>
      </c>
      <c r="T133" s="21">
        <f t="shared" si="68"/>
        <v>1.33333333333333</v>
      </c>
      <c r="U133" s="21">
        <f t="shared" si="69"/>
        <v>1982.14</v>
      </c>
      <c r="V133" s="22">
        <v>0.388888888888889</v>
      </c>
      <c r="W133" s="21">
        <f t="shared" ref="W133:W164" si="70">X133/31</f>
        <v>0.518518518518519</v>
      </c>
      <c r="X133" s="21">
        <f t="shared" ref="X133:X164" si="71">R133*V133</f>
        <v>16.0740740740741</v>
      </c>
      <c r="Y133" s="21">
        <f t="shared" ref="Y133:Y164" si="72">X133*F133*1.5</f>
        <v>770.832222222222</v>
      </c>
      <c r="Z133" s="50">
        <v>15</v>
      </c>
      <c r="AA133" s="51">
        <f t="shared" ref="AA133:AA164" si="73">Z133*F133</f>
        <v>479.55</v>
      </c>
      <c r="AB133" s="52">
        <f t="shared" ref="AB133:AB164" si="74">Z133/X133</f>
        <v>0.933179723502303</v>
      </c>
      <c r="AC133" s="22">
        <v>0.611111111111111</v>
      </c>
      <c r="AD133" s="21">
        <f t="shared" ref="AD133:AD164" si="75">AE133/31</f>
        <v>0.814814814814815</v>
      </c>
      <c r="AE133" s="21">
        <f t="shared" ref="AE133:AE164" si="76">R133*AC133</f>
        <v>25.2592592592593</v>
      </c>
      <c r="AF133" s="21">
        <f t="shared" ref="AF133:AF164" si="77">F133*AE133*1.5</f>
        <v>1211.30777777778</v>
      </c>
      <c r="AG133" s="7">
        <v>36</v>
      </c>
      <c r="AH133" s="25">
        <f t="shared" ref="AH133:AH164" si="78">AG133*F133</f>
        <v>1150.92</v>
      </c>
      <c r="AI133" s="53">
        <f t="shared" ref="AI133:AI164" si="79">AG133/AE133</f>
        <v>1.42521994134897</v>
      </c>
    </row>
    <row r="134" ht="15" customHeight="1" spans="1:35">
      <c r="A134" s="7" t="s">
        <v>486</v>
      </c>
      <c r="B134" s="7" t="s">
        <v>487</v>
      </c>
      <c r="C134" s="7" t="s">
        <v>34</v>
      </c>
      <c r="D134" s="7" t="s">
        <v>35</v>
      </c>
      <c r="E134" s="7" t="s">
        <v>141</v>
      </c>
      <c r="F134" s="48">
        <v>31.97</v>
      </c>
      <c r="G134" s="48">
        <v>120</v>
      </c>
      <c r="H134" s="55"/>
      <c r="I134" s="55"/>
      <c r="J134" s="48">
        <v>120</v>
      </c>
      <c r="K134" s="7">
        <v>5755</v>
      </c>
      <c r="L134" s="21">
        <f t="shared" si="60"/>
        <v>2.4</v>
      </c>
      <c r="M134" s="21">
        <f t="shared" si="61"/>
        <v>74.4</v>
      </c>
      <c r="N134" s="21">
        <f t="shared" si="62"/>
        <v>2378.568</v>
      </c>
      <c r="O134" s="21">
        <f t="shared" si="63"/>
        <v>1.33333333333333</v>
      </c>
      <c r="P134" s="21">
        <f t="shared" si="64"/>
        <v>41.3333333333333</v>
      </c>
      <c r="Q134" s="21">
        <f t="shared" si="65"/>
        <v>1982.14</v>
      </c>
      <c r="R134" s="21">
        <f t="shared" si="66"/>
        <v>41.3333333333333</v>
      </c>
      <c r="S134" s="21">
        <f t="shared" si="67"/>
        <v>1.33333333333333</v>
      </c>
      <c r="T134" s="21">
        <f t="shared" si="68"/>
        <v>1.33333333333333</v>
      </c>
      <c r="U134" s="21">
        <f t="shared" si="69"/>
        <v>1982.14</v>
      </c>
      <c r="V134" s="22">
        <v>1</v>
      </c>
      <c r="W134" s="21">
        <f t="shared" si="70"/>
        <v>1.33333333333333</v>
      </c>
      <c r="X134" s="21">
        <f t="shared" si="71"/>
        <v>41.3333333333333</v>
      </c>
      <c r="Y134" s="21">
        <f t="shared" si="72"/>
        <v>1982.14</v>
      </c>
      <c r="Z134" s="50">
        <v>3</v>
      </c>
      <c r="AA134" s="51">
        <f t="shared" si="73"/>
        <v>95.91</v>
      </c>
      <c r="AB134" s="52">
        <f t="shared" si="74"/>
        <v>0.0725806451612904</v>
      </c>
      <c r="AC134" s="22">
        <v>0</v>
      </c>
      <c r="AD134" s="21">
        <f t="shared" si="75"/>
        <v>0</v>
      </c>
      <c r="AE134" s="21">
        <f t="shared" si="76"/>
        <v>0</v>
      </c>
      <c r="AF134" s="21">
        <f t="shared" si="77"/>
        <v>0</v>
      </c>
      <c r="AG134" s="7">
        <v>3</v>
      </c>
      <c r="AH134" s="25">
        <f t="shared" si="78"/>
        <v>95.91</v>
      </c>
      <c r="AI134" s="53" t="e">
        <f t="shared" si="79"/>
        <v>#DIV/0!</v>
      </c>
    </row>
    <row r="135" ht="15" customHeight="1" spans="1:35">
      <c r="A135" s="7" t="s">
        <v>618</v>
      </c>
      <c r="B135" s="7" t="s">
        <v>663</v>
      </c>
      <c r="C135" s="7" t="s">
        <v>34</v>
      </c>
      <c r="D135" s="7" t="s">
        <v>35</v>
      </c>
      <c r="E135" s="7" t="s">
        <v>141</v>
      </c>
      <c r="F135" s="48">
        <v>31.97</v>
      </c>
      <c r="G135" s="48">
        <v>119</v>
      </c>
      <c r="H135" s="55"/>
      <c r="I135" s="55"/>
      <c r="J135" s="48">
        <v>114</v>
      </c>
      <c r="K135" s="7">
        <v>5403</v>
      </c>
      <c r="L135" s="21">
        <f t="shared" si="60"/>
        <v>2.38</v>
      </c>
      <c r="M135" s="21">
        <f t="shared" si="61"/>
        <v>73.78</v>
      </c>
      <c r="N135" s="21">
        <f t="shared" si="62"/>
        <v>2358.7466</v>
      </c>
      <c r="O135" s="21">
        <f t="shared" si="63"/>
        <v>1.32222222222222</v>
      </c>
      <c r="P135" s="21">
        <f t="shared" si="64"/>
        <v>40.9888888888889</v>
      </c>
      <c r="Q135" s="21">
        <f t="shared" si="65"/>
        <v>1965.62216666667</v>
      </c>
      <c r="R135" s="21">
        <f t="shared" si="66"/>
        <v>40.9888888888889</v>
      </c>
      <c r="S135" s="21">
        <f t="shared" si="67"/>
        <v>1.32222222222222</v>
      </c>
      <c r="T135" s="21">
        <f t="shared" si="68"/>
        <v>1.32222222222222</v>
      </c>
      <c r="U135" s="21">
        <f t="shared" si="69"/>
        <v>1965.62216666667</v>
      </c>
      <c r="V135" s="22">
        <v>1</v>
      </c>
      <c r="W135" s="21">
        <f t="shared" si="70"/>
        <v>1.32222222222222</v>
      </c>
      <c r="X135" s="21">
        <f t="shared" si="71"/>
        <v>40.9888888888889</v>
      </c>
      <c r="Y135" s="21">
        <f t="shared" si="72"/>
        <v>1965.62216666667</v>
      </c>
      <c r="Z135" s="50">
        <v>7</v>
      </c>
      <c r="AA135" s="51">
        <f t="shared" si="73"/>
        <v>223.79</v>
      </c>
      <c r="AB135" s="52">
        <f t="shared" si="74"/>
        <v>0.170777988614801</v>
      </c>
      <c r="AC135" s="22">
        <v>0</v>
      </c>
      <c r="AD135" s="21">
        <f t="shared" si="75"/>
        <v>0</v>
      </c>
      <c r="AE135" s="21">
        <f t="shared" si="76"/>
        <v>0</v>
      </c>
      <c r="AF135" s="21">
        <f t="shared" si="77"/>
        <v>0</v>
      </c>
      <c r="AG135" s="7">
        <v>8</v>
      </c>
      <c r="AH135" s="25">
        <f t="shared" si="78"/>
        <v>255.76</v>
      </c>
      <c r="AI135" s="53" t="e">
        <f t="shared" si="79"/>
        <v>#DIV/0!</v>
      </c>
    </row>
    <row r="136" ht="15" customHeight="1" spans="1:35">
      <c r="A136" s="7" t="s">
        <v>304</v>
      </c>
      <c r="B136" s="7" t="s">
        <v>305</v>
      </c>
      <c r="C136" s="7" t="s">
        <v>34</v>
      </c>
      <c r="D136" s="7" t="s">
        <v>35</v>
      </c>
      <c r="E136" s="7" t="s">
        <v>306</v>
      </c>
      <c r="F136" s="48">
        <v>70.23</v>
      </c>
      <c r="G136" s="48">
        <v>54</v>
      </c>
      <c r="H136" s="55"/>
      <c r="I136" s="55"/>
      <c r="J136" s="48">
        <v>41</v>
      </c>
      <c r="K136" s="7">
        <v>3933</v>
      </c>
      <c r="L136" s="21">
        <f t="shared" si="60"/>
        <v>1.08</v>
      </c>
      <c r="M136" s="21">
        <f t="shared" si="61"/>
        <v>33.48</v>
      </c>
      <c r="N136" s="21">
        <f t="shared" si="62"/>
        <v>2351.3004</v>
      </c>
      <c r="O136" s="21">
        <f t="shared" si="63"/>
        <v>0.6</v>
      </c>
      <c r="P136" s="21">
        <f t="shared" si="64"/>
        <v>18.6</v>
      </c>
      <c r="Q136" s="21">
        <f t="shared" si="65"/>
        <v>1959.417</v>
      </c>
      <c r="R136" s="21">
        <f t="shared" si="66"/>
        <v>18.6</v>
      </c>
      <c r="S136" s="21">
        <f t="shared" si="67"/>
        <v>0.6</v>
      </c>
      <c r="T136" s="21">
        <f t="shared" si="68"/>
        <v>0.6</v>
      </c>
      <c r="U136" s="21">
        <f t="shared" si="69"/>
        <v>1959.417</v>
      </c>
      <c r="V136" s="22">
        <v>0</v>
      </c>
      <c r="W136" s="21">
        <f t="shared" si="70"/>
        <v>0</v>
      </c>
      <c r="X136" s="21">
        <f t="shared" si="71"/>
        <v>0</v>
      </c>
      <c r="Y136" s="21">
        <f t="shared" si="72"/>
        <v>0</v>
      </c>
      <c r="Z136" s="50">
        <v>12</v>
      </c>
      <c r="AA136" s="51">
        <f t="shared" si="73"/>
        <v>842.76</v>
      </c>
      <c r="AB136" s="52" t="e">
        <f t="shared" si="74"/>
        <v>#DIV/0!</v>
      </c>
      <c r="AC136" s="22">
        <v>0</v>
      </c>
      <c r="AD136" s="21">
        <f t="shared" si="75"/>
        <v>0</v>
      </c>
      <c r="AE136" s="21">
        <f t="shared" si="76"/>
        <v>0</v>
      </c>
      <c r="AF136" s="21">
        <f t="shared" si="77"/>
        <v>0</v>
      </c>
      <c r="AG136" s="7">
        <v>0</v>
      </c>
      <c r="AH136" s="25">
        <f t="shared" si="78"/>
        <v>0</v>
      </c>
      <c r="AI136" s="53" t="e">
        <f t="shared" si="79"/>
        <v>#DIV/0!</v>
      </c>
    </row>
    <row r="137" customHeight="1" spans="1:35">
      <c r="A137" s="7" t="s">
        <v>680</v>
      </c>
      <c r="B137" s="7" t="s">
        <v>735</v>
      </c>
      <c r="C137" s="7" t="s">
        <v>34</v>
      </c>
      <c r="D137" s="7" t="s">
        <v>35</v>
      </c>
      <c r="E137" s="7" t="s">
        <v>141</v>
      </c>
      <c r="F137" s="48">
        <v>15.47</v>
      </c>
      <c r="G137" s="48">
        <v>240</v>
      </c>
      <c r="H137" s="55"/>
      <c r="I137" s="55"/>
      <c r="J137" s="48">
        <v>240</v>
      </c>
      <c r="K137" s="7">
        <v>5569</v>
      </c>
      <c r="L137" s="21">
        <f t="shared" si="60"/>
        <v>4.8</v>
      </c>
      <c r="M137" s="21">
        <f t="shared" si="61"/>
        <v>148.8</v>
      </c>
      <c r="N137" s="21">
        <f t="shared" si="62"/>
        <v>2301.936</v>
      </c>
      <c r="O137" s="21">
        <f t="shared" si="63"/>
        <v>2.66666666666667</v>
      </c>
      <c r="P137" s="21">
        <f t="shared" si="64"/>
        <v>82.6666666666667</v>
      </c>
      <c r="Q137" s="21">
        <f t="shared" si="65"/>
        <v>1918.28</v>
      </c>
      <c r="R137" s="21">
        <f t="shared" si="66"/>
        <v>82.6666666666667</v>
      </c>
      <c r="S137" s="21">
        <f t="shared" si="67"/>
        <v>2.66666666666667</v>
      </c>
      <c r="T137" s="21">
        <f t="shared" si="68"/>
        <v>2.66666666666667</v>
      </c>
      <c r="U137" s="21">
        <f t="shared" si="69"/>
        <v>1918.28</v>
      </c>
      <c r="V137" s="22">
        <v>0</v>
      </c>
      <c r="W137" s="21">
        <f t="shared" si="70"/>
        <v>0</v>
      </c>
      <c r="X137" s="21">
        <f t="shared" si="71"/>
        <v>0</v>
      </c>
      <c r="Y137" s="21">
        <f t="shared" si="72"/>
        <v>0</v>
      </c>
      <c r="Z137" s="50">
        <v>4</v>
      </c>
      <c r="AA137" s="51">
        <f t="shared" si="73"/>
        <v>61.88</v>
      </c>
      <c r="AB137" s="52" t="e">
        <f t="shared" si="74"/>
        <v>#DIV/0!</v>
      </c>
      <c r="AC137" s="22">
        <v>0</v>
      </c>
      <c r="AD137" s="21">
        <f t="shared" si="75"/>
        <v>0</v>
      </c>
      <c r="AE137" s="21">
        <f t="shared" si="76"/>
        <v>0</v>
      </c>
      <c r="AF137" s="21">
        <f t="shared" si="77"/>
        <v>0</v>
      </c>
      <c r="AG137" s="7">
        <v>78</v>
      </c>
      <c r="AH137" s="25">
        <f t="shared" si="78"/>
        <v>1206.66</v>
      </c>
      <c r="AI137" s="53" t="e">
        <f t="shared" si="79"/>
        <v>#DIV/0!</v>
      </c>
    </row>
    <row r="138" customHeight="1" spans="1:35">
      <c r="A138" s="7" t="s">
        <v>609</v>
      </c>
      <c r="B138" s="7" t="s">
        <v>653</v>
      </c>
      <c r="C138" s="7" t="s">
        <v>34</v>
      </c>
      <c r="D138" s="7" t="s">
        <v>35</v>
      </c>
      <c r="E138" s="7" t="s">
        <v>141</v>
      </c>
      <c r="F138" s="48">
        <v>15.47</v>
      </c>
      <c r="G138" s="48">
        <v>240</v>
      </c>
      <c r="H138" s="55"/>
      <c r="I138" s="55"/>
      <c r="J138" s="48">
        <v>240</v>
      </c>
      <c r="K138" s="7">
        <v>5569</v>
      </c>
      <c r="L138" s="21">
        <f t="shared" si="60"/>
        <v>4.8</v>
      </c>
      <c r="M138" s="21">
        <f t="shared" si="61"/>
        <v>148.8</v>
      </c>
      <c r="N138" s="21">
        <f t="shared" si="62"/>
        <v>2301.936</v>
      </c>
      <c r="O138" s="21">
        <f t="shared" si="63"/>
        <v>2.66666666666667</v>
      </c>
      <c r="P138" s="21">
        <f t="shared" si="64"/>
        <v>82.6666666666667</v>
      </c>
      <c r="Q138" s="21">
        <f t="shared" si="65"/>
        <v>1918.28</v>
      </c>
      <c r="R138" s="21">
        <f t="shared" si="66"/>
        <v>82.6666666666667</v>
      </c>
      <c r="S138" s="21">
        <f t="shared" si="67"/>
        <v>2.66666666666667</v>
      </c>
      <c r="T138" s="21">
        <f t="shared" si="68"/>
        <v>2.66666666666667</v>
      </c>
      <c r="U138" s="21">
        <f t="shared" si="69"/>
        <v>1918.28</v>
      </c>
      <c r="V138" s="22">
        <v>0.931034482758621</v>
      </c>
      <c r="W138" s="21">
        <f t="shared" si="70"/>
        <v>2.48275862068966</v>
      </c>
      <c r="X138" s="21">
        <f t="shared" si="71"/>
        <v>76.9655172413793</v>
      </c>
      <c r="Y138" s="21">
        <f t="shared" si="72"/>
        <v>1785.98482758621</v>
      </c>
      <c r="Z138" s="50">
        <v>5</v>
      </c>
      <c r="AA138" s="51">
        <f t="shared" si="73"/>
        <v>77.35</v>
      </c>
      <c r="AB138" s="52">
        <f t="shared" si="74"/>
        <v>0.0649641577060932</v>
      </c>
      <c r="AC138" s="22">
        <v>0</v>
      </c>
      <c r="AD138" s="21">
        <f t="shared" si="75"/>
        <v>0</v>
      </c>
      <c r="AE138" s="21">
        <f t="shared" si="76"/>
        <v>0</v>
      </c>
      <c r="AF138" s="21">
        <f t="shared" si="77"/>
        <v>0</v>
      </c>
      <c r="AG138" s="7">
        <v>5</v>
      </c>
      <c r="AH138" s="25">
        <f t="shared" si="78"/>
        <v>77.35</v>
      </c>
      <c r="AI138" s="53" t="e">
        <f t="shared" si="79"/>
        <v>#DIV/0!</v>
      </c>
    </row>
    <row r="139" customHeight="1" spans="1:35">
      <c r="A139" s="7" t="s">
        <v>307</v>
      </c>
      <c r="B139" s="7" t="s">
        <v>308</v>
      </c>
      <c r="C139" s="7" t="s">
        <v>34</v>
      </c>
      <c r="D139" s="7" t="s">
        <v>51</v>
      </c>
      <c r="E139" s="7" t="s">
        <v>309</v>
      </c>
      <c r="F139" s="48">
        <v>16.1</v>
      </c>
      <c r="G139" s="48">
        <v>213</v>
      </c>
      <c r="H139" s="48">
        <v>3</v>
      </c>
      <c r="I139" s="48">
        <v>71</v>
      </c>
      <c r="J139" s="48">
        <v>30</v>
      </c>
      <c r="K139" s="7">
        <v>483</v>
      </c>
      <c r="L139" s="21">
        <f t="shared" si="60"/>
        <v>1.26</v>
      </c>
      <c r="M139" s="21">
        <f t="shared" si="61"/>
        <v>132.06</v>
      </c>
      <c r="N139" s="21">
        <f t="shared" si="62"/>
        <v>2126.166</v>
      </c>
      <c r="O139" s="21">
        <f t="shared" si="63"/>
        <v>-0.633333333333333</v>
      </c>
      <c r="P139" s="21">
        <f t="shared" si="64"/>
        <v>73.3666666666667</v>
      </c>
      <c r="Q139" s="21">
        <f t="shared" si="65"/>
        <v>1771.805</v>
      </c>
      <c r="R139" s="21">
        <f t="shared" si="66"/>
        <v>73.3666666666667</v>
      </c>
      <c r="S139" s="21">
        <f t="shared" si="67"/>
        <v>2.36666666666667</v>
      </c>
      <c r="T139" s="21">
        <f t="shared" si="68"/>
        <v>-0.633333333333333</v>
      </c>
      <c r="U139" s="21">
        <f t="shared" si="69"/>
        <v>1771.805</v>
      </c>
      <c r="V139" s="22">
        <v>0.536231884057971</v>
      </c>
      <c r="W139" s="21">
        <f t="shared" si="70"/>
        <v>1.26908212560386</v>
      </c>
      <c r="X139" s="21">
        <f t="shared" si="71"/>
        <v>39.3415458937198</v>
      </c>
      <c r="Y139" s="21">
        <f t="shared" si="72"/>
        <v>950.098333333333</v>
      </c>
      <c r="Z139" s="50">
        <v>13</v>
      </c>
      <c r="AA139" s="51">
        <f t="shared" si="73"/>
        <v>209.3</v>
      </c>
      <c r="AB139" s="52">
        <f t="shared" si="74"/>
        <v>0.330439480825669</v>
      </c>
      <c r="AC139" s="22">
        <v>0.456521739130435</v>
      </c>
      <c r="AD139" s="21">
        <f t="shared" si="75"/>
        <v>1.0804347826087</v>
      </c>
      <c r="AE139" s="21">
        <f t="shared" si="76"/>
        <v>33.4934782608696</v>
      </c>
      <c r="AF139" s="21">
        <f t="shared" si="77"/>
        <v>808.8675</v>
      </c>
      <c r="AG139" s="7">
        <v>49</v>
      </c>
      <c r="AH139" s="25">
        <f t="shared" si="78"/>
        <v>788.9</v>
      </c>
      <c r="AI139" s="53">
        <f t="shared" si="79"/>
        <v>1.46297137664698</v>
      </c>
    </row>
    <row r="140" customHeight="1" spans="1:35">
      <c r="A140" s="7" t="s">
        <v>392</v>
      </c>
      <c r="B140" s="7" t="s">
        <v>393</v>
      </c>
      <c r="C140" s="7" t="s">
        <v>34</v>
      </c>
      <c r="D140" s="7" t="s">
        <v>35</v>
      </c>
      <c r="E140" s="7" t="s">
        <v>394</v>
      </c>
      <c r="F140" s="48">
        <v>8.34</v>
      </c>
      <c r="G140" s="48">
        <v>396</v>
      </c>
      <c r="H140" s="48">
        <v>5</v>
      </c>
      <c r="I140" s="48">
        <v>79</v>
      </c>
      <c r="J140" s="48">
        <v>100</v>
      </c>
      <c r="K140" s="7">
        <v>834</v>
      </c>
      <c r="L140" s="21">
        <f t="shared" si="60"/>
        <v>2.92</v>
      </c>
      <c r="M140" s="21">
        <f t="shared" si="61"/>
        <v>245.52</v>
      </c>
      <c r="N140" s="21">
        <f t="shared" si="62"/>
        <v>2047.6368</v>
      </c>
      <c r="O140" s="21">
        <f t="shared" si="63"/>
        <v>-0.6</v>
      </c>
      <c r="P140" s="21">
        <f t="shared" si="64"/>
        <v>136.4</v>
      </c>
      <c r="Q140" s="21">
        <f t="shared" si="65"/>
        <v>1706.364</v>
      </c>
      <c r="R140" s="21">
        <f t="shared" si="66"/>
        <v>136.4</v>
      </c>
      <c r="S140" s="21">
        <f t="shared" si="67"/>
        <v>4.4</v>
      </c>
      <c r="T140" s="21">
        <f t="shared" si="68"/>
        <v>-0.6</v>
      </c>
      <c r="U140" s="21">
        <f t="shared" si="69"/>
        <v>1706.364</v>
      </c>
      <c r="V140" s="22">
        <v>0</v>
      </c>
      <c r="W140" s="21">
        <f t="shared" si="70"/>
        <v>0</v>
      </c>
      <c r="X140" s="21">
        <f t="shared" si="71"/>
        <v>0</v>
      </c>
      <c r="Y140" s="21">
        <f t="shared" si="72"/>
        <v>0</v>
      </c>
      <c r="Z140" s="50">
        <v>49</v>
      </c>
      <c r="AA140" s="51">
        <f t="shared" si="73"/>
        <v>408.66</v>
      </c>
      <c r="AB140" s="52" t="e">
        <f t="shared" si="74"/>
        <v>#DIV/0!</v>
      </c>
      <c r="AC140" s="22">
        <v>0</v>
      </c>
      <c r="AD140" s="21">
        <f t="shared" si="75"/>
        <v>0</v>
      </c>
      <c r="AE140" s="21">
        <f t="shared" si="76"/>
        <v>0</v>
      </c>
      <c r="AF140" s="21">
        <f t="shared" si="77"/>
        <v>0</v>
      </c>
      <c r="AG140" s="7">
        <v>165</v>
      </c>
      <c r="AH140" s="25">
        <f t="shared" si="78"/>
        <v>1376.1</v>
      </c>
      <c r="AI140" s="53" t="e">
        <f t="shared" si="79"/>
        <v>#DIV/0!</v>
      </c>
    </row>
    <row r="141" customHeight="1" spans="1:35">
      <c r="A141" s="7" t="s">
        <v>383</v>
      </c>
      <c r="B141" s="7" t="s">
        <v>384</v>
      </c>
      <c r="C141" s="7" t="s">
        <v>34</v>
      </c>
      <c r="D141" s="7" t="s">
        <v>51</v>
      </c>
      <c r="E141" s="7" t="s">
        <v>309</v>
      </c>
      <c r="F141" s="48">
        <v>17.31</v>
      </c>
      <c r="G141" s="48">
        <v>187</v>
      </c>
      <c r="H141" s="55"/>
      <c r="I141" s="55"/>
      <c r="J141" s="48">
        <v>146</v>
      </c>
      <c r="K141" s="7">
        <v>3505</v>
      </c>
      <c r="L141" s="21">
        <f t="shared" si="60"/>
        <v>3.74</v>
      </c>
      <c r="M141" s="21">
        <f t="shared" si="61"/>
        <v>115.94</v>
      </c>
      <c r="N141" s="21">
        <f t="shared" si="62"/>
        <v>2006.9214</v>
      </c>
      <c r="O141" s="21">
        <f t="shared" si="63"/>
        <v>2.07777777777778</v>
      </c>
      <c r="P141" s="21">
        <f t="shared" si="64"/>
        <v>64.4111111111111</v>
      </c>
      <c r="Q141" s="21">
        <f t="shared" si="65"/>
        <v>1672.4345</v>
      </c>
      <c r="R141" s="21">
        <f t="shared" si="66"/>
        <v>64.4111111111111</v>
      </c>
      <c r="S141" s="21">
        <f t="shared" si="67"/>
        <v>2.07777777777778</v>
      </c>
      <c r="T141" s="21">
        <f t="shared" si="68"/>
        <v>2.07777777777778</v>
      </c>
      <c r="U141" s="21">
        <f t="shared" si="69"/>
        <v>1672.4345</v>
      </c>
      <c r="V141" s="22">
        <v>0</v>
      </c>
      <c r="W141" s="21">
        <f t="shared" si="70"/>
        <v>0</v>
      </c>
      <c r="X141" s="21">
        <f t="shared" si="71"/>
        <v>0</v>
      </c>
      <c r="Y141" s="21">
        <f t="shared" si="72"/>
        <v>0</v>
      </c>
      <c r="Z141" s="50">
        <v>10</v>
      </c>
      <c r="AA141" s="51">
        <f t="shared" si="73"/>
        <v>173.1</v>
      </c>
      <c r="AB141" s="52" t="e">
        <f t="shared" si="74"/>
        <v>#DIV/0!</v>
      </c>
      <c r="AC141" s="22">
        <v>0</v>
      </c>
      <c r="AD141" s="21">
        <f t="shared" si="75"/>
        <v>0</v>
      </c>
      <c r="AE141" s="21">
        <f t="shared" si="76"/>
        <v>0</v>
      </c>
      <c r="AF141" s="21">
        <f t="shared" si="77"/>
        <v>0</v>
      </c>
      <c r="AG141" s="7">
        <v>2</v>
      </c>
      <c r="AH141" s="25">
        <f t="shared" si="78"/>
        <v>34.62</v>
      </c>
      <c r="AI141" s="53" t="e">
        <f t="shared" si="79"/>
        <v>#DIV/0!</v>
      </c>
    </row>
    <row r="142" customHeight="1" spans="1:35">
      <c r="A142" s="7" t="s">
        <v>615</v>
      </c>
      <c r="B142" s="7" t="s">
        <v>649</v>
      </c>
      <c r="C142" s="7" t="s">
        <v>34</v>
      </c>
      <c r="D142" s="7" t="s">
        <v>35</v>
      </c>
      <c r="E142" s="7" t="s">
        <v>431</v>
      </c>
      <c r="F142" s="48">
        <v>9.52</v>
      </c>
      <c r="G142" s="48">
        <v>325</v>
      </c>
      <c r="H142" s="48">
        <v>1</v>
      </c>
      <c r="I142" s="48">
        <v>325</v>
      </c>
      <c r="J142" s="48">
        <v>267</v>
      </c>
      <c r="K142" s="7">
        <v>3589</v>
      </c>
      <c r="L142" s="21">
        <f t="shared" si="60"/>
        <v>5.5</v>
      </c>
      <c r="M142" s="21">
        <f t="shared" si="61"/>
        <v>201.5</v>
      </c>
      <c r="N142" s="21">
        <f t="shared" si="62"/>
        <v>1918.28</v>
      </c>
      <c r="O142" s="21">
        <f t="shared" si="63"/>
        <v>2.61111111111111</v>
      </c>
      <c r="P142" s="21">
        <f t="shared" si="64"/>
        <v>111.944444444444</v>
      </c>
      <c r="Q142" s="21">
        <f t="shared" si="65"/>
        <v>1598.56666666667</v>
      </c>
      <c r="R142" s="21">
        <f t="shared" si="66"/>
        <v>111.944444444444</v>
      </c>
      <c r="S142" s="21">
        <f t="shared" si="67"/>
        <v>3.61111111111111</v>
      </c>
      <c r="T142" s="21">
        <f t="shared" si="68"/>
        <v>2.61111111111111</v>
      </c>
      <c r="U142" s="21">
        <f t="shared" si="69"/>
        <v>1598.56666666667</v>
      </c>
      <c r="V142" s="22">
        <v>0.333333333333333</v>
      </c>
      <c r="W142" s="21">
        <f t="shared" si="70"/>
        <v>1.2037037037037</v>
      </c>
      <c r="X142" s="21">
        <f t="shared" si="71"/>
        <v>37.3148148148148</v>
      </c>
      <c r="Y142" s="21">
        <f t="shared" si="72"/>
        <v>532.855555555555</v>
      </c>
      <c r="Z142" s="50">
        <v>14</v>
      </c>
      <c r="AA142" s="51">
        <f t="shared" si="73"/>
        <v>133.28</v>
      </c>
      <c r="AB142" s="52">
        <f t="shared" si="74"/>
        <v>0.375186104218362</v>
      </c>
      <c r="AC142" s="22">
        <v>0.666666666666667</v>
      </c>
      <c r="AD142" s="21">
        <f t="shared" si="75"/>
        <v>2.40740740740741</v>
      </c>
      <c r="AE142" s="21">
        <f t="shared" si="76"/>
        <v>74.6296296296297</v>
      </c>
      <c r="AF142" s="21">
        <f t="shared" si="77"/>
        <v>1065.71111111111</v>
      </c>
      <c r="AG142" s="7">
        <v>2</v>
      </c>
      <c r="AH142" s="25">
        <f t="shared" si="78"/>
        <v>19.04</v>
      </c>
      <c r="AI142" s="53">
        <f t="shared" si="79"/>
        <v>0.0267990074441687</v>
      </c>
    </row>
    <row r="143" customHeight="1" spans="1:35">
      <c r="A143" s="7" t="s">
        <v>350</v>
      </c>
      <c r="B143" s="7" t="s">
        <v>351</v>
      </c>
      <c r="C143" s="7" t="s">
        <v>34</v>
      </c>
      <c r="D143" s="7" t="s">
        <v>35</v>
      </c>
      <c r="E143" s="7" t="s">
        <v>264</v>
      </c>
      <c r="F143" s="48">
        <v>28.01</v>
      </c>
      <c r="G143" s="48">
        <v>109</v>
      </c>
      <c r="H143" s="55"/>
      <c r="I143" s="55"/>
      <c r="J143" s="48">
        <v>101</v>
      </c>
      <c r="K143" s="7">
        <v>4145</v>
      </c>
      <c r="L143" s="21">
        <f t="shared" si="60"/>
        <v>2.18</v>
      </c>
      <c r="M143" s="21">
        <f t="shared" si="61"/>
        <v>67.58</v>
      </c>
      <c r="N143" s="21">
        <f t="shared" si="62"/>
        <v>1892.9158</v>
      </c>
      <c r="O143" s="21">
        <f t="shared" si="63"/>
        <v>1.21111111111111</v>
      </c>
      <c r="P143" s="21">
        <f t="shared" si="64"/>
        <v>37.5444444444444</v>
      </c>
      <c r="Q143" s="21">
        <f t="shared" si="65"/>
        <v>1577.42983333333</v>
      </c>
      <c r="R143" s="21">
        <f t="shared" si="66"/>
        <v>37.5444444444444</v>
      </c>
      <c r="S143" s="21">
        <f t="shared" si="67"/>
        <v>1.21111111111111</v>
      </c>
      <c r="T143" s="21">
        <f t="shared" si="68"/>
        <v>1.21111111111111</v>
      </c>
      <c r="U143" s="21">
        <f t="shared" si="69"/>
        <v>1577.42983333333</v>
      </c>
      <c r="V143" s="22">
        <v>0.132075471698113</v>
      </c>
      <c r="W143" s="21">
        <f t="shared" si="70"/>
        <v>0.159958071278826</v>
      </c>
      <c r="X143" s="21">
        <f t="shared" si="71"/>
        <v>4.9587002096436</v>
      </c>
      <c r="Y143" s="21">
        <f t="shared" si="72"/>
        <v>208.339789308176</v>
      </c>
      <c r="Z143" s="50">
        <v>3</v>
      </c>
      <c r="AA143" s="51">
        <f t="shared" si="73"/>
        <v>84.03</v>
      </c>
      <c r="AB143" s="52">
        <f t="shared" si="74"/>
        <v>0.604997251934216</v>
      </c>
      <c r="AC143" s="22">
        <v>0.867924528301887</v>
      </c>
      <c r="AD143" s="21">
        <f t="shared" si="75"/>
        <v>1.05115303983229</v>
      </c>
      <c r="AE143" s="21">
        <f t="shared" si="76"/>
        <v>32.5857442348008</v>
      </c>
      <c r="AF143" s="21">
        <f t="shared" si="77"/>
        <v>1369.09004402516</v>
      </c>
      <c r="AG143" s="7">
        <v>2</v>
      </c>
      <c r="AH143" s="25">
        <f t="shared" si="78"/>
        <v>56.02</v>
      </c>
      <c r="AI143" s="53">
        <f t="shared" si="79"/>
        <v>0.0613765328049205</v>
      </c>
    </row>
    <row r="144" customHeight="1" spans="1:35">
      <c r="A144" s="7" t="s">
        <v>628</v>
      </c>
      <c r="B144" s="7" t="s">
        <v>710</v>
      </c>
      <c r="C144" s="7" t="s">
        <v>34</v>
      </c>
      <c r="D144" s="7" t="s">
        <v>35</v>
      </c>
      <c r="E144" s="7" t="s">
        <v>141</v>
      </c>
      <c r="F144" s="48">
        <v>24.9</v>
      </c>
      <c r="G144" s="48">
        <v>120</v>
      </c>
      <c r="H144" s="55"/>
      <c r="I144" s="55"/>
      <c r="J144" s="48">
        <v>120</v>
      </c>
      <c r="K144" s="7">
        <v>4482</v>
      </c>
      <c r="L144" s="21">
        <f t="shared" si="60"/>
        <v>2.4</v>
      </c>
      <c r="M144" s="21">
        <f t="shared" si="61"/>
        <v>74.4</v>
      </c>
      <c r="N144" s="21">
        <f t="shared" si="62"/>
        <v>1852.56</v>
      </c>
      <c r="O144" s="21">
        <f t="shared" si="63"/>
        <v>1.33333333333333</v>
      </c>
      <c r="P144" s="21">
        <f t="shared" si="64"/>
        <v>41.3333333333333</v>
      </c>
      <c r="Q144" s="21">
        <f t="shared" si="65"/>
        <v>1543.8</v>
      </c>
      <c r="R144" s="21">
        <f t="shared" si="66"/>
        <v>41.3333333333333</v>
      </c>
      <c r="S144" s="21">
        <f t="shared" si="67"/>
        <v>1.33333333333333</v>
      </c>
      <c r="T144" s="21">
        <f t="shared" si="68"/>
        <v>1.33333333333333</v>
      </c>
      <c r="U144" s="21">
        <f t="shared" si="69"/>
        <v>1543.8</v>
      </c>
      <c r="V144" s="22">
        <v>0.540540540540541</v>
      </c>
      <c r="W144" s="21">
        <f t="shared" si="70"/>
        <v>0.720720720720721</v>
      </c>
      <c r="X144" s="21">
        <f t="shared" si="71"/>
        <v>22.3423423423424</v>
      </c>
      <c r="Y144" s="21">
        <f t="shared" si="72"/>
        <v>834.486486486487</v>
      </c>
      <c r="Z144" s="50">
        <v>6</v>
      </c>
      <c r="AA144" s="51">
        <f t="shared" si="73"/>
        <v>149.4</v>
      </c>
      <c r="AB144" s="52">
        <f t="shared" si="74"/>
        <v>0.268548387096774</v>
      </c>
      <c r="AC144" s="22">
        <v>0.459459459459459</v>
      </c>
      <c r="AD144" s="21">
        <f t="shared" si="75"/>
        <v>0.612612612612612</v>
      </c>
      <c r="AE144" s="21">
        <f t="shared" si="76"/>
        <v>18.990990990991</v>
      </c>
      <c r="AF144" s="21">
        <f t="shared" si="77"/>
        <v>709.313513513513</v>
      </c>
      <c r="AG144" s="7">
        <v>4</v>
      </c>
      <c r="AH144" s="25">
        <f t="shared" si="78"/>
        <v>99.6</v>
      </c>
      <c r="AI144" s="53">
        <f t="shared" si="79"/>
        <v>0.210626185958254</v>
      </c>
    </row>
    <row r="145" customHeight="1" spans="1:35">
      <c r="A145" s="7" t="s">
        <v>644</v>
      </c>
      <c r="B145" s="7" t="s">
        <v>720</v>
      </c>
      <c r="C145" s="7" t="s">
        <v>34</v>
      </c>
      <c r="D145" s="7" t="s">
        <v>35</v>
      </c>
      <c r="E145" s="7" t="s">
        <v>141</v>
      </c>
      <c r="F145" s="48">
        <v>24.9</v>
      </c>
      <c r="G145" s="48">
        <v>120</v>
      </c>
      <c r="H145" s="55"/>
      <c r="I145" s="55"/>
      <c r="J145" s="48">
        <v>120</v>
      </c>
      <c r="K145" s="7">
        <v>4482</v>
      </c>
      <c r="L145" s="21">
        <f t="shared" si="60"/>
        <v>2.4</v>
      </c>
      <c r="M145" s="21">
        <f t="shared" si="61"/>
        <v>74.4</v>
      </c>
      <c r="N145" s="21">
        <f t="shared" si="62"/>
        <v>1852.56</v>
      </c>
      <c r="O145" s="21">
        <f t="shared" si="63"/>
        <v>1.33333333333333</v>
      </c>
      <c r="P145" s="21">
        <f t="shared" si="64"/>
        <v>41.3333333333333</v>
      </c>
      <c r="Q145" s="21">
        <f t="shared" si="65"/>
        <v>1543.8</v>
      </c>
      <c r="R145" s="21">
        <f t="shared" si="66"/>
        <v>41.3333333333333</v>
      </c>
      <c r="S145" s="21">
        <f t="shared" si="67"/>
        <v>1.33333333333333</v>
      </c>
      <c r="T145" s="21">
        <f t="shared" si="68"/>
        <v>1.33333333333333</v>
      </c>
      <c r="U145" s="21">
        <f t="shared" si="69"/>
        <v>1543.8</v>
      </c>
      <c r="V145" s="22">
        <v>0</v>
      </c>
      <c r="W145" s="21">
        <f t="shared" si="70"/>
        <v>0</v>
      </c>
      <c r="X145" s="21">
        <f t="shared" si="71"/>
        <v>0</v>
      </c>
      <c r="Y145" s="21">
        <f t="shared" si="72"/>
        <v>0</v>
      </c>
      <c r="Z145" s="50">
        <v>10</v>
      </c>
      <c r="AA145" s="51">
        <f t="shared" si="73"/>
        <v>249</v>
      </c>
      <c r="AB145" s="52" t="e">
        <f t="shared" si="74"/>
        <v>#DIV/0!</v>
      </c>
      <c r="AC145" s="22">
        <v>0</v>
      </c>
      <c r="AD145" s="21">
        <f t="shared" si="75"/>
        <v>0</v>
      </c>
      <c r="AE145" s="21">
        <f t="shared" si="76"/>
        <v>0</v>
      </c>
      <c r="AF145" s="21">
        <f t="shared" si="77"/>
        <v>0</v>
      </c>
      <c r="AG145" s="7">
        <v>7</v>
      </c>
      <c r="AH145" s="25">
        <f t="shared" si="78"/>
        <v>174.3</v>
      </c>
      <c r="AI145" s="53" t="e">
        <f t="shared" si="79"/>
        <v>#DIV/0!</v>
      </c>
    </row>
    <row r="146" customHeight="1" spans="1:35">
      <c r="A146" s="7" t="s">
        <v>622</v>
      </c>
      <c r="B146" s="7" t="s">
        <v>650</v>
      </c>
      <c r="C146" s="7" t="s">
        <v>34</v>
      </c>
      <c r="D146" s="7" t="s">
        <v>35</v>
      </c>
      <c r="E146" s="7" t="s">
        <v>141</v>
      </c>
      <c r="F146" s="48">
        <v>24.9</v>
      </c>
      <c r="G146" s="48">
        <v>119</v>
      </c>
      <c r="H146" s="55"/>
      <c r="I146" s="55"/>
      <c r="J146" s="48">
        <v>118</v>
      </c>
      <c r="K146" s="7">
        <v>4395</v>
      </c>
      <c r="L146" s="21">
        <f t="shared" si="60"/>
        <v>2.38</v>
      </c>
      <c r="M146" s="21">
        <f t="shared" si="61"/>
        <v>73.78</v>
      </c>
      <c r="N146" s="21">
        <f t="shared" si="62"/>
        <v>1837.122</v>
      </c>
      <c r="O146" s="21">
        <f t="shared" si="63"/>
        <v>1.32222222222222</v>
      </c>
      <c r="P146" s="21">
        <f t="shared" si="64"/>
        <v>40.9888888888889</v>
      </c>
      <c r="Q146" s="21">
        <f t="shared" si="65"/>
        <v>1530.935</v>
      </c>
      <c r="R146" s="21">
        <f t="shared" si="66"/>
        <v>40.9888888888889</v>
      </c>
      <c r="S146" s="21">
        <f t="shared" si="67"/>
        <v>1.32222222222222</v>
      </c>
      <c r="T146" s="21">
        <f t="shared" si="68"/>
        <v>1.32222222222222</v>
      </c>
      <c r="U146" s="21">
        <f t="shared" si="69"/>
        <v>1530.935</v>
      </c>
      <c r="V146" s="22">
        <v>1</v>
      </c>
      <c r="W146" s="21">
        <f t="shared" si="70"/>
        <v>1.32222222222222</v>
      </c>
      <c r="X146" s="21">
        <f t="shared" si="71"/>
        <v>40.9888888888889</v>
      </c>
      <c r="Y146" s="21">
        <f t="shared" si="72"/>
        <v>1530.935</v>
      </c>
      <c r="Z146" s="50">
        <v>1</v>
      </c>
      <c r="AA146" s="51">
        <f t="shared" si="73"/>
        <v>24.9</v>
      </c>
      <c r="AB146" s="52">
        <f t="shared" si="74"/>
        <v>0.0243968555164001</v>
      </c>
      <c r="AC146" s="22">
        <v>0</v>
      </c>
      <c r="AD146" s="21">
        <f t="shared" si="75"/>
        <v>0</v>
      </c>
      <c r="AE146" s="21">
        <f t="shared" si="76"/>
        <v>0</v>
      </c>
      <c r="AF146" s="21">
        <f t="shared" si="77"/>
        <v>0</v>
      </c>
      <c r="AG146" s="7">
        <v>6</v>
      </c>
      <c r="AH146" s="25">
        <f t="shared" si="78"/>
        <v>149.4</v>
      </c>
      <c r="AI146" s="53" t="e">
        <f t="shared" si="79"/>
        <v>#DIV/0!</v>
      </c>
    </row>
    <row r="147" customHeight="1" spans="1:35">
      <c r="A147" s="7" t="s">
        <v>504</v>
      </c>
      <c r="B147" s="7" t="s">
        <v>505</v>
      </c>
      <c r="C147" s="7" t="s">
        <v>34</v>
      </c>
      <c r="D147" s="7" t="s">
        <v>35</v>
      </c>
      <c r="E147" s="7" t="s">
        <v>492</v>
      </c>
      <c r="F147" s="48">
        <v>37.71</v>
      </c>
      <c r="G147" s="48">
        <v>78</v>
      </c>
      <c r="H147" s="55"/>
      <c r="I147" s="55"/>
      <c r="J147" s="48">
        <v>57</v>
      </c>
      <c r="K147" s="7">
        <v>2904</v>
      </c>
      <c r="L147" s="21">
        <f t="shared" si="60"/>
        <v>1.56</v>
      </c>
      <c r="M147" s="21">
        <f t="shared" si="61"/>
        <v>48.36</v>
      </c>
      <c r="N147" s="21">
        <f t="shared" si="62"/>
        <v>1823.6556</v>
      </c>
      <c r="O147" s="21">
        <f t="shared" si="63"/>
        <v>0.866666666666667</v>
      </c>
      <c r="P147" s="21">
        <f t="shared" si="64"/>
        <v>26.8666666666667</v>
      </c>
      <c r="Q147" s="21">
        <f t="shared" si="65"/>
        <v>1519.713</v>
      </c>
      <c r="R147" s="21">
        <f t="shared" si="66"/>
        <v>26.8666666666667</v>
      </c>
      <c r="S147" s="21">
        <f t="shared" si="67"/>
        <v>0.866666666666667</v>
      </c>
      <c r="T147" s="21">
        <f t="shared" si="68"/>
        <v>0.866666666666667</v>
      </c>
      <c r="U147" s="21">
        <f t="shared" si="69"/>
        <v>1519.713</v>
      </c>
      <c r="V147" s="22">
        <v>0</v>
      </c>
      <c r="W147" s="21">
        <f t="shared" si="70"/>
        <v>0</v>
      </c>
      <c r="X147" s="21">
        <f t="shared" si="71"/>
        <v>0</v>
      </c>
      <c r="Y147" s="21">
        <f t="shared" si="72"/>
        <v>0</v>
      </c>
      <c r="Z147" s="50">
        <v>23</v>
      </c>
      <c r="AA147" s="51">
        <f t="shared" si="73"/>
        <v>867.33</v>
      </c>
      <c r="AB147" s="52" t="e">
        <f t="shared" si="74"/>
        <v>#DIV/0!</v>
      </c>
      <c r="AC147" s="22">
        <v>0</v>
      </c>
      <c r="AD147" s="21">
        <f t="shared" si="75"/>
        <v>0</v>
      </c>
      <c r="AE147" s="21">
        <f t="shared" si="76"/>
        <v>0</v>
      </c>
      <c r="AF147" s="21">
        <f t="shared" si="77"/>
        <v>0</v>
      </c>
      <c r="AG147" s="7">
        <v>11</v>
      </c>
      <c r="AH147" s="25">
        <f t="shared" si="78"/>
        <v>414.81</v>
      </c>
      <c r="AI147" s="53" t="e">
        <f t="shared" si="79"/>
        <v>#DIV/0!</v>
      </c>
    </row>
    <row r="148" customHeight="1" spans="1:35">
      <c r="A148" s="7" t="s">
        <v>344</v>
      </c>
      <c r="B148" s="7" t="s">
        <v>345</v>
      </c>
      <c r="C148" s="7" t="s">
        <v>34</v>
      </c>
      <c r="D148" s="7" t="s">
        <v>35</v>
      </c>
      <c r="E148" s="7" t="s">
        <v>306</v>
      </c>
      <c r="F148" s="48">
        <v>57.2</v>
      </c>
      <c r="G148" s="48">
        <v>48</v>
      </c>
      <c r="H148" s="55"/>
      <c r="I148" s="55"/>
      <c r="J148" s="48">
        <v>27</v>
      </c>
      <c r="K148" s="7">
        <v>1830</v>
      </c>
      <c r="L148" s="21">
        <f t="shared" si="60"/>
        <v>0.96</v>
      </c>
      <c r="M148" s="21">
        <f t="shared" si="61"/>
        <v>29.76</v>
      </c>
      <c r="N148" s="21">
        <f t="shared" si="62"/>
        <v>1702.272</v>
      </c>
      <c r="O148" s="21">
        <f t="shared" si="63"/>
        <v>0.533333333333333</v>
      </c>
      <c r="P148" s="21">
        <f t="shared" si="64"/>
        <v>16.5333333333333</v>
      </c>
      <c r="Q148" s="21">
        <f t="shared" si="65"/>
        <v>1418.56</v>
      </c>
      <c r="R148" s="21">
        <f t="shared" si="66"/>
        <v>16.5333333333333</v>
      </c>
      <c r="S148" s="21">
        <f t="shared" si="67"/>
        <v>0.533333333333333</v>
      </c>
      <c r="T148" s="21">
        <f t="shared" si="68"/>
        <v>0.533333333333333</v>
      </c>
      <c r="U148" s="21">
        <f t="shared" si="69"/>
        <v>1418.56</v>
      </c>
      <c r="V148" s="22">
        <v>0</v>
      </c>
      <c r="W148" s="21">
        <f t="shared" si="70"/>
        <v>0</v>
      </c>
      <c r="X148" s="21">
        <f t="shared" si="71"/>
        <v>0</v>
      </c>
      <c r="Y148" s="21">
        <f t="shared" si="72"/>
        <v>0</v>
      </c>
      <c r="Z148" s="50">
        <v>9</v>
      </c>
      <c r="AA148" s="51">
        <f t="shared" si="73"/>
        <v>514.8</v>
      </c>
      <c r="AB148" s="52" t="e">
        <f t="shared" si="74"/>
        <v>#DIV/0!</v>
      </c>
      <c r="AC148" s="22">
        <v>0</v>
      </c>
      <c r="AD148" s="21">
        <f t="shared" si="75"/>
        <v>0</v>
      </c>
      <c r="AE148" s="21">
        <f t="shared" si="76"/>
        <v>0</v>
      </c>
      <c r="AF148" s="21">
        <f t="shared" si="77"/>
        <v>0</v>
      </c>
      <c r="AG148" s="7">
        <v>0</v>
      </c>
      <c r="AH148" s="25">
        <f t="shared" si="78"/>
        <v>0</v>
      </c>
      <c r="AI148" s="53" t="e">
        <f t="shared" si="79"/>
        <v>#DIV/0!</v>
      </c>
    </row>
    <row r="149" customHeight="1" spans="1:35">
      <c r="A149" s="7" t="s">
        <v>399</v>
      </c>
      <c r="B149" s="7" t="s">
        <v>400</v>
      </c>
      <c r="C149" s="7" t="s">
        <v>34</v>
      </c>
      <c r="D149" s="7" t="s">
        <v>35</v>
      </c>
      <c r="E149" s="7" t="s">
        <v>250</v>
      </c>
      <c r="F149" s="48">
        <v>151.83</v>
      </c>
      <c r="G149" s="48">
        <v>18</v>
      </c>
      <c r="H149" s="55"/>
      <c r="I149" s="55"/>
      <c r="J149" s="48">
        <v>18</v>
      </c>
      <c r="K149" s="7">
        <v>4099</v>
      </c>
      <c r="L149" s="21">
        <f t="shared" si="60"/>
        <v>0.36</v>
      </c>
      <c r="M149" s="21">
        <f t="shared" si="61"/>
        <v>11.16</v>
      </c>
      <c r="N149" s="21">
        <f t="shared" si="62"/>
        <v>1694.4228</v>
      </c>
      <c r="O149" s="21">
        <f t="shared" si="63"/>
        <v>0.2</v>
      </c>
      <c r="P149" s="21">
        <f t="shared" si="64"/>
        <v>6.2</v>
      </c>
      <c r="Q149" s="21">
        <f t="shared" si="65"/>
        <v>1412.019</v>
      </c>
      <c r="R149" s="21">
        <f t="shared" si="66"/>
        <v>6.2</v>
      </c>
      <c r="S149" s="21">
        <f t="shared" si="67"/>
        <v>0.2</v>
      </c>
      <c r="T149" s="21">
        <f t="shared" si="68"/>
        <v>0.2</v>
      </c>
      <c r="U149" s="21">
        <f t="shared" si="69"/>
        <v>1412.019</v>
      </c>
      <c r="V149" s="22">
        <v>0</v>
      </c>
      <c r="W149" s="21">
        <f t="shared" si="70"/>
        <v>0</v>
      </c>
      <c r="X149" s="21">
        <f t="shared" si="71"/>
        <v>0</v>
      </c>
      <c r="Y149" s="21">
        <f t="shared" si="72"/>
        <v>0</v>
      </c>
      <c r="Z149" s="50">
        <v>0</v>
      </c>
      <c r="AA149" s="51">
        <f t="shared" si="73"/>
        <v>0</v>
      </c>
      <c r="AB149" s="52" t="e">
        <f t="shared" si="74"/>
        <v>#DIV/0!</v>
      </c>
      <c r="AC149" s="22">
        <v>0</v>
      </c>
      <c r="AD149" s="21">
        <f t="shared" si="75"/>
        <v>0</v>
      </c>
      <c r="AE149" s="21">
        <f t="shared" si="76"/>
        <v>0</v>
      </c>
      <c r="AF149" s="21">
        <f t="shared" si="77"/>
        <v>0</v>
      </c>
      <c r="AG149" s="7">
        <v>1</v>
      </c>
      <c r="AH149" s="25">
        <f t="shared" si="78"/>
        <v>151.83</v>
      </c>
      <c r="AI149" s="53" t="e">
        <f t="shared" si="79"/>
        <v>#DIV/0!</v>
      </c>
    </row>
    <row r="150" customHeight="1" spans="1:35">
      <c r="A150" s="7" t="s">
        <v>237</v>
      </c>
      <c r="B150" s="7" t="s">
        <v>238</v>
      </c>
      <c r="C150" s="7" t="s">
        <v>34</v>
      </c>
      <c r="D150" s="7" t="s">
        <v>51</v>
      </c>
      <c r="E150" s="7" t="s">
        <v>239</v>
      </c>
      <c r="F150" s="48">
        <v>75.23</v>
      </c>
      <c r="G150" s="48">
        <v>36</v>
      </c>
      <c r="H150" s="55"/>
      <c r="I150" s="55"/>
      <c r="J150" s="48">
        <v>16</v>
      </c>
      <c r="K150" s="7">
        <v>1204</v>
      </c>
      <c r="L150" s="21">
        <f t="shared" si="60"/>
        <v>0.72</v>
      </c>
      <c r="M150" s="21">
        <f t="shared" si="61"/>
        <v>22.32</v>
      </c>
      <c r="N150" s="21">
        <f t="shared" si="62"/>
        <v>1679.1336</v>
      </c>
      <c r="O150" s="21">
        <f t="shared" si="63"/>
        <v>0.4</v>
      </c>
      <c r="P150" s="21">
        <f t="shared" si="64"/>
        <v>12.4</v>
      </c>
      <c r="Q150" s="21">
        <f t="shared" si="65"/>
        <v>1399.278</v>
      </c>
      <c r="R150" s="21">
        <f t="shared" si="66"/>
        <v>12.4</v>
      </c>
      <c r="S150" s="21">
        <f t="shared" si="67"/>
        <v>0.4</v>
      </c>
      <c r="T150" s="21">
        <f t="shared" si="68"/>
        <v>0.4</v>
      </c>
      <c r="U150" s="21">
        <f t="shared" si="69"/>
        <v>1399.278</v>
      </c>
      <c r="V150" s="22">
        <v>0</v>
      </c>
      <c r="W150" s="21">
        <f t="shared" si="70"/>
        <v>0</v>
      </c>
      <c r="X150" s="21">
        <f t="shared" si="71"/>
        <v>0</v>
      </c>
      <c r="Y150" s="21">
        <f t="shared" si="72"/>
        <v>0</v>
      </c>
      <c r="Z150" s="50">
        <v>6</v>
      </c>
      <c r="AA150" s="51">
        <f t="shared" si="73"/>
        <v>451.38</v>
      </c>
      <c r="AB150" s="52" t="e">
        <f t="shared" si="74"/>
        <v>#DIV/0!</v>
      </c>
      <c r="AC150" s="22">
        <v>0</v>
      </c>
      <c r="AD150" s="21">
        <f t="shared" si="75"/>
        <v>0</v>
      </c>
      <c r="AE150" s="21">
        <f t="shared" si="76"/>
        <v>0</v>
      </c>
      <c r="AF150" s="21">
        <f t="shared" si="77"/>
        <v>0</v>
      </c>
      <c r="AG150" s="7">
        <v>16</v>
      </c>
      <c r="AH150" s="25">
        <f t="shared" si="78"/>
        <v>1203.68</v>
      </c>
      <c r="AI150" s="53" t="e">
        <f t="shared" si="79"/>
        <v>#DIV/0!</v>
      </c>
    </row>
    <row r="151" customHeight="1" spans="1:35">
      <c r="A151" s="7" t="s">
        <v>149</v>
      </c>
      <c r="B151" s="7" t="s">
        <v>150</v>
      </c>
      <c r="C151" s="7" t="s">
        <v>34</v>
      </c>
      <c r="D151" s="7" t="s">
        <v>35</v>
      </c>
      <c r="E151" s="7" t="s">
        <v>151</v>
      </c>
      <c r="F151" s="48">
        <v>237.5296</v>
      </c>
      <c r="G151" s="48">
        <v>11</v>
      </c>
      <c r="H151" s="55"/>
      <c r="I151" s="55"/>
      <c r="J151" s="48">
        <v>11</v>
      </c>
      <c r="K151" s="7">
        <v>3919</v>
      </c>
      <c r="L151" s="21">
        <f t="shared" si="60"/>
        <v>0.22</v>
      </c>
      <c r="M151" s="21">
        <f t="shared" si="61"/>
        <v>6.82</v>
      </c>
      <c r="N151" s="21">
        <f t="shared" si="62"/>
        <v>1619.951872</v>
      </c>
      <c r="O151" s="21">
        <f t="shared" si="63"/>
        <v>0.122222222222222</v>
      </c>
      <c r="P151" s="21">
        <f t="shared" si="64"/>
        <v>3.78888888888889</v>
      </c>
      <c r="Q151" s="21">
        <f t="shared" si="65"/>
        <v>1349.95989333333</v>
      </c>
      <c r="R151" s="21">
        <f t="shared" si="66"/>
        <v>3.78888888888889</v>
      </c>
      <c r="S151" s="21">
        <f t="shared" si="67"/>
        <v>0.122222222222222</v>
      </c>
      <c r="T151" s="21">
        <f t="shared" si="68"/>
        <v>0.122222222222222</v>
      </c>
      <c r="U151" s="21">
        <f t="shared" si="69"/>
        <v>1349.95989333333</v>
      </c>
      <c r="V151" s="22">
        <v>0.823529411764706</v>
      </c>
      <c r="W151" s="21">
        <f t="shared" si="70"/>
        <v>0.100653594771242</v>
      </c>
      <c r="X151" s="21">
        <f t="shared" si="71"/>
        <v>3.1202614379085</v>
      </c>
      <c r="Y151" s="21">
        <f t="shared" si="72"/>
        <v>1111.73167686275</v>
      </c>
      <c r="Z151" s="50">
        <v>1</v>
      </c>
      <c r="AA151" s="51">
        <f t="shared" si="73"/>
        <v>237.5296</v>
      </c>
      <c r="AB151" s="52">
        <f t="shared" si="74"/>
        <v>0.320485965647256</v>
      </c>
      <c r="AC151" s="22">
        <v>0.176470588235294</v>
      </c>
      <c r="AD151" s="21">
        <f t="shared" si="75"/>
        <v>0.0215686274509804</v>
      </c>
      <c r="AE151" s="21">
        <f t="shared" si="76"/>
        <v>0.668627450980392</v>
      </c>
      <c r="AF151" s="21">
        <f t="shared" si="77"/>
        <v>238.228216470588</v>
      </c>
      <c r="AG151" s="7">
        <v>1</v>
      </c>
      <c r="AH151" s="25">
        <f t="shared" si="78"/>
        <v>237.5296</v>
      </c>
      <c r="AI151" s="53">
        <f t="shared" si="79"/>
        <v>1.49560117302053</v>
      </c>
    </row>
    <row r="152" customHeight="1" spans="1:35">
      <c r="A152" s="7" t="s">
        <v>802</v>
      </c>
      <c r="B152" s="7" t="s">
        <v>660</v>
      </c>
      <c r="C152" s="7" t="s">
        <v>34</v>
      </c>
      <c r="D152" s="7" t="s">
        <v>35</v>
      </c>
      <c r="E152" s="7" t="s">
        <v>661</v>
      </c>
      <c r="F152" s="48">
        <v>20.77</v>
      </c>
      <c r="G152" s="48">
        <v>120</v>
      </c>
      <c r="H152" s="48">
        <v>2</v>
      </c>
      <c r="I152" s="48">
        <v>60</v>
      </c>
      <c r="J152" s="48">
        <v>19</v>
      </c>
      <c r="K152" s="7">
        <v>395</v>
      </c>
      <c r="L152" s="21">
        <f t="shared" si="60"/>
        <v>0.4</v>
      </c>
      <c r="M152" s="21">
        <f t="shared" si="61"/>
        <v>74.4</v>
      </c>
      <c r="N152" s="21">
        <f t="shared" si="62"/>
        <v>1545.288</v>
      </c>
      <c r="O152" s="21">
        <f t="shared" si="63"/>
        <v>-0.666666666666667</v>
      </c>
      <c r="P152" s="21">
        <f t="shared" si="64"/>
        <v>41.3333333333333</v>
      </c>
      <c r="Q152" s="21">
        <f t="shared" si="65"/>
        <v>1287.74</v>
      </c>
      <c r="R152" s="21">
        <f t="shared" si="66"/>
        <v>41.3333333333333</v>
      </c>
      <c r="S152" s="21">
        <f t="shared" si="67"/>
        <v>1.33333333333333</v>
      </c>
      <c r="T152" s="21">
        <f t="shared" si="68"/>
        <v>-0.666666666666667</v>
      </c>
      <c r="U152" s="21">
        <f t="shared" si="69"/>
        <v>1287.74</v>
      </c>
      <c r="V152" s="22">
        <v>0</v>
      </c>
      <c r="W152" s="21">
        <f t="shared" si="70"/>
        <v>0</v>
      </c>
      <c r="X152" s="21">
        <f t="shared" si="71"/>
        <v>0</v>
      </c>
      <c r="Y152" s="21">
        <f t="shared" si="72"/>
        <v>0</v>
      </c>
      <c r="Z152" s="50">
        <v>7</v>
      </c>
      <c r="AA152" s="51">
        <f t="shared" si="73"/>
        <v>145.39</v>
      </c>
      <c r="AB152" s="52" t="e">
        <f t="shared" si="74"/>
        <v>#DIV/0!</v>
      </c>
      <c r="AC152" s="22">
        <v>0</v>
      </c>
      <c r="AD152" s="21">
        <f t="shared" si="75"/>
        <v>0</v>
      </c>
      <c r="AE152" s="21">
        <f t="shared" si="76"/>
        <v>0</v>
      </c>
      <c r="AF152" s="21">
        <f t="shared" si="77"/>
        <v>0</v>
      </c>
      <c r="AG152" s="7">
        <v>79</v>
      </c>
      <c r="AH152" s="25">
        <f t="shared" si="78"/>
        <v>1640.83</v>
      </c>
      <c r="AI152" s="53" t="e">
        <f t="shared" si="79"/>
        <v>#DIV/0!</v>
      </c>
    </row>
    <row r="153" customHeight="1" spans="1:35">
      <c r="A153" s="7" t="s">
        <v>517</v>
      </c>
      <c r="B153" s="7" t="s">
        <v>518</v>
      </c>
      <c r="C153" s="7" t="s">
        <v>34</v>
      </c>
      <c r="D153" s="7" t="s">
        <v>51</v>
      </c>
      <c r="E153" s="7" t="s">
        <v>313</v>
      </c>
      <c r="F153" s="48">
        <v>3.8201</v>
      </c>
      <c r="G153" s="48">
        <v>641</v>
      </c>
      <c r="H153" s="48">
        <v>6</v>
      </c>
      <c r="I153" s="48">
        <v>106</v>
      </c>
      <c r="J153" s="48">
        <v>296</v>
      </c>
      <c r="K153" s="7">
        <v>1169</v>
      </c>
      <c r="L153" s="21">
        <f t="shared" si="60"/>
        <v>6.82</v>
      </c>
      <c r="M153" s="21">
        <f t="shared" si="61"/>
        <v>397.42</v>
      </c>
      <c r="N153" s="21">
        <f t="shared" si="62"/>
        <v>1518.184142</v>
      </c>
      <c r="O153" s="21">
        <f t="shared" si="63"/>
        <v>1.12222222222222</v>
      </c>
      <c r="P153" s="21">
        <f t="shared" si="64"/>
        <v>220.788888888889</v>
      </c>
      <c r="Q153" s="21">
        <f t="shared" si="65"/>
        <v>1265.15345166667</v>
      </c>
      <c r="R153" s="21">
        <f t="shared" si="66"/>
        <v>220.788888888889</v>
      </c>
      <c r="S153" s="21">
        <f t="shared" si="67"/>
        <v>7.12222222222222</v>
      </c>
      <c r="T153" s="21">
        <f t="shared" si="68"/>
        <v>1.12222222222222</v>
      </c>
      <c r="U153" s="21">
        <f t="shared" si="69"/>
        <v>1265.15345166667</v>
      </c>
      <c r="V153" s="22">
        <v>0.950131233595801</v>
      </c>
      <c r="W153" s="21">
        <f t="shared" si="70"/>
        <v>6.76704578594343</v>
      </c>
      <c r="X153" s="21">
        <f t="shared" si="71"/>
        <v>209.778419364246</v>
      </c>
      <c r="Y153" s="21">
        <f t="shared" si="72"/>
        <v>1202.06180972004</v>
      </c>
      <c r="Z153" s="50">
        <v>115</v>
      </c>
      <c r="AA153" s="51">
        <f t="shared" si="73"/>
        <v>439.3115</v>
      </c>
      <c r="AB153" s="52">
        <f t="shared" si="74"/>
        <v>0.548197475929692</v>
      </c>
      <c r="AC153" s="22">
        <v>0.047244094488189</v>
      </c>
      <c r="AD153" s="21">
        <f t="shared" si="75"/>
        <v>0.336482939632546</v>
      </c>
      <c r="AE153" s="21">
        <f t="shared" si="76"/>
        <v>10.4309711286089</v>
      </c>
      <c r="AF153" s="21">
        <f t="shared" si="77"/>
        <v>59.7710292125984</v>
      </c>
      <c r="AG153" s="7">
        <v>74</v>
      </c>
      <c r="AH153" s="25">
        <f t="shared" si="78"/>
        <v>282.6874</v>
      </c>
      <c r="AI153" s="53">
        <f t="shared" si="79"/>
        <v>7.09425796386696</v>
      </c>
    </row>
    <row r="154" customHeight="1" spans="1:35">
      <c r="A154" s="7" t="s">
        <v>370</v>
      </c>
      <c r="B154" s="7" t="s">
        <v>371</v>
      </c>
      <c r="C154" s="7" t="s">
        <v>34</v>
      </c>
      <c r="D154" s="7" t="s">
        <v>35</v>
      </c>
      <c r="E154" s="7" t="s">
        <v>372</v>
      </c>
      <c r="F154" s="48">
        <v>61.04</v>
      </c>
      <c r="G154" s="48">
        <v>40</v>
      </c>
      <c r="H154" s="55"/>
      <c r="I154" s="55"/>
      <c r="J154" s="48">
        <v>40</v>
      </c>
      <c r="K154" s="7">
        <v>3662</v>
      </c>
      <c r="L154" s="21">
        <f t="shared" si="60"/>
        <v>0.8</v>
      </c>
      <c r="M154" s="21">
        <f t="shared" si="61"/>
        <v>24.8</v>
      </c>
      <c r="N154" s="21">
        <f t="shared" si="62"/>
        <v>1513.792</v>
      </c>
      <c r="O154" s="21">
        <f t="shared" si="63"/>
        <v>0.444444444444444</v>
      </c>
      <c r="P154" s="21">
        <f t="shared" si="64"/>
        <v>13.7777777777778</v>
      </c>
      <c r="Q154" s="21">
        <f t="shared" si="65"/>
        <v>1261.49333333333</v>
      </c>
      <c r="R154" s="21">
        <f t="shared" si="66"/>
        <v>13.7777777777778</v>
      </c>
      <c r="S154" s="21">
        <f t="shared" si="67"/>
        <v>0.444444444444444</v>
      </c>
      <c r="T154" s="21">
        <f t="shared" si="68"/>
        <v>0.444444444444444</v>
      </c>
      <c r="U154" s="21">
        <f t="shared" si="69"/>
        <v>1261.49333333333</v>
      </c>
      <c r="V154" s="22">
        <v>0</v>
      </c>
      <c r="W154" s="21">
        <f t="shared" si="70"/>
        <v>0</v>
      </c>
      <c r="X154" s="21">
        <f t="shared" si="71"/>
        <v>0</v>
      </c>
      <c r="Y154" s="21">
        <f t="shared" si="72"/>
        <v>0</v>
      </c>
      <c r="Z154" s="50">
        <v>1</v>
      </c>
      <c r="AA154" s="51">
        <f t="shared" si="73"/>
        <v>61.04</v>
      </c>
      <c r="AB154" s="52" t="e">
        <f t="shared" si="74"/>
        <v>#DIV/0!</v>
      </c>
      <c r="AC154" s="22">
        <v>1</v>
      </c>
      <c r="AD154" s="21">
        <f t="shared" si="75"/>
        <v>0.444444444444444</v>
      </c>
      <c r="AE154" s="21">
        <f t="shared" si="76"/>
        <v>13.7777777777778</v>
      </c>
      <c r="AF154" s="21">
        <f t="shared" si="77"/>
        <v>1261.49333333333</v>
      </c>
      <c r="AG154" s="7">
        <v>0</v>
      </c>
      <c r="AH154" s="25">
        <f t="shared" si="78"/>
        <v>0</v>
      </c>
      <c r="AI154" s="53">
        <f t="shared" si="79"/>
        <v>0</v>
      </c>
    </row>
    <row r="155" customHeight="1" spans="1:35">
      <c r="A155" s="7" t="s">
        <v>325</v>
      </c>
      <c r="B155" s="7" t="s">
        <v>326</v>
      </c>
      <c r="C155" s="7" t="s">
        <v>34</v>
      </c>
      <c r="D155" s="7" t="s">
        <v>35</v>
      </c>
      <c r="E155" s="7" t="s">
        <v>327</v>
      </c>
      <c r="F155" s="48">
        <v>7.48</v>
      </c>
      <c r="G155" s="48">
        <v>315</v>
      </c>
      <c r="H155" s="55"/>
      <c r="I155" s="55"/>
      <c r="J155" s="48">
        <v>282</v>
      </c>
      <c r="K155" s="7">
        <v>3063</v>
      </c>
      <c r="L155" s="21">
        <f t="shared" si="60"/>
        <v>6.3</v>
      </c>
      <c r="M155" s="21">
        <f t="shared" si="61"/>
        <v>195.3</v>
      </c>
      <c r="N155" s="21">
        <f t="shared" si="62"/>
        <v>1460.844</v>
      </c>
      <c r="O155" s="21">
        <f t="shared" si="63"/>
        <v>3.5</v>
      </c>
      <c r="P155" s="21">
        <f t="shared" si="64"/>
        <v>108.5</v>
      </c>
      <c r="Q155" s="21">
        <f t="shared" si="65"/>
        <v>1217.37</v>
      </c>
      <c r="R155" s="21">
        <f t="shared" si="66"/>
        <v>108.5</v>
      </c>
      <c r="S155" s="21">
        <f t="shared" si="67"/>
        <v>3.5</v>
      </c>
      <c r="T155" s="21">
        <f t="shared" si="68"/>
        <v>3.5</v>
      </c>
      <c r="U155" s="21">
        <f t="shared" si="69"/>
        <v>1217.37</v>
      </c>
      <c r="V155" s="22">
        <v>0.266666666666667</v>
      </c>
      <c r="W155" s="21">
        <f t="shared" si="70"/>
        <v>0.933333333333334</v>
      </c>
      <c r="X155" s="21">
        <f t="shared" si="71"/>
        <v>28.9333333333334</v>
      </c>
      <c r="Y155" s="21">
        <f t="shared" si="72"/>
        <v>324.632</v>
      </c>
      <c r="Z155" s="50">
        <v>6</v>
      </c>
      <c r="AA155" s="51">
        <f t="shared" si="73"/>
        <v>44.88</v>
      </c>
      <c r="AB155" s="52">
        <f t="shared" si="74"/>
        <v>0.2073732718894</v>
      </c>
      <c r="AC155" s="22">
        <v>0.733333333333333</v>
      </c>
      <c r="AD155" s="21">
        <f t="shared" si="75"/>
        <v>2.56666666666666</v>
      </c>
      <c r="AE155" s="21">
        <f t="shared" si="76"/>
        <v>79.5666666666666</v>
      </c>
      <c r="AF155" s="21">
        <f t="shared" si="77"/>
        <v>892.738</v>
      </c>
      <c r="AG155" s="7">
        <v>7</v>
      </c>
      <c r="AH155" s="25">
        <f t="shared" si="78"/>
        <v>52.36</v>
      </c>
      <c r="AI155" s="53">
        <f t="shared" si="79"/>
        <v>0.0879765395894429</v>
      </c>
    </row>
    <row r="156" customHeight="1" spans="1:35">
      <c r="A156" s="7" t="s">
        <v>355</v>
      </c>
      <c r="B156" s="7" t="s">
        <v>356</v>
      </c>
      <c r="C156" s="7" t="s">
        <v>34</v>
      </c>
      <c r="D156" s="7" t="s">
        <v>51</v>
      </c>
      <c r="E156" s="7" t="s">
        <v>357</v>
      </c>
      <c r="F156" s="48">
        <v>116.15</v>
      </c>
      <c r="G156" s="48">
        <v>20</v>
      </c>
      <c r="H156" s="55"/>
      <c r="I156" s="55"/>
      <c r="J156" s="48">
        <v>20</v>
      </c>
      <c r="K156" s="7">
        <v>3485</v>
      </c>
      <c r="L156" s="21">
        <f t="shared" si="60"/>
        <v>0.4</v>
      </c>
      <c r="M156" s="21">
        <f t="shared" si="61"/>
        <v>12.4</v>
      </c>
      <c r="N156" s="21">
        <f t="shared" si="62"/>
        <v>1440.26</v>
      </c>
      <c r="O156" s="21">
        <f t="shared" si="63"/>
        <v>0.222222222222222</v>
      </c>
      <c r="P156" s="21">
        <f t="shared" si="64"/>
        <v>6.88888888888889</v>
      </c>
      <c r="Q156" s="21">
        <f t="shared" si="65"/>
        <v>1200.21666666667</v>
      </c>
      <c r="R156" s="21">
        <f t="shared" si="66"/>
        <v>6.88888888888889</v>
      </c>
      <c r="S156" s="21">
        <f t="shared" si="67"/>
        <v>0.222222222222222</v>
      </c>
      <c r="T156" s="21">
        <f t="shared" si="68"/>
        <v>0.222222222222222</v>
      </c>
      <c r="U156" s="21">
        <f t="shared" si="69"/>
        <v>1200.21666666667</v>
      </c>
      <c r="V156" s="22">
        <v>0.514285714285714</v>
      </c>
      <c r="W156" s="21">
        <f t="shared" si="70"/>
        <v>0.114285714285714</v>
      </c>
      <c r="X156" s="21">
        <f t="shared" si="71"/>
        <v>3.54285714285714</v>
      </c>
      <c r="Y156" s="21">
        <f t="shared" si="72"/>
        <v>617.254285714285</v>
      </c>
      <c r="Z156" s="50">
        <v>1</v>
      </c>
      <c r="AA156" s="51">
        <f t="shared" si="73"/>
        <v>116.15</v>
      </c>
      <c r="AB156" s="52">
        <f t="shared" si="74"/>
        <v>0.282258064516129</v>
      </c>
      <c r="AC156" s="22">
        <v>0.485714285714286</v>
      </c>
      <c r="AD156" s="21">
        <f t="shared" si="75"/>
        <v>0.107936507936508</v>
      </c>
      <c r="AE156" s="21">
        <f t="shared" si="76"/>
        <v>3.34603174603175</v>
      </c>
      <c r="AF156" s="21">
        <f t="shared" si="77"/>
        <v>582.962380952381</v>
      </c>
      <c r="AG156" s="7">
        <v>1</v>
      </c>
      <c r="AH156" s="25">
        <f t="shared" si="78"/>
        <v>116.15</v>
      </c>
      <c r="AI156" s="53">
        <f t="shared" si="79"/>
        <v>0.298861480075901</v>
      </c>
    </row>
    <row r="157" customHeight="1" spans="1:35">
      <c r="A157" s="7" t="s">
        <v>363</v>
      </c>
      <c r="B157" s="7" t="s">
        <v>364</v>
      </c>
      <c r="C157" s="7" t="s">
        <v>34</v>
      </c>
      <c r="D157" s="7" t="s">
        <v>35</v>
      </c>
      <c r="E157" s="7" t="s">
        <v>365</v>
      </c>
      <c r="F157" s="48">
        <v>47.82</v>
      </c>
      <c r="G157" s="48">
        <v>48</v>
      </c>
      <c r="H157" s="55"/>
      <c r="I157" s="55"/>
      <c r="J157" s="48">
        <v>47</v>
      </c>
      <c r="K157" s="7">
        <v>3347</v>
      </c>
      <c r="L157" s="21">
        <f t="shared" si="60"/>
        <v>0.96</v>
      </c>
      <c r="M157" s="21">
        <f t="shared" si="61"/>
        <v>29.76</v>
      </c>
      <c r="N157" s="21">
        <f t="shared" si="62"/>
        <v>1423.1232</v>
      </c>
      <c r="O157" s="21">
        <f t="shared" si="63"/>
        <v>0.533333333333333</v>
      </c>
      <c r="P157" s="21">
        <f t="shared" si="64"/>
        <v>16.5333333333333</v>
      </c>
      <c r="Q157" s="21">
        <f t="shared" si="65"/>
        <v>1185.936</v>
      </c>
      <c r="R157" s="21">
        <f t="shared" si="66"/>
        <v>16.5333333333333</v>
      </c>
      <c r="S157" s="21">
        <f t="shared" si="67"/>
        <v>0.533333333333333</v>
      </c>
      <c r="T157" s="21">
        <f t="shared" si="68"/>
        <v>0.533333333333333</v>
      </c>
      <c r="U157" s="21">
        <f t="shared" si="69"/>
        <v>1185.936</v>
      </c>
      <c r="V157" s="22">
        <v>1</v>
      </c>
      <c r="W157" s="21">
        <f t="shared" si="70"/>
        <v>0.533333333333333</v>
      </c>
      <c r="X157" s="21">
        <f t="shared" si="71"/>
        <v>16.5333333333333</v>
      </c>
      <c r="Y157" s="21">
        <f t="shared" si="72"/>
        <v>1185.936</v>
      </c>
      <c r="Z157" s="50">
        <v>2</v>
      </c>
      <c r="AA157" s="51">
        <f t="shared" si="73"/>
        <v>95.64</v>
      </c>
      <c r="AB157" s="52">
        <f t="shared" si="74"/>
        <v>0.120967741935484</v>
      </c>
      <c r="AC157" s="22">
        <v>0</v>
      </c>
      <c r="AD157" s="21">
        <f t="shared" si="75"/>
        <v>0</v>
      </c>
      <c r="AE157" s="21">
        <f t="shared" si="76"/>
        <v>0</v>
      </c>
      <c r="AF157" s="21">
        <f t="shared" si="77"/>
        <v>0</v>
      </c>
      <c r="AG157" s="7">
        <v>2</v>
      </c>
      <c r="AH157" s="25">
        <f t="shared" si="78"/>
        <v>95.64</v>
      </c>
      <c r="AI157" s="53" t="e">
        <f t="shared" si="79"/>
        <v>#DIV/0!</v>
      </c>
    </row>
    <row r="158" customHeight="1" spans="1:35">
      <c r="A158" s="7" t="s">
        <v>420</v>
      </c>
      <c r="B158" s="7" t="s">
        <v>421</v>
      </c>
      <c r="C158" s="7" t="s">
        <v>34</v>
      </c>
      <c r="D158" s="7" t="s">
        <v>35</v>
      </c>
      <c r="E158" s="7" t="s">
        <v>306</v>
      </c>
      <c r="F158" s="48">
        <v>125.94</v>
      </c>
      <c r="G158" s="48">
        <v>18</v>
      </c>
      <c r="H158" s="55"/>
      <c r="I158" s="55"/>
      <c r="J158" s="48">
        <v>15</v>
      </c>
      <c r="K158" s="7">
        <v>2645</v>
      </c>
      <c r="L158" s="21">
        <f t="shared" si="60"/>
        <v>0.36</v>
      </c>
      <c r="M158" s="21">
        <f t="shared" si="61"/>
        <v>11.16</v>
      </c>
      <c r="N158" s="21">
        <f t="shared" si="62"/>
        <v>1405.4904</v>
      </c>
      <c r="O158" s="21">
        <f t="shared" si="63"/>
        <v>0.2</v>
      </c>
      <c r="P158" s="21">
        <f t="shared" si="64"/>
        <v>6.2</v>
      </c>
      <c r="Q158" s="21">
        <f t="shared" si="65"/>
        <v>1171.242</v>
      </c>
      <c r="R158" s="21">
        <f t="shared" si="66"/>
        <v>6.2</v>
      </c>
      <c r="S158" s="21">
        <f t="shared" si="67"/>
        <v>0.2</v>
      </c>
      <c r="T158" s="21">
        <f t="shared" si="68"/>
        <v>0.2</v>
      </c>
      <c r="U158" s="21">
        <f t="shared" si="69"/>
        <v>1171.242</v>
      </c>
      <c r="V158" s="22">
        <v>0.631205673758865</v>
      </c>
      <c r="W158" s="21">
        <f t="shared" si="70"/>
        <v>0.126241134751773</v>
      </c>
      <c r="X158" s="21">
        <f t="shared" si="71"/>
        <v>3.91347517730496</v>
      </c>
      <c r="Y158" s="21">
        <f t="shared" si="72"/>
        <v>739.294595744681</v>
      </c>
      <c r="Z158" s="50">
        <v>2</v>
      </c>
      <c r="AA158" s="51">
        <f t="shared" si="73"/>
        <v>251.88</v>
      </c>
      <c r="AB158" s="52">
        <f t="shared" si="74"/>
        <v>0.511054729974629</v>
      </c>
      <c r="AC158" s="22">
        <v>0.368794326241135</v>
      </c>
      <c r="AD158" s="21">
        <f t="shared" si="75"/>
        <v>0.073758865248227</v>
      </c>
      <c r="AE158" s="21">
        <f t="shared" si="76"/>
        <v>2.28652482269504</v>
      </c>
      <c r="AF158" s="21">
        <f t="shared" si="77"/>
        <v>431.947404255319</v>
      </c>
      <c r="AG158" s="7">
        <v>0</v>
      </c>
      <c r="AH158" s="25">
        <f t="shared" si="78"/>
        <v>0</v>
      </c>
      <c r="AI158" s="53">
        <f t="shared" si="79"/>
        <v>0</v>
      </c>
    </row>
    <row r="159" customHeight="1" spans="1:35">
      <c r="A159" s="7" t="s">
        <v>329</v>
      </c>
      <c r="B159" s="7" t="s">
        <v>330</v>
      </c>
      <c r="C159" s="7" t="s">
        <v>34</v>
      </c>
      <c r="D159" s="7" t="s">
        <v>35</v>
      </c>
      <c r="E159" s="7" t="s">
        <v>171</v>
      </c>
      <c r="F159" s="48">
        <v>41.87</v>
      </c>
      <c r="G159" s="48">
        <v>47</v>
      </c>
      <c r="H159" s="55"/>
      <c r="I159" s="55"/>
      <c r="J159" s="48">
        <v>47</v>
      </c>
      <c r="K159" s="7">
        <v>2952</v>
      </c>
      <c r="L159" s="21">
        <f t="shared" si="60"/>
        <v>0.94</v>
      </c>
      <c r="M159" s="21">
        <f t="shared" si="61"/>
        <v>29.14</v>
      </c>
      <c r="N159" s="21">
        <f t="shared" si="62"/>
        <v>1220.0918</v>
      </c>
      <c r="O159" s="21">
        <f t="shared" si="63"/>
        <v>0.522222222222222</v>
      </c>
      <c r="P159" s="21">
        <f t="shared" si="64"/>
        <v>16.1888888888889</v>
      </c>
      <c r="Q159" s="21">
        <f t="shared" si="65"/>
        <v>1016.74316666667</v>
      </c>
      <c r="R159" s="21">
        <f t="shared" si="66"/>
        <v>16.1888888888889</v>
      </c>
      <c r="S159" s="21">
        <f t="shared" si="67"/>
        <v>0.522222222222222</v>
      </c>
      <c r="T159" s="21">
        <f t="shared" si="68"/>
        <v>0.522222222222222</v>
      </c>
      <c r="U159" s="21">
        <f t="shared" si="69"/>
        <v>1016.74316666667</v>
      </c>
      <c r="V159" s="22">
        <v>0</v>
      </c>
      <c r="W159" s="21">
        <f t="shared" si="70"/>
        <v>0</v>
      </c>
      <c r="X159" s="21">
        <f t="shared" si="71"/>
        <v>0</v>
      </c>
      <c r="Y159" s="21">
        <f t="shared" si="72"/>
        <v>0</v>
      </c>
      <c r="Z159" s="50">
        <v>0</v>
      </c>
      <c r="AA159" s="51">
        <f t="shared" si="73"/>
        <v>0</v>
      </c>
      <c r="AB159" s="52" t="e">
        <f t="shared" si="74"/>
        <v>#DIV/0!</v>
      </c>
      <c r="AC159" s="22">
        <v>0</v>
      </c>
      <c r="AD159" s="21">
        <f t="shared" si="75"/>
        <v>0</v>
      </c>
      <c r="AE159" s="21">
        <f t="shared" si="76"/>
        <v>0</v>
      </c>
      <c r="AF159" s="21">
        <f t="shared" si="77"/>
        <v>0</v>
      </c>
      <c r="AG159" s="7">
        <v>0</v>
      </c>
      <c r="AH159" s="25">
        <f t="shared" si="78"/>
        <v>0</v>
      </c>
      <c r="AI159" s="53" t="e">
        <f t="shared" si="79"/>
        <v>#DIV/0!</v>
      </c>
    </row>
    <row r="160" customHeight="1" spans="1:35">
      <c r="A160" s="7" t="s">
        <v>412</v>
      </c>
      <c r="B160" s="7" t="s">
        <v>413</v>
      </c>
      <c r="C160" s="7" t="s">
        <v>34</v>
      </c>
      <c r="D160" s="7" t="s">
        <v>35</v>
      </c>
      <c r="E160" s="7" t="s">
        <v>171</v>
      </c>
      <c r="F160" s="48">
        <v>41.83</v>
      </c>
      <c r="G160" s="48">
        <v>43</v>
      </c>
      <c r="H160" s="55"/>
      <c r="I160" s="55"/>
      <c r="J160" s="48">
        <v>43</v>
      </c>
      <c r="K160" s="7">
        <v>2698</v>
      </c>
      <c r="L160" s="21">
        <f t="shared" si="60"/>
        <v>0.86</v>
      </c>
      <c r="M160" s="21">
        <f t="shared" si="61"/>
        <v>26.66</v>
      </c>
      <c r="N160" s="21">
        <f t="shared" si="62"/>
        <v>1115.1878</v>
      </c>
      <c r="O160" s="21">
        <f t="shared" si="63"/>
        <v>0.477777777777778</v>
      </c>
      <c r="P160" s="21">
        <f t="shared" si="64"/>
        <v>14.8111111111111</v>
      </c>
      <c r="Q160" s="21">
        <f t="shared" si="65"/>
        <v>929.323166666667</v>
      </c>
      <c r="R160" s="21">
        <f t="shared" si="66"/>
        <v>14.8111111111111</v>
      </c>
      <c r="S160" s="21">
        <f t="shared" si="67"/>
        <v>0.477777777777778</v>
      </c>
      <c r="T160" s="21">
        <f t="shared" si="68"/>
        <v>0.477777777777778</v>
      </c>
      <c r="U160" s="21">
        <f t="shared" si="69"/>
        <v>929.323166666667</v>
      </c>
      <c r="V160" s="22">
        <v>0.333333333333333</v>
      </c>
      <c r="W160" s="21">
        <f t="shared" si="70"/>
        <v>0.159259259259259</v>
      </c>
      <c r="X160" s="21">
        <f t="shared" si="71"/>
        <v>4.93703703703703</v>
      </c>
      <c r="Y160" s="21">
        <f t="shared" si="72"/>
        <v>309.774388888889</v>
      </c>
      <c r="Z160" s="50">
        <v>0</v>
      </c>
      <c r="AA160" s="51">
        <f t="shared" si="73"/>
        <v>0</v>
      </c>
      <c r="AB160" s="52">
        <f t="shared" si="74"/>
        <v>0</v>
      </c>
      <c r="AC160" s="22">
        <v>0.666666666666667</v>
      </c>
      <c r="AD160" s="21">
        <f t="shared" si="75"/>
        <v>0.318518518518519</v>
      </c>
      <c r="AE160" s="21">
        <f t="shared" si="76"/>
        <v>9.87407407407408</v>
      </c>
      <c r="AF160" s="21">
        <f t="shared" si="77"/>
        <v>619.548777777778</v>
      </c>
      <c r="AG160" s="7">
        <v>1</v>
      </c>
      <c r="AH160" s="25">
        <f t="shared" si="78"/>
        <v>41.83</v>
      </c>
      <c r="AI160" s="53">
        <f t="shared" si="79"/>
        <v>0.101275318829707</v>
      </c>
    </row>
    <row r="161" customHeight="1" spans="1:35">
      <c r="A161" s="7" t="s">
        <v>360</v>
      </c>
      <c r="B161" s="7" t="s">
        <v>361</v>
      </c>
      <c r="C161" s="7" t="s">
        <v>34</v>
      </c>
      <c r="D161" s="7" t="s">
        <v>35</v>
      </c>
      <c r="E161" s="7" t="s">
        <v>362</v>
      </c>
      <c r="F161" s="48">
        <v>4.45</v>
      </c>
      <c r="G161" s="48">
        <v>398</v>
      </c>
      <c r="H161" s="55"/>
      <c r="I161" s="55"/>
      <c r="J161" s="48">
        <v>395</v>
      </c>
      <c r="K161" s="7">
        <v>2630</v>
      </c>
      <c r="L161" s="21">
        <f t="shared" si="60"/>
        <v>7.96</v>
      </c>
      <c r="M161" s="21">
        <f t="shared" si="61"/>
        <v>246.76</v>
      </c>
      <c r="N161" s="21">
        <f t="shared" si="62"/>
        <v>1098.082</v>
      </c>
      <c r="O161" s="21">
        <f t="shared" si="63"/>
        <v>4.42222222222222</v>
      </c>
      <c r="P161" s="21">
        <f t="shared" si="64"/>
        <v>137.088888888889</v>
      </c>
      <c r="Q161" s="21">
        <f t="shared" si="65"/>
        <v>915.068333333334</v>
      </c>
      <c r="R161" s="21">
        <f t="shared" si="66"/>
        <v>137.088888888889</v>
      </c>
      <c r="S161" s="21">
        <f t="shared" si="67"/>
        <v>4.42222222222222</v>
      </c>
      <c r="T161" s="21">
        <f t="shared" si="68"/>
        <v>4.42222222222222</v>
      </c>
      <c r="U161" s="21">
        <f t="shared" si="69"/>
        <v>915.068333333334</v>
      </c>
      <c r="V161" s="22">
        <v>0.71078431372549</v>
      </c>
      <c r="W161" s="21">
        <f t="shared" si="70"/>
        <v>3.14324618736383</v>
      </c>
      <c r="X161" s="21">
        <f t="shared" si="71"/>
        <v>97.4406318082789</v>
      </c>
      <c r="Y161" s="21">
        <f t="shared" si="72"/>
        <v>650.416217320261</v>
      </c>
      <c r="Z161" s="50">
        <v>0</v>
      </c>
      <c r="AA161" s="51">
        <f t="shared" si="73"/>
        <v>0</v>
      </c>
      <c r="AB161" s="52">
        <f t="shared" si="74"/>
        <v>0</v>
      </c>
      <c r="AC161" s="22">
        <v>0.245098039215686</v>
      </c>
      <c r="AD161" s="21">
        <f t="shared" si="75"/>
        <v>1.0838779956427</v>
      </c>
      <c r="AE161" s="21">
        <f t="shared" si="76"/>
        <v>33.6002178649237</v>
      </c>
      <c r="AF161" s="21">
        <f t="shared" si="77"/>
        <v>224.281454248366</v>
      </c>
      <c r="AG161" s="7">
        <v>5</v>
      </c>
      <c r="AH161" s="25">
        <f t="shared" si="78"/>
        <v>22.25</v>
      </c>
      <c r="AI161" s="53">
        <f t="shared" si="79"/>
        <v>0.148808558923651</v>
      </c>
    </row>
    <row r="162" customHeight="1" spans="1:35">
      <c r="A162" s="7" t="s">
        <v>352</v>
      </c>
      <c r="B162" s="7" t="s">
        <v>353</v>
      </c>
      <c r="C162" s="7" t="s">
        <v>34</v>
      </c>
      <c r="D162" s="7" t="s">
        <v>35</v>
      </c>
      <c r="E162" s="7" t="s">
        <v>354</v>
      </c>
      <c r="F162" s="48">
        <v>87.64</v>
      </c>
      <c r="G162" s="48">
        <v>20</v>
      </c>
      <c r="H162" s="55"/>
      <c r="I162" s="55"/>
      <c r="J162" s="48">
        <v>20</v>
      </c>
      <c r="K162" s="7">
        <v>2629</v>
      </c>
      <c r="L162" s="21">
        <f t="shared" si="60"/>
        <v>0.4</v>
      </c>
      <c r="M162" s="21">
        <f t="shared" si="61"/>
        <v>12.4</v>
      </c>
      <c r="N162" s="21">
        <f t="shared" si="62"/>
        <v>1086.736</v>
      </c>
      <c r="O162" s="21">
        <f t="shared" si="63"/>
        <v>0.222222222222222</v>
      </c>
      <c r="P162" s="21">
        <f t="shared" si="64"/>
        <v>6.88888888888889</v>
      </c>
      <c r="Q162" s="21">
        <f t="shared" si="65"/>
        <v>905.613333333333</v>
      </c>
      <c r="R162" s="21">
        <f t="shared" si="66"/>
        <v>6.88888888888889</v>
      </c>
      <c r="S162" s="21">
        <f t="shared" si="67"/>
        <v>0.222222222222222</v>
      </c>
      <c r="T162" s="21">
        <f t="shared" si="68"/>
        <v>0.222222222222222</v>
      </c>
      <c r="U162" s="21">
        <f t="shared" si="69"/>
        <v>905.613333333333</v>
      </c>
      <c r="V162" s="22">
        <v>0.703296703296703</v>
      </c>
      <c r="W162" s="21">
        <f t="shared" si="70"/>
        <v>0.156288156288156</v>
      </c>
      <c r="X162" s="21">
        <f t="shared" si="71"/>
        <v>4.84493284493284</v>
      </c>
      <c r="Y162" s="21">
        <f t="shared" si="72"/>
        <v>636.914871794871</v>
      </c>
      <c r="Z162" s="50">
        <v>0</v>
      </c>
      <c r="AA162" s="51">
        <f t="shared" si="73"/>
        <v>0</v>
      </c>
      <c r="AB162" s="52">
        <f t="shared" si="74"/>
        <v>0</v>
      </c>
      <c r="AC162" s="22">
        <v>0.263736263736264</v>
      </c>
      <c r="AD162" s="21">
        <f t="shared" si="75"/>
        <v>0.0586080586080587</v>
      </c>
      <c r="AE162" s="21">
        <f t="shared" si="76"/>
        <v>1.81684981684982</v>
      </c>
      <c r="AF162" s="21">
        <f t="shared" si="77"/>
        <v>238.843076923077</v>
      </c>
      <c r="AG162" s="7">
        <v>0</v>
      </c>
      <c r="AH162" s="25">
        <f t="shared" si="78"/>
        <v>0</v>
      </c>
      <c r="AI162" s="53">
        <f t="shared" si="79"/>
        <v>0</v>
      </c>
    </row>
    <row r="163" customHeight="1" spans="1:35">
      <c r="A163" s="7" t="s">
        <v>389</v>
      </c>
      <c r="B163" s="7" t="s">
        <v>390</v>
      </c>
      <c r="C163" s="7" t="s">
        <v>34</v>
      </c>
      <c r="D163" s="7" t="s">
        <v>35</v>
      </c>
      <c r="E163" s="7" t="s">
        <v>391</v>
      </c>
      <c r="F163" s="48">
        <v>331.25</v>
      </c>
      <c r="G163" s="48">
        <v>5</v>
      </c>
      <c r="H163" s="55"/>
      <c r="I163" s="55"/>
      <c r="J163" s="48">
        <v>5</v>
      </c>
      <c r="K163" s="7">
        <v>2484</v>
      </c>
      <c r="L163" s="21">
        <f t="shared" si="60"/>
        <v>0.1</v>
      </c>
      <c r="M163" s="21">
        <f t="shared" si="61"/>
        <v>3.1</v>
      </c>
      <c r="N163" s="21">
        <f t="shared" si="62"/>
        <v>1026.875</v>
      </c>
      <c r="O163" s="21">
        <f t="shared" si="63"/>
        <v>0.0555555555555556</v>
      </c>
      <c r="P163" s="21">
        <f t="shared" si="64"/>
        <v>1.72222222222222</v>
      </c>
      <c r="Q163" s="21">
        <f t="shared" si="65"/>
        <v>855.729166666667</v>
      </c>
      <c r="R163" s="21">
        <f t="shared" si="66"/>
        <v>1.72222222222222</v>
      </c>
      <c r="S163" s="21">
        <f t="shared" si="67"/>
        <v>0.0555555555555556</v>
      </c>
      <c r="T163" s="21">
        <f t="shared" si="68"/>
        <v>0.0555555555555556</v>
      </c>
      <c r="U163" s="21">
        <f t="shared" si="69"/>
        <v>855.729166666667</v>
      </c>
      <c r="V163" s="22">
        <v>0</v>
      </c>
      <c r="W163" s="21">
        <f t="shared" si="70"/>
        <v>0</v>
      </c>
      <c r="X163" s="21">
        <f t="shared" si="71"/>
        <v>0</v>
      </c>
      <c r="Y163" s="21">
        <f t="shared" si="72"/>
        <v>0</v>
      </c>
      <c r="Z163" s="50">
        <v>0</v>
      </c>
      <c r="AA163" s="51">
        <f t="shared" si="73"/>
        <v>0</v>
      </c>
      <c r="AB163" s="52" t="e">
        <f t="shared" si="74"/>
        <v>#DIV/0!</v>
      </c>
      <c r="AC163" s="22">
        <v>1</v>
      </c>
      <c r="AD163" s="21">
        <f t="shared" si="75"/>
        <v>0.0555555555555556</v>
      </c>
      <c r="AE163" s="21">
        <f t="shared" si="76"/>
        <v>1.72222222222222</v>
      </c>
      <c r="AF163" s="21">
        <f t="shared" si="77"/>
        <v>855.729166666667</v>
      </c>
      <c r="AG163" s="7">
        <v>0</v>
      </c>
      <c r="AH163" s="25">
        <f t="shared" si="78"/>
        <v>0</v>
      </c>
      <c r="AI163" s="53">
        <f t="shared" si="79"/>
        <v>0</v>
      </c>
    </row>
    <row r="164" customHeight="1" spans="1:35">
      <c r="A164" s="7" t="s">
        <v>196</v>
      </c>
      <c r="B164" s="7" t="s">
        <v>197</v>
      </c>
      <c r="C164" s="7" t="s">
        <v>34</v>
      </c>
      <c r="D164" s="7" t="s">
        <v>51</v>
      </c>
      <c r="E164" s="7" t="s">
        <v>80</v>
      </c>
      <c r="F164" s="48">
        <v>131.41</v>
      </c>
      <c r="G164" s="48">
        <v>12</v>
      </c>
      <c r="H164" s="55"/>
      <c r="I164" s="55"/>
      <c r="J164" s="48">
        <v>12</v>
      </c>
      <c r="K164" s="7">
        <v>2365</v>
      </c>
      <c r="L164" s="21">
        <f t="shared" si="60"/>
        <v>0.24</v>
      </c>
      <c r="M164" s="21">
        <f t="shared" si="61"/>
        <v>7.44</v>
      </c>
      <c r="N164" s="21">
        <f t="shared" si="62"/>
        <v>977.6904</v>
      </c>
      <c r="O164" s="21">
        <f t="shared" si="63"/>
        <v>0.133333333333333</v>
      </c>
      <c r="P164" s="21">
        <f t="shared" si="64"/>
        <v>4.13333333333333</v>
      </c>
      <c r="Q164" s="21">
        <f t="shared" si="65"/>
        <v>814.742</v>
      </c>
      <c r="R164" s="21">
        <f t="shared" si="66"/>
        <v>4.13333333333333</v>
      </c>
      <c r="S164" s="21">
        <f t="shared" si="67"/>
        <v>0.133333333333333</v>
      </c>
      <c r="T164" s="21">
        <f t="shared" si="68"/>
        <v>0.133333333333333</v>
      </c>
      <c r="U164" s="21">
        <f t="shared" si="69"/>
        <v>814.742</v>
      </c>
      <c r="V164" s="22">
        <v>0.492307692307692</v>
      </c>
      <c r="W164" s="21">
        <f t="shared" si="70"/>
        <v>0.0656410256410256</v>
      </c>
      <c r="X164" s="21">
        <f t="shared" si="71"/>
        <v>2.03487179487179</v>
      </c>
      <c r="Y164" s="21">
        <f t="shared" si="72"/>
        <v>401.103753846154</v>
      </c>
      <c r="Z164" s="50">
        <v>4</v>
      </c>
      <c r="AA164" s="51">
        <f t="shared" si="73"/>
        <v>525.64</v>
      </c>
      <c r="AB164" s="52">
        <f t="shared" si="74"/>
        <v>1.96572580645162</v>
      </c>
      <c r="AC164" s="22">
        <v>0.492307692307692</v>
      </c>
      <c r="AD164" s="21">
        <f t="shared" si="75"/>
        <v>0.0656410256410256</v>
      </c>
      <c r="AE164" s="21">
        <f t="shared" si="76"/>
        <v>2.03487179487179</v>
      </c>
      <c r="AF164" s="21">
        <f t="shared" si="77"/>
        <v>401.103753846154</v>
      </c>
      <c r="AG164" s="7">
        <v>0</v>
      </c>
      <c r="AH164" s="25">
        <f t="shared" si="78"/>
        <v>0</v>
      </c>
      <c r="AI164" s="53">
        <f t="shared" si="79"/>
        <v>0</v>
      </c>
    </row>
    <row r="165" customHeight="1" spans="1:35">
      <c r="A165" s="7" t="s">
        <v>375</v>
      </c>
      <c r="B165" s="7" t="s">
        <v>376</v>
      </c>
      <c r="C165" s="7" t="s">
        <v>34</v>
      </c>
      <c r="D165" s="7" t="s">
        <v>35</v>
      </c>
      <c r="E165" s="7" t="s">
        <v>377</v>
      </c>
      <c r="F165" s="48">
        <v>19.04</v>
      </c>
      <c r="G165" s="48">
        <v>76</v>
      </c>
      <c r="H165" s="55"/>
      <c r="I165" s="55"/>
      <c r="J165" s="48">
        <v>73</v>
      </c>
      <c r="K165" s="7">
        <v>2056</v>
      </c>
      <c r="L165" s="21">
        <f t="shared" si="60"/>
        <v>1.52</v>
      </c>
      <c r="M165" s="21">
        <f t="shared" si="61"/>
        <v>47.12</v>
      </c>
      <c r="N165" s="21">
        <f t="shared" si="62"/>
        <v>897.1648</v>
      </c>
      <c r="O165" s="21">
        <f t="shared" si="63"/>
        <v>0.844444444444444</v>
      </c>
      <c r="P165" s="21">
        <f t="shared" si="64"/>
        <v>26.1777777777778</v>
      </c>
      <c r="Q165" s="21">
        <f t="shared" si="65"/>
        <v>747.637333333333</v>
      </c>
      <c r="R165" s="21">
        <f t="shared" si="66"/>
        <v>26.1777777777778</v>
      </c>
      <c r="S165" s="21">
        <f t="shared" si="67"/>
        <v>0.844444444444444</v>
      </c>
      <c r="T165" s="21">
        <f t="shared" si="68"/>
        <v>0.844444444444444</v>
      </c>
      <c r="U165" s="21">
        <f t="shared" si="69"/>
        <v>747.637333333333</v>
      </c>
      <c r="V165" s="22">
        <v>0</v>
      </c>
      <c r="W165" s="21">
        <f t="shared" ref="W165:W189" si="80">X165/31</f>
        <v>0</v>
      </c>
      <c r="X165" s="21">
        <f t="shared" ref="X165:X189" si="81">R165*V165</f>
        <v>0</v>
      </c>
      <c r="Y165" s="21">
        <f t="shared" ref="Y165:Y189" si="82">X165*F165*1.5</f>
        <v>0</v>
      </c>
      <c r="Z165" s="50">
        <v>0</v>
      </c>
      <c r="AA165" s="51">
        <f t="shared" ref="AA165:AA189" si="83">Z165*F165</f>
        <v>0</v>
      </c>
      <c r="AB165" s="52" t="e">
        <f t="shared" ref="AB165:AB189" si="84">Z165/X165</f>
        <v>#DIV/0!</v>
      </c>
      <c r="AC165" s="22">
        <v>0</v>
      </c>
      <c r="AD165" s="21">
        <f t="shared" ref="AD165:AD189" si="85">AE165/31</f>
        <v>0</v>
      </c>
      <c r="AE165" s="21">
        <f t="shared" ref="AE165:AE189" si="86">R165*AC165</f>
        <v>0</v>
      </c>
      <c r="AF165" s="21">
        <f t="shared" ref="AF165:AF189" si="87">F165*AE165*1.5</f>
        <v>0</v>
      </c>
      <c r="AG165" s="7">
        <v>2</v>
      </c>
      <c r="AH165" s="25">
        <f t="shared" ref="AH165:AH189" si="88">AG165*F165</f>
        <v>38.08</v>
      </c>
      <c r="AI165" s="53" t="e">
        <f t="shared" ref="AI165:AI189" si="89">AG165/AE165</f>
        <v>#DIV/0!</v>
      </c>
    </row>
    <row r="166" customHeight="1" spans="1:35">
      <c r="A166" s="7" t="s">
        <v>666</v>
      </c>
      <c r="B166" s="7" t="s">
        <v>727</v>
      </c>
      <c r="C166" s="7" t="s">
        <v>34</v>
      </c>
      <c r="D166" s="7" t="s">
        <v>35</v>
      </c>
      <c r="E166" s="7" t="s">
        <v>106</v>
      </c>
      <c r="F166" s="48">
        <v>6.7</v>
      </c>
      <c r="G166" s="48">
        <v>213</v>
      </c>
      <c r="H166" s="55"/>
      <c r="I166" s="55"/>
      <c r="J166" s="48">
        <v>168</v>
      </c>
      <c r="K166" s="7">
        <v>1568</v>
      </c>
      <c r="L166" s="21">
        <f t="shared" si="60"/>
        <v>4.26</v>
      </c>
      <c r="M166" s="21">
        <f t="shared" si="61"/>
        <v>132.06</v>
      </c>
      <c r="N166" s="21">
        <f t="shared" si="62"/>
        <v>884.802</v>
      </c>
      <c r="O166" s="21">
        <f t="shared" si="63"/>
        <v>2.36666666666667</v>
      </c>
      <c r="P166" s="21">
        <f t="shared" si="64"/>
        <v>73.3666666666667</v>
      </c>
      <c r="Q166" s="21">
        <f t="shared" si="65"/>
        <v>737.335</v>
      </c>
      <c r="R166" s="21">
        <f t="shared" si="66"/>
        <v>73.3666666666667</v>
      </c>
      <c r="S166" s="21">
        <f t="shared" si="67"/>
        <v>2.36666666666667</v>
      </c>
      <c r="T166" s="21">
        <f t="shared" si="68"/>
        <v>2.36666666666667</v>
      </c>
      <c r="U166" s="21">
        <f t="shared" si="69"/>
        <v>737.335</v>
      </c>
      <c r="V166" s="22">
        <v>0.666666666666667</v>
      </c>
      <c r="W166" s="21">
        <f t="shared" si="80"/>
        <v>1.57777777777778</v>
      </c>
      <c r="X166" s="21">
        <f t="shared" si="81"/>
        <v>48.9111111111111</v>
      </c>
      <c r="Y166" s="21">
        <f t="shared" si="82"/>
        <v>491.556666666667</v>
      </c>
      <c r="Z166" s="50">
        <v>25</v>
      </c>
      <c r="AA166" s="51">
        <f t="shared" si="83"/>
        <v>167.5</v>
      </c>
      <c r="AB166" s="52">
        <f t="shared" si="84"/>
        <v>0.511131303952749</v>
      </c>
      <c r="AC166" s="22">
        <v>0.333333333333333</v>
      </c>
      <c r="AD166" s="21">
        <f t="shared" si="85"/>
        <v>0.788888888888888</v>
      </c>
      <c r="AE166" s="21">
        <f t="shared" si="86"/>
        <v>24.4555555555555</v>
      </c>
      <c r="AF166" s="21">
        <f t="shared" si="87"/>
        <v>245.778333333333</v>
      </c>
      <c r="AG166" s="7">
        <v>3</v>
      </c>
      <c r="AH166" s="25">
        <f t="shared" si="88"/>
        <v>20.1</v>
      </c>
      <c r="AI166" s="53">
        <f t="shared" si="89"/>
        <v>0.12267151294866</v>
      </c>
    </row>
    <row r="167" customHeight="1" spans="1:35">
      <c r="A167" s="7" t="s">
        <v>289</v>
      </c>
      <c r="B167" s="7" t="s">
        <v>290</v>
      </c>
      <c r="C167" s="7" t="s">
        <v>34</v>
      </c>
      <c r="D167" s="7" t="s">
        <v>35</v>
      </c>
      <c r="E167" s="7" t="s">
        <v>171</v>
      </c>
      <c r="F167" s="48">
        <v>44.87</v>
      </c>
      <c r="G167" s="48">
        <v>28</v>
      </c>
      <c r="H167" s="55"/>
      <c r="I167" s="55"/>
      <c r="J167" s="48">
        <v>15</v>
      </c>
      <c r="K167" s="7">
        <v>763</v>
      </c>
      <c r="L167" s="21">
        <f t="shared" si="60"/>
        <v>0.56</v>
      </c>
      <c r="M167" s="21">
        <f t="shared" si="61"/>
        <v>17.36</v>
      </c>
      <c r="N167" s="21">
        <f t="shared" si="62"/>
        <v>778.9432</v>
      </c>
      <c r="O167" s="21">
        <f t="shared" si="63"/>
        <v>0.311111111111111</v>
      </c>
      <c r="P167" s="21">
        <f t="shared" si="64"/>
        <v>9.64444444444444</v>
      </c>
      <c r="Q167" s="21">
        <f t="shared" si="65"/>
        <v>649.119333333333</v>
      </c>
      <c r="R167" s="21">
        <f t="shared" si="66"/>
        <v>9.64444444444444</v>
      </c>
      <c r="S167" s="21">
        <f t="shared" si="67"/>
        <v>0.311111111111111</v>
      </c>
      <c r="T167" s="21">
        <f t="shared" si="68"/>
        <v>0.311111111111111</v>
      </c>
      <c r="U167" s="21">
        <f t="shared" si="69"/>
        <v>649.119333333333</v>
      </c>
      <c r="V167" s="22">
        <v>0.102941176470588</v>
      </c>
      <c r="W167" s="21">
        <f t="shared" si="80"/>
        <v>0.0320261437908496</v>
      </c>
      <c r="X167" s="21">
        <f t="shared" si="81"/>
        <v>0.992810457516337</v>
      </c>
      <c r="Y167" s="21">
        <f t="shared" si="82"/>
        <v>66.8211078431371</v>
      </c>
      <c r="Z167" s="50">
        <v>29</v>
      </c>
      <c r="AA167" s="51">
        <f t="shared" si="83"/>
        <v>1301.23</v>
      </c>
      <c r="AB167" s="52">
        <f t="shared" si="84"/>
        <v>29.2100065832786</v>
      </c>
      <c r="AC167" s="22">
        <v>0.867647058823529</v>
      </c>
      <c r="AD167" s="21">
        <f t="shared" si="85"/>
        <v>0.269934640522876</v>
      </c>
      <c r="AE167" s="21">
        <f t="shared" si="86"/>
        <v>8.36797385620915</v>
      </c>
      <c r="AF167" s="21">
        <f t="shared" si="87"/>
        <v>563.206480392156</v>
      </c>
      <c r="AG167" s="7">
        <v>0</v>
      </c>
      <c r="AH167" s="25">
        <f t="shared" si="88"/>
        <v>0</v>
      </c>
      <c r="AI167" s="53">
        <f t="shared" si="89"/>
        <v>0</v>
      </c>
    </row>
    <row r="168" customHeight="1" spans="1:35">
      <c r="A168" s="7" t="s">
        <v>648</v>
      </c>
      <c r="B168" s="7" t="s">
        <v>662</v>
      </c>
      <c r="C168" s="7" t="s">
        <v>34</v>
      </c>
      <c r="D168" s="7" t="s">
        <v>51</v>
      </c>
      <c r="E168" s="7" t="s">
        <v>316</v>
      </c>
      <c r="F168" s="48">
        <v>233.51</v>
      </c>
      <c r="G168" s="48">
        <v>5</v>
      </c>
      <c r="H168" s="55"/>
      <c r="I168" s="55"/>
      <c r="J168" s="48">
        <v>5</v>
      </c>
      <c r="K168" s="7">
        <v>1751</v>
      </c>
      <c r="L168" s="21">
        <f t="shared" si="60"/>
        <v>0.1</v>
      </c>
      <c r="M168" s="21">
        <f t="shared" si="61"/>
        <v>3.1</v>
      </c>
      <c r="N168" s="21">
        <f t="shared" si="62"/>
        <v>723.881</v>
      </c>
      <c r="O168" s="21">
        <f t="shared" si="63"/>
        <v>0.0555555555555556</v>
      </c>
      <c r="P168" s="21">
        <f t="shared" si="64"/>
        <v>1.72222222222222</v>
      </c>
      <c r="Q168" s="21">
        <f t="shared" si="65"/>
        <v>603.234166666667</v>
      </c>
      <c r="R168" s="21">
        <f t="shared" si="66"/>
        <v>1.72222222222222</v>
      </c>
      <c r="S168" s="21">
        <f t="shared" si="67"/>
        <v>0.0555555555555556</v>
      </c>
      <c r="T168" s="21">
        <f t="shared" si="68"/>
        <v>0.0555555555555556</v>
      </c>
      <c r="U168" s="21">
        <f t="shared" si="69"/>
        <v>603.234166666667</v>
      </c>
      <c r="V168" s="22">
        <v>1</v>
      </c>
      <c r="W168" s="21">
        <f t="shared" si="80"/>
        <v>0.0555555555555556</v>
      </c>
      <c r="X168" s="21">
        <f t="shared" si="81"/>
        <v>1.72222222222222</v>
      </c>
      <c r="Y168" s="21">
        <f t="shared" si="82"/>
        <v>603.234166666667</v>
      </c>
      <c r="Z168" s="50">
        <v>0</v>
      </c>
      <c r="AA168" s="51">
        <f t="shared" si="83"/>
        <v>0</v>
      </c>
      <c r="AB168" s="52">
        <f t="shared" si="84"/>
        <v>0</v>
      </c>
      <c r="AC168" s="22">
        <v>0</v>
      </c>
      <c r="AD168" s="21">
        <f t="shared" si="85"/>
        <v>0</v>
      </c>
      <c r="AE168" s="21">
        <f t="shared" si="86"/>
        <v>0</v>
      </c>
      <c r="AF168" s="21">
        <f t="shared" si="87"/>
        <v>0</v>
      </c>
      <c r="AG168" s="7">
        <v>0</v>
      </c>
      <c r="AH168" s="25">
        <f t="shared" si="88"/>
        <v>0</v>
      </c>
      <c r="AI168" s="53" t="e">
        <f t="shared" si="89"/>
        <v>#DIV/0!</v>
      </c>
    </row>
    <row r="169" customHeight="1" spans="1:35">
      <c r="A169" s="7" t="s">
        <v>439</v>
      </c>
      <c r="B169" s="7" t="s">
        <v>440</v>
      </c>
      <c r="C169" s="7" t="s">
        <v>34</v>
      </c>
      <c r="D169" s="7" t="s">
        <v>51</v>
      </c>
      <c r="E169" s="7" t="s">
        <v>80</v>
      </c>
      <c r="F169" s="48">
        <v>9.71</v>
      </c>
      <c r="G169" s="48">
        <v>120</v>
      </c>
      <c r="H169" s="55"/>
      <c r="I169" s="55"/>
      <c r="J169" s="48">
        <v>120</v>
      </c>
      <c r="K169" s="7">
        <v>1748</v>
      </c>
      <c r="L169" s="21">
        <f t="shared" si="60"/>
        <v>2.4</v>
      </c>
      <c r="M169" s="21">
        <f t="shared" si="61"/>
        <v>74.4</v>
      </c>
      <c r="N169" s="21">
        <f t="shared" si="62"/>
        <v>722.424</v>
      </c>
      <c r="O169" s="21">
        <f t="shared" si="63"/>
        <v>1.33333333333333</v>
      </c>
      <c r="P169" s="21">
        <f t="shared" si="64"/>
        <v>41.3333333333333</v>
      </c>
      <c r="Q169" s="21">
        <f t="shared" si="65"/>
        <v>602.02</v>
      </c>
      <c r="R169" s="21">
        <f t="shared" si="66"/>
        <v>41.3333333333333</v>
      </c>
      <c r="S169" s="21">
        <f t="shared" si="67"/>
        <v>1.33333333333333</v>
      </c>
      <c r="T169" s="21">
        <f t="shared" si="68"/>
        <v>1.33333333333333</v>
      </c>
      <c r="U169" s="21">
        <f t="shared" si="69"/>
        <v>602.02</v>
      </c>
      <c r="V169" s="49">
        <v>0.5</v>
      </c>
      <c r="W169" s="21">
        <f t="shared" si="80"/>
        <v>0.666666666666667</v>
      </c>
      <c r="X169" s="21">
        <f t="shared" si="81"/>
        <v>20.6666666666667</v>
      </c>
      <c r="Y169" s="21">
        <f t="shared" si="82"/>
        <v>301.01</v>
      </c>
      <c r="Z169" s="50">
        <v>9</v>
      </c>
      <c r="AA169" s="51">
        <f t="shared" si="83"/>
        <v>87.39</v>
      </c>
      <c r="AB169" s="52">
        <f t="shared" si="84"/>
        <v>0.435483870967741</v>
      </c>
      <c r="AC169" s="49">
        <v>0.5</v>
      </c>
      <c r="AD169" s="21">
        <f t="shared" si="85"/>
        <v>0.666666666666667</v>
      </c>
      <c r="AE169" s="21">
        <f t="shared" si="86"/>
        <v>20.6666666666667</v>
      </c>
      <c r="AF169" s="21">
        <f t="shared" si="87"/>
        <v>301.01</v>
      </c>
      <c r="AG169" s="7">
        <v>13</v>
      </c>
      <c r="AH169" s="25">
        <f t="shared" si="88"/>
        <v>126.23</v>
      </c>
      <c r="AI169" s="53">
        <f t="shared" si="89"/>
        <v>0.629032258064515</v>
      </c>
    </row>
    <row r="170" customHeight="1" spans="1:35">
      <c r="A170" s="7" t="s">
        <v>515</v>
      </c>
      <c r="B170" s="7" t="s">
        <v>516</v>
      </c>
      <c r="C170" s="7" t="s">
        <v>34</v>
      </c>
      <c r="D170" s="7" t="s">
        <v>35</v>
      </c>
      <c r="E170" s="7" t="s">
        <v>377</v>
      </c>
      <c r="F170" s="48">
        <v>13.76</v>
      </c>
      <c r="G170" s="48">
        <v>82</v>
      </c>
      <c r="H170" s="55"/>
      <c r="I170" s="55"/>
      <c r="J170" s="48">
        <v>82</v>
      </c>
      <c r="K170" s="7">
        <v>1692</v>
      </c>
      <c r="L170" s="21">
        <f t="shared" si="60"/>
        <v>1.64</v>
      </c>
      <c r="M170" s="21">
        <f t="shared" si="61"/>
        <v>50.84</v>
      </c>
      <c r="N170" s="21">
        <f t="shared" si="62"/>
        <v>699.5584</v>
      </c>
      <c r="O170" s="21">
        <f t="shared" si="63"/>
        <v>0.911111111111111</v>
      </c>
      <c r="P170" s="21">
        <f t="shared" si="64"/>
        <v>28.2444444444444</v>
      </c>
      <c r="Q170" s="21">
        <f t="shared" si="65"/>
        <v>582.965333333333</v>
      </c>
      <c r="R170" s="21">
        <f t="shared" si="66"/>
        <v>28.2444444444444</v>
      </c>
      <c r="S170" s="21">
        <f t="shared" si="67"/>
        <v>0.911111111111111</v>
      </c>
      <c r="T170" s="21">
        <f t="shared" si="68"/>
        <v>0.911111111111111</v>
      </c>
      <c r="U170" s="21">
        <f t="shared" si="69"/>
        <v>582.965333333333</v>
      </c>
      <c r="V170" s="22">
        <v>1</v>
      </c>
      <c r="W170" s="21">
        <f t="shared" si="80"/>
        <v>0.911111111111111</v>
      </c>
      <c r="X170" s="21">
        <f t="shared" si="81"/>
        <v>28.2444444444444</v>
      </c>
      <c r="Y170" s="21">
        <f t="shared" si="82"/>
        <v>582.965333333333</v>
      </c>
      <c r="Z170" s="50">
        <v>3</v>
      </c>
      <c r="AA170" s="51">
        <f t="shared" si="83"/>
        <v>41.28</v>
      </c>
      <c r="AB170" s="52">
        <f t="shared" si="84"/>
        <v>0.106215578284815</v>
      </c>
      <c r="AC170" s="22">
        <v>0</v>
      </c>
      <c r="AD170" s="21">
        <f t="shared" si="85"/>
        <v>0</v>
      </c>
      <c r="AE170" s="21">
        <f t="shared" si="86"/>
        <v>0</v>
      </c>
      <c r="AF170" s="21">
        <f t="shared" si="87"/>
        <v>0</v>
      </c>
      <c r="AG170" s="7">
        <v>1</v>
      </c>
      <c r="AH170" s="25">
        <f t="shared" si="88"/>
        <v>13.76</v>
      </c>
      <c r="AI170" s="53" t="e">
        <f t="shared" si="89"/>
        <v>#DIV/0!</v>
      </c>
    </row>
    <row r="171" customHeight="1" spans="1:35">
      <c r="A171" s="7" t="s">
        <v>501</v>
      </c>
      <c r="B171" s="7" t="s">
        <v>502</v>
      </c>
      <c r="C171" s="7" t="s">
        <v>34</v>
      </c>
      <c r="D171" s="7" t="s">
        <v>35</v>
      </c>
      <c r="E171" s="7" t="s">
        <v>447</v>
      </c>
      <c r="F171" s="48">
        <v>21.06</v>
      </c>
      <c r="G171" s="48">
        <v>53</v>
      </c>
      <c r="H171" s="55"/>
      <c r="I171" s="55"/>
      <c r="J171" s="48">
        <v>45</v>
      </c>
      <c r="K171" s="7">
        <v>1348</v>
      </c>
      <c r="L171" s="21">
        <f t="shared" si="60"/>
        <v>1.06</v>
      </c>
      <c r="M171" s="21">
        <f t="shared" si="61"/>
        <v>32.86</v>
      </c>
      <c r="N171" s="21">
        <f t="shared" si="62"/>
        <v>692.0316</v>
      </c>
      <c r="O171" s="21">
        <f t="shared" si="63"/>
        <v>0.588888888888889</v>
      </c>
      <c r="P171" s="21">
        <f t="shared" si="64"/>
        <v>18.2555555555556</v>
      </c>
      <c r="Q171" s="21">
        <f t="shared" si="65"/>
        <v>576.693</v>
      </c>
      <c r="R171" s="21">
        <f t="shared" si="66"/>
        <v>18.2555555555556</v>
      </c>
      <c r="S171" s="21">
        <f t="shared" si="67"/>
        <v>0.588888888888889</v>
      </c>
      <c r="T171" s="21">
        <f t="shared" si="68"/>
        <v>0.588888888888889</v>
      </c>
      <c r="U171" s="21">
        <f t="shared" si="69"/>
        <v>576.693</v>
      </c>
      <c r="V171" s="22">
        <v>0</v>
      </c>
      <c r="W171" s="21">
        <f t="shared" si="80"/>
        <v>0</v>
      </c>
      <c r="X171" s="21">
        <f t="shared" si="81"/>
        <v>0</v>
      </c>
      <c r="Y171" s="21">
        <f t="shared" si="82"/>
        <v>0</v>
      </c>
      <c r="Z171" s="50">
        <v>7</v>
      </c>
      <c r="AA171" s="51">
        <f t="shared" si="83"/>
        <v>147.42</v>
      </c>
      <c r="AB171" s="52" t="e">
        <f t="shared" si="84"/>
        <v>#DIV/0!</v>
      </c>
      <c r="AC171" s="22">
        <v>1</v>
      </c>
      <c r="AD171" s="21">
        <f t="shared" si="85"/>
        <v>0.588888888888889</v>
      </c>
      <c r="AE171" s="21">
        <f t="shared" si="86"/>
        <v>18.2555555555556</v>
      </c>
      <c r="AF171" s="21">
        <f t="shared" si="87"/>
        <v>576.693</v>
      </c>
      <c r="AG171" s="7">
        <v>2</v>
      </c>
      <c r="AH171" s="25">
        <f t="shared" si="88"/>
        <v>42.12</v>
      </c>
      <c r="AI171" s="53">
        <f t="shared" si="89"/>
        <v>0.109555690809495</v>
      </c>
    </row>
    <row r="172" customHeight="1" spans="1:35">
      <c r="A172" s="7" t="s">
        <v>401</v>
      </c>
      <c r="B172" s="7" t="s">
        <v>402</v>
      </c>
      <c r="C172" s="7" t="s">
        <v>34</v>
      </c>
      <c r="D172" s="7" t="s">
        <v>35</v>
      </c>
      <c r="E172" s="7" t="s">
        <v>403</v>
      </c>
      <c r="F172" s="48">
        <v>13.67</v>
      </c>
      <c r="G172" s="48">
        <v>79</v>
      </c>
      <c r="H172" s="55"/>
      <c r="I172" s="55"/>
      <c r="J172" s="48">
        <v>79</v>
      </c>
      <c r="K172" s="7">
        <v>1620</v>
      </c>
      <c r="L172" s="21">
        <f t="shared" si="60"/>
        <v>1.58</v>
      </c>
      <c r="M172" s="21">
        <f t="shared" si="61"/>
        <v>48.98</v>
      </c>
      <c r="N172" s="21">
        <f t="shared" si="62"/>
        <v>669.5566</v>
      </c>
      <c r="O172" s="21">
        <f t="shared" si="63"/>
        <v>0.877777777777778</v>
      </c>
      <c r="P172" s="21">
        <f t="shared" si="64"/>
        <v>27.2111111111111</v>
      </c>
      <c r="Q172" s="21">
        <f t="shared" si="65"/>
        <v>557.963833333333</v>
      </c>
      <c r="R172" s="21">
        <f t="shared" si="66"/>
        <v>27.2111111111111</v>
      </c>
      <c r="S172" s="21">
        <f t="shared" si="67"/>
        <v>0.877777777777778</v>
      </c>
      <c r="T172" s="21">
        <f t="shared" si="68"/>
        <v>0.877777777777778</v>
      </c>
      <c r="U172" s="21">
        <f t="shared" si="69"/>
        <v>557.963833333333</v>
      </c>
      <c r="V172" s="22">
        <v>1</v>
      </c>
      <c r="W172" s="21">
        <f t="shared" si="80"/>
        <v>0.877777777777778</v>
      </c>
      <c r="X172" s="21">
        <f t="shared" si="81"/>
        <v>27.2111111111111</v>
      </c>
      <c r="Y172" s="21">
        <f t="shared" si="82"/>
        <v>557.963833333333</v>
      </c>
      <c r="Z172" s="50">
        <v>0</v>
      </c>
      <c r="AA172" s="51">
        <f t="shared" si="83"/>
        <v>0</v>
      </c>
      <c r="AB172" s="52">
        <f t="shared" si="84"/>
        <v>0</v>
      </c>
      <c r="AC172" s="22">
        <v>0</v>
      </c>
      <c r="AD172" s="21">
        <f t="shared" si="85"/>
        <v>0</v>
      </c>
      <c r="AE172" s="21">
        <f t="shared" si="86"/>
        <v>0</v>
      </c>
      <c r="AF172" s="21">
        <f t="shared" si="87"/>
        <v>0</v>
      </c>
      <c r="AG172" s="7">
        <v>0</v>
      </c>
      <c r="AH172" s="25">
        <f t="shared" si="88"/>
        <v>0</v>
      </c>
      <c r="AI172" s="53" t="e">
        <f t="shared" si="89"/>
        <v>#DIV/0!</v>
      </c>
    </row>
    <row r="173" customHeight="1" spans="1:35">
      <c r="A173" s="7" t="s">
        <v>445</v>
      </c>
      <c r="B173" s="7" t="s">
        <v>446</v>
      </c>
      <c r="C173" s="7" t="s">
        <v>34</v>
      </c>
      <c r="D173" s="7" t="s">
        <v>35</v>
      </c>
      <c r="E173" s="7" t="s">
        <v>447</v>
      </c>
      <c r="F173" s="48">
        <v>19.15</v>
      </c>
      <c r="G173" s="48">
        <v>56</v>
      </c>
      <c r="H173" s="55"/>
      <c r="I173" s="55"/>
      <c r="J173" s="48">
        <v>53</v>
      </c>
      <c r="K173" s="7">
        <v>1494</v>
      </c>
      <c r="L173" s="21">
        <f t="shared" si="60"/>
        <v>1.12</v>
      </c>
      <c r="M173" s="21">
        <f t="shared" si="61"/>
        <v>34.72</v>
      </c>
      <c r="N173" s="21">
        <f t="shared" si="62"/>
        <v>664.888</v>
      </c>
      <c r="O173" s="21">
        <f t="shared" si="63"/>
        <v>0.622222222222222</v>
      </c>
      <c r="P173" s="21">
        <f t="shared" si="64"/>
        <v>19.2888888888889</v>
      </c>
      <c r="Q173" s="21">
        <f t="shared" si="65"/>
        <v>554.073333333333</v>
      </c>
      <c r="R173" s="21">
        <f t="shared" si="66"/>
        <v>19.2888888888889</v>
      </c>
      <c r="S173" s="21">
        <f t="shared" si="67"/>
        <v>0.622222222222222</v>
      </c>
      <c r="T173" s="21">
        <f t="shared" si="68"/>
        <v>0.622222222222222</v>
      </c>
      <c r="U173" s="21">
        <f t="shared" si="69"/>
        <v>554.073333333333</v>
      </c>
      <c r="V173" s="22">
        <v>0.375</v>
      </c>
      <c r="W173" s="21">
        <f t="shared" si="80"/>
        <v>0.233333333333333</v>
      </c>
      <c r="X173" s="21">
        <f t="shared" si="81"/>
        <v>7.23333333333333</v>
      </c>
      <c r="Y173" s="21">
        <f t="shared" si="82"/>
        <v>207.7775</v>
      </c>
      <c r="Z173" s="50">
        <v>1</v>
      </c>
      <c r="AA173" s="51">
        <f t="shared" si="83"/>
        <v>19.15</v>
      </c>
      <c r="AB173" s="52">
        <f t="shared" si="84"/>
        <v>0.138248847926267</v>
      </c>
      <c r="AC173" s="22">
        <v>0.625</v>
      </c>
      <c r="AD173" s="21">
        <f t="shared" si="85"/>
        <v>0.388888888888889</v>
      </c>
      <c r="AE173" s="21">
        <f t="shared" si="86"/>
        <v>12.0555555555556</v>
      </c>
      <c r="AF173" s="21">
        <f t="shared" si="87"/>
        <v>346.295833333333</v>
      </c>
      <c r="AG173" s="7">
        <v>3</v>
      </c>
      <c r="AH173" s="25">
        <f t="shared" si="88"/>
        <v>57.45</v>
      </c>
      <c r="AI173" s="53">
        <f t="shared" si="89"/>
        <v>0.24884792626728</v>
      </c>
    </row>
    <row r="174" customHeight="1" spans="1:35">
      <c r="A174" s="7" t="s">
        <v>409</v>
      </c>
      <c r="B174" s="7" t="s">
        <v>410</v>
      </c>
      <c r="C174" s="7" t="s">
        <v>34</v>
      </c>
      <c r="D174" s="7" t="s">
        <v>35</v>
      </c>
      <c r="E174" s="7" t="s">
        <v>411</v>
      </c>
      <c r="F174" s="48">
        <v>11.05</v>
      </c>
      <c r="G174" s="48">
        <v>96</v>
      </c>
      <c r="H174" s="55"/>
      <c r="I174" s="55"/>
      <c r="J174" s="48">
        <v>90</v>
      </c>
      <c r="K174" s="7">
        <v>1464</v>
      </c>
      <c r="L174" s="21">
        <f t="shared" si="60"/>
        <v>1.92</v>
      </c>
      <c r="M174" s="21">
        <f t="shared" si="61"/>
        <v>59.52</v>
      </c>
      <c r="N174" s="21">
        <f t="shared" si="62"/>
        <v>657.696</v>
      </c>
      <c r="O174" s="21">
        <f t="shared" si="63"/>
        <v>1.06666666666667</v>
      </c>
      <c r="P174" s="21">
        <f t="shared" si="64"/>
        <v>33.0666666666667</v>
      </c>
      <c r="Q174" s="21">
        <f t="shared" si="65"/>
        <v>548.08</v>
      </c>
      <c r="R174" s="21">
        <f t="shared" si="66"/>
        <v>33.0666666666667</v>
      </c>
      <c r="S174" s="21">
        <f t="shared" si="67"/>
        <v>1.06666666666667</v>
      </c>
      <c r="T174" s="21">
        <f t="shared" si="68"/>
        <v>1.06666666666667</v>
      </c>
      <c r="U174" s="21">
        <f t="shared" si="69"/>
        <v>548.08</v>
      </c>
      <c r="V174" s="22">
        <v>0</v>
      </c>
      <c r="W174" s="21">
        <f t="shared" si="80"/>
        <v>0</v>
      </c>
      <c r="X174" s="21">
        <f t="shared" si="81"/>
        <v>0</v>
      </c>
      <c r="Y174" s="21">
        <f t="shared" si="82"/>
        <v>0</v>
      </c>
      <c r="Z174" s="50">
        <v>0</v>
      </c>
      <c r="AA174" s="51">
        <f t="shared" si="83"/>
        <v>0</v>
      </c>
      <c r="AB174" s="52" t="e">
        <f t="shared" si="84"/>
        <v>#DIV/0!</v>
      </c>
      <c r="AC174" s="22">
        <v>0</v>
      </c>
      <c r="AD174" s="21">
        <f t="shared" si="85"/>
        <v>0</v>
      </c>
      <c r="AE174" s="21">
        <f t="shared" si="86"/>
        <v>0</v>
      </c>
      <c r="AF174" s="21">
        <f t="shared" si="87"/>
        <v>0</v>
      </c>
      <c r="AG174" s="7">
        <v>4</v>
      </c>
      <c r="AH174" s="25">
        <f t="shared" si="88"/>
        <v>44.2</v>
      </c>
      <c r="AI174" s="53" t="e">
        <f t="shared" si="89"/>
        <v>#DIV/0!</v>
      </c>
    </row>
    <row r="175" customHeight="1" spans="1:35">
      <c r="A175" s="7" t="s">
        <v>803</v>
      </c>
      <c r="B175" s="7" t="s">
        <v>804</v>
      </c>
      <c r="C175" s="7" t="s">
        <v>34</v>
      </c>
      <c r="D175" s="7" t="s">
        <v>35</v>
      </c>
      <c r="E175" s="7" t="s">
        <v>156</v>
      </c>
      <c r="F175" s="48">
        <v>28.02</v>
      </c>
      <c r="G175" s="48">
        <v>36</v>
      </c>
      <c r="H175" s="55"/>
      <c r="I175" s="55"/>
      <c r="J175" s="48">
        <v>21</v>
      </c>
      <c r="K175" s="7">
        <v>715</v>
      </c>
      <c r="L175" s="21">
        <f t="shared" si="60"/>
        <v>0.72</v>
      </c>
      <c r="M175" s="21">
        <f t="shared" si="61"/>
        <v>22.32</v>
      </c>
      <c r="N175" s="21">
        <f t="shared" si="62"/>
        <v>625.4064</v>
      </c>
      <c r="O175" s="21">
        <f t="shared" si="63"/>
        <v>0.4</v>
      </c>
      <c r="P175" s="21">
        <f t="shared" si="64"/>
        <v>12.4</v>
      </c>
      <c r="Q175" s="21">
        <f t="shared" si="65"/>
        <v>521.172</v>
      </c>
      <c r="R175" s="21">
        <f t="shared" si="66"/>
        <v>12.4</v>
      </c>
      <c r="S175" s="21">
        <f t="shared" si="67"/>
        <v>0.4</v>
      </c>
      <c r="T175" s="21">
        <f t="shared" si="68"/>
        <v>0.4</v>
      </c>
      <c r="U175" s="21">
        <f t="shared" si="69"/>
        <v>521.172</v>
      </c>
      <c r="V175" s="22">
        <v>1</v>
      </c>
      <c r="W175" s="21">
        <f t="shared" si="80"/>
        <v>0.4</v>
      </c>
      <c r="X175" s="21">
        <f t="shared" si="81"/>
        <v>12.4</v>
      </c>
      <c r="Y175" s="21">
        <f t="shared" si="82"/>
        <v>521.172</v>
      </c>
      <c r="Z175" s="50">
        <v>17</v>
      </c>
      <c r="AA175" s="51">
        <f t="shared" si="83"/>
        <v>476.34</v>
      </c>
      <c r="AB175" s="52">
        <f t="shared" si="84"/>
        <v>1.37096774193548</v>
      </c>
      <c r="AC175" s="22">
        <v>0</v>
      </c>
      <c r="AD175" s="21">
        <f t="shared" si="85"/>
        <v>0</v>
      </c>
      <c r="AE175" s="21">
        <f t="shared" si="86"/>
        <v>0</v>
      </c>
      <c r="AF175" s="21">
        <f t="shared" si="87"/>
        <v>0</v>
      </c>
      <c r="AG175" s="7">
        <v>0</v>
      </c>
      <c r="AH175" s="25">
        <f t="shared" si="88"/>
        <v>0</v>
      </c>
      <c r="AI175" s="53" t="e">
        <f t="shared" si="89"/>
        <v>#DIV/0!</v>
      </c>
    </row>
    <row r="176" customHeight="1" spans="1:35">
      <c r="A176" s="7" t="s">
        <v>169</v>
      </c>
      <c r="B176" s="7" t="s">
        <v>170</v>
      </c>
      <c r="C176" s="7" t="s">
        <v>34</v>
      </c>
      <c r="D176" s="7" t="s">
        <v>35</v>
      </c>
      <c r="E176" s="7" t="s">
        <v>171</v>
      </c>
      <c r="F176" s="48">
        <v>47.53</v>
      </c>
      <c r="G176" s="48">
        <v>21</v>
      </c>
      <c r="H176" s="55"/>
      <c r="I176" s="55"/>
      <c r="J176" s="48">
        <v>10</v>
      </c>
      <c r="K176" s="7">
        <v>499</v>
      </c>
      <c r="L176" s="21">
        <f t="shared" si="60"/>
        <v>0.42</v>
      </c>
      <c r="M176" s="21">
        <f t="shared" si="61"/>
        <v>13.02</v>
      </c>
      <c r="N176" s="21">
        <f t="shared" si="62"/>
        <v>618.8406</v>
      </c>
      <c r="O176" s="21">
        <f t="shared" si="63"/>
        <v>0.233333333333333</v>
      </c>
      <c r="P176" s="21">
        <f t="shared" si="64"/>
        <v>7.23333333333333</v>
      </c>
      <c r="Q176" s="21">
        <f t="shared" si="65"/>
        <v>515.7005</v>
      </c>
      <c r="R176" s="21">
        <f t="shared" si="66"/>
        <v>7.23333333333333</v>
      </c>
      <c r="S176" s="21">
        <f t="shared" si="67"/>
        <v>0.233333333333333</v>
      </c>
      <c r="T176" s="21">
        <f t="shared" si="68"/>
        <v>0.233333333333333</v>
      </c>
      <c r="U176" s="21">
        <f t="shared" si="69"/>
        <v>515.7005</v>
      </c>
      <c r="V176" s="22">
        <v>0.935672514619883</v>
      </c>
      <c r="W176" s="21">
        <f t="shared" si="80"/>
        <v>0.218323586744639</v>
      </c>
      <c r="X176" s="21">
        <f t="shared" si="81"/>
        <v>6.76803118908382</v>
      </c>
      <c r="Y176" s="21">
        <f t="shared" si="82"/>
        <v>482.526783625731</v>
      </c>
      <c r="Z176" s="50">
        <v>2</v>
      </c>
      <c r="AA176" s="51">
        <f t="shared" si="83"/>
        <v>95.06</v>
      </c>
      <c r="AB176" s="52">
        <f t="shared" si="84"/>
        <v>0.295506912442396</v>
      </c>
      <c r="AC176" s="22">
        <v>0.0526315789473684</v>
      </c>
      <c r="AD176" s="21">
        <f t="shared" si="85"/>
        <v>0.012280701754386</v>
      </c>
      <c r="AE176" s="21">
        <f t="shared" si="86"/>
        <v>0.380701754385965</v>
      </c>
      <c r="AF176" s="21">
        <f t="shared" si="87"/>
        <v>27.1421315789474</v>
      </c>
      <c r="AG176" s="7">
        <v>0</v>
      </c>
      <c r="AH176" s="25">
        <f t="shared" si="88"/>
        <v>0</v>
      </c>
      <c r="AI176" s="53">
        <f t="shared" si="89"/>
        <v>0</v>
      </c>
    </row>
    <row r="177" customHeight="1" spans="1:35">
      <c r="A177" s="7" t="s">
        <v>452</v>
      </c>
      <c r="B177" s="7" t="s">
        <v>453</v>
      </c>
      <c r="C177" s="7" t="s">
        <v>34</v>
      </c>
      <c r="D177" s="7" t="s">
        <v>35</v>
      </c>
      <c r="E177" s="7" t="s">
        <v>156</v>
      </c>
      <c r="F177" s="48">
        <v>21.28</v>
      </c>
      <c r="G177" s="48">
        <v>46</v>
      </c>
      <c r="H177" s="55"/>
      <c r="I177" s="55"/>
      <c r="J177" s="48">
        <v>38</v>
      </c>
      <c r="K177" s="7">
        <v>1138</v>
      </c>
      <c r="L177" s="21">
        <f t="shared" si="60"/>
        <v>0.92</v>
      </c>
      <c r="M177" s="21">
        <f t="shared" si="61"/>
        <v>28.52</v>
      </c>
      <c r="N177" s="21">
        <f t="shared" si="62"/>
        <v>606.9056</v>
      </c>
      <c r="O177" s="21">
        <f t="shared" si="63"/>
        <v>0.511111111111111</v>
      </c>
      <c r="P177" s="21">
        <f t="shared" si="64"/>
        <v>15.8444444444444</v>
      </c>
      <c r="Q177" s="21">
        <f t="shared" si="65"/>
        <v>505.754666666667</v>
      </c>
      <c r="R177" s="21">
        <f t="shared" si="66"/>
        <v>15.8444444444444</v>
      </c>
      <c r="S177" s="21">
        <f t="shared" si="67"/>
        <v>0.511111111111111</v>
      </c>
      <c r="T177" s="21">
        <f t="shared" si="68"/>
        <v>0.511111111111111</v>
      </c>
      <c r="U177" s="21">
        <f t="shared" si="69"/>
        <v>505.754666666667</v>
      </c>
      <c r="V177" s="22">
        <v>1</v>
      </c>
      <c r="W177" s="21">
        <f t="shared" si="80"/>
        <v>0.511111111111111</v>
      </c>
      <c r="X177" s="21">
        <f t="shared" si="81"/>
        <v>15.8444444444444</v>
      </c>
      <c r="Y177" s="21">
        <f t="shared" si="82"/>
        <v>505.754666666667</v>
      </c>
      <c r="Z177" s="50">
        <v>0</v>
      </c>
      <c r="AA177" s="51">
        <f t="shared" si="83"/>
        <v>0</v>
      </c>
      <c r="AB177" s="52">
        <f t="shared" si="84"/>
        <v>0</v>
      </c>
      <c r="AC177" s="22">
        <v>0</v>
      </c>
      <c r="AD177" s="21">
        <f t="shared" si="85"/>
        <v>0</v>
      </c>
      <c r="AE177" s="21">
        <f t="shared" si="86"/>
        <v>0</v>
      </c>
      <c r="AF177" s="21">
        <f t="shared" si="87"/>
        <v>0</v>
      </c>
      <c r="AG177" s="7">
        <v>3</v>
      </c>
      <c r="AH177" s="25">
        <f t="shared" si="88"/>
        <v>63.84</v>
      </c>
      <c r="AI177" s="53" t="e">
        <f t="shared" si="89"/>
        <v>#DIV/0!</v>
      </c>
    </row>
    <row r="178" customHeight="1" spans="1:35">
      <c r="A178" s="7" t="s">
        <v>528</v>
      </c>
      <c r="B178" s="7" t="s">
        <v>529</v>
      </c>
      <c r="C178" s="7" t="s">
        <v>34</v>
      </c>
      <c r="D178" s="7" t="s">
        <v>51</v>
      </c>
      <c r="E178" s="7" t="s">
        <v>530</v>
      </c>
      <c r="F178" s="48">
        <v>24.93</v>
      </c>
      <c r="G178" s="48">
        <v>38</v>
      </c>
      <c r="H178" s="55"/>
      <c r="I178" s="55"/>
      <c r="J178" s="48">
        <v>23</v>
      </c>
      <c r="K178" s="7">
        <v>711</v>
      </c>
      <c r="L178" s="21">
        <f t="shared" si="60"/>
        <v>0.76</v>
      </c>
      <c r="M178" s="21">
        <f t="shared" si="61"/>
        <v>23.56</v>
      </c>
      <c r="N178" s="21">
        <f t="shared" si="62"/>
        <v>587.3508</v>
      </c>
      <c r="O178" s="21">
        <f t="shared" si="63"/>
        <v>0.422222222222222</v>
      </c>
      <c r="P178" s="21">
        <f t="shared" si="64"/>
        <v>13.0888888888889</v>
      </c>
      <c r="Q178" s="21">
        <f t="shared" si="65"/>
        <v>489.459</v>
      </c>
      <c r="R178" s="21">
        <f t="shared" si="66"/>
        <v>13.0888888888889</v>
      </c>
      <c r="S178" s="21">
        <f t="shared" si="67"/>
        <v>0.422222222222222</v>
      </c>
      <c r="T178" s="21">
        <f t="shared" si="68"/>
        <v>0.422222222222222</v>
      </c>
      <c r="U178" s="21">
        <f t="shared" si="69"/>
        <v>489.459</v>
      </c>
      <c r="V178" s="22">
        <v>0</v>
      </c>
      <c r="W178" s="21">
        <f t="shared" si="80"/>
        <v>0</v>
      </c>
      <c r="X178" s="21">
        <f t="shared" si="81"/>
        <v>0</v>
      </c>
      <c r="Y178" s="21">
        <f t="shared" si="82"/>
        <v>0</v>
      </c>
      <c r="Z178" s="50">
        <v>9</v>
      </c>
      <c r="AA178" s="51">
        <f t="shared" si="83"/>
        <v>224.37</v>
      </c>
      <c r="AB178" s="52" t="e">
        <f t="shared" si="84"/>
        <v>#DIV/0!</v>
      </c>
      <c r="AC178" s="22">
        <v>0</v>
      </c>
      <c r="AD178" s="21">
        <f t="shared" si="85"/>
        <v>0</v>
      </c>
      <c r="AE178" s="21">
        <f t="shared" si="86"/>
        <v>0</v>
      </c>
      <c r="AF178" s="21">
        <f t="shared" si="87"/>
        <v>0</v>
      </c>
      <c r="AG178" s="7">
        <v>8</v>
      </c>
      <c r="AH178" s="25">
        <f t="shared" si="88"/>
        <v>199.44</v>
      </c>
      <c r="AI178" s="53" t="e">
        <f t="shared" si="89"/>
        <v>#DIV/0!</v>
      </c>
    </row>
    <row r="179" customHeight="1" spans="1:35">
      <c r="A179" s="7" t="s">
        <v>658</v>
      </c>
      <c r="B179" s="7" t="s">
        <v>642</v>
      </c>
      <c r="C179" s="7" t="s">
        <v>34</v>
      </c>
      <c r="D179" s="7" t="s">
        <v>35</v>
      </c>
      <c r="E179" s="7" t="s">
        <v>171</v>
      </c>
      <c r="F179" s="48">
        <v>37.41</v>
      </c>
      <c r="G179" s="48">
        <v>25</v>
      </c>
      <c r="H179" s="55"/>
      <c r="I179" s="55"/>
      <c r="J179" s="48">
        <v>7</v>
      </c>
      <c r="K179" s="7">
        <v>262</v>
      </c>
      <c r="L179" s="21">
        <f t="shared" si="60"/>
        <v>0.5</v>
      </c>
      <c r="M179" s="21">
        <f t="shared" si="61"/>
        <v>15.5</v>
      </c>
      <c r="N179" s="21">
        <f t="shared" si="62"/>
        <v>579.855</v>
      </c>
      <c r="O179" s="21">
        <f t="shared" si="63"/>
        <v>0.277777777777778</v>
      </c>
      <c r="P179" s="21">
        <f t="shared" si="64"/>
        <v>8.61111111111111</v>
      </c>
      <c r="Q179" s="21">
        <f t="shared" si="65"/>
        <v>483.2125</v>
      </c>
      <c r="R179" s="21">
        <f t="shared" si="66"/>
        <v>8.61111111111111</v>
      </c>
      <c r="S179" s="21">
        <f t="shared" si="67"/>
        <v>0.277777777777778</v>
      </c>
      <c r="T179" s="21">
        <f t="shared" si="68"/>
        <v>0.277777777777778</v>
      </c>
      <c r="U179" s="21">
        <f t="shared" si="69"/>
        <v>483.2125</v>
      </c>
      <c r="V179" s="22">
        <v>0.0540540540540541</v>
      </c>
      <c r="W179" s="21">
        <f t="shared" si="80"/>
        <v>0.015015015015015</v>
      </c>
      <c r="X179" s="21">
        <f t="shared" si="81"/>
        <v>0.465465465465466</v>
      </c>
      <c r="Y179" s="21">
        <f t="shared" si="82"/>
        <v>26.1195945945946</v>
      </c>
      <c r="Z179" s="50">
        <v>1</v>
      </c>
      <c r="AA179" s="51">
        <f t="shared" si="83"/>
        <v>37.41</v>
      </c>
      <c r="AB179" s="52">
        <f t="shared" si="84"/>
        <v>2.14838709677419</v>
      </c>
      <c r="AC179" s="22">
        <v>0.945945945945946</v>
      </c>
      <c r="AD179" s="21">
        <f t="shared" si="85"/>
        <v>0.262762762762763</v>
      </c>
      <c r="AE179" s="21">
        <f t="shared" si="86"/>
        <v>8.14564564564565</v>
      </c>
      <c r="AF179" s="21">
        <f t="shared" si="87"/>
        <v>457.092905405405</v>
      </c>
      <c r="AG179" s="7">
        <v>0</v>
      </c>
      <c r="AH179" s="25">
        <f t="shared" si="88"/>
        <v>0</v>
      </c>
      <c r="AI179" s="53">
        <f t="shared" si="89"/>
        <v>0</v>
      </c>
    </row>
    <row r="180" customHeight="1" spans="1:35">
      <c r="A180" s="7" t="s">
        <v>532</v>
      </c>
      <c r="B180" s="7" t="s">
        <v>533</v>
      </c>
      <c r="C180" s="7" t="s">
        <v>34</v>
      </c>
      <c r="D180" s="7" t="s">
        <v>35</v>
      </c>
      <c r="E180" s="7" t="s">
        <v>500</v>
      </c>
      <c r="F180" s="48">
        <v>19.6</v>
      </c>
      <c r="G180" s="48">
        <v>46</v>
      </c>
      <c r="H180" s="55"/>
      <c r="I180" s="55"/>
      <c r="J180" s="48">
        <v>45</v>
      </c>
      <c r="K180" s="7">
        <v>1313</v>
      </c>
      <c r="L180" s="21">
        <f t="shared" si="60"/>
        <v>0.92</v>
      </c>
      <c r="M180" s="21">
        <f t="shared" si="61"/>
        <v>28.52</v>
      </c>
      <c r="N180" s="21">
        <f t="shared" si="62"/>
        <v>558.992</v>
      </c>
      <c r="O180" s="21">
        <f t="shared" si="63"/>
        <v>0.511111111111111</v>
      </c>
      <c r="P180" s="21">
        <f t="shared" si="64"/>
        <v>15.8444444444444</v>
      </c>
      <c r="Q180" s="21">
        <f t="shared" si="65"/>
        <v>465.826666666667</v>
      </c>
      <c r="R180" s="21">
        <f t="shared" si="66"/>
        <v>15.8444444444444</v>
      </c>
      <c r="S180" s="21">
        <f t="shared" si="67"/>
        <v>0.511111111111111</v>
      </c>
      <c r="T180" s="21">
        <f t="shared" si="68"/>
        <v>0.511111111111111</v>
      </c>
      <c r="U180" s="21">
        <f t="shared" si="69"/>
        <v>465.826666666667</v>
      </c>
      <c r="V180" s="22">
        <v>1</v>
      </c>
      <c r="W180" s="21">
        <f t="shared" si="80"/>
        <v>0.511111111111111</v>
      </c>
      <c r="X180" s="21">
        <f t="shared" si="81"/>
        <v>15.8444444444444</v>
      </c>
      <c r="Y180" s="21">
        <f t="shared" si="82"/>
        <v>465.826666666667</v>
      </c>
      <c r="Z180" s="50">
        <v>13</v>
      </c>
      <c r="AA180" s="51">
        <f t="shared" si="83"/>
        <v>254.8</v>
      </c>
      <c r="AB180" s="52">
        <f t="shared" si="84"/>
        <v>0.820476858345023</v>
      </c>
      <c r="AC180" s="22">
        <v>0</v>
      </c>
      <c r="AD180" s="21">
        <f t="shared" si="85"/>
        <v>0</v>
      </c>
      <c r="AE180" s="21">
        <f t="shared" si="86"/>
        <v>0</v>
      </c>
      <c r="AF180" s="21">
        <f t="shared" si="87"/>
        <v>0</v>
      </c>
      <c r="AG180" s="7">
        <v>1</v>
      </c>
      <c r="AH180" s="25">
        <f t="shared" si="88"/>
        <v>19.6</v>
      </c>
      <c r="AI180" s="53" t="e">
        <f t="shared" si="89"/>
        <v>#DIV/0!</v>
      </c>
    </row>
    <row r="181" customHeight="1" spans="1:35">
      <c r="A181" s="7" t="s">
        <v>740</v>
      </c>
      <c r="B181" s="7" t="s">
        <v>741</v>
      </c>
      <c r="C181" s="7" t="s">
        <v>34</v>
      </c>
      <c r="D181" s="7" t="s">
        <v>35</v>
      </c>
      <c r="E181" s="7" t="s">
        <v>110</v>
      </c>
      <c r="F181" s="48">
        <v>17.74</v>
      </c>
      <c r="G181" s="48">
        <v>42</v>
      </c>
      <c r="H181" s="55"/>
      <c r="I181" s="55"/>
      <c r="J181" s="48">
        <v>27</v>
      </c>
      <c r="K181" s="7">
        <v>612</v>
      </c>
      <c r="L181" s="21">
        <f t="shared" si="60"/>
        <v>0.84</v>
      </c>
      <c r="M181" s="21">
        <f t="shared" si="61"/>
        <v>26.04</v>
      </c>
      <c r="N181" s="21">
        <f t="shared" si="62"/>
        <v>461.9496</v>
      </c>
      <c r="O181" s="21">
        <f t="shared" si="63"/>
        <v>0.466666666666667</v>
      </c>
      <c r="P181" s="21">
        <f t="shared" si="64"/>
        <v>14.4666666666667</v>
      </c>
      <c r="Q181" s="21">
        <f t="shared" si="65"/>
        <v>384.958</v>
      </c>
      <c r="R181" s="21">
        <f t="shared" si="66"/>
        <v>14.4666666666667</v>
      </c>
      <c r="S181" s="21">
        <f t="shared" si="67"/>
        <v>0.466666666666667</v>
      </c>
      <c r="T181" s="21">
        <f t="shared" si="68"/>
        <v>0.466666666666667</v>
      </c>
      <c r="U181" s="21">
        <f t="shared" si="69"/>
        <v>384.958</v>
      </c>
      <c r="V181" s="22">
        <v>0.102564102564103</v>
      </c>
      <c r="W181" s="21">
        <f t="shared" si="80"/>
        <v>0.0478632478632481</v>
      </c>
      <c r="X181" s="21">
        <f t="shared" si="81"/>
        <v>1.48376068376069</v>
      </c>
      <c r="Y181" s="21">
        <f t="shared" si="82"/>
        <v>39.482871794872</v>
      </c>
      <c r="Z181" s="50">
        <v>10</v>
      </c>
      <c r="AA181" s="51">
        <f t="shared" si="83"/>
        <v>177.4</v>
      </c>
      <c r="AB181" s="52">
        <f t="shared" si="84"/>
        <v>6.7396313364055</v>
      </c>
      <c r="AC181" s="22">
        <v>0.897435897435897</v>
      </c>
      <c r="AD181" s="21">
        <f t="shared" si="85"/>
        <v>0.418803418803419</v>
      </c>
      <c r="AE181" s="21">
        <f t="shared" si="86"/>
        <v>12.982905982906</v>
      </c>
      <c r="AF181" s="21">
        <f t="shared" si="87"/>
        <v>345.475128205128</v>
      </c>
      <c r="AG181" s="7">
        <v>5</v>
      </c>
      <c r="AH181" s="25">
        <f t="shared" si="88"/>
        <v>88.7</v>
      </c>
      <c r="AI181" s="53">
        <f t="shared" si="89"/>
        <v>0.385121790651744</v>
      </c>
    </row>
    <row r="182" customHeight="1" spans="1:35">
      <c r="A182" s="7" t="s">
        <v>454</v>
      </c>
      <c r="B182" s="7" t="s">
        <v>455</v>
      </c>
      <c r="C182" s="7" t="s">
        <v>34</v>
      </c>
      <c r="D182" s="7" t="s">
        <v>35</v>
      </c>
      <c r="E182" s="7" t="s">
        <v>306</v>
      </c>
      <c r="F182" s="48">
        <v>174.91</v>
      </c>
      <c r="G182" s="48">
        <v>4</v>
      </c>
      <c r="H182" s="55"/>
      <c r="I182" s="55"/>
      <c r="J182" s="48">
        <v>4</v>
      </c>
      <c r="K182" s="7">
        <v>1049</v>
      </c>
      <c r="L182" s="21">
        <f t="shared" si="60"/>
        <v>0.08</v>
      </c>
      <c r="M182" s="21">
        <f t="shared" si="61"/>
        <v>2.48</v>
      </c>
      <c r="N182" s="21">
        <f t="shared" si="62"/>
        <v>433.7768</v>
      </c>
      <c r="O182" s="21">
        <f t="shared" si="63"/>
        <v>0.0444444444444444</v>
      </c>
      <c r="P182" s="21">
        <f t="shared" si="64"/>
        <v>1.37777777777778</v>
      </c>
      <c r="Q182" s="21">
        <f t="shared" si="65"/>
        <v>361.480666666667</v>
      </c>
      <c r="R182" s="21">
        <f t="shared" si="66"/>
        <v>1.37777777777778</v>
      </c>
      <c r="S182" s="21">
        <f t="shared" si="67"/>
        <v>0.0444444444444444</v>
      </c>
      <c r="T182" s="21">
        <f t="shared" si="68"/>
        <v>0.0444444444444444</v>
      </c>
      <c r="U182" s="21">
        <f t="shared" si="69"/>
        <v>361.480666666667</v>
      </c>
      <c r="V182" s="22">
        <v>1</v>
      </c>
      <c r="W182" s="21">
        <f t="shared" si="80"/>
        <v>0.0444444444444444</v>
      </c>
      <c r="X182" s="21">
        <f t="shared" si="81"/>
        <v>1.37777777777778</v>
      </c>
      <c r="Y182" s="21">
        <f t="shared" si="82"/>
        <v>361.480666666667</v>
      </c>
      <c r="Z182" s="50">
        <v>0</v>
      </c>
      <c r="AA182" s="51">
        <f t="shared" si="83"/>
        <v>0</v>
      </c>
      <c r="AB182" s="52">
        <f t="shared" si="84"/>
        <v>0</v>
      </c>
      <c r="AC182" s="22">
        <v>0</v>
      </c>
      <c r="AD182" s="21">
        <f t="shared" si="85"/>
        <v>0</v>
      </c>
      <c r="AE182" s="21">
        <f t="shared" si="86"/>
        <v>0</v>
      </c>
      <c r="AF182" s="21">
        <f t="shared" si="87"/>
        <v>0</v>
      </c>
      <c r="AG182" s="7">
        <v>0</v>
      </c>
      <c r="AH182" s="25">
        <f t="shared" si="88"/>
        <v>0</v>
      </c>
      <c r="AI182" s="53" t="e">
        <f t="shared" si="89"/>
        <v>#DIV/0!</v>
      </c>
    </row>
    <row r="183" customHeight="1" spans="1:35">
      <c r="A183" s="7" t="s">
        <v>462</v>
      </c>
      <c r="B183" s="7" t="s">
        <v>463</v>
      </c>
      <c r="C183" s="7" t="s">
        <v>34</v>
      </c>
      <c r="D183" s="7" t="s">
        <v>35</v>
      </c>
      <c r="E183" s="7" t="s">
        <v>264</v>
      </c>
      <c r="F183" s="48">
        <v>21.19</v>
      </c>
      <c r="G183" s="48">
        <v>31</v>
      </c>
      <c r="H183" s="55"/>
      <c r="I183" s="55"/>
      <c r="J183" s="48">
        <v>11</v>
      </c>
      <c r="K183" s="7">
        <v>233</v>
      </c>
      <c r="L183" s="21">
        <f t="shared" si="60"/>
        <v>0.62</v>
      </c>
      <c r="M183" s="21">
        <f t="shared" si="61"/>
        <v>19.22</v>
      </c>
      <c r="N183" s="21">
        <f t="shared" si="62"/>
        <v>407.2718</v>
      </c>
      <c r="O183" s="21">
        <f t="shared" si="63"/>
        <v>0.344444444444444</v>
      </c>
      <c r="P183" s="21">
        <f t="shared" si="64"/>
        <v>10.6777777777778</v>
      </c>
      <c r="Q183" s="21">
        <f t="shared" si="65"/>
        <v>339.393166666667</v>
      </c>
      <c r="R183" s="21">
        <f t="shared" si="66"/>
        <v>10.6777777777778</v>
      </c>
      <c r="S183" s="21">
        <f t="shared" si="67"/>
        <v>0.344444444444444</v>
      </c>
      <c r="T183" s="21">
        <f t="shared" si="68"/>
        <v>0.344444444444444</v>
      </c>
      <c r="U183" s="21">
        <f t="shared" si="69"/>
        <v>339.393166666667</v>
      </c>
      <c r="V183" s="22">
        <v>0.3125</v>
      </c>
      <c r="W183" s="21">
        <f t="shared" si="80"/>
        <v>0.107638888888889</v>
      </c>
      <c r="X183" s="21">
        <f t="shared" si="81"/>
        <v>3.33680555555556</v>
      </c>
      <c r="Y183" s="21">
        <f t="shared" si="82"/>
        <v>106.060364583333</v>
      </c>
      <c r="Z183" s="50">
        <v>8</v>
      </c>
      <c r="AA183" s="51">
        <f t="shared" si="83"/>
        <v>169.52</v>
      </c>
      <c r="AB183" s="52">
        <f t="shared" si="84"/>
        <v>2.39750260145681</v>
      </c>
      <c r="AC183" s="22">
        <v>0.5625</v>
      </c>
      <c r="AD183" s="21">
        <f t="shared" si="85"/>
        <v>0.19375</v>
      </c>
      <c r="AE183" s="21">
        <f t="shared" si="86"/>
        <v>6.00625</v>
      </c>
      <c r="AF183" s="21">
        <f t="shared" si="87"/>
        <v>190.90865625</v>
      </c>
      <c r="AG183" s="7">
        <v>6</v>
      </c>
      <c r="AH183" s="25">
        <f t="shared" si="88"/>
        <v>127.14</v>
      </c>
      <c r="AI183" s="53">
        <f t="shared" si="89"/>
        <v>0.998959417273673</v>
      </c>
    </row>
    <row r="184" customHeight="1" spans="1:35">
      <c r="A184" s="7" t="s">
        <v>472</v>
      </c>
      <c r="B184" s="7" t="s">
        <v>473</v>
      </c>
      <c r="C184" s="7" t="s">
        <v>34</v>
      </c>
      <c r="D184" s="7" t="s">
        <v>35</v>
      </c>
      <c r="E184" s="7" t="s">
        <v>474</v>
      </c>
      <c r="F184" s="48">
        <v>55.39</v>
      </c>
      <c r="G184" s="48">
        <v>11</v>
      </c>
      <c r="H184" s="55"/>
      <c r="I184" s="55"/>
      <c r="J184" s="48">
        <v>6</v>
      </c>
      <c r="K184" s="7">
        <v>388</v>
      </c>
      <c r="L184" s="21">
        <f t="shared" si="60"/>
        <v>0.22</v>
      </c>
      <c r="M184" s="21">
        <f t="shared" si="61"/>
        <v>6.82</v>
      </c>
      <c r="N184" s="21">
        <f t="shared" si="62"/>
        <v>377.7598</v>
      </c>
      <c r="O184" s="21">
        <f t="shared" si="63"/>
        <v>0.122222222222222</v>
      </c>
      <c r="P184" s="21">
        <f t="shared" si="64"/>
        <v>3.78888888888889</v>
      </c>
      <c r="Q184" s="21">
        <f t="shared" si="65"/>
        <v>314.799833333333</v>
      </c>
      <c r="R184" s="21">
        <f t="shared" si="66"/>
        <v>3.78888888888889</v>
      </c>
      <c r="S184" s="21">
        <f t="shared" si="67"/>
        <v>0.122222222222222</v>
      </c>
      <c r="T184" s="21">
        <f t="shared" si="68"/>
        <v>0.122222222222222</v>
      </c>
      <c r="U184" s="21">
        <f t="shared" si="69"/>
        <v>314.799833333333</v>
      </c>
      <c r="V184" s="22">
        <v>1</v>
      </c>
      <c r="W184" s="21">
        <f t="shared" si="80"/>
        <v>0.122222222222222</v>
      </c>
      <c r="X184" s="21">
        <f t="shared" si="81"/>
        <v>3.78888888888889</v>
      </c>
      <c r="Y184" s="21">
        <f t="shared" si="82"/>
        <v>314.799833333333</v>
      </c>
      <c r="Z184" s="50">
        <v>1</v>
      </c>
      <c r="AA184" s="51">
        <f t="shared" si="83"/>
        <v>55.39</v>
      </c>
      <c r="AB184" s="52">
        <f t="shared" si="84"/>
        <v>0.263929618768328</v>
      </c>
      <c r="AC184" s="22">
        <v>0</v>
      </c>
      <c r="AD184" s="21">
        <f t="shared" si="85"/>
        <v>0</v>
      </c>
      <c r="AE184" s="21">
        <f t="shared" si="86"/>
        <v>0</v>
      </c>
      <c r="AF184" s="21">
        <f t="shared" si="87"/>
        <v>0</v>
      </c>
      <c r="AG184" s="7">
        <v>0</v>
      </c>
      <c r="AH184" s="25">
        <f t="shared" si="88"/>
        <v>0</v>
      </c>
      <c r="AI184" s="53" t="e">
        <f t="shared" si="89"/>
        <v>#DIV/0!</v>
      </c>
    </row>
    <row r="185" customHeight="1" spans="1:35">
      <c r="A185" s="7" t="s">
        <v>498</v>
      </c>
      <c r="B185" s="7" t="s">
        <v>499</v>
      </c>
      <c r="C185" s="7" t="s">
        <v>34</v>
      </c>
      <c r="D185" s="7" t="s">
        <v>35</v>
      </c>
      <c r="E185" s="7" t="s">
        <v>500</v>
      </c>
      <c r="F185" s="48">
        <v>66.1</v>
      </c>
      <c r="G185" s="48">
        <v>9</v>
      </c>
      <c r="H185" s="55"/>
      <c r="I185" s="55"/>
      <c r="J185" s="48">
        <v>6</v>
      </c>
      <c r="K185" s="7">
        <v>496</v>
      </c>
      <c r="L185" s="21">
        <f t="shared" si="60"/>
        <v>0.18</v>
      </c>
      <c r="M185" s="21">
        <f t="shared" si="61"/>
        <v>5.58</v>
      </c>
      <c r="N185" s="21">
        <f t="shared" si="62"/>
        <v>368.838</v>
      </c>
      <c r="O185" s="21">
        <f t="shared" si="63"/>
        <v>0.1</v>
      </c>
      <c r="P185" s="21">
        <f t="shared" si="64"/>
        <v>3.1</v>
      </c>
      <c r="Q185" s="21">
        <f t="shared" si="65"/>
        <v>307.365</v>
      </c>
      <c r="R185" s="21">
        <f t="shared" si="66"/>
        <v>3.1</v>
      </c>
      <c r="S185" s="21">
        <f t="shared" si="67"/>
        <v>0.1</v>
      </c>
      <c r="T185" s="21">
        <f t="shared" si="68"/>
        <v>0.1</v>
      </c>
      <c r="U185" s="21">
        <f t="shared" si="69"/>
        <v>307.365</v>
      </c>
      <c r="V185" s="22">
        <v>0.0819672131147541</v>
      </c>
      <c r="W185" s="21">
        <f t="shared" si="80"/>
        <v>0.00819672131147541</v>
      </c>
      <c r="X185" s="21">
        <f t="shared" si="81"/>
        <v>0.254098360655738</v>
      </c>
      <c r="Y185" s="21">
        <f t="shared" si="82"/>
        <v>25.1938524590164</v>
      </c>
      <c r="Z185" s="50">
        <v>5</v>
      </c>
      <c r="AA185" s="51">
        <f t="shared" si="83"/>
        <v>330.5</v>
      </c>
      <c r="AB185" s="52">
        <f t="shared" si="84"/>
        <v>19.6774193548387</v>
      </c>
      <c r="AC185" s="22">
        <v>0.918032786885246</v>
      </c>
      <c r="AD185" s="21">
        <f t="shared" si="85"/>
        <v>0.0918032786885246</v>
      </c>
      <c r="AE185" s="21">
        <f t="shared" si="86"/>
        <v>2.84590163934426</v>
      </c>
      <c r="AF185" s="21">
        <f t="shared" si="87"/>
        <v>282.171147540984</v>
      </c>
      <c r="AG185" s="7">
        <v>2</v>
      </c>
      <c r="AH185" s="25">
        <f t="shared" si="88"/>
        <v>132.2</v>
      </c>
      <c r="AI185" s="53">
        <f t="shared" si="89"/>
        <v>0.702764976958526</v>
      </c>
    </row>
    <row r="186" customHeight="1" spans="1:35">
      <c r="A186" s="7" t="s">
        <v>805</v>
      </c>
      <c r="B186" s="60" t="s">
        <v>806</v>
      </c>
      <c r="C186" s="7" t="s">
        <v>34</v>
      </c>
      <c r="D186" s="7" t="s">
        <v>51</v>
      </c>
      <c r="E186" s="7" t="s">
        <v>807</v>
      </c>
      <c r="F186" s="48">
        <v>21.71</v>
      </c>
      <c r="G186" s="48">
        <v>21</v>
      </c>
      <c r="H186" s="55"/>
      <c r="I186" s="55"/>
      <c r="J186" s="48">
        <v>20</v>
      </c>
      <c r="K186" s="7">
        <v>640</v>
      </c>
      <c r="L186" s="21">
        <f t="shared" si="60"/>
        <v>0.42</v>
      </c>
      <c r="M186" s="21">
        <f t="shared" si="61"/>
        <v>13.02</v>
      </c>
      <c r="N186" s="21">
        <f t="shared" si="62"/>
        <v>282.6642</v>
      </c>
      <c r="O186" s="21">
        <f t="shared" si="63"/>
        <v>0.233333333333333</v>
      </c>
      <c r="P186" s="21">
        <f t="shared" si="64"/>
        <v>7.23333333333333</v>
      </c>
      <c r="Q186" s="21">
        <f t="shared" si="65"/>
        <v>235.5535</v>
      </c>
      <c r="R186" s="21">
        <f t="shared" si="66"/>
        <v>7.23333333333333</v>
      </c>
      <c r="S186" s="21">
        <f t="shared" si="67"/>
        <v>0.233333333333333</v>
      </c>
      <c r="T186" s="21">
        <f t="shared" si="68"/>
        <v>0.233333333333333</v>
      </c>
      <c r="U186" s="21">
        <f t="shared" si="69"/>
        <v>235.5535</v>
      </c>
      <c r="V186" s="22">
        <v>0.5</v>
      </c>
      <c r="W186" s="21">
        <f t="shared" si="80"/>
        <v>0.116666666666667</v>
      </c>
      <c r="X186" s="21">
        <f t="shared" si="81"/>
        <v>3.61666666666667</v>
      </c>
      <c r="Y186" s="21">
        <f t="shared" si="82"/>
        <v>117.77675</v>
      </c>
      <c r="Z186" s="50">
        <v>10</v>
      </c>
      <c r="AA186" s="51">
        <f t="shared" si="83"/>
        <v>217.1</v>
      </c>
      <c r="AB186" s="52">
        <f t="shared" si="84"/>
        <v>2.76497695852534</v>
      </c>
      <c r="AC186" s="22">
        <v>0.5</v>
      </c>
      <c r="AD186" s="21">
        <f t="shared" si="85"/>
        <v>0.116666666666667</v>
      </c>
      <c r="AE186" s="21">
        <f t="shared" si="86"/>
        <v>3.61666666666667</v>
      </c>
      <c r="AF186" s="21">
        <f t="shared" si="87"/>
        <v>117.77675</v>
      </c>
      <c r="AG186" s="7">
        <v>11</v>
      </c>
      <c r="AH186" s="25">
        <f t="shared" si="88"/>
        <v>238.81</v>
      </c>
      <c r="AI186" s="53">
        <f t="shared" si="89"/>
        <v>3.04147465437788</v>
      </c>
    </row>
    <row r="187" customHeight="1" spans="1:35">
      <c r="A187" s="7" t="s">
        <v>477</v>
      </c>
      <c r="B187" s="7" t="s">
        <v>478</v>
      </c>
      <c r="C187" s="7" t="s">
        <v>34</v>
      </c>
      <c r="D187" s="7" t="s">
        <v>35</v>
      </c>
      <c r="E187" s="7" t="s">
        <v>479</v>
      </c>
      <c r="F187" s="48">
        <v>6.89</v>
      </c>
      <c r="G187" s="48">
        <v>47</v>
      </c>
      <c r="H187" s="55"/>
      <c r="I187" s="55"/>
      <c r="J187" s="48">
        <v>42</v>
      </c>
      <c r="K187" s="7">
        <v>420</v>
      </c>
      <c r="L187" s="21">
        <f t="shared" si="60"/>
        <v>0.94</v>
      </c>
      <c r="M187" s="21">
        <f t="shared" si="61"/>
        <v>29.14</v>
      </c>
      <c r="N187" s="21">
        <f t="shared" si="62"/>
        <v>200.7746</v>
      </c>
      <c r="O187" s="21">
        <f t="shared" si="63"/>
        <v>0.522222222222222</v>
      </c>
      <c r="P187" s="21">
        <f t="shared" si="64"/>
        <v>16.1888888888889</v>
      </c>
      <c r="Q187" s="21">
        <f t="shared" si="65"/>
        <v>167.312166666667</v>
      </c>
      <c r="R187" s="21">
        <f t="shared" si="66"/>
        <v>16.1888888888889</v>
      </c>
      <c r="S187" s="21">
        <f t="shared" si="67"/>
        <v>0.522222222222222</v>
      </c>
      <c r="T187" s="21">
        <f t="shared" si="68"/>
        <v>0.522222222222222</v>
      </c>
      <c r="U187" s="21">
        <f t="shared" si="69"/>
        <v>167.312166666667</v>
      </c>
      <c r="V187" s="22">
        <v>0</v>
      </c>
      <c r="W187" s="21">
        <f t="shared" si="80"/>
        <v>0</v>
      </c>
      <c r="X187" s="21">
        <f t="shared" si="81"/>
        <v>0</v>
      </c>
      <c r="Y187" s="21">
        <f t="shared" si="82"/>
        <v>0</v>
      </c>
      <c r="Z187" s="50">
        <v>3</v>
      </c>
      <c r="AA187" s="51">
        <f t="shared" si="83"/>
        <v>20.67</v>
      </c>
      <c r="AB187" s="52" t="e">
        <f t="shared" si="84"/>
        <v>#DIV/0!</v>
      </c>
      <c r="AC187" s="22">
        <v>0</v>
      </c>
      <c r="AD187" s="21">
        <f t="shared" si="85"/>
        <v>0</v>
      </c>
      <c r="AE187" s="21">
        <f t="shared" si="86"/>
        <v>0</v>
      </c>
      <c r="AF187" s="21">
        <f t="shared" si="87"/>
        <v>0</v>
      </c>
      <c r="AG187" s="7">
        <v>0</v>
      </c>
      <c r="AH187" s="25">
        <f t="shared" si="88"/>
        <v>0</v>
      </c>
      <c r="AI187" s="53" t="e">
        <f t="shared" si="89"/>
        <v>#DIV/0!</v>
      </c>
    </row>
    <row r="188" customHeight="1" spans="1:35">
      <c r="A188" s="7" t="s">
        <v>683</v>
      </c>
      <c r="B188" s="7" t="s">
        <v>738</v>
      </c>
      <c r="C188" s="7" t="s">
        <v>34</v>
      </c>
      <c r="D188" s="7" t="s">
        <v>35</v>
      </c>
      <c r="E188" s="7" t="s">
        <v>492</v>
      </c>
      <c r="F188" s="48">
        <v>42.63</v>
      </c>
      <c r="G188" s="48">
        <v>2</v>
      </c>
      <c r="H188" s="55"/>
      <c r="I188" s="55"/>
      <c r="J188" s="48">
        <v>2</v>
      </c>
      <c r="K188" s="7">
        <v>128</v>
      </c>
      <c r="L188" s="21">
        <f t="shared" si="60"/>
        <v>0.04</v>
      </c>
      <c r="M188" s="21">
        <f t="shared" si="61"/>
        <v>1.24</v>
      </c>
      <c r="N188" s="21">
        <f t="shared" si="62"/>
        <v>52.8612</v>
      </c>
      <c r="O188" s="21">
        <f t="shared" si="63"/>
        <v>0.0222222222222222</v>
      </c>
      <c r="P188" s="21">
        <f t="shared" si="64"/>
        <v>0.688888888888889</v>
      </c>
      <c r="Q188" s="21">
        <f t="shared" si="65"/>
        <v>44.051</v>
      </c>
      <c r="R188" s="21">
        <f t="shared" si="66"/>
        <v>0.688888888888889</v>
      </c>
      <c r="S188" s="21">
        <f t="shared" si="67"/>
        <v>0.0222222222222222</v>
      </c>
      <c r="T188" s="21">
        <f t="shared" si="68"/>
        <v>0.0222222222222222</v>
      </c>
      <c r="U188" s="21">
        <f t="shared" si="69"/>
        <v>44.051</v>
      </c>
      <c r="V188" s="22">
        <v>0</v>
      </c>
      <c r="W188" s="21">
        <f t="shared" si="80"/>
        <v>0</v>
      </c>
      <c r="X188" s="21">
        <f t="shared" si="81"/>
        <v>0</v>
      </c>
      <c r="Y188" s="21">
        <f t="shared" si="82"/>
        <v>0</v>
      </c>
      <c r="Z188" s="50">
        <v>0</v>
      </c>
      <c r="AA188" s="51">
        <f t="shared" si="83"/>
        <v>0</v>
      </c>
      <c r="AB188" s="52" t="e">
        <f t="shared" si="84"/>
        <v>#DIV/0!</v>
      </c>
      <c r="AC188" s="22">
        <v>0</v>
      </c>
      <c r="AD188" s="21">
        <f t="shared" si="85"/>
        <v>0</v>
      </c>
      <c r="AE188" s="21">
        <f t="shared" si="86"/>
        <v>0</v>
      </c>
      <c r="AF188" s="21">
        <f t="shared" si="87"/>
        <v>0</v>
      </c>
      <c r="AG188" s="7">
        <v>0</v>
      </c>
      <c r="AH188" s="25">
        <f t="shared" si="88"/>
        <v>0</v>
      </c>
      <c r="AI188" s="53" t="e">
        <f t="shared" si="89"/>
        <v>#DIV/0!</v>
      </c>
    </row>
    <row r="189" customHeight="1" spans="1:35">
      <c r="A189" s="7" t="s">
        <v>685</v>
      </c>
      <c r="B189" s="7" t="s">
        <v>739</v>
      </c>
      <c r="C189" s="7" t="s">
        <v>34</v>
      </c>
      <c r="D189" s="7" t="s">
        <v>35</v>
      </c>
      <c r="E189" s="7" t="s">
        <v>324</v>
      </c>
      <c r="F189" s="48">
        <v>71.8</v>
      </c>
      <c r="G189" s="48">
        <v>1</v>
      </c>
      <c r="H189" s="55"/>
      <c r="I189" s="55"/>
      <c r="J189" s="48">
        <v>1</v>
      </c>
      <c r="K189" s="7">
        <v>108</v>
      </c>
      <c r="L189" s="21">
        <f t="shared" si="60"/>
        <v>0.02</v>
      </c>
      <c r="M189" s="21">
        <f t="shared" si="61"/>
        <v>0.62</v>
      </c>
      <c r="N189" s="21">
        <f t="shared" si="62"/>
        <v>44.516</v>
      </c>
      <c r="O189" s="21">
        <f t="shared" si="63"/>
        <v>0.0111111111111111</v>
      </c>
      <c r="P189" s="21">
        <f t="shared" si="64"/>
        <v>0.344444444444444</v>
      </c>
      <c r="Q189" s="21">
        <f t="shared" si="65"/>
        <v>37.0966666666667</v>
      </c>
      <c r="R189" s="21">
        <f t="shared" si="66"/>
        <v>0.344444444444444</v>
      </c>
      <c r="S189" s="21">
        <f t="shared" si="67"/>
        <v>0.0111111111111111</v>
      </c>
      <c r="T189" s="21">
        <f t="shared" si="68"/>
        <v>0.0111111111111111</v>
      </c>
      <c r="U189" s="21">
        <f t="shared" si="69"/>
        <v>37.0966666666667</v>
      </c>
      <c r="V189" s="22">
        <v>0.114583333333333</v>
      </c>
      <c r="W189" s="21">
        <f t="shared" si="80"/>
        <v>0.00127314814814814</v>
      </c>
      <c r="X189" s="21">
        <f t="shared" si="81"/>
        <v>0.0394675925925925</v>
      </c>
      <c r="Y189" s="21">
        <f t="shared" si="82"/>
        <v>4.25065972222221</v>
      </c>
      <c r="Z189" s="50">
        <v>0</v>
      </c>
      <c r="AA189" s="51">
        <f t="shared" si="83"/>
        <v>0</v>
      </c>
      <c r="AB189" s="52">
        <f t="shared" si="84"/>
        <v>0</v>
      </c>
      <c r="AC189" s="22">
        <v>0.885416666666667</v>
      </c>
      <c r="AD189" s="21">
        <f t="shared" si="85"/>
        <v>0.00983796296296297</v>
      </c>
      <c r="AE189" s="21">
        <f t="shared" si="86"/>
        <v>0.304976851851852</v>
      </c>
      <c r="AF189" s="21">
        <f t="shared" si="87"/>
        <v>32.8460069444445</v>
      </c>
      <c r="AG189" s="7">
        <v>0</v>
      </c>
      <c r="AH189" s="25">
        <f t="shared" si="88"/>
        <v>0</v>
      </c>
      <c r="AI189" s="53">
        <f t="shared" si="89"/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Q189" etc:filterBottomFollowUsedRange="0">
    <sortState ref="A3:Q189">
      <sortCondition ref="Q3" descending="1"/>
    </sortState>
    <extLst/>
  </autoFilter>
  <mergeCells count="4">
    <mergeCell ref="R1:U2"/>
    <mergeCell ref="AC1:AF2"/>
    <mergeCell ref="V1:AB2"/>
    <mergeCell ref="AG1:AI2"/>
  </mergeCells>
  <conditionalFormatting sqref="AB4:AB189">
    <cfRule type="cellIs" dxfId="0" priority="5" operator="greaterThan">
      <formula>1</formula>
    </cfRule>
    <cfRule type="cellIs" dxfId="1" priority="4" operator="between">
      <formula>0.5</formula>
      <formula>1</formula>
    </cfRule>
    <cfRule type="cellIs" dxfId="2" priority="2" operator="lessThan">
      <formula>0.5</formula>
    </cfRule>
  </conditionalFormatting>
  <conditionalFormatting sqref="AI4:AI189">
    <cfRule type="cellIs" dxfId="0" priority="6" operator="greaterThan">
      <formula>1</formula>
    </cfRule>
    <cfRule type="cellIs" dxfId="1" priority="3" operator="between">
      <formula>0.5</formula>
      <formula>1</formula>
    </cfRule>
    <cfRule type="cellIs" dxfId="0" priority="1" operator="lessThan">
      <formula>0.5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AJ136"/>
  <sheetViews>
    <sheetView workbookViewId="0">
      <pane ySplit="3" topLeftCell="A4" activePane="bottomLeft" state="frozen"/>
      <selection/>
      <selection pane="bottomLeft" activeCell="AE10" sqref="AE10"/>
    </sheetView>
  </sheetViews>
  <sheetFormatPr defaultColWidth="9" defaultRowHeight="11.25" customHeight="1"/>
  <cols>
    <col min="1" max="1" width="9" style="7"/>
    <col min="2" max="2" width="22.375" style="7" customWidth="1"/>
    <col min="3" max="5" width="9" style="7"/>
    <col min="6" max="12" width="6.66666666666667" style="7" customWidth="1"/>
    <col min="13" max="13" width="7.125" style="7" customWidth="1"/>
    <col min="14" max="17" width="8.66666666666667" style="7" customWidth="1"/>
    <col min="18" max="22" width="7.5" style="7" customWidth="1"/>
    <col min="23" max="23" width="2.08333333333333" style="7" customWidth="1"/>
    <col min="24" max="25" width="7.5" style="7" customWidth="1"/>
    <col min="26" max="27" width="6.375" style="7" customWidth="1"/>
    <col min="28" max="28" width="2.33333333333333" style="7" customWidth="1"/>
    <col min="29" max="30" width="7.5" style="7" customWidth="1"/>
    <col min="31" max="31" width="14.125" style="7" customWidth="1"/>
    <col min="33" max="34" width="9" style="7"/>
    <col min="35" max="35" width="14.625" style="7" customWidth="1"/>
    <col min="36" max="36" width="12" style="7" customWidth="1"/>
    <col min="37" max="46" width="9" style="7"/>
  </cols>
  <sheetData>
    <row r="1" customHeight="1" spans="1:36">
      <c r="U1" s="8" t="s">
        <v>808</v>
      </c>
      <c r="V1" s="8"/>
      <c r="X1" s="9" t="s">
        <v>809</v>
      </c>
      <c r="Y1" s="9"/>
      <c r="Z1" s="7" t="s">
        <v>810</v>
      </c>
      <c r="AC1" s="9" t="s">
        <v>754</v>
      </c>
      <c r="AD1" s="9"/>
      <c r="AG1" s="10" t="s">
        <v>811</v>
      </c>
      <c r="AH1" s="10"/>
      <c r="AI1" s="11"/>
    </row>
    <row r="2" customHeight="1" spans="1:36">
      <c r="U2" s="8"/>
      <c r="V2" s="8"/>
      <c r="X2" s="9"/>
      <c r="Y2" s="9"/>
      <c r="AC2" s="12">
        <f>SUM(AC4:AC1048305)/SUM(AC4:AD136)</f>
        <v>0.51049628625956</v>
      </c>
      <c r="AD2" s="12">
        <f>SUM(AD4:AD1048305)/SUM(AC4:AD136)</f>
        <v>0.489503713740437</v>
      </c>
      <c r="AG2" s="13"/>
      <c r="AH2" s="13"/>
      <c r="AI2" s="14"/>
    </row>
    <row r="3" ht="27" customHeight="1" spans="1:36">
      <c r="A3" s="15" t="s">
        <v>3</v>
      </c>
      <c r="B3" s="15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6" t="s">
        <v>812</v>
      </c>
      <c r="L3" s="15" t="s">
        <v>13</v>
      </c>
      <c r="M3" s="16" t="s">
        <v>813</v>
      </c>
      <c r="N3" s="17" t="s">
        <v>814</v>
      </c>
      <c r="O3" s="17" t="s">
        <v>14</v>
      </c>
      <c r="P3" s="17" t="s">
        <v>15</v>
      </c>
      <c r="Q3" s="17" t="s">
        <v>815</v>
      </c>
      <c r="R3" s="18" t="s">
        <v>17</v>
      </c>
      <c r="S3" s="18" t="s">
        <v>18</v>
      </c>
      <c r="T3" s="18" t="s">
        <v>816</v>
      </c>
      <c r="U3" s="8" t="s">
        <v>20</v>
      </c>
      <c r="V3" s="8" t="s">
        <v>23</v>
      </c>
      <c r="X3" s="9" t="s">
        <v>1</v>
      </c>
      <c r="Y3" s="9" t="s">
        <v>2</v>
      </c>
      <c r="Z3" s="7" t="s">
        <v>817</v>
      </c>
      <c r="AC3" s="9" t="s">
        <v>1</v>
      </c>
      <c r="AD3" s="9" t="s">
        <v>2</v>
      </c>
      <c r="AE3" s="7" t="s">
        <v>818</v>
      </c>
      <c r="AG3" s="19" t="s">
        <v>1</v>
      </c>
      <c r="AH3" s="20"/>
      <c r="AI3" s="19" t="s">
        <v>2</v>
      </c>
      <c r="AJ3" s="20"/>
    </row>
    <row r="4" ht="15" hidden="1" customHeight="1" spans="1:36">
      <c r="A4" s="7" t="s">
        <v>568</v>
      </c>
      <c r="B4" s="7" t="s">
        <v>692</v>
      </c>
      <c r="C4" s="7" t="s">
        <v>34</v>
      </c>
      <c r="D4" s="7" t="s">
        <v>35</v>
      </c>
      <c r="E4" s="7" t="s">
        <v>219</v>
      </c>
      <c r="F4" s="7">
        <v>93.26</v>
      </c>
      <c r="G4" s="7">
        <v>940</v>
      </c>
      <c r="H4" s="7">
        <v>1</v>
      </c>
      <c r="I4" s="7">
        <v>940</v>
      </c>
      <c r="J4" s="7">
        <v>825</v>
      </c>
      <c r="K4" s="7">
        <v>160</v>
      </c>
      <c r="L4" s="7">
        <v>112099</v>
      </c>
      <c r="M4" s="21">
        <v>15050</v>
      </c>
      <c r="N4" s="22">
        <f>(L4-M4)/L4</f>
        <v>0.865743673003327</v>
      </c>
      <c r="O4" s="21">
        <f t="shared" ref="O4:O67" si="0">(G4-(H4*50))/50</f>
        <v>17.8</v>
      </c>
      <c r="P4" s="21">
        <f>28*(O4+H4)</f>
        <v>526.4</v>
      </c>
      <c r="Q4" s="21">
        <f>P4*F4</f>
        <v>49092.064</v>
      </c>
      <c r="R4" s="21">
        <f t="shared" ref="R4:R67" si="1">(G4-(H4*90))/90</f>
        <v>9.44444444444444</v>
      </c>
      <c r="S4" s="21">
        <f t="shared" ref="S4:S67" si="2">28*(R4+H4)</f>
        <v>292.444444444444</v>
      </c>
      <c r="T4" s="21">
        <f>(R4+H4)*28*F4*1.5</f>
        <v>40910.0533333333</v>
      </c>
      <c r="U4" s="21">
        <f t="shared" ref="U4:U67" si="3">S4</f>
        <v>292.444444444444</v>
      </c>
      <c r="V4" s="21">
        <f t="shared" ref="V4:V67" si="4">T4</f>
        <v>40910.0533333333</v>
      </c>
      <c r="X4" s="21">
        <f>U4*0.6</f>
        <v>175.466666666667</v>
      </c>
      <c r="Y4" s="21">
        <f>U4*0.4</f>
        <v>116.977777777778</v>
      </c>
      <c r="Z4" s="7">
        <v>192</v>
      </c>
      <c r="AA4" s="23">
        <f>Z4-Y4</f>
        <v>75.0222222222222</v>
      </c>
      <c r="AC4" s="21">
        <f t="shared" ref="AC4:AC67" si="5">X4*F4</f>
        <v>16364.0213333333</v>
      </c>
      <c r="AD4" s="21">
        <f>F4*Y4*1.5</f>
        <v>16364.0213333333</v>
      </c>
      <c r="AE4" s="7">
        <f>Z4*F4*1.5</f>
        <v>26858.88</v>
      </c>
      <c r="AG4" s="7" t="s">
        <v>819</v>
      </c>
      <c r="AH4" s="7" t="s">
        <v>820</v>
      </c>
      <c r="AI4" s="7" t="s">
        <v>821</v>
      </c>
      <c r="AJ4" s="7" t="s">
        <v>822</v>
      </c>
    </row>
    <row r="5" ht="15" hidden="1" customHeight="1" spans="1:36">
      <c r="A5" s="7" t="s">
        <v>762</v>
      </c>
      <c r="B5" s="7" t="s">
        <v>763</v>
      </c>
      <c r="C5" s="7" t="s">
        <v>34</v>
      </c>
      <c r="D5" s="7" t="s">
        <v>35</v>
      </c>
      <c r="E5" s="7" t="s">
        <v>36</v>
      </c>
      <c r="F5" s="7">
        <v>808.48</v>
      </c>
      <c r="G5" s="7">
        <v>128</v>
      </c>
      <c r="J5" s="7">
        <v>98</v>
      </c>
      <c r="K5" s="7">
        <v>28</v>
      </c>
      <c r="L5" s="7">
        <v>109145</v>
      </c>
      <c r="M5" s="21">
        <v>22637</v>
      </c>
      <c r="N5" s="22">
        <f t="shared" ref="N5:N36" si="6">(L5-M5)/L5</f>
        <v>0.792597003985524</v>
      </c>
      <c r="O5" s="21">
        <f t="shared" si="0"/>
        <v>2.56</v>
      </c>
      <c r="P5" s="21">
        <f t="shared" ref="P5:P36" si="7">28*(O5+H5)</f>
        <v>71.68</v>
      </c>
      <c r="Q5" s="21">
        <f t="shared" ref="Q4:Q67" si="8">P5*F5</f>
        <v>57951.8464</v>
      </c>
      <c r="R5" s="21">
        <f t="shared" si="1"/>
        <v>1.42222222222222</v>
      </c>
      <c r="S5" s="21">
        <f t="shared" si="2"/>
        <v>39.8222222222222</v>
      </c>
      <c r="T5" s="21">
        <f t="shared" ref="T5:T36" si="9">(R5+H5)*28*F5*1.5</f>
        <v>48293.2053333333</v>
      </c>
      <c r="U5" s="21">
        <f t="shared" si="3"/>
        <v>39.8222222222222</v>
      </c>
      <c r="V5" s="21">
        <f t="shared" si="4"/>
        <v>48293.2053333333</v>
      </c>
      <c r="X5" s="21">
        <f>U5*0.6</f>
        <v>23.8933333333333</v>
      </c>
      <c r="Y5" s="21">
        <f>U5*0.4</f>
        <v>15.9288888888889</v>
      </c>
      <c r="Z5" s="7">
        <v>24</v>
      </c>
      <c r="AA5" s="23">
        <f t="shared" ref="AA5:AA36" si="10">Z5-Y5</f>
        <v>8.07111111111111</v>
      </c>
      <c r="AC5" s="21">
        <f t="shared" si="5"/>
        <v>19317.2821333333</v>
      </c>
      <c r="AD5" s="21">
        <f t="shared" ref="AD5:AD36" si="11">F5*Y5*1.5</f>
        <v>19317.2821333333</v>
      </c>
      <c r="AE5" s="7">
        <f t="shared" ref="AE5:AE36" si="12">Z5*F5*1.5</f>
        <v>29105.28</v>
      </c>
      <c r="AG5" s="7" t="s">
        <v>823</v>
      </c>
      <c r="AH5" s="7" t="s">
        <v>824</v>
      </c>
      <c r="AI5" s="7" t="s">
        <v>825</v>
      </c>
      <c r="AJ5" s="7" t="s">
        <v>824</v>
      </c>
    </row>
    <row r="6" ht="15" hidden="1" customHeight="1" spans="1:36">
      <c r="A6" s="7" t="s">
        <v>826</v>
      </c>
      <c r="B6" s="7" t="s">
        <v>827</v>
      </c>
      <c r="C6" s="7" t="s">
        <v>34</v>
      </c>
      <c r="D6" s="7" t="s">
        <v>51</v>
      </c>
      <c r="E6" s="7" t="s">
        <v>690</v>
      </c>
      <c r="F6" s="7">
        <v>248.1</v>
      </c>
      <c r="G6" s="7">
        <v>191</v>
      </c>
      <c r="J6" s="7">
        <v>171</v>
      </c>
      <c r="K6" s="7">
        <v>0</v>
      </c>
      <c r="L6" s="7">
        <v>61653</v>
      </c>
      <c r="M6" s="21">
        <v>0</v>
      </c>
      <c r="N6" s="22">
        <f t="shared" si="6"/>
        <v>1</v>
      </c>
      <c r="O6" s="21">
        <f t="shared" si="0"/>
        <v>3.82</v>
      </c>
      <c r="P6" s="21">
        <f t="shared" si="7"/>
        <v>106.96</v>
      </c>
      <c r="Q6" s="21">
        <f t="shared" si="8"/>
        <v>26536.776</v>
      </c>
      <c r="R6" s="21">
        <f t="shared" si="1"/>
        <v>2.12222222222222</v>
      </c>
      <c r="S6" s="21">
        <f t="shared" si="2"/>
        <v>59.4222222222222</v>
      </c>
      <c r="T6" s="21">
        <f t="shared" si="9"/>
        <v>22113.98</v>
      </c>
      <c r="U6" s="21">
        <f t="shared" si="3"/>
        <v>59.4222222222222</v>
      </c>
      <c r="V6" s="21">
        <f t="shared" si="4"/>
        <v>22113.98</v>
      </c>
      <c r="X6" s="21">
        <f>U6*0.6</f>
        <v>35.6533333333333</v>
      </c>
      <c r="Y6" s="21">
        <f>U6*0.4</f>
        <v>23.7688888888889</v>
      </c>
      <c r="Z6" s="7">
        <v>30</v>
      </c>
      <c r="AA6" s="23">
        <f t="shared" si="10"/>
        <v>6.23111111111111</v>
      </c>
      <c r="AC6" s="21">
        <f t="shared" si="5"/>
        <v>8845.592</v>
      </c>
      <c r="AD6" s="21">
        <f t="shared" si="11"/>
        <v>8845.592</v>
      </c>
      <c r="AE6" s="7">
        <f t="shared" si="12"/>
        <v>11164.5</v>
      </c>
      <c r="AG6" s="7" t="s">
        <v>828</v>
      </c>
      <c r="AH6" s="7" t="s">
        <v>824</v>
      </c>
      <c r="AI6" s="7" t="s">
        <v>829</v>
      </c>
      <c r="AJ6" s="7" t="s">
        <v>830</v>
      </c>
    </row>
    <row r="7" ht="15" hidden="1" customHeight="1" spans="1:36">
      <c r="A7" s="7" t="s">
        <v>113</v>
      </c>
      <c r="B7" s="7" t="s">
        <v>114</v>
      </c>
      <c r="C7" s="7" t="s">
        <v>34</v>
      </c>
      <c r="D7" s="7" t="s">
        <v>51</v>
      </c>
      <c r="E7" s="7" t="s">
        <v>61</v>
      </c>
      <c r="F7" s="7">
        <v>248.05</v>
      </c>
      <c r="G7" s="7">
        <v>370</v>
      </c>
      <c r="J7" s="7">
        <v>174</v>
      </c>
      <c r="K7" s="7">
        <v>0</v>
      </c>
      <c r="L7" s="7">
        <v>60152</v>
      </c>
      <c r="M7" s="21">
        <v>0</v>
      </c>
      <c r="N7" s="22">
        <f t="shared" si="6"/>
        <v>1</v>
      </c>
      <c r="O7" s="21">
        <f t="shared" si="0"/>
        <v>7.4</v>
      </c>
      <c r="P7" s="21">
        <f t="shared" si="7"/>
        <v>207.2</v>
      </c>
      <c r="Q7" s="21">
        <f t="shared" si="8"/>
        <v>51395.96</v>
      </c>
      <c r="R7" s="21">
        <f t="shared" si="1"/>
        <v>4.11111111111111</v>
      </c>
      <c r="S7" s="21">
        <f t="shared" si="2"/>
        <v>115.111111111111</v>
      </c>
      <c r="T7" s="21">
        <f t="shared" si="9"/>
        <v>42829.9666666667</v>
      </c>
      <c r="U7" s="21">
        <f t="shared" si="3"/>
        <v>115.111111111111</v>
      </c>
      <c r="V7" s="21">
        <f t="shared" si="4"/>
        <v>42829.9666666667</v>
      </c>
      <c r="X7" s="21">
        <f>U7*0.6</f>
        <v>69.0666666666667</v>
      </c>
      <c r="Y7" s="21">
        <f>U7*0.4</f>
        <v>46.0444444444444</v>
      </c>
      <c r="Z7" s="7">
        <v>67</v>
      </c>
      <c r="AA7" s="23">
        <f t="shared" si="10"/>
        <v>20.9555555555556</v>
      </c>
      <c r="AC7" s="21">
        <f t="shared" si="5"/>
        <v>17131.9866666667</v>
      </c>
      <c r="AD7" s="21">
        <f t="shared" si="11"/>
        <v>17131.9866666667</v>
      </c>
      <c r="AE7" s="7">
        <f t="shared" si="12"/>
        <v>24929.025</v>
      </c>
      <c r="AG7" s="7" t="s">
        <v>831</v>
      </c>
      <c r="AH7" s="7" t="s">
        <v>832</v>
      </c>
      <c r="AI7" s="7" t="s">
        <v>833</v>
      </c>
      <c r="AJ7" s="7" t="s">
        <v>834</v>
      </c>
    </row>
    <row r="8" ht="15" hidden="1" customHeight="1" spans="1:36">
      <c r="A8" s="7" t="s">
        <v>64</v>
      </c>
      <c r="B8" s="7" t="s">
        <v>65</v>
      </c>
      <c r="C8" s="7" t="s">
        <v>34</v>
      </c>
      <c r="D8" s="7" t="s">
        <v>35</v>
      </c>
      <c r="E8" s="7" t="s">
        <v>66</v>
      </c>
      <c r="F8" s="7">
        <v>93.44</v>
      </c>
      <c r="G8" s="7">
        <v>477</v>
      </c>
      <c r="J8" s="7">
        <v>432</v>
      </c>
      <c r="K8" s="7">
        <v>372</v>
      </c>
      <c r="L8" s="7">
        <v>58867</v>
      </c>
      <c r="M8" s="21">
        <v>49663</v>
      </c>
      <c r="N8" s="22">
        <f t="shared" si="6"/>
        <v>0.156352455535359</v>
      </c>
      <c r="O8" s="21">
        <f t="shared" si="0"/>
        <v>9.54</v>
      </c>
      <c r="P8" s="21">
        <f t="shared" si="7"/>
        <v>267.12</v>
      </c>
      <c r="Q8" s="21">
        <f t="shared" si="8"/>
        <v>24959.6928</v>
      </c>
      <c r="R8" s="21">
        <f t="shared" si="1"/>
        <v>5.3</v>
      </c>
      <c r="S8" s="21">
        <f t="shared" si="2"/>
        <v>148.4</v>
      </c>
      <c r="T8" s="21">
        <f t="shared" si="9"/>
        <v>20799.744</v>
      </c>
      <c r="U8" s="21">
        <f t="shared" si="3"/>
        <v>148.4</v>
      </c>
      <c r="V8" s="21">
        <f t="shared" si="4"/>
        <v>20799.744</v>
      </c>
      <c r="X8" s="21">
        <v>148</v>
      </c>
      <c r="Y8" s="21">
        <v>0</v>
      </c>
      <c r="Z8" s="7">
        <v>0</v>
      </c>
      <c r="AA8" s="23">
        <f t="shared" si="10"/>
        <v>0</v>
      </c>
      <c r="AC8" s="21">
        <f t="shared" si="5"/>
        <v>13829.12</v>
      </c>
      <c r="AD8" s="21">
        <f t="shared" si="11"/>
        <v>0</v>
      </c>
      <c r="AE8" s="7">
        <f t="shared" si="12"/>
        <v>0</v>
      </c>
      <c r="AG8" s="7" t="s">
        <v>225</v>
      </c>
      <c r="AI8" s="7" t="s">
        <v>225</v>
      </c>
    </row>
    <row r="9" ht="15" hidden="1" customHeight="1" spans="1:36">
      <c r="A9" s="7" t="s">
        <v>213</v>
      </c>
      <c r="B9" s="7" t="s">
        <v>214</v>
      </c>
      <c r="C9" s="7" t="s">
        <v>34</v>
      </c>
      <c r="D9" s="7" t="s">
        <v>51</v>
      </c>
      <c r="E9" s="7" t="s">
        <v>80</v>
      </c>
      <c r="F9" s="7">
        <v>98.06</v>
      </c>
      <c r="G9" s="7">
        <v>1113</v>
      </c>
      <c r="H9" s="7">
        <v>8</v>
      </c>
      <c r="I9" s="7">
        <v>139</v>
      </c>
      <c r="J9" s="7">
        <v>493</v>
      </c>
      <c r="K9" s="7">
        <v>650</v>
      </c>
      <c r="L9" s="7">
        <v>56385</v>
      </c>
      <c r="M9" s="21">
        <v>83890</v>
      </c>
      <c r="N9" s="22">
        <f t="shared" si="6"/>
        <v>-0.487807040879667</v>
      </c>
      <c r="O9" s="21">
        <f t="shared" si="0"/>
        <v>14.26</v>
      </c>
      <c r="P9" s="21">
        <f t="shared" si="7"/>
        <v>623.28</v>
      </c>
      <c r="Q9" s="21">
        <f t="shared" si="8"/>
        <v>61118.8368</v>
      </c>
      <c r="R9" s="21">
        <f t="shared" si="1"/>
        <v>4.36666666666667</v>
      </c>
      <c r="S9" s="21">
        <f t="shared" si="2"/>
        <v>346.266666666667</v>
      </c>
      <c r="T9" s="21">
        <f t="shared" si="9"/>
        <v>50932.364</v>
      </c>
      <c r="U9" s="21">
        <f t="shared" si="3"/>
        <v>346.266666666667</v>
      </c>
      <c r="V9" s="21">
        <f t="shared" si="4"/>
        <v>50932.364</v>
      </c>
      <c r="X9" s="21">
        <f>U9*0.6</f>
        <v>207.76</v>
      </c>
      <c r="Y9" s="21">
        <f>U9*0.4</f>
        <v>138.506666666667</v>
      </c>
      <c r="Z9" s="7">
        <v>88</v>
      </c>
      <c r="AA9" s="23">
        <f t="shared" si="10"/>
        <v>-50.5066666666667</v>
      </c>
      <c r="AC9" s="21">
        <f t="shared" si="5"/>
        <v>20372.9456</v>
      </c>
      <c r="AD9" s="21">
        <f t="shared" si="11"/>
        <v>20372.9456</v>
      </c>
      <c r="AE9" s="7">
        <f t="shared" si="12"/>
        <v>12943.92</v>
      </c>
      <c r="AG9" s="7" t="s">
        <v>835</v>
      </c>
      <c r="AH9" s="7" t="s">
        <v>836</v>
      </c>
      <c r="AI9" s="7" t="s">
        <v>837</v>
      </c>
      <c r="AJ9" s="7" t="s">
        <v>838</v>
      </c>
    </row>
    <row r="10" ht="15" hidden="1" customHeight="1" spans="1:36">
      <c r="A10" s="7" t="s">
        <v>116</v>
      </c>
      <c r="B10" s="7" t="s">
        <v>117</v>
      </c>
      <c r="C10" s="7" t="s">
        <v>34</v>
      </c>
      <c r="D10" s="7" t="s">
        <v>35</v>
      </c>
      <c r="E10" s="7" t="s">
        <v>41</v>
      </c>
      <c r="F10" s="7">
        <v>729.07</v>
      </c>
      <c r="G10" s="7">
        <v>45</v>
      </c>
      <c r="J10" s="7">
        <v>45</v>
      </c>
      <c r="K10" s="7">
        <v>32</v>
      </c>
      <c r="L10" s="7">
        <v>49212</v>
      </c>
      <c r="M10" s="21">
        <v>36656</v>
      </c>
      <c r="N10" s="22">
        <f t="shared" si="6"/>
        <v>0.255141022514834</v>
      </c>
      <c r="O10" s="21">
        <f t="shared" si="0"/>
        <v>0.9</v>
      </c>
      <c r="P10" s="21">
        <f t="shared" si="7"/>
        <v>25.2</v>
      </c>
      <c r="Q10" s="21">
        <f t="shared" si="8"/>
        <v>18372.564</v>
      </c>
      <c r="R10" s="21">
        <f t="shared" si="1"/>
        <v>0.5</v>
      </c>
      <c r="S10" s="21">
        <f t="shared" si="2"/>
        <v>14</v>
      </c>
      <c r="T10" s="21">
        <f t="shared" si="9"/>
        <v>15310.47</v>
      </c>
      <c r="U10" s="21">
        <f t="shared" si="3"/>
        <v>14</v>
      </c>
      <c r="V10" s="21">
        <f t="shared" si="4"/>
        <v>15310.47</v>
      </c>
      <c r="X10" s="21">
        <v>14</v>
      </c>
      <c r="Y10" s="21">
        <v>0</v>
      </c>
      <c r="Z10" s="7">
        <v>4</v>
      </c>
      <c r="AA10" s="23">
        <f t="shared" si="10"/>
        <v>4</v>
      </c>
      <c r="AC10" s="21">
        <f t="shared" si="5"/>
        <v>10206.98</v>
      </c>
      <c r="AD10" s="21">
        <f t="shared" si="11"/>
        <v>0</v>
      </c>
      <c r="AE10" s="7">
        <f t="shared" si="12"/>
        <v>4374.42</v>
      </c>
      <c r="AG10" s="7" t="s">
        <v>828</v>
      </c>
      <c r="AH10" s="7" t="s">
        <v>824</v>
      </c>
      <c r="AI10" s="7" t="s">
        <v>839</v>
      </c>
    </row>
    <row r="11" ht="15" hidden="1" customHeight="1" spans="1:36">
      <c r="A11" s="7" t="s">
        <v>576</v>
      </c>
      <c r="B11" s="7" t="s">
        <v>695</v>
      </c>
      <c r="C11" s="7" t="s">
        <v>34</v>
      </c>
      <c r="D11" s="7" t="s">
        <v>35</v>
      </c>
      <c r="E11" s="7" t="s">
        <v>250</v>
      </c>
      <c r="F11" s="7">
        <v>206.92</v>
      </c>
      <c r="G11" s="7">
        <v>273</v>
      </c>
      <c r="H11" s="7">
        <v>1</v>
      </c>
      <c r="I11" s="7">
        <v>273</v>
      </c>
      <c r="J11" s="7">
        <v>171</v>
      </c>
      <c r="K11" s="7">
        <v>135</v>
      </c>
      <c r="L11" s="7">
        <v>46764</v>
      </c>
      <c r="M11" s="21">
        <v>34715</v>
      </c>
      <c r="N11" s="22">
        <f t="shared" si="6"/>
        <v>0.257655461466085</v>
      </c>
      <c r="O11" s="21">
        <f t="shared" si="0"/>
        <v>4.46</v>
      </c>
      <c r="P11" s="21">
        <f t="shared" si="7"/>
        <v>152.88</v>
      </c>
      <c r="Q11" s="21">
        <f t="shared" si="8"/>
        <v>31633.9296</v>
      </c>
      <c r="R11" s="21">
        <f t="shared" si="1"/>
        <v>2.03333333333333</v>
      </c>
      <c r="S11" s="21">
        <f t="shared" si="2"/>
        <v>84.9333333333333</v>
      </c>
      <c r="T11" s="21">
        <f t="shared" si="9"/>
        <v>26361.608</v>
      </c>
      <c r="U11" s="21">
        <f t="shared" si="3"/>
        <v>84.9333333333333</v>
      </c>
      <c r="V11" s="21">
        <f t="shared" si="4"/>
        <v>26361.608</v>
      </c>
      <c r="X11" s="21">
        <f t="shared" ref="X11:X25" si="13">U11*0.6</f>
        <v>50.96</v>
      </c>
      <c r="Y11" s="21">
        <f t="shared" ref="Y11:Y25" si="14">U11*0.4</f>
        <v>33.9733333333333</v>
      </c>
      <c r="Z11" s="7">
        <v>26</v>
      </c>
      <c r="AA11" s="23">
        <f t="shared" si="10"/>
        <v>-7.97333333333334</v>
      </c>
      <c r="AC11" s="21">
        <f t="shared" si="5"/>
        <v>10544.6432</v>
      </c>
      <c r="AD11" s="21">
        <f t="shared" si="11"/>
        <v>10544.6432</v>
      </c>
      <c r="AE11" s="7">
        <f t="shared" si="12"/>
        <v>8069.88</v>
      </c>
      <c r="AG11" s="7" t="s">
        <v>840</v>
      </c>
      <c r="AI11" s="7" t="s">
        <v>821</v>
      </c>
      <c r="AJ11" s="7" t="s">
        <v>841</v>
      </c>
    </row>
    <row r="12" ht="15" hidden="1" customHeight="1" spans="1:36">
      <c r="A12" s="7" t="s">
        <v>842</v>
      </c>
      <c r="B12" s="7" t="s">
        <v>843</v>
      </c>
      <c r="C12" s="7" t="s">
        <v>34</v>
      </c>
      <c r="D12" s="7" t="s">
        <v>51</v>
      </c>
      <c r="E12" s="7" t="s">
        <v>690</v>
      </c>
      <c r="F12" s="7">
        <v>346.33</v>
      </c>
      <c r="G12" s="7">
        <v>108</v>
      </c>
      <c r="J12" s="7">
        <v>82</v>
      </c>
      <c r="K12" s="7">
        <v>0</v>
      </c>
      <c r="L12" s="7">
        <v>38962</v>
      </c>
      <c r="M12" s="21">
        <v>0</v>
      </c>
      <c r="N12" s="22">
        <f t="shared" si="6"/>
        <v>1</v>
      </c>
      <c r="O12" s="21">
        <f t="shared" si="0"/>
        <v>2.16</v>
      </c>
      <c r="P12" s="21">
        <f t="shared" si="7"/>
        <v>60.48</v>
      </c>
      <c r="Q12" s="21">
        <f t="shared" si="8"/>
        <v>20946.0384</v>
      </c>
      <c r="R12" s="21">
        <f t="shared" si="1"/>
        <v>1.2</v>
      </c>
      <c r="S12" s="21">
        <f t="shared" si="2"/>
        <v>33.6</v>
      </c>
      <c r="T12" s="21">
        <f t="shared" si="9"/>
        <v>17455.032</v>
      </c>
      <c r="U12" s="21">
        <f t="shared" si="3"/>
        <v>33.6</v>
      </c>
      <c r="V12" s="21">
        <f t="shared" si="4"/>
        <v>17455.032</v>
      </c>
      <c r="X12" s="21">
        <f t="shared" si="13"/>
        <v>20.16</v>
      </c>
      <c r="Y12" s="21">
        <f t="shared" si="14"/>
        <v>13.44</v>
      </c>
      <c r="Z12" s="7">
        <v>75</v>
      </c>
      <c r="AA12" s="23">
        <f t="shared" si="10"/>
        <v>61.56</v>
      </c>
      <c r="AC12" s="21">
        <f t="shared" si="5"/>
        <v>6982.0128</v>
      </c>
      <c r="AD12" s="21">
        <f t="shared" si="11"/>
        <v>6982.0128</v>
      </c>
      <c r="AE12" s="7">
        <f t="shared" si="12"/>
        <v>38962.125</v>
      </c>
      <c r="AG12" s="7" t="s">
        <v>828</v>
      </c>
      <c r="AH12" s="7" t="s">
        <v>824</v>
      </c>
      <c r="AI12" s="7" t="s">
        <v>829</v>
      </c>
      <c r="AJ12" s="7" t="s">
        <v>830</v>
      </c>
    </row>
    <row r="13" ht="15" hidden="1" customHeight="1" spans="1:36">
      <c r="A13" s="7" t="s">
        <v>636</v>
      </c>
      <c r="B13" s="7" t="s">
        <v>715</v>
      </c>
      <c r="C13" s="7" t="s">
        <v>34</v>
      </c>
      <c r="D13" s="7" t="s">
        <v>35</v>
      </c>
      <c r="E13" s="7" t="s">
        <v>219</v>
      </c>
      <c r="F13" s="7">
        <v>126.08</v>
      </c>
      <c r="G13" s="7">
        <v>423</v>
      </c>
      <c r="H13" s="7">
        <v>2</v>
      </c>
      <c r="I13" s="7">
        <v>211</v>
      </c>
      <c r="J13" s="7">
        <v>233</v>
      </c>
      <c r="K13" s="7">
        <v>166</v>
      </c>
      <c r="L13" s="7">
        <v>37068</v>
      </c>
      <c r="M13" s="21">
        <v>23162</v>
      </c>
      <c r="N13" s="22">
        <f t="shared" si="6"/>
        <v>0.375148375957699</v>
      </c>
      <c r="O13" s="21">
        <f t="shared" si="0"/>
        <v>6.46</v>
      </c>
      <c r="P13" s="21">
        <f t="shared" si="7"/>
        <v>236.88</v>
      </c>
      <c r="Q13" s="21">
        <f t="shared" si="8"/>
        <v>29865.8304</v>
      </c>
      <c r="R13" s="21">
        <f t="shared" si="1"/>
        <v>2.7</v>
      </c>
      <c r="S13" s="21">
        <f t="shared" si="2"/>
        <v>131.6</v>
      </c>
      <c r="T13" s="21">
        <f t="shared" si="9"/>
        <v>24888.192</v>
      </c>
      <c r="U13" s="21">
        <f t="shared" si="3"/>
        <v>131.6</v>
      </c>
      <c r="V13" s="21">
        <f t="shared" si="4"/>
        <v>24888.192</v>
      </c>
      <c r="X13" s="21">
        <f t="shared" si="13"/>
        <v>78.96</v>
      </c>
      <c r="Y13" s="21">
        <f t="shared" si="14"/>
        <v>52.64</v>
      </c>
      <c r="Z13" s="7">
        <v>55</v>
      </c>
      <c r="AA13" s="23">
        <f t="shared" si="10"/>
        <v>2.36</v>
      </c>
      <c r="AC13" s="21">
        <f t="shared" si="5"/>
        <v>9955.2768</v>
      </c>
      <c r="AD13" s="21">
        <f t="shared" si="11"/>
        <v>9955.2768</v>
      </c>
      <c r="AE13" s="7">
        <f t="shared" si="12"/>
        <v>10401.6</v>
      </c>
      <c r="AG13" s="7" t="s">
        <v>844</v>
      </c>
      <c r="AH13" s="7" t="s">
        <v>845</v>
      </c>
      <c r="AI13" s="7" t="s">
        <v>833</v>
      </c>
      <c r="AJ13" s="7" t="s">
        <v>838</v>
      </c>
    </row>
    <row r="14" ht="15" hidden="1" customHeight="1" spans="1:36">
      <c r="A14" s="7" t="s">
        <v>641</v>
      </c>
      <c r="B14" s="7" t="s">
        <v>718</v>
      </c>
      <c r="C14" s="7" t="s">
        <v>34</v>
      </c>
      <c r="D14" s="7" t="s">
        <v>51</v>
      </c>
      <c r="E14" s="7" t="s">
        <v>719</v>
      </c>
      <c r="F14" s="7">
        <v>173.36</v>
      </c>
      <c r="G14" s="7">
        <v>151</v>
      </c>
      <c r="J14" s="7">
        <v>140</v>
      </c>
      <c r="K14" s="7">
        <v>102</v>
      </c>
      <c r="L14" s="7">
        <v>35625</v>
      </c>
      <c r="M14" s="21">
        <v>24368</v>
      </c>
      <c r="N14" s="22">
        <f t="shared" si="6"/>
        <v>0.315985964912281</v>
      </c>
      <c r="O14" s="21">
        <f t="shared" si="0"/>
        <v>3.02</v>
      </c>
      <c r="P14" s="21">
        <f t="shared" si="7"/>
        <v>84.56</v>
      </c>
      <c r="Q14" s="21">
        <f t="shared" si="8"/>
        <v>14659.3216</v>
      </c>
      <c r="R14" s="21">
        <f t="shared" si="1"/>
        <v>1.67777777777778</v>
      </c>
      <c r="S14" s="21">
        <f t="shared" si="2"/>
        <v>46.9777777777778</v>
      </c>
      <c r="T14" s="21">
        <f t="shared" si="9"/>
        <v>12216.1013333333</v>
      </c>
      <c r="U14" s="21">
        <f t="shared" si="3"/>
        <v>46.9777777777778</v>
      </c>
      <c r="V14" s="21">
        <f t="shared" si="4"/>
        <v>12216.1013333333</v>
      </c>
      <c r="X14" s="21">
        <f t="shared" si="13"/>
        <v>28.1866666666667</v>
      </c>
      <c r="Y14" s="21">
        <f t="shared" si="14"/>
        <v>18.7911111111111</v>
      </c>
      <c r="Z14" s="7">
        <v>6</v>
      </c>
      <c r="AA14" s="23">
        <f t="shared" si="10"/>
        <v>-12.7911111111111</v>
      </c>
      <c r="AC14" s="21">
        <f t="shared" si="5"/>
        <v>4886.44053333333</v>
      </c>
      <c r="AD14" s="21">
        <f t="shared" si="11"/>
        <v>4886.44053333333</v>
      </c>
      <c r="AE14" s="7">
        <f t="shared" si="12"/>
        <v>1560.24</v>
      </c>
      <c r="AG14" s="7" t="s">
        <v>846</v>
      </c>
      <c r="AH14" s="7" t="s">
        <v>836</v>
      </c>
      <c r="AI14" s="7" t="s">
        <v>847</v>
      </c>
      <c r="AJ14" s="7" t="s">
        <v>830</v>
      </c>
    </row>
    <row r="15" ht="15" hidden="1" customHeight="1" spans="1:36">
      <c r="A15" s="7" t="s">
        <v>441</v>
      </c>
      <c r="B15" s="7" t="s">
        <v>442</v>
      </c>
      <c r="C15" s="7" t="s">
        <v>34</v>
      </c>
      <c r="D15" s="7" t="s">
        <v>35</v>
      </c>
      <c r="E15" s="7" t="s">
        <v>391</v>
      </c>
      <c r="F15" s="7">
        <v>240.3</v>
      </c>
      <c r="G15" s="7">
        <v>108</v>
      </c>
      <c r="J15" s="7">
        <v>95</v>
      </c>
      <c r="K15" s="7">
        <v>0</v>
      </c>
      <c r="L15" s="7">
        <v>32921</v>
      </c>
      <c r="M15" s="21">
        <v>0</v>
      </c>
      <c r="N15" s="22">
        <f t="shared" si="6"/>
        <v>1</v>
      </c>
      <c r="O15" s="21">
        <f t="shared" si="0"/>
        <v>2.16</v>
      </c>
      <c r="P15" s="21">
        <f t="shared" si="7"/>
        <v>60.48</v>
      </c>
      <c r="Q15" s="21">
        <f t="shared" si="8"/>
        <v>14533.344</v>
      </c>
      <c r="R15" s="21">
        <f t="shared" si="1"/>
        <v>1.2</v>
      </c>
      <c r="S15" s="21">
        <f t="shared" si="2"/>
        <v>33.6</v>
      </c>
      <c r="T15" s="21">
        <f t="shared" si="9"/>
        <v>12111.12</v>
      </c>
      <c r="U15" s="21">
        <f t="shared" si="3"/>
        <v>33.6</v>
      </c>
      <c r="V15" s="21">
        <f t="shared" si="4"/>
        <v>12111.12</v>
      </c>
      <c r="X15" s="21">
        <f t="shared" si="13"/>
        <v>20.16</v>
      </c>
      <c r="Y15" s="21">
        <f t="shared" si="14"/>
        <v>13.44</v>
      </c>
      <c r="Z15" s="7">
        <v>7</v>
      </c>
      <c r="AA15" s="23">
        <f t="shared" si="10"/>
        <v>-6.44</v>
      </c>
      <c r="AC15" s="21">
        <f t="shared" si="5"/>
        <v>4844.448</v>
      </c>
      <c r="AD15" s="21">
        <f t="shared" si="11"/>
        <v>4844.448</v>
      </c>
      <c r="AE15" s="7">
        <f t="shared" si="12"/>
        <v>2523.15</v>
      </c>
      <c r="AG15" s="7" t="s">
        <v>844</v>
      </c>
      <c r="AH15" s="7" t="s">
        <v>824</v>
      </c>
      <c r="AI15" s="7" t="s">
        <v>848</v>
      </c>
      <c r="AJ15" s="7" t="s">
        <v>849</v>
      </c>
    </row>
    <row r="16" ht="15" hidden="1" customHeight="1" spans="1:36">
      <c r="A16" s="7" t="s">
        <v>59</v>
      </c>
      <c r="B16" s="7" t="s">
        <v>60</v>
      </c>
      <c r="C16" s="7" t="s">
        <v>34</v>
      </c>
      <c r="D16" s="7" t="s">
        <v>51</v>
      </c>
      <c r="E16" s="7" t="s">
        <v>61</v>
      </c>
      <c r="F16" s="7">
        <v>175.48</v>
      </c>
      <c r="G16" s="7">
        <v>234</v>
      </c>
      <c r="J16" s="7">
        <v>118</v>
      </c>
      <c r="K16" s="7">
        <v>0</v>
      </c>
      <c r="L16" s="7">
        <v>29919</v>
      </c>
      <c r="M16" s="21">
        <v>0</v>
      </c>
      <c r="N16" s="22">
        <f t="shared" si="6"/>
        <v>1</v>
      </c>
      <c r="O16" s="21">
        <f t="shared" si="0"/>
        <v>4.68</v>
      </c>
      <c r="P16" s="21">
        <f t="shared" si="7"/>
        <v>131.04</v>
      </c>
      <c r="Q16" s="21">
        <f t="shared" si="8"/>
        <v>22994.8992</v>
      </c>
      <c r="R16" s="21">
        <f t="shared" si="1"/>
        <v>2.6</v>
      </c>
      <c r="S16" s="21">
        <f t="shared" si="2"/>
        <v>72.8</v>
      </c>
      <c r="T16" s="21">
        <f t="shared" si="9"/>
        <v>19162.416</v>
      </c>
      <c r="U16" s="21">
        <f t="shared" si="3"/>
        <v>72.8</v>
      </c>
      <c r="V16" s="21">
        <f t="shared" si="4"/>
        <v>19162.416</v>
      </c>
      <c r="X16" s="21">
        <f t="shared" si="13"/>
        <v>43.68</v>
      </c>
      <c r="Y16" s="21">
        <f t="shared" si="14"/>
        <v>29.12</v>
      </c>
      <c r="Z16" s="7">
        <v>30</v>
      </c>
      <c r="AA16" s="23">
        <f t="shared" si="10"/>
        <v>0.879999999999999</v>
      </c>
      <c r="AC16" s="21">
        <f t="shared" si="5"/>
        <v>7664.9664</v>
      </c>
      <c r="AD16" s="21">
        <f t="shared" si="11"/>
        <v>7664.9664</v>
      </c>
      <c r="AE16" s="7">
        <f t="shared" si="12"/>
        <v>7896.6</v>
      </c>
      <c r="AI16" s="7" t="s">
        <v>833</v>
      </c>
      <c r="AJ16" s="7" t="s">
        <v>850</v>
      </c>
    </row>
    <row r="17" ht="15" hidden="1" customHeight="1" spans="1:36">
      <c r="A17" s="7" t="s">
        <v>133</v>
      </c>
      <c r="B17" s="7" t="s">
        <v>134</v>
      </c>
      <c r="C17" s="7" t="s">
        <v>34</v>
      </c>
      <c r="D17" s="7" t="s">
        <v>51</v>
      </c>
      <c r="E17" s="7" t="s">
        <v>135</v>
      </c>
      <c r="F17" s="7">
        <v>97.44</v>
      </c>
      <c r="G17" s="7">
        <v>741</v>
      </c>
      <c r="H17" s="7">
        <v>4</v>
      </c>
      <c r="I17" s="7">
        <v>185</v>
      </c>
      <c r="J17" s="7">
        <v>261</v>
      </c>
      <c r="K17" s="7">
        <v>0</v>
      </c>
      <c r="L17" s="7">
        <v>29573</v>
      </c>
      <c r="M17" s="21">
        <v>0</v>
      </c>
      <c r="N17" s="22">
        <f t="shared" si="6"/>
        <v>1</v>
      </c>
      <c r="O17" s="21">
        <f t="shared" si="0"/>
        <v>10.82</v>
      </c>
      <c r="P17" s="21">
        <f t="shared" si="7"/>
        <v>414.96</v>
      </c>
      <c r="Q17" s="21">
        <f t="shared" si="8"/>
        <v>40433.7024</v>
      </c>
      <c r="R17" s="21">
        <f t="shared" si="1"/>
        <v>4.23333333333333</v>
      </c>
      <c r="S17" s="21">
        <f t="shared" si="2"/>
        <v>230.533333333333</v>
      </c>
      <c r="T17" s="21">
        <f t="shared" si="9"/>
        <v>33694.752</v>
      </c>
      <c r="U17" s="21">
        <f t="shared" si="3"/>
        <v>230.533333333333</v>
      </c>
      <c r="V17" s="21">
        <f t="shared" si="4"/>
        <v>33694.752</v>
      </c>
      <c r="X17" s="21">
        <f t="shared" si="13"/>
        <v>138.32</v>
      </c>
      <c r="Y17" s="21">
        <f t="shared" si="14"/>
        <v>92.2133333333334</v>
      </c>
      <c r="Z17" s="7">
        <v>558</v>
      </c>
      <c r="AA17" s="23">
        <f t="shared" si="10"/>
        <v>465.786666666667</v>
      </c>
      <c r="AC17" s="21">
        <f t="shared" si="5"/>
        <v>13477.9008</v>
      </c>
      <c r="AD17" s="21">
        <f t="shared" si="11"/>
        <v>13477.9008</v>
      </c>
      <c r="AE17" s="7">
        <f t="shared" si="12"/>
        <v>81557.28</v>
      </c>
      <c r="AG17" s="7" t="s">
        <v>844</v>
      </c>
      <c r="AH17" s="7" t="s">
        <v>851</v>
      </c>
      <c r="AI17" s="7" t="s">
        <v>852</v>
      </c>
      <c r="AJ17" s="7" t="s">
        <v>853</v>
      </c>
    </row>
    <row r="18" ht="15" hidden="1" customHeight="1" spans="1:36">
      <c r="A18" s="7" t="s">
        <v>244</v>
      </c>
      <c r="B18" s="7" t="s">
        <v>245</v>
      </c>
      <c r="C18" s="7" t="s">
        <v>34</v>
      </c>
      <c r="D18" s="7" t="s">
        <v>51</v>
      </c>
      <c r="E18" s="7" t="s">
        <v>80</v>
      </c>
      <c r="F18" s="7">
        <v>7.41</v>
      </c>
      <c r="G18" s="7">
        <v>3911</v>
      </c>
      <c r="H18" s="7">
        <v>15</v>
      </c>
      <c r="I18" s="7">
        <v>260</v>
      </c>
      <c r="J18" s="7">
        <v>2770</v>
      </c>
      <c r="K18" s="7">
        <v>1671</v>
      </c>
      <c r="L18" s="7">
        <v>28562</v>
      </c>
      <c r="M18" s="21">
        <v>14331</v>
      </c>
      <c r="N18" s="22">
        <f t="shared" si="6"/>
        <v>0.498249422309362</v>
      </c>
      <c r="O18" s="21">
        <f t="shared" si="0"/>
        <v>63.22</v>
      </c>
      <c r="P18" s="21">
        <f t="shared" si="7"/>
        <v>2190.16</v>
      </c>
      <c r="Q18" s="21">
        <f t="shared" si="8"/>
        <v>16229.0856</v>
      </c>
      <c r="R18" s="21">
        <f t="shared" si="1"/>
        <v>28.4555555555556</v>
      </c>
      <c r="S18" s="21">
        <f t="shared" si="2"/>
        <v>1216.75555555556</v>
      </c>
      <c r="T18" s="21">
        <f t="shared" si="9"/>
        <v>13524.238</v>
      </c>
      <c r="U18" s="21">
        <f t="shared" si="3"/>
        <v>1216.75555555556</v>
      </c>
      <c r="V18" s="21">
        <f t="shared" si="4"/>
        <v>13524.238</v>
      </c>
      <c r="X18" s="21">
        <f t="shared" si="13"/>
        <v>730.053333333333</v>
      </c>
      <c r="Y18" s="21">
        <f t="shared" si="14"/>
        <v>486.702222222222</v>
      </c>
      <c r="Z18" s="7">
        <v>819</v>
      </c>
      <c r="AA18" s="23">
        <f t="shared" si="10"/>
        <v>332.297777777778</v>
      </c>
      <c r="AC18" s="21">
        <f t="shared" si="5"/>
        <v>5409.6952</v>
      </c>
      <c r="AD18" s="21">
        <f t="shared" si="11"/>
        <v>5409.6952</v>
      </c>
      <c r="AE18" s="7">
        <f t="shared" si="12"/>
        <v>9103.185</v>
      </c>
      <c r="AI18" s="7" t="s">
        <v>854</v>
      </c>
      <c r="AJ18" s="7" t="s">
        <v>855</v>
      </c>
    </row>
    <row r="19" ht="15" hidden="1" customHeight="1" spans="1:36">
      <c r="A19" s="7" t="s">
        <v>555</v>
      </c>
      <c r="B19" s="7" t="s">
        <v>561</v>
      </c>
      <c r="C19" s="7" t="s">
        <v>34</v>
      </c>
      <c r="D19" s="7" t="s">
        <v>35</v>
      </c>
      <c r="E19" s="7" t="s">
        <v>338</v>
      </c>
      <c r="F19" s="7">
        <v>4.1601</v>
      </c>
      <c r="G19" s="7">
        <v>15518</v>
      </c>
      <c r="H19" s="7">
        <v>124</v>
      </c>
      <c r="I19" s="7">
        <v>125</v>
      </c>
      <c r="J19" s="7">
        <v>6091</v>
      </c>
      <c r="K19" s="7">
        <v>6991</v>
      </c>
      <c r="L19" s="7">
        <v>27685</v>
      </c>
      <c r="M19" s="21">
        <v>34621</v>
      </c>
      <c r="N19" s="22">
        <f t="shared" si="6"/>
        <v>-0.250532779483475</v>
      </c>
      <c r="O19" s="21">
        <f t="shared" si="0"/>
        <v>186.36</v>
      </c>
      <c r="P19" s="21">
        <f t="shared" si="7"/>
        <v>8690.08</v>
      </c>
      <c r="Q19" s="21">
        <f t="shared" si="8"/>
        <v>36151.601808</v>
      </c>
      <c r="R19" s="21">
        <f t="shared" si="1"/>
        <v>48.4222222222222</v>
      </c>
      <c r="S19" s="21">
        <f t="shared" si="2"/>
        <v>4827.82222222222</v>
      </c>
      <c r="T19" s="21">
        <f t="shared" si="9"/>
        <v>30126.33484</v>
      </c>
      <c r="U19" s="21">
        <f t="shared" si="3"/>
        <v>4827.82222222222</v>
      </c>
      <c r="V19" s="21">
        <f t="shared" si="4"/>
        <v>30126.33484</v>
      </c>
      <c r="X19" s="21">
        <f t="shared" si="13"/>
        <v>2896.69333333333</v>
      </c>
      <c r="Y19" s="21">
        <f t="shared" si="14"/>
        <v>1931.12888888889</v>
      </c>
      <c r="Z19" s="7">
        <v>701</v>
      </c>
      <c r="AA19" s="23">
        <f t="shared" si="10"/>
        <v>-1230.12888888889</v>
      </c>
      <c r="AC19" s="21">
        <f t="shared" si="5"/>
        <v>12050.533936</v>
      </c>
      <c r="AD19" s="21">
        <f t="shared" si="11"/>
        <v>12050.533936</v>
      </c>
      <c r="AE19" s="7">
        <f t="shared" si="12"/>
        <v>4374.34515</v>
      </c>
    </row>
    <row r="20" ht="15" hidden="1" customHeight="1" spans="1:36">
      <c r="A20" s="7" t="s">
        <v>318</v>
      </c>
      <c r="B20" s="7" t="s">
        <v>319</v>
      </c>
      <c r="C20" s="7" t="s">
        <v>34</v>
      </c>
      <c r="D20" s="7" t="s">
        <v>51</v>
      </c>
      <c r="E20" s="7" t="s">
        <v>320</v>
      </c>
      <c r="F20" s="7">
        <v>157.1</v>
      </c>
      <c r="G20" s="7">
        <v>112</v>
      </c>
      <c r="J20" s="7">
        <v>107</v>
      </c>
      <c r="K20" s="7">
        <v>80</v>
      </c>
      <c r="L20" s="7">
        <v>24900</v>
      </c>
      <c r="M20" s="21">
        <v>17595</v>
      </c>
      <c r="N20" s="22">
        <f t="shared" si="6"/>
        <v>0.293373493975904</v>
      </c>
      <c r="O20" s="21">
        <f t="shared" si="0"/>
        <v>2.24</v>
      </c>
      <c r="P20" s="21">
        <f t="shared" si="7"/>
        <v>62.72</v>
      </c>
      <c r="Q20" s="21">
        <f t="shared" si="8"/>
        <v>9853.312</v>
      </c>
      <c r="R20" s="21">
        <f t="shared" si="1"/>
        <v>1.24444444444444</v>
      </c>
      <c r="S20" s="21">
        <f t="shared" si="2"/>
        <v>34.8444444444444</v>
      </c>
      <c r="T20" s="21">
        <f t="shared" si="9"/>
        <v>8211.09333333333</v>
      </c>
      <c r="U20" s="21">
        <f t="shared" si="3"/>
        <v>34.8444444444444</v>
      </c>
      <c r="V20" s="21">
        <f t="shared" si="4"/>
        <v>8211.09333333333</v>
      </c>
      <c r="X20" s="21">
        <f t="shared" si="13"/>
        <v>20.9066666666667</v>
      </c>
      <c r="Y20" s="21">
        <f t="shared" si="14"/>
        <v>13.9377777777778</v>
      </c>
      <c r="Z20" s="7">
        <v>10</v>
      </c>
      <c r="AA20" s="23">
        <f t="shared" si="10"/>
        <v>-3.93777777777778</v>
      </c>
      <c r="AC20" s="21">
        <f t="shared" si="5"/>
        <v>3284.43733333333</v>
      </c>
      <c r="AD20" s="21">
        <f t="shared" si="11"/>
        <v>3284.43733333333</v>
      </c>
      <c r="AE20" s="7">
        <f t="shared" si="12"/>
        <v>2356.5</v>
      </c>
      <c r="AI20" s="7" t="s">
        <v>856</v>
      </c>
      <c r="AJ20" s="7" t="s">
        <v>853</v>
      </c>
    </row>
    <row r="21" ht="15" hidden="1" customHeight="1" spans="1:36">
      <c r="A21" s="7" t="s">
        <v>559</v>
      </c>
      <c r="B21" s="7" t="s">
        <v>689</v>
      </c>
      <c r="C21" s="7" t="s">
        <v>34</v>
      </c>
      <c r="D21" s="7" t="s">
        <v>51</v>
      </c>
      <c r="E21" s="7" t="s">
        <v>690</v>
      </c>
      <c r="F21" s="7">
        <v>160.23</v>
      </c>
      <c r="G21" s="7">
        <v>462</v>
      </c>
      <c r="H21" s="7">
        <v>4</v>
      </c>
      <c r="I21" s="7">
        <v>115</v>
      </c>
      <c r="J21" s="7">
        <v>155</v>
      </c>
      <c r="K21" s="7">
        <v>0</v>
      </c>
      <c r="L21" s="7">
        <v>24836</v>
      </c>
      <c r="M21" s="21">
        <v>0</v>
      </c>
      <c r="N21" s="22">
        <f t="shared" si="6"/>
        <v>1</v>
      </c>
      <c r="O21" s="21">
        <f t="shared" si="0"/>
        <v>5.24</v>
      </c>
      <c r="P21" s="21">
        <f t="shared" si="7"/>
        <v>258.72</v>
      </c>
      <c r="Q21" s="21">
        <f t="shared" si="8"/>
        <v>41454.7056</v>
      </c>
      <c r="R21" s="21">
        <f t="shared" si="1"/>
        <v>1.13333333333333</v>
      </c>
      <c r="S21" s="21">
        <f t="shared" si="2"/>
        <v>143.733333333333</v>
      </c>
      <c r="T21" s="21">
        <f t="shared" si="9"/>
        <v>34545.588</v>
      </c>
      <c r="U21" s="21">
        <f t="shared" si="3"/>
        <v>143.733333333333</v>
      </c>
      <c r="V21" s="21">
        <f t="shared" si="4"/>
        <v>34545.588</v>
      </c>
      <c r="X21" s="21">
        <f t="shared" si="13"/>
        <v>86.24</v>
      </c>
      <c r="Y21" s="21">
        <f t="shared" si="14"/>
        <v>57.4933333333333</v>
      </c>
      <c r="Z21" s="7">
        <v>337</v>
      </c>
      <c r="AA21" s="23">
        <f t="shared" si="10"/>
        <v>279.506666666667</v>
      </c>
      <c r="AC21" s="21">
        <f t="shared" si="5"/>
        <v>13818.2352</v>
      </c>
      <c r="AD21" s="21">
        <f t="shared" si="11"/>
        <v>13818.2352</v>
      </c>
      <c r="AE21" s="7">
        <f t="shared" si="12"/>
        <v>80996.265</v>
      </c>
    </row>
    <row r="22" ht="15" hidden="1" customHeight="1" spans="1:36">
      <c r="A22" s="7" t="s">
        <v>857</v>
      </c>
      <c r="B22" s="7" t="s">
        <v>858</v>
      </c>
      <c r="C22" s="7" t="s">
        <v>34</v>
      </c>
      <c r="D22" s="7" t="s">
        <v>35</v>
      </c>
      <c r="E22" s="7" t="s">
        <v>36</v>
      </c>
      <c r="F22" s="7">
        <v>470.4076</v>
      </c>
      <c r="G22" s="7">
        <v>173</v>
      </c>
      <c r="H22" s="7">
        <v>1</v>
      </c>
      <c r="I22" s="7">
        <v>173</v>
      </c>
      <c r="J22" s="7">
        <v>52</v>
      </c>
      <c r="K22" s="7">
        <v>0</v>
      </c>
      <c r="L22" s="7">
        <v>24461</v>
      </c>
      <c r="M22" s="21">
        <v>0</v>
      </c>
      <c r="N22" s="22">
        <f t="shared" si="6"/>
        <v>1</v>
      </c>
      <c r="O22" s="21">
        <f t="shared" si="0"/>
        <v>2.46</v>
      </c>
      <c r="P22" s="21">
        <f t="shared" si="7"/>
        <v>96.88</v>
      </c>
      <c r="Q22" s="21">
        <f t="shared" si="8"/>
        <v>45573.088288</v>
      </c>
      <c r="R22" s="21">
        <f t="shared" si="1"/>
        <v>0.922222222222222</v>
      </c>
      <c r="S22" s="21">
        <f t="shared" si="2"/>
        <v>53.8222222222222</v>
      </c>
      <c r="T22" s="21">
        <f t="shared" si="9"/>
        <v>37977.5735733333</v>
      </c>
      <c r="U22" s="21">
        <f t="shared" si="3"/>
        <v>53.8222222222222</v>
      </c>
      <c r="V22" s="21">
        <f t="shared" si="4"/>
        <v>37977.5735733333</v>
      </c>
      <c r="X22" s="21">
        <f t="shared" si="13"/>
        <v>32.2933333333333</v>
      </c>
      <c r="Y22" s="21">
        <f t="shared" si="14"/>
        <v>21.5288888888889</v>
      </c>
      <c r="Z22" s="7">
        <v>30</v>
      </c>
      <c r="AA22" s="23">
        <f t="shared" si="10"/>
        <v>8.47111111111111</v>
      </c>
      <c r="AC22" s="21">
        <f t="shared" si="5"/>
        <v>15191.0294293333</v>
      </c>
      <c r="AD22" s="21">
        <f t="shared" si="11"/>
        <v>15191.0294293333</v>
      </c>
      <c r="AE22" s="7">
        <f t="shared" si="12"/>
        <v>21168.342</v>
      </c>
    </row>
    <row r="23" ht="15" hidden="1" customHeight="1" spans="1:36">
      <c r="A23" s="7" t="s">
        <v>94</v>
      </c>
      <c r="B23" s="7" t="s">
        <v>95</v>
      </c>
      <c r="C23" s="7" t="s">
        <v>34</v>
      </c>
      <c r="D23" s="7" t="s">
        <v>35</v>
      </c>
      <c r="E23" s="7" t="s">
        <v>66</v>
      </c>
      <c r="F23" s="7">
        <v>127.34</v>
      </c>
      <c r="G23" s="7">
        <v>140</v>
      </c>
      <c r="J23" s="7">
        <v>130</v>
      </c>
      <c r="K23" s="7">
        <v>132</v>
      </c>
      <c r="L23" s="7">
        <v>24322</v>
      </c>
      <c r="M23" s="21">
        <v>24959</v>
      </c>
      <c r="N23" s="22">
        <f t="shared" si="6"/>
        <v>-0.026190280404572</v>
      </c>
      <c r="O23" s="21">
        <f t="shared" si="0"/>
        <v>2.8</v>
      </c>
      <c r="P23" s="21">
        <f t="shared" si="7"/>
        <v>78.4</v>
      </c>
      <c r="Q23" s="21">
        <f t="shared" si="8"/>
        <v>9983.456</v>
      </c>
      <c r="R23" s="21">
        <f t="shared" si="1"/>
        <v>1.55555555555556</v>
      </c>
      <c r="S23" s="21">
        <f t="shared" si="2"/>
        <v>43.5555555555556</v>
      </c>
      <c r="T23" s="21">
        <f t="shared" si="9"/>
        <v>8319.54666666667</v>
      </c>
      <c r="U23" s="21">
        <f t="shared" si="3"/>
        <v>43.5555555555556</v>
      </c>
      <c r="V23" s="21">
        <f t="shared" si="4"/>
        <v>8319.54666666667</v>
      </c>
      <c r="X23" s="21">
        <f t="shared" si="13"/>
        <v>26.1333333333333</v>
      </c>
      <c r="Y23" s="21">
        <f t="shared" si="14"/>
        <v>17.4222222222222</v>
      </c>
      <c r="Z23" s="7">
        <v>0</v>
      </c>
      <c r="AA23" s="23">
        <f t="shared" si="10"/>
        <v>-17.4222222222222</v>
      </c>
      <c r="AC23" s="21">
        <f t="shared" si="5"/>
        <v>3327.81866666667</v>
      </c>
      <c r="AD23" s="21">
        <f t="shared" si="11"/>
        <v>3327.81866666667</v>
      </c>
      <c r="AE23" s="7">
        <f t="shared" si="12"/>
        <v>0</v>
      </c>
      <c r="AG23" s="7" t="s">
        <v>225</v>
      </c>
      <c r="AI23" s="7" t="s">
        <v>225</v>
      </c>
    </row>
    <row r="24" ht="15" hidden="1" customHeight="1" spans="1:36">
      <c r="A24" s="7" t="s">
        <v>206</v>
      </c>
      <c r="B24" s="7" t="s">
        <v>207</v>
      </c>
      <c r="C24" s="7" t="s">
        <v>34</v>
      </c>
      <c r="D24" s="7" t="s">
        <v>35</v>
      </c>
      <c r="E24" s="7" t="s">
        <v>41</v>
      </c>
      <c r="F24" s="7">
        <v>551.36</v>
      </c>
      <c r="G24" s="7">
        <v>42</v>
      </c>
      <c r="J24" s="7">
        <v>32</v>
      </c>
      <c r="K24" s="7">
        <v>33</v>
      </c>
      <c r="L24" s="7">
        <v>24260</v>
      </c>
      <c r="M24" s="21">
        <v>28997</v>
      </c>
      <c r="N24" s="22">
        <f t="shared" si="6"/>
        <v>-0.195259686727123</v>
      </c>
      <c r="O24" s="21">
        <f t="shared" si="0"/>
        <v>0.84</v>
      </c>
      <c r="P24" s="21">
        <f t="shared" si="7"/>
        <v>23.52</v>
      </c>
      <c r="Q24" s="21">
        <f t="shared" si="8"/>
        <v>12967.9872</v>
      </c>
      <c r="R24" s="21">
        <f t="shared" si="1"/>
        <v>0.466666666666667</v>
      </c>
      <c r="S24" s="21">
        <f t="shared" si="2"/>
        <v>13.0666666666667</v>
      </c>
      <c r="T24" s="21">
        <f t="shared" si="9"/>
        <v>10806.656</v>
      </c>
      <c r="U24" s="21">
        <f t="shared" si="3"/>
        <v>13.0666666666667</v>
      </c>
      <c r="V24" s="21">
        <f t="shared" si="4"/>
        <v>10806.656</v>
      </c>
      <c r="X24" s="21">
        <f t="shared" si="13"/>
        <v>7.84</v>
      </c>
      <c r="Y24" s="21">
        <f t="shared" si="14"/>
        <v>5.22666666666667</v>
      </c>
      <c r="Z24" s="7">
        <v>0</v>
      </c>
      <c r="AA24" s="23">
        <f t="shared" si="10"/>
        <v>-5.22666666666667</v>
      </c>
      <c r="AC24" s="21">
        <f t="shared" si="5"/>
        <v>4322.6624</v>
      </c>
      <c r="AD24" s="21">
        <f t="shared" si="11"/>
        <v>4322.6624</v>
      </c>
      <c r="AE24" s="7">
        <f t="shared" si="12"/>
        <v>0</v>
      </c>
      <c r="AI24" s="7" t="s">
        <v>839</v>
      </c>
    </row>
    <row r="25" ht="15" hidden="1" customHeight="1" spans="1:36">
      <c r="A25" s="7" t="s">
        <v>358</v>
      </c>
      <c r="B25" s="7" t="s">
        <v>359</v>
      </c>
      <c r="C25" s="7" t="s">
        <v>34</v>
      </c>
      <c r="D25" s="7" t="s">
        <v>51</v>
      </c>
      <c r="E25" s="7" t="s">
        <v>203</v>
      </c>
      <c r="F25" s="7">
        <v>155.28</v>
      </c>
      <c r="G25" s="7">
        <v>100</v>
      </c>
      <c r="J25" s="7">
        <v>100</v>
      </c>
      <c r="K25" s="7">
        <v>62</v>
      </c>
      <c r="L25" s="7">
        <v>23292</v>
      </c>
      <c r="M25" s="21">
        <v>12888</v>
      </c>
      <c r="N25" s="22">
        <f t="shared" si="6"/>
        <v>0.446676970633694</v>
      </c>
      <c r="O25" s="21">
        <f t="shared" si="0"/>
        <v>2</v>
      </c>
      <c r="P25" s="21">
        <f t="shared" si="7"/>
        <v>56</v>
      </c>
      <c r="Q25" s="21">
        <f t="shared" si="8"/>
        <v>8695.68</v>
      </c>
      <c r="R25" s="21">
        <f t="shared" si="1"/>
        <v>1.11111111111111</v>
      </c>
      <c r="S25" s="21">
        <f t="shared" si="2"/>
        <v>31.1111111111111</v>
      </c>
      <c r="T25" s="21">
        <f t="shared" si="9"/>
        <v>7246.4</v>
      </c>
      <c r="U25" s="21">
        <f t="shared" si="3"/>
        <v>31.1111111111111</v>
      </c>
      <c r="V25" s="21">
        <f t="shared" si="4"/>
        <v>7246.4</v>
      </c>
      <c r="X25" s="21">
        <f t="shared" si="13"/>
        <v>18.6666666666667</v>
      </c>
      <c r="Y25" s="21">
        <f t="shared" si="14"/>
        <v>12.4444444444444</v>
      </c>
      <c r="Z25" s="7">
        <v>8</v>
      </c>
      <c r="AA25" s="23">
        <f t="shared" si="10"/>
        <v>-4.44444444444445</v>
      </c>
      <c r="AC25" s="21">
        <f t="shared" si="5"/>
        <v>2898.56</v>
      </c>
      <c r="AD25" s="21">
        <f t="shared" si="11"/>
        <v>2898.56</v>
      </c>
      <c r="AE25" s="7">
        <f t="shared" si="12"/>
        <v>1863.36</v>
      </c>
      <c r="AG25" s="7" t="s">
        <v>859</v>
      </c>
      <c r="AH25" s="7" t="s">
        <v>824</v>
      </c>
    </row>
    <row r="26" ht="15" hidden="1" customHeight="1" spans="1:36">
      <c r="A26" s="7" t="s">
        <v>126</v>
      </c>
      <c r="B26" s="7" t="s">
        <v>127</v>
      </c>
      <c r="C26" s="7" t="s">
        <v>34</v>
      </c>
      <c r="D26" s="7" t="s">
        <v>51</v>
      </c>
      <c r="E26" s="7" t="s">
        <v>128</v>
      </c>
      <c r="F26" s="7">
        <v>203.33</v>
      </c>
      <c r="G26" s="7">
        <v>93</v>
      </c>
      <c r="J26" s="7">
        <v>80</v>
      </c>
      <c r="K26" s="7">
        <v>72</v>
      </c>
      <c r="L26" s="7">
        <v>23281</v>
      </c>
      <c r="M26" s="21">
        <v>20841</v>
      </c>
      <c r="N26" s="22">
        <f t="shared" si="6"/>
        <v>0.104806494566385</v>
      </c>
      <c r="O26" s="21">
        <f t="shared" si="0"/>
        <v>1.86</v>
      </c>
      <c r="P26" s="21">
        <f t="shared" si="7"/>
        <v>52.08</v>
      </c>
      <c r="Q26" s="21">
        <f t="shared" si="8"/>
        <v>10589.4264</v>
      </c>
      <c r="R26" s="21">
        <f t="shared" si="1"/>
        <v>1.03333333333333</v>
      </c>
      <c r="S26" s="21">
        <f t="shared" si="2"/>
        <v>28.9333333333333</v>
      </c>
      <c r="T26" s="21">
        <f t="shared" si="9"/>
        <v>8824.522</v>
      </c>
      <c r="U26" s="21">
        <f t="shared" si="3"/>
        <v>28.9333333333333</v>
      </c>
      <c r="V26" s="21">
        <f t="shared" si="4"/>
        <v>8824.522</v>
      </c>
      <c r="X26" s="21">
        <f>U26*0</f>
        <v>0</v>
      </c>
      <c r="Y26" s="21">
        <f>U26*1</f>
        <v>28.9333333333333</v>
      </c>
      <c r="Z26" s="7">
        <v>8</v>
      </c>
      <c r="AA26" s="23">
        <f t="shared" si="10"/>
        <v>-20.9333333333333</v>
      </c>
      <c r="AC26" s="21">
        <f t="shared" si="5"/>
        <v>0</v>
      </c>
      <c r="AD26" s="21">
        <f t="shared" si="11"/>
        <v>8824.522</v>
      </c>
      <c r="AE26" s="7">
        <f t="shared" si="12"/>
        <v>2439.96</v>
      </c>
      <c r="AI26" s="7" t="s">
        <v>821</v>
      </c>
      <c r="AJ26" s="7" t="s">
        <v>860</v>
      </c>
    </row>
    <row r="27" ht="15" hidden="1" customHeight="1" spans="1:36">
      <c r="A27" s="7" t="s">
        <v>601</v>
      </c>
      <c r="B27" s="7" t="s">
        <v>664</v>
      </c>
      <c r="C27" s="7" t="s">
        <v>34</v>
      </c>
      <c r="D27" s="7" t="s">
        <v>51</v>
      </c>
      <c r="E27" s="7" t="s">
        <v>320</v>
      </c>
      <c r="F27" s="7">
        <v>36.08</v>
      </c>
      <c r="G27" s="7">
        <v>742</v>
      </c>
      <c r="H27" s="7">
        <v>3</v>
      </c>
      <c r="I27" s="7">
        <v>247</v>
      </c>
      <c r="J27" s="7">
        <v>471</v>
      </c>
      <c r="K27" s="7">
        <v>266</v>
      </c>
      <c r="L27" s="7">
        <v>22694</v>
      </c>
      <c r="M27" s="21">
        <v>9940</v>
      </c>
      <c r="N27" s="22">
        <f t="shared" si="6"/>
        <v>0.561998766193708</v>
      </c>
      <c r="O27" s="21">
        <f t="shared" si="0"/>
        <v>11.84</v>
      </c>
      <c r="P27" s="21">
        <f t="shared" si="7"/>
        <v>415.52</v>
      </c>
      <c r="Q27" s="21">
        <f t="shared" si="8"/>
        <v>14991.9616</v>
      </c>
      <c r="R27" s="21">
        <f t="shared" si="1"/>
        <v>5.24444444444444</v>
      </c>
      <c r="S27" s="21">
        <f t="shared" si="2"/>
        <v>230.844444444444</v>
      </c>
      <c r="T27" s="21">
        <f t="shared" si="9"/>
        <v>12493.3013333333</v>
      </c>
      <c r="U27" s="21">
        <f t="shared" si="3"/>
        <v>230.844444444444</v>
      </c>
      <c r="V27" s="21">
        <f t="shared" si="4"/>
        <v>12493.3013333333</v>
      </c>
      <c r="X27" s="21">
        <f t="shared" ref="X27:X90" si="15">U27*0.6</f>
        <v>138.506666666667</v>
      </c>
      <c r="Y27" s="21">
        <f t="shared" ref="Y27:Y90" si="16">U27*0.4</f>
        <v>92.3377777777778</v>
      </c>
      <c r="Z27" s="7">
        <v>178</v>
      </c>
      <c r="AA27" s="23">
        <f t="shared" si="10"/>
        <v>85.6622222222222</v>
      </c>
      <c r="AC27" s="21">
        <f t="shared" si="5"/>
        <v>4997.32053333333</v>
      </c>
      <c r="AD27" s="21">
        <f t="shared" si="11"/>
        <v>4997.32053333333</v>
      </c>
      <c r="AE27" s="7">
        <f t="shared" si="12"/>
        <v>9633.36</v>
      </c>
      <c r="AI27" s="7" t="s">
        <v>833</v>
      </c>
      <c r="AJ27" s="7" t="s">
        <v>861</v>
      </c>
    </row>
    <row r="28" ht="15" hidden="1" customHeight="1" spans="1:36">
      <c r="A28" s="7" t="s">
        <v>163</v>
      </c>
      <c r="B28" s="7" t="s">
        <v>164</v>
      </c>
      <c r="C28" s="7" t="s">
        <v>34</v>
      </c>
      <c r="D28" s="7" t="s">
        <v>51</v>
      </c>
      <c r="E28" s="7" t="s">
        <v>165</v>
      </c>
      <c r="F28" s="7">
        <v>85.62</v>
      </c>
      <c r="G28" s="7">
        <v>179</v>
      </c>
      <c r="J28" s="7">
        <v>176</v>
      </c>
      <c r="K28" s="7">
        <v>164</v>
      </c>
      <c r="L28" s="7">
        <v>22475</v>
      </c>
      <c r="M28" s="21">
        <v>21083</v>
      </c>
      <c r="N28" s="22">
        <f t="shared" si="6"/>
        <v>0.0619354838709677</v>
      </c>
      <c r="O28" s="21">
        <f t="shared" si="0"/>
        <v>3.58</v>
      </c>
      <c r="P28" s="21">
        <f t="shared" si="7"/>
        <v>100.24</v>
      </c>
      <c r="Q28" s="21">
        <f t="shared" si="8"/>
        <v>8582.5488</v>
      </c>
      <c r="R28" s="21">
        <f t="shared" si="1"/>
        <v>1.98888888888889</v>
      </c>
      <c r="S28" s="21">
        <f t="shared" si="2"/>
        <v>55.6888888888889</v>
      </c>
      <c r="T28" s="21">
        <f t="shared" si="9"/>
        <v>7152.124</v>
      </c>
      <c r="U28" s="21">
        <f t="shared" si="3"/>
        <v>55.6888888888889</v>
      </c>
      <c r="V28" s="21">
        <f t="shared" si="4"/>
        <v>7152.124</v>
      </c>
      <c r="X28" s="21">
        <f t="shared" si="15"/>
        <v>33.4133333333333</v>
      </c>
      <c r="Y28" s="21">
        <f t="shared" si="16"/>
        <v>22.2755555555556</v>
      </c>
      <c r="Z28" s="7">
        <v>0</v>
      </c>
      <c r="AA28" s="23">
        <f t="shared" si="10"/>
        <v>-22.2755555555556</v>
      </c>
      <c r="AC28" s="21">
        <f t="shared" si="5"/>
        <v>2860.8496</v>
      </c>
      <c r="AD28" s="21">
        <f t="shared" si="11"/>
        <v>2860.8496</v>
      </c>
      <c r="AE28" s="7">
        <f t="shared" si="12"/>
        <v>0</v>
      </c>
    </row>
    <row r="29" ht="15" hidden="1" customHeight="1" spans="1:36">
      <c r="A29" s="7" t="s">
        <v>768</v>
      </c>
      <c r="B29" s="7" t="s">
        <v>769</v>
      </c>
      <c r="C29" s="7" t="s">
        <v>34</v>
      </c>
      <c r="D29" s="7" t="s">
        <v>51</v>
      </c>
      <c r="E29" s="7" t="s">
        <v>234</v>
      </c>
      <c r="F29" s="7">
        <v>255.34</v>
      </c>
      <c r="G29" s="7">
        <v>146</v>
      </c>
      <c r="H29" s="7">
        <v>1</v>
      </c>
      <c r="I29" s="7">
        <v>146</v>
      </c>
      <c r="J29" s="7">
        <v>67</v>
      </c>
      <c r="K29" s="7">
        <v>26</v>
      </c>
      <c r="L29" s="7">
        <v>20172</v>
      </c>
      <c r="M29" s="21">
        <v>6692</v>
      </c>
      <c r="N29" s="22">
        <f t="shared" si="6"/>
        <v>0.668253023993655</v>
      </c>
      <c r="O29" s="21">
        <f t="shared" si="0"/>
        <v>1.92</v>
      </c>
      <c r="P29" s="21">
        <f t="shared" si="7"/>
        <v>81.76</v>
      </c>
      <c r="Q29" s="21">
        <f t="shared" si="8"/>
        <v>20876.5984</v>
      </c>
      <c r="R29" s="21">
        <f t="shared" si="1"/>
        <v>0.622222222222222</v>
      </c>
      <c r="S29" s="21">
        <f t="shared" si="2"/>
        <v>45.4222222222222</v>
      </c>
      <c r="T29" s="21">
        <f t="shared" si="9"/>
        <v>17397.1653333333</v>
      </c>
      <c r="U29" s="21">
        <f t="shared" si="3"/>
        <v>45.4222222222222</v>
      </c>
      <c r="V29" s="21">
        <f t="shared" si="4"/>
        <v>17397.1653333333</v>
      </c>
      <c r="X29" s="21">
        <f t="shared" si="15"/>
        <v>27.2533333333333</v>
      </c>
      <c r="Y29" s="21">
        <f t="shared" si="16"/>
        <v>18.1688888888889</v>
      </c>
      <c r="Z29" s="7">
        <v>30</v>
      </c>
      <c r="AA29" s="23">
        <f t="shared" si="10"/>
        <v>11.8311111111111</v>
      </c>
      <c r="AC29" s="21">
        <f t="shared" si="5"/>
        <v>6958.86613333333</v>
      </c>
      <c r="AD29" s="21">
        <f t="shared" si="11"/>
        <v>6958.86613333333</v>
      </c>
      <c r="AE29" s="7">
        <f t="shared" si="12"/>
        <v>11490.3</v>
      </c>
      <c r="AG29" s="7" t="s">
        <v>844</v>
      </c>
      <c r="AH29" s="7" t="s">
        <v>862</v>
      </c>
      <c r="AI29" s="7" t="s">
        <v>863</v>
      </c>
      <c r="AJ29" s="7" t="s">
        <v>855</v>
      </c>
    </row>
    <row r="30" ht="15" hidden="1" customHeight="1" spans="1:36">
      <c r="A30" s="7" t="s">
        <v>742</v>
      </c>
      <c r="B30" s="7" t="s">
        <v>566</v>
      </c>
      <c r="C30" s="7" t="s">
        <v>34</v>
      </c>
      <c r="D30" s="7" t="s">
        <v>51</v>
      </c>
      <c r="E30" s="7" t="s">
        <v>165</v>
      </c>
      <c r="F30" s="7">
        <v>44.75</v>
      </c>
      <c r="G30" s="7">
        <v>314</v>
      </c>
      <c r="J30" s="7">
        <v>298</v>
      </c>
      <c r="K30" s="7">
        <v>0</v>
      </c>
      <c r="L30" s="7">
        <v>19712</v>
      </c>
      <c r="M30" s="21">
        <v>0</v>
      </c>
      <c r="N30" s="22">
        <f t="shared" si="6"/>
        <v>1</v>
      </c>
      <c r="O30" s="21">
        <f t="shared" si="0"/>
        <v>6.28</v>
      </c>
      <c r="P30" s="21">
        <f t="shared" si="7"/>
        <v>175.84</v>
      </c>
      <c r="Q30" s="21">
        <f t="shared" si="8"/>
        <v>7868.84</v>
      </c>
      <c r="R30" s="21">
        <f t="shared" si="1"/>
        <v>3.48888888888889</v>
      </c>
      <c r="S30" s="21">
        <f t="shared" si="2"/>
        <v>97.6888888888889</v>
      </c>
      <c r="T30" s="21">
        <f t="shared" si="9"/>
        <v>6557.36666666667</v>
      </c>
      <c r="U30" s="21">
        <f t="shared" si="3"/>
        <v>97.6888888888889</v>
      </c>
      <c r="V30" s="21">
        <f t="shared" si="4"/>
        <v>6557.36666666667</v>
      </c>
      <c r="X30" s="21">
        <f t="shared" si="15"/>
        <v>58.6133333333333</v>
      </c>
      <c r="Y30" s="21">
        <f t="shared" si="16"/>
        <v>39.0755555555556</v>
      </c>
      <c r="Z30" s="7">
        <v>253</v>
      </c>
      <c r="AA30" s="23">
        <f t="shared" si="10"/>
        <v>213.924444444444</v>
      </c>
      <c r="AC30" s="21">
        <f t="shared" si="5"/>
        <v>2622.94666666667</v>
      </c>
      <c r="AD30" s="21">
        <f t="shared" si="11"/>
        <v>2622.94666666667</v>
      </c>
      <c r="AE30" s="7">
        <f t="shared" si="12"/>
        <v>16982.625</v>
      </c>
    </row>
    <row r="31" ht="15" hidden="1" customHeight="1" spans="1:36">
      <c r="A31" s="7" t="s">
        <v>781</v>
      </c>
      <c r="B31" s="7" t="s">
        <v>675</v>
      </c>
      <c r="C31" s="7" t="s">
        <v>34</v>
      </c>
      <c r="D31" s="7" t="s">
        <v>51</v>
      </c>
      <c r="E31" s="7" t="s">
        <v>165</v>
      </c>
      <c r="F31" s="7">
        <v>55.88</v>
      </c>
      <c r="G31" s="7">
        <v>239</v>
      </c>
      <c r="J31" s="7">
        <v>236</v>
      </c>
      <c r="K31" s="7">
        <v>57</v>
      </c>
      <c r="L31" s="7">
        <v>19698</v>
      </c>
      <c r="M31" s="21">
        <v>3316</v>
      </c>
      <c r="N31" s="22">
        <f t="shared" si="6"/>
        <v>0.831658036348868</v>
      </c>
      <c r="O31" s="21">
        <f t="shared" si="0"/>
        <v>4.78</v>
      </c>
      <c r="P31" s="21">
        <f t="shared" si="7"/>
        <v>133.84</v>
      </c>
      <c r="Q31" s="21">
        <f t="shared" si="8"/>
        <v>7478.9792</v>
      </c>
      <c r="R31" s="21">
        <f t="shared" si="1"/>
        <v>2.65555555555556</v>
      </c>
      <c r="S31" s="21">
        <f t="shared" si="2"/>
        <v>74.3555555555556</v>
      </c>
      <c r="T31" s="21">
        <f t="shared" si="9"/>
        <v>6232.48266666667</v>
      </c>
      <c r="U31" s="21">
        <f t="shared" si="3"/>
        <v>74.3555555555556</v>
      </c>
      <c r="V31" s="21">
        <f t="shared" si="4"/>
        <v>6232.48266666667</v>
      </c>
      <c r="X31" s="21">
        <f t="shared" si="15"/>
        <v>44.6133333333333</v>
      </c>
      <c r="Y31" s="21">
        <f t="shared" si="16"/>
        <v>29.7422222222222</v>
      </c>
      <c r="Z31" s="7">
        <v>69</v>
      </c>
      <c r="AA31" s="23">
        <f t="shared" si="10"/>
        <v>39.2577777777778</v>
      </c>
      <c r="AC31" s="21">
        <f t="shared" si="5"/>
        <v>2492.99306666667</v>
      </c>
      <c r="AD31" s="21">
        <f t="shared" si="11"/>
        <v>2492.99306666667</v>
      </c>
      <c r="AE31" s="7">
        <f t="shared" si="12"/>
        <v>5783.58</v>
      </c>
    </row>
    <row r="32" ht="15" hidden="1" customHeight="1" spans="1:36">
      <c r="A32" s="7" t="s">
        <v>864</v>
      </c>
      <c r="B32" s="7" t="s">
        <v>605</v>
      </c>
      <c r="C32" s="7" t="s">
        <v>34</v>
      </c>
      <c r="D32" s="7" t="s">
        <v>51</v>
      </c>
      <c r="E32" s="7" t="s">
        <v>165</v>
      </c>
      <c r="F32" s="7">
        <v>85.66</v>
      </c>
      <c r="G32" s="7">
        <v>158</v>
      </c>
      <c r="J32" s="7">
        <v>153</v>
      </c>
      <c r="K32" s="7">
        <v>0</v>
      </c>
      <c r="L32" s="7">
        <v>19488</v>
      </c>
      <c r="M32" s="21">
        <v>0</v>
      </c>
      <c r="N32" s="22">
        <f t="shared" si="6"/>
        <v>1</v>
      </c>
      <c r="O32" s="21">
        <f t="shared" si="0"/>
        <v>3.16</v>
      </c>
      <c r="P32" s="21">
        <f t="shared" si="7"/>
        <v>88.48</v>
      </c>
      <c r="Q32" s="21">
        <f t="shared" si="8"/>
        <v>7579.1968</v>
      </c>
      <c r="R32" s="21">
        <f t="shared" si="1"/>
        <v>1.75555555555556</v>
      </c>
      <c r="S32" s="21">
        <f t="shared" si="2"/>
        <v>49.1555555555556</v>
      </c>
      <c r="T32" s="21">
        <f t="shared" si="9"/>
        <v>6315.99733333333</v>
      </c>
      <c r="U32" s="21">
        <f t="shared" si="3"/>
        <v>49.1555555555556</v>
      </c>
      <c r="V32" s="21">
        <f t="shared" si="4"/>
        <v>6315.99733333333</v>
      </c>
      <c r="X32" s="21">
        <f t="shared" si="15"/>
        <v>29.4933333333333</v>
      </c>
      <c r="Y32" s="21">
        <f t="shared" si="16"/>
        <v>19.6622222222222</v>
      </c>
      <c r="Z32" s="7">
        <v>66</v>
      </c>
      <c r="AA32" s="23">
        <f t="shared" si="10"/>
        <v>46.3377777777778</v>
      </c>
      <c r="AC32" s="21">
        <f t="shared" si="5"/>
        <v>2526.39893333333</v>
      </c>
      <c r="AD32" s="21">
        <f t="shared" si="11"/>
        <v>2526.39893333333</v>
      </c>
      <c r="AE32" s="7">
        <f t="shared" si="12"/>
        <v>8480.34</v>
      </c>
    </row>
    <row r="33" ht="15" hidden="1" customHeight="1" spans="1:36">
      <c r="A33" s="7" t="s">
        <v>865</v>
      </c>
      <c r="B33" s="7" t="s">
        <v>575</v>
      </c>
      <c r="C33" s="7" t="s">
        <v>34</v>
      </c>
      <c r="D33" s="7" t="s">
        <v>51</v>
      </c>
      <c r="E33" s="7" t="s">
        <v>80</v>
      </c>
      <c r="F33" s="7">
        <v>107.44</v>
      </c>
      <c r="G33" s="7">
        <v>180</v>
      </c>
      <c r="J33" s="7">
        <v>132</v>
      </c>
      <c r="K33" s="7">
        <v>0</v>
      </c>
      <c r="L33" s="7">
        <v>19178</v>
      </c>
      <c r="M33" s="21">
        <v>0</v>
      </c>
      <c r="N33" s="22">
        <f t="shared" si="6"/>
        <v>1</v>
      </c>
      <c r="O33" s="21">
        <f t="shared" si="0"/>
        <v>3.6</v>
      </c>
      <c r="P33" s="21">
        <f t="shared" si="7"/>
        <v>100.8</v>
      </c>
      <c r="Q33" s="21">
        <f t="shared" si="8"/>
        <v>10829.952</v>
      </c>
      <c r="R33" s="21">
        <f t="shared" si="1"/>
        <v>2</v>
      </c>
      <c r="S33" s="21">
        <f t="shared" si="2"/>
        <v>56</v>
      </c>
      <c r="T33" s="21">
        <f t="shared" si="9"/>
        <v>9024.96</v>
      </c>
      <c r="U33" s="21">
        <f t="shared" si="3"/>
        <v>56</v>
      </c>
      <c r="V33" s="21">
        <f t="shared" si="4"/>
        <v>9024.96</v>
      </c>
      <c r="X33" s="21">
        <f t="shared" si="15"/>
        <v>33.6</v>
      </c>
      <c r="Y33" s="21">
        <f t="shared" si="16"/>
        <v>22.4</v>
      </c>
      <c r="Z33" s="7">
        <v>70</v>
      </c>
      <c r="AA33" s="23">
        <f t="shared" si="10"/>
        <v>47.6</v>
      </c>
      <c r="AC33" s="21">
        <f t="shared" si="5"/>
        <v>3609.984</v>
      </c>
      <c r="AD33" s="21">
        <f t="shared" si="11"/>
        <v>3609.984</v>
      </c>
      <c r="AE33" s="7">
        <f t="shared" si="12"/>
        <v>11281.2</v>
      </c>
      <c r="AG33" s="7" t="s">
        <v>828</v>
      </c>
      <c r="AI33" s="7" t="s">
        <v>833</v>
      </c>
      <c r="AJ33" s="7" t="s">
        <v>838</v>
      </c>
    </row>
    <row r="34" ht="15" hidden="1" customHeight="1" spans="1:36">
      <c r="A34" s="7" t="s">
        <v>427</v>
      </c>
      <c r="B34" s="7" t="s">
        <v>428</v>
      </c>
      <c r="C34" s="7" t="s">
        <v>34</v>
      </c>
      <c r="D34" s="7" t="s">
        <v>51</v>
      </c>
      <c r="E34" s="7" t="s">
        <v>61</v>
      </c>
      <c r="F34" s="7">
        <v>79.14</v>
      </c>
      <c r="G34" s="7">
        <v>198</v>
      </c>
      <c r="J34" s="7">
        <v>155</v>
      </c>
      <c r="K34" s="7">
        <v>89</v>
      </c>
      <c r="L34" s="7">
        <v>18281</v>
      </c>
      <c r="M34" s="21">
        <v>9180</v>
      </c>
      <c r="N34" s="22">
        <f t="shared" si="6"/>
        <v>0.4978392866911</v>
      </c>
      <c r="O34" s="21">
        <f t="shared" si="0"/>
        <v>3.96</v>
      </c>
      <c r="P34" s="21">
        <f t="shared" si="7"/>
        <v>110.88</v>
      </c>
      <c r="Q34" s="21">
        <f t="shared" si="8"/>
        <v>8775.0432</v>
      </c>
      <c r="R34" s="21">
        <f t="shared" si="1"/>
        <v>2.2</v>
      </c>
      <c r="S34" s="21">
        <f t="shared" si="2"/>
        <v>61.6</v>
      </c>
      <c r="T34" s="21">
        <f t="shared" si="9"/>
        <v>7312.536</v>
      </c>
      <c r="U34" s="21">
        <f t="shared" si="3"/>
        <v>61.6</v>
      </c>
      <c r="V34" s="21">
        <f t="shared" si="4"/>
        <v>7312.536</v>
      </c>
      <c r="X34" s="21">
        <f t="shared" si="15"/>
        <v>36.96</v>
      </c>
      <c r="Y34" s="21">
        <f t="shared" si="16"/>
        <v>24.64</v>
      </c>
      <c r="Z34" s="7">
        <v>20</v>
      </c>
      <c r="AA34" s="23">
        <f t="shared" si="10"/>
        <v>-4.64</v>
      </c>
      <c r="AC34" s="21">
        <f t="shared" si="5"/>
        <v>2925.0144</v>
      </c>
      <c r="AD34" s="21">
        <f t="shared" si="11"/>
        <v>2925.0144</v>
      </c>
      <c r="AE34" s="7">
        <f t="shared" si="12"/>
        <v>2374.2</v>
      </c>
    </row>
    <row r="35" ht="15" hidden="1" customHeight="1" spans="1:36">
      <c r="A35" s="7" t="s">
        <v>785</v>
      </c>
      <c r="B35" s="7" t="s">
        <v>786</v>
      </c>
      <c r="C35" s="7" t="s">
        <v>34</v>
      </c>
      <c r="D35" s="7" t="s">
        <v>51</v>
      </c>
      <c r="E35" s="7" t="s">
        <v>787</v>
      </c>
      <c r="F35" s="7">
        <v>2.346</v>
      </c>
      <c r="G35" s="7">
        <v>4919</v>
      </c>
      <c r="J35" s="7">
        <v>4906</v>
      </c>
      <c r="K35" s="7">
        <v>619</v>
      </c>
      <c r="L35" s="7">
        <v>17251</v>
      </c>
      <c r="M35" s="21">
        <v>1452</v>
      </c>
      <c r="N35" s="22">
        <f t="shared" si="6"/>
        <v>0.915830966320793</v>
      </c>
      <c r="O35" s="21">
        <f t="shared" si="0"/>
        <v>98.38</v>
      </c>
      <c r="P35" s="21">
        <f t="shared" si="7"/>
        <v>2754.64</v>
      </c>
      <c r="Q35" s="21">
        <f t="shared" si="8"/>
        <v>6462.38544</v>
      </c>
      <c r="R35" s="21">
        <f t="shared" si="1"/>
        <v>54.6555555555556</v>
      </c>
      <c r="S35" s="21">
        <f t="shared" si="2"/>
        <v>1530.35555555556</v>
      </c>
      <c r="T35" s="21">
        <f t="shared" si="9"/>
        <v>5385.3212</v>
      </c>
      <c r="U35" s="21">
        <f t="shared" si="3"/>
        <v>1530.35555555556</v>
      </c>
      <c r="V35" s="21">
        <f t="shared" si="4"/>
        <v>5385.3212</v>
      </c>
      <c r="X35" s="21">
        <f t="shared" si="15"/>
        <v>918.213333333333</v>
      </c>
      <c r="Y35" s="21">
        <f t="shared" si="16"/>
        <v>612.142222222222</v>
      </c>
      <c r="Z35" s="7">
        <v>1213</v>
      </c>
      <c r="AA35" s="23">
        <f t="shared" si="10"/>
        <v>600.857777777778</v>
      </c>
      <c r="AC35" s="21">
        <f t="shared" si="5"/>
        <v>2154.12848</v>
      </c>
      <c r="AD35" s="21">
        <f t="shared" si="11"/>
        <v>2154.12848</v>
      </c>
      <c r="AE35" s="7">
        <f t="shared" si="12"/>
        <v>4268.547</v>
      </c>
      <c r="AG35" s="7" t="s">
        <v>866</v>
      </c>
      <c r="AI35" s="7" t="s">
        <v>866</v>
      </c>
    </row>
    <row r="36" ht="15" hidden="1" customHeight="1" spans="1:36">
      <c r="A36" s="7" t="s">
        <v>314</v>
      </c>
      <c r="B36" s="7" t="s">
        <v>315</v>
      </c>
      <c r="C36" s="7" t="s">
        <v>34</v>
      </c>
      <c r="D36" s="7" t="s">
        <v>51</v>
      </c>
      <c r="E36" s="7" t="s">
        <v>316</v>
      </c>
      <c r="F36" s="7">
        <v>102.36</v>
      </c>
      <c r="G36" s="7">
        <v>107</v>
      </c>
      <c r="J36" s="7">
        <v>104</v>
      </c>
      <c r="K36" s="7">
        <v>94</v>
      </c>
      <c r="L36" s="7">
        <v>15815</v>
      </c>
      <c r="M36" s="21">
        <v>14075</v>
      </c>
      <c r="N36" s="22">
        <f t="shared" si="6"/>
        <v>0.110022130888397</v>
      </c>
      <c r="O36" s="21">
        <f t="shared" si="0"/>
        <v>2.14</v>
      </c>
      <c r="P36" s="21">
        <f t="shared" si="7"/>
        <v>59.92</v>
      </c>
      <c r="Q36" s="21">
        <f t="shared" si="8"/>
        <v>6133.4112</v>
      </c>
      <c r="R36" s="21">
        <f t="shared" si="1"/>
        <v>1.18888888888889</v>
      </c>
      <c r="S36" s="21">
        <f t="shared" si="2"/>
        <v>33.2888888888889</v>
      </c>
      <c r="T36" s="21">
        <f t="shared" si="9"/>
        <v>5111.176</v>
      </c>
      <c r="U36" s="21">
        <f t="shared" si="3"/>
        <v>33.2888888888889</v>
      </c>
      <c r="V36" s="21">
        <f t="shared" si="4"/>
        <v>5111.176</v>
      </c>
      <c r="X36" s="21">
        <f t="shared" si="15"/>
        <v>19.9733333333333</v>
      </c>
      <c r="Y36" s="21">
        <f t="shared" si="16"/>
        <v>13.3155555555556</v>
      </c>
      <c r="Z36" s="7">
        <v>2</v>
      </c>
      <c r="AA36" s="23">
        <f t="shared" si="10"/>
        <v>-11.3155555555556</v>
      </c>
      <c r="AC36" s="21">
        <f t="shared" si="5"/>
        <v>2044.4704</v>
      </c>
      <c r="AD36" s="21">
        <f t="shared" si="11"/>
        <v>2044.4704</v>
      </c>
      <c r="AE36" s="7">
        <f t="shared" si="12"/>
        <v>307.08</v>
      </c>
    </row>
    <row r="37" ht="15" hidden="1" customHeight="1" spans="1:36">
      <c r="A37" s="7" t="s">
        <v>230</v>
      </c>
      <c r="B37" s="7" t="s">
        <v>231</v>
      </c>
      <c r="C37" s="7" t="s">
        <v>34</v>
      </c>
      <c r="D37" s="7" t="s">
        <v>35</v>
      </c>
      <c r="E37" s="7" t="s">
        <v>156</v>
      </c>
      <c r="F37" s="7">
        <v>124.16</v>
      </c>
      <c r="G37" s="7">
        <v>94</v>
      </c>
      <c r="J37" s="7">
        <v>81</v>
      </c>
      <c r="K37" s="7">
        <v>61</v>
      </c>
      <c r="L37" s="7">
        <v>14403</v>
      </c>
      <c r="M37" s="21">
        <v>10305</v>
      </c>
      <c r="N37" s="22">
        <f t="shared" ref="N37:N68" si="17">(L37-M37)/L37</f>
        <v>0.284524057488023</v>
      </c>
      <c r="O37" s="21">
        <f t="shared" si="0"/>
        <v>1.88</v>
      </c>
      <c r="P37" s="21">
        <f t="shared" ref="P37:P68" si="18">28*(O37+H37)</f>
        <v>52.64</v>
      </c>
      <c r="Q37" s="21">
        <f t="shared" si="8"/>
        <v>6535.7824</v>
      </c>
      <c r="R37" s="21">
        <f t="shared" si="1"/>
        <v>1.04444444444444</v>
      </c>
      <c r="S37" s="21">
        <f t="shared" si="2"/>
        <v>29.2444444444444</v>
      </c>
      <c r="T37" s="21">
        <f t="shared" ref="T37:T68" si="19">(R37+H37)*28*F37*1.5</f>
        <v>5446.48533333333</v>
      </c>
      <c r="U37" s="21">
        <f t="shared" si="3"/>
        <v>29.2444444444444</v>
      </c>
      <c r="V37" s="21">
        <f t="shared" si="4"/>
        <v>5446.48533333333</v>
      </c>
      <c r="X37" s="21">
        <f t="shared" si="15"/>
        <v>17.5466666666667</v>
      </c>
      <c r="Y37" s="21">
        <f t="shared" si="16"/>
        <v>11.6977777777778</v>
      </c>
      <c r="Z37" s="7">
        <v>10</v>
      </c>
      <c r="AA37" s="23">
        <f t="shared" ref="AA37:AA68" si="20">Z37-Y37</f>
        <v>-1.69777777777778</v>
      </c>
      <c r="AC37" s="21">
        <f t="shared" si="5"/>
        <v>2178.59413333333</v>
      </c>
      <c r="AD37" s="21">
        <f t="shared" ref="AD37:AD68" si="21">F37*Y37*1.5</f>
        <v>2178.59413333333</v>
      </c>
      <c r="AE37" s="7">
        <f t="shared" ref="AE37:AE68" si="22">Z37*F37*1.5</f>
        <v>1862.4</v>
      </c>
      <c r="AJ37" s="7" t="s">
        <v>867</v>
      </c>
    </row>
    <row r="38" ht="15" hidden="1" customHeight="1" spans="1:36">
      <c r="A38" s="7" t="s">
        <v>654</v>
      </c>
      <c r="B38" s="7" t="s">
        <v>723</v>
      </c>
      <c r="C38" s="7" t="s">
        <v>34</v>
      </c>
      <c r="D38" s="7" t="s">
        <v>35</v>
      </c>
      <c r="E38" s="7" t="s">
        <v>492</v>
      </c>
      <c r="F38" s="7">
        <v>120.46</v>
      </c>
      <c r="G38" s="7">
        <v>110</v>
      </c>
      <c r="J38" s="7">
        <v>82</v>
      </c>
      <c r="K38" s="7">
        <v>60</v>
      </c>
      <c r="L38" s="7">
        <v>13431</v>
      </c>
      <c r="M38" s="21">
        <v>9336</v>
      </c>
      <c r="N38" s="22">
        <f t="shared" si="17"/>
        <v>0.304891668528032</v>
      </c>
      <c r="O38" s="21">
        <f t="shared" si="0"/>
        <v>2.2</v>
      </c>
      <c r="P38" s="21">
        <f t="shared" si="18"/>
        <v>61.6</v>
      </c>
      <c r="Q38" s="21">
        <f t="shared" si="8"/>
        <v>7420.336</v>
      </c>
      <c r="R38" s="21">
        <f t="shared" si="1"/>
        <v>1.22222222222222</v>
      </c>
      <c r="S38" s="21">
        <f t="shared" si="2"/>
        <v>34.2222222222222</v>
      </c>
      <c r="T38" s="21">
        <f t="shared" si="19"/>
        <v>6183.61333333333</v>
      </c>
      <c r="U38" s="21">
        <f t="shared" si="3"/>
        <v>34.2222222222222</v>
      </c>
      <c r="V38" s="21">
        <f t="shared" si="4"/>
        <v>6183.61333333333</v>
      </c>
      <c r="X38" s="21">
        <f t="shared" si="15"/>
        <v>20.5333333333333</v>
      </c>
      <c r="Y38" s="21">
        <f t="shared" si="16"/>
        <v>13.6888888888889</v>
      </c>
      <c r="Z38" s="7">
        <v>14</v>
      </c>
      <c r="AA38" s="23">
        <f t="shared" si="20"/>
        <v>0.311111111111108</v>
      </c>
      <c r="AC38" s="21">
        <f t="shared" si="5"/>
        <v>2473.44533333333</v>
      </c>
      <c r="AD38" s="21">
        <f t="shared" si="21"/>
        <v>2473.44533333333</v>
      </c>
      <c r="AE38" s="7">
        <f t="shared" si="22"/>
        <v>2529.66</v>
      </c>
    </row>
    <row r="39" ht="15" hidden="1" customHeight="1" spans="1:36">
      <c r="A39" s="7" t="s">
        <v>336</v>
      </c>
      <c r="B39" s="7" t="s">
        <v>337</v>
      </c>
      <c r="C39" s="7" t="s">
        <v>34</v>
      </c>
      <c r="D39" s="7" t="s">
        <v>35</v>
      </c>
      <c r="E39" s="7" t="s">
        <v>338</v>
      </c>
      <c r="F39" s="7">
        <v>22.2609</v>
      </c>
      <c r="G39" s="7">
        <v>495</v>
      </c>
      <c r="H39" s="7">
        <v>1</v>
      </c>
      <c r="I39" s="7">
        <v>495</v>
      </c>
      <c r="J39" s="7">
        <v>409</v>
      </c>
      <c r="K39" s="7">
        <v>422</v>
      </c>
      <c r="L39" s="7">
        <v>13123</v>
      </c>
      <c r="M39" s="21">
        <v>13798</v>
      </c>
      <c r="N39" s="22">
        <f t="shared" si="17"/>
        <v>-0.0514364093576164</v>
      </c>
      <c r="O39" s="21">
        <f t="shared" si="0"/>
        <v>8.9</v>
      </c>
      <c r="P39" s="21">
        <f t="shared" si="18"/>
        <v>277.2</v>
      </c>
      <c r="Q39" s="21">
        <f t="shared" si="8"/>
        <v>6170.72148</v>
      </c>
      <c r="R39" s="21">
        <f t="shared" si="1"/>
        <v>4.5</v>
      </c>
      <c r="S39" s="21">
        <f t="shared" si="2"/>
        <v>154</v>
      </c>
      <c r="T39" s="21">
        <f t="shared" si="19"/>
        <v>5142.2679</v>
      </c>
      <c r="U39" s="21">
        <f t="shared" si="3"/>
        <v>154</v>
      </c>
      <c r="V39" s="21">
        <f t="shared" si="4"/>
        <v>5142.2679</v>
      </c>
      <c r="X39" s="21">
        <f t="shared" si="15"/>
        <v>92.4</v>
      </c>
      <c r="Y39" s="21">
        <f t="shared" si="16"/>
        <v>61.6</v>
      </c>
      <c r="Z39" s="7">
        <v>13</v>
      </c>
      <c r="AA39" s="23">
        <f t="shared" si="20"/>
        <v>-48.6</v>
      </c>
      <c r="AC39" s="21">
        <f t="shared" si="5"/>
        <v>2056.90716</v>
      </c>
      <c r="AD39" s="21">
        <f t="shared" si="21"/>
        <v>2056.90716</v>
      </c>
      <c r="AE39" s="7">
        <f t="shared" si="22"/>
        <v>434.08755</v>
      </c>
    </row>
    <row r="40" ht="15" customHeight="1" spans="1:36">
      <c r="A40" s="7" t="s">
        <v>232</v>
      </c>
      <c r="B40" s="7" t="s">
        <v>233</v>
      </c>
      <c r="C40" s="7" t="s">
        <v>34</v>
      </c>
      <c r="D40" s="7" t="s">
        <v>51</v>
      </c>
      <c r="E40" s="7" t="s">
        <v>234</v>
      </c>
      <c r="F40" s="7">
        <v>169.33</v>
      </c>
      <c r="G40" s="7">
        <v>101</v>
      </c>
      <c r="J40" s="7">
        <v>61</v>
      </c>
      <c r="K40" s="7">
        <v>76</v>
      </c>
      <c r="L40" s="7">
        <v>12784</v>
      </c>
      <c r="M40" s="21">
        <v>18346</v>
      </c>
      <c r="N40" s="22">
        <f t="shared" si="17"/>
        <v>-0.435075093867334</v>
      </c>
      <c r="O40" s="21">
        <f t="shared" si="0"/>
        <v>2.02</v>
      </c>
      <c r="P40" s="21">
        <f t="shared" si="18"/>
        <v>56.56</v>
      </c>
      <c r="Q40" s="21">
        <f t="shared" si="8"/>
        <v>9577.3048</v>
      </c>
      <c r="R40" s="21">
        <f t="shared" si="1"/>
        <v>1.12222222222222</v>
      </c>
      <c r="S40" s="21">
        <f t="shared" si="2"/>
        <v>31.4222222222222</v>
      </c>
      <c r="T40" s="21">
        <f t="shared" si="19"/>
        <v>7981.08733333333</v>
      </c>
      <c r="U40" s="21">
        <f t="shared" si="3"/>
        <v>31.4222222222222</v>
      </c>
      <c r="V40" s="21">
        <f t="shared" si="4"/>
        <v>7981.08733333333</v>
      </c>
      <c r="X40" s="21">
        <f t="shared" si="15"/>
        <v>18.8533333333333</v>
      </c>
      <c r="Y40" s="21">
        <f t="shared" si="16"/>
        <v>12.5688888888889</v>
      </c>
      <c r="Z40" s="7">
        <v>10</v>
      </c>
      <c r="AA40" s="23">
        <f t="shared" si="20"/>
        <v>-2.56888888888889</v>
      </c>
      <c r="AC40" s="21">
        <f t="shared" si="5"/>
        <v>3192.43493333333</v>
      </c>
      <c r="AD40" s="21">
        <f t="shared" si="21"/>
        <v>3192.43493333333</v>
      </c>
      <c r="AE40" s="7">
        <f t="shared" si="22"/>
        <v>2539.95</v>
      </c>
    </row>
    <row r="41" ht="15" hidden="1" customHeight="1" spans="1:36">
      <c r="A41" s="7" t="s">
        <v>468</v>
      </c>
      <c r="B41" s="7" t="s">
        <v>469</v>
      </c>
      <c r="C41" s="7" t="s">
        <v>34</v>
      </c>
      <c r="D41" s="7" t="s">
        <v>51</v>
      </c>
      <c r="E41" s="7" t="s">
        <v>316</v>
      </c>
      <c r="F41" s="7">
        <v>242.36</v>
      </c>
      <c r="G41" s="7">
        <v>39</v>
      </c>
      <c r="J41" s="7">
        <v>36</v>
      </c>
      <c r="K41" s="7">
        <v>27</v>
      </c>
      <c r="L41" s="7">
        <v>12724</v>
      </c>
      <c r="M41" s="21">
        <v>8967</v>
      </c>
      <c r="N41" s="22">
        <f t="shared" si="17"/>
        <v>0.295268783401446</v>
      </c>
      <c r="O41" s="21">
        <f t="shared" si="0"/>
        <v>0.78</v>
      </c>
      <c r="P41" s="21">
        <f t="shared" si="18"/>
        <v>21.84</v>
      </c>
      <c r="Q41" s="21">
        <f t="shared" si="8"/>
        <v>5293.1424</v>
      </c>
      <c r="R41" s="21">
        <f t="shared" si="1"/>
        <v>0.433333333333333</v>
      </c>
      <c r="S41" s="21">
        <f t="shared" si="2"/>
        <v>12.1333333333333</v>
      </c>
      <c r="T41" s="21">
        <f t="shared" si="19"/>
        <v>4410.952</v>
      </c>
      <c r="U41" s="21">
        <f t="shared" si="3"/>
        <v>12.1333333333333</v>
      </c>
      <c r="V41" s="21">
        <f t="shared" si="4"/>
        <v>4410.952</v>
      </c>
      <c r="X41" s="21">
        <f t="shared" si="15"/>
        <v>7.28</v>
      </c>
      <c r="Y41" s="21">
        <f t="shared" si="16"/>
        <v>4.85333333333333</v>
      </c>
      <c r="Z41" s="7">
        <v>4</v>
      </c>
      <c r="AA41" s="23">
        <f t="shared" si="20"/>
        <v>-0.853333333333333</v>
      </c>
      <c r="AC41" s="21">
        <f t="shared" si="5"/>
        <v>1764.3808</v>
      </c>
      <c r="AD41" s="21">
        <f t="shared" si="21"/>
        <v>1764.3808</v>
      </c>
      <c r="AE41" s="7">
        <f t="shared" si="22"/>
        <v>1454.16</v>
      </c>
    </row>
    <row r="42" ht="15" hidden="1" customHeight="1" spans="1:36">
      <c r="A42" s="7" t="s">
        <v>868</v>
      </c>
      <c r="B42" s="7" t="s">
        <v>592</v>
      </c>
      <c r="C42" s="7" t="s">
        <v>34</v>
      </c>
      <c r="D42" s="7" t="s">
        <v>51</v>
      </c>
      <c r="E42" s="7" t="s">
        <v>165</v>
      </c>
      <c r="F42" s="7">
        <v>50.228</v>
      </c>
      <c r="G42" s="7">
        <v>277</v>
      </c>
      <c r="H42" s="7">
        <v>1</v>
      </c>
      <c r="I42" s="7">
        <v>277</v>
      </c>
      <c r="J42" s="7">
        <v>185</v>
      </c>
      <c r="K42" s="7">
        <v>0</v>
      </c>
      <c r="L42" s="7">
        <v>12607</v>
      </c>
      <c r="M42" s="21">
        <v>0</v>
      </c>
      <c r="N42" s="22">
        <f t="shared" si="17"/>
        <v>1</v>
      </c>
      <c r="O42" s="21">
        <f t="shared" si="0"/>
        <v>4.54</v>
      </c>
      <c r="P42" s="21">
        <f t="shared" si="18"/>
        <v>155.12</v>
      </c>
      <c r="Q42" s="21">
        <f t="shared" si="8"/>
        <v>7791.36736</v>
      </c>
      <c r="R42" s="21">
        <f t="shared" si="1"/>
        <v>2.07777777777778</v>
      </c>
      <c r="S42" s="21">
        <f t="shared" si="2"/>
        <v>86.1777777777778</v>
      </c>
      <c r="T42" s="21">
        <f t="shared" si="19"/>
        <v>6492.80613333333</v>
      </c>
      <c r="U42" s="21">
        <f t="shared" si="3"/>
        <v>86.1777777777778</v>
      </c>
      <c r="V42" s="21">
        <f t="shared" si="4"/>
        <v>6492.80613333333</v>
      </c>
      <c r="X42" s="21">
        <f t="shared" si="15"/>
        <v>51.7066666666667</v>
      </c>
      <c r="Y42" s="21">
        <f t="shared" si="16"/>
        <v>34.4711111111111</v>
      </c>
      <c r="Z42" s="7">
        <v>152</v>
      </c>
      <c r="AA42" s="23">
        <f t="shared" si="20"/>
        <v>117.528888888889</v>
      </c>
      <c r="AC42" s="21">
        <f t="shared" si="5"/>
        <v>2597.12245333333</v>
      </c>
      <c r="AD42" s="21">
        <f t="shared" si="21"/>
        <v>2597.12245333333</v>
      </c>
      <c r="AE42" s="7">
        <f t="shared" si="22"/>
        <v>11451.984</v>
      </c>
    </row>
    <row r="43" ht="15" hidden="1" customHeight="1" spans="1:36">
      <c r="A43" s="7" t="s">
        <v>678</v>
      </c>
      <c r="B43" s="7" t="s">
        <v>643</v>
      </c>
      <c r="C43" s="7" t="s">
        <v>34</v>
      </c>
      <c r="D43" s="7" t="s">
        <v>51</v>
      </c>
      <c r="E43" s="7" t="s">
        <v>203</v>
      </c>
      <c r="F43" s="7">
        <v>163.83</v>
      </c>
      <c r="G43" s="7">
        <v>50</v>
      </c>
      <c r="J43" s="7">
        <v>50</v>
      </c>
      <c r="K43" s="7">
        <v>42</v>
      </c>
      <c r="L43" s="7">
        <v>12287</v>
      </c>
      <c r="M43" s="21">
        <v>9994</v>
      </c>
      <c r="N43" s="22">
        <f t="shared" si="17"/>
        <v>0.18662000488321</v>
      </c>
      <c r="O43" s="21">
        <f t="shared" si="0"/>
        <v>1</v>
      </c>
      <c r="P43" s="21">
        <f t="shared" si="18"/>
        <v>28</v>
      </c>
      <c r="Q43" s="21">
        <f t="shared" si="8"/>
        <v>4587.24</v>
      </c>
      <c r="R43" s="21">
        <f t="shared" si="1"/>
        <v>0.555555555555556</v>
      </c>
      <c r="S43" s="21">
        <f t="shared" si="2"/>
        <v>15.5555555555556</v>
      </c>
      <c r="T43" s="21">
        <f t="shared" si="19"/>
        <v>3822.7</v>
      </c>
      <c r="U43" s="21">
        <f t="shared" si="3"/>
        <v>15.5555555555556</v>
      </c>
      <c r="V43" s="21">
        <f t="shared" si="4"/>
        <v>3822.7</v>
      </c>
      <c r="X43" s="21">
        <f t="shared" si="15"/>
        <v>9.33333333333333</v>
      </c>
      <c r="Y43" s="21">
        <f t="shared" si="16"/>
        <v>6.22222222222222</v>
      </c>
      <c r="Z43" s="7">
        <v>4</v>
      </c>
      <c r="AA43" s="23">
        <f t="shared" si="20"/>
        <v>-2.22222222222222</v>
      </c>
      <c r="AC43" s="21">
        <f t="shared" si="5"/>
        <v>1529.08</v>
      </c>
      <c r="AD43" s="21">
        <f t="shared" si="21"/>
        <v>1529.08</v>
      </c>
      <c r="AE43" s="7">
        <f t="shared" si="22"/>
        <v>982.98</v>
      </c>
    </row>
    <row r="44" ht="15" hidden="1" customHeight="1" spans="1:36">
      <c r="A44" s="7" t="s">
        <v>87</v>
      </c>
      <c r="B44" s="7" t="s">
        <v>88</v>
      </c>
      <c r="C44" s="7" t="s">
        <v>34</v>
      </c>
      <c r="D44" s="7" t="s">
        <v>35</v>
      </c>
      <c r="E44" s="7" t="s">
        <v>41</v>
      </c>
      <c r="F44" s="7">
        <v>239.82</v>
      </c>
      <c r="G44" s="7">
        <v>122</v>
      </c>
      <c r="H44" s="7">
        <v>1</v>
      </c>
      <c r="I44" s="7">
        <v>122</v>
      </c>
      <c r="J44" s="7">
        <v>46</v>
      </c>
      <c r="K44" s="7">
        <v>0</v>
      </c>
      <c r="L44" s="7">
        <v>11751</v>
      </c>
      <c r="M44" s="21">
        <v>0</v>
      </c>
      <c r="N44" s="22">
        <f t="shared" si="17"/>
        <v>1</v>
      </c>
      <c r="O44" s="21">
        <f t="shared" si="0"/>
        <v>1.44</v>
      </c>
      <c r="P44" s="21">
        <f t="shared" si="18"/>
        <v>68.32</v>
      </c>
      <c r="Q44" s="21">
        <f t="shared" si="8"/>
        <v>16384.5024</v>
      </c>
      <c r="R44" s="21">
        <f t="shared" si="1"/>
        <v>0.355555555555556</v>
      </c>
      <c r="S44" s="21">
        <f t="shared" si="2"/>
        <v>37.9555555555556</v>
      </c>
      <c r="T44" s="21">
        <f t="shared" si="19"/>
        <v>13653.752</v>
      </c>
      <c r="U44" s="21">
        <f t="shared" si="3"/>
        <v>37.9555555555556</v>
      </c>
      <c r="V44" s="21">
        <f t="shared" si="4"/>
        <v>13653.752</v>
      </c>
      <c r="X44" s="21">
        <f t="shared" si="15"/>
        <v>22.7733333333333</v>
      </c>
      <c r="Y44" s="21">
        <f t="shared" si="16"/>
        <v>15.1822222222222</v>
      </c>
      <c r="Z44" s="7">
        <v>35</v>
      </c>
      <c r="AA44" s="23">
        <f t="shared" si="20"/>
        <v>19.8177777777778</v>
      </c>
      <c r="AC44" s="21">
        <f t="shared" si="5"/>
        <v>5461.5008</v>
      </c>
      <c r="AD44" s="21">
        <f t="shared" si="21"/>
        <v>5461.5008</v>
      </c>
      <c r="AE44" s="7">
        <f t="shared" si="22"/>
        <v>12590.55</v>
      </c>
    </row>
    <row r="45" ht="15" hidden="1" customHeight="1" spans="1:36">
      <c r="A45" s="7" t="s">
        <v>198</v>
      </c>
      <c r="B45" s="7" t="s">
        <v>199</v>
      </c>
      <c r="C45" s="7" t="s">
        <v>34</v>
      </c>
      <c r="D45" s="7" t="s">
        <v>35</v>
      </c>
      <c r="E45" s="7" t="s">
        <v>200</v>
      </c>
      <c r="F45" s="7">
        <v>32.08</v>
      </c>
      <c r="G45" s="7">
        <v>240</v>
      </c>
      <c r="J45" s="7">
        <v>240</v>
      </c>
      <c r="K45" s="7">
        <v>211</v>
      </c>
      <c r="L45" s="7">
        <v>11549</v>
      </c>
      <c r="M45" s="21">
        <v>9849</v>
      </c>
      <c r="N45" s="22">
        <f t="shared" si="17"/>
        <v>0.147198891678933</v>
      </c>
      <c r="O45" s="21">
        <f t="shared" si="0"/>
        <v>4.8</v>
      </c>
      <c r="P45" s="21">
        <f t="shared" si="18"/>
        <v>134.4</v>
      </c>
      <c r="Q45" s="21">
        <f t="shared" si="8"/>
        <v>4311.552</v>
      </c>
      <c r="R45" s="21">
        <f t="shared" si="1"/>
        <v>2.66666666666667</v>
      </c>
      <c r="S45" s="21">
        <f t="shared" si="2"/>
        <v>74.6666666666667</v>
      </c>
      <c r="T45" s="21">
        <f t="shared" si="19"/>
        <v>3592.96</v>
      </c>
      <c r="U45" s="21">
        <f t="shared" si="3"/>
        <v>74.6666666666667</v>
      </c>
      <c r="V45" s="21">
        <f t="shared" si="4"/>
        <v>3592.96</v>
      </c>
      <c r="X45" s="21">
        <f t="shared" si="15"/>
        <v>44.8</v>
      </c>
      <c r="Y45" s="21">
        <f t="shared" si="16"/>
        <v>29.8666666666667</v>
      </c>
      <c r="Z45" s="7">
        <v>3</v>
      </c>
      <c r="AA45" s="23">
        <f t="shared" si="20"/>
        <v>-26.8666666666667</v>
      </c>
      <c r="AC45" s="21">
        <f t="shared" si="5"/>
        <v>1437.184</v>
      </c>
      <c r="AD45" s="21">
        <f t="shared" si="21"/>
        <v>1437.184</v>
      </c>
      <c r="AE45" s="7">
        <f t="shared" si="22"/>
        <v>144.36</v>
      </c>
    </row>
    <row r="46" ht="15" hidden="1" customHeight="1" spans="1:36">
      <c r="A46" s="7" t="s">
        <v>790</v>
      </c>
      <c r="B46" s="7" t="s">
        <v>791</v>
      </c>
      <c r="C46" s="7" t="s">
        <v>34</v>
      </c>
      <c r="D46" s="7" t="s">
        <v>51</v>
      </c>
      <c r="E46" s="7" t="s">
        <v>165</v>
      </c>
      <c r="F46" s="7">
        <v>92.98</v>
      </c>
      <c r="G46" s="7">
        <v>80</v>
      </c>
      <c r="J46" s="7">
        <v>77</v>
      </c>
      <c r="K46" s="7">
        <v>12</v>
      </c>
      <c r="L46" s="7">
        <v>10600</v>
      </c>
      <c r="M46" s="21">
        <v>1152</v>
      </c>
      <c r="N46" s="22">
        <f t="shared" si="17"/>
        <v>0.891320754716981</v>
      </c>
      <c r="O46" s="21">
        <f t="shared" si="0"/>
        <v>1.6</v>
      </c>
      <c r="P46" s="21">
        <f t="shared" si="18"/>
        <v>44.8</v>
      </c>
      <c r="Q46" s="21">
        <f t="shared" si="8"/>
        <v>4165.504</v>
      </c>
      <c r="R46" s="21">
        <f t="shared" si="1"/>
        <v>0.888888888888889</v>
      </c>
      <c r="S46" s="21">
        <f t="shared" si="2"/>
        <v>24.8888888888889</v>
      </c>
      <c r="T46" s="21">
        <f t="shared" si="19"/>
        <v>3471.25333333333</v>
      </c>
      <c r="U46" s="21">
        <f t="shared" si="3"/>
        <v>24.8888888888889</v>
      </c>
      <c r="V46" s="21">
        <f t="shared" si="4"/>
        <v>3471.25333333333</v>
      </c>
      <c r="X46" s="21">
        <f t="shared" si="15"/>
        <v>14.9333333333333</v>
      </c>
      <c r="Y46" s="21">
        <f t="shared" si="16"/>
        <v>9.95555555555556</v>
      </c>
      <c r="Z46" s="7">
        <v>9</v>
      </c>
      <c r="AA46" s="23">
        <f t="shared" si="20"/>
        <v>-0.955555555555556</v>
      </c>
      <c r="AC46" s="21">
        <f t="shared" si="5"/>
        <v>1388.50133333333</v>
      </c>
      <c r="AD46" s="21">
        <f t="shared" si="21"/>
        <v>1388.50133333333</v>
      </c>
      <c r="AE46" s="7">
        <f t="shared" si="22"/>
        <v>1255.23</v>
      </c>
    </row>
    <row r="47" ht="15" hidden="1" customHeight="1" spans="1:36">
      <c r="A47" s="7" t="s">
        <v>284</v>
      </c>
      <c r="B47" s="7" t="s">
        <v>285</v>
      </c>
      <c r="C47" s="7" t="s">
        <v>34</v>
      </c>
      <c r="D47" s="7" t="s">
        <v>51</v>
      </c>
      <c r="E47" s="7" t="s">
        <v>286</v>
      </c>
      <c r="F47" s="7">
        <v>19.5</v>
      </c>
      <c r="G47" s="7">
        <v>469</v>
      </c>
      <c r="H47" s="7">
        <v>1</v>
      </c>
      <c r="I47" s="7">
        <v>469</v>
      </c>
      <c r="J47" s="7">
        <v>378</v>
      </c>
      <c r="K47" s="7">
        <v>379</v>
      </c>
      <c r="L47" s="7">
        <v>10550</v>
      </c>
      <c r="M47" s="21">
        <v>10628</v>
      </c>
      <c r="N47" s="22">
        <f t="shared" si="17"/>
        <v>-0.00739336492890995</v>
      </c>
      <c r="O47" s="21">
        <f t="shared" si="0"/>
        <v>8.38</v>
      </c>
      <c r="P47" s="21">
        <f t="shared" si="18"/>
        <v>262.64</v>
      </c>
      <c r="Q47" s="21">
        <f t="shared" si="8"/>
        <v>5121.48</v>
      </c>
      <c r="R47" s="21">
        <f t="shared" si="1"/>
        <v>4.21111111111111</v>
      </c>
      <c r="S47" s="21">
        <f t="shared" si="2"/>
        <v>145.911111111111</v>
      </c>
      <c r="T47" s="21">
        <f t="shared" si="19"/>
        <v>4267.9</v>
      </c>
      <c r="U47" s="21">
        <f t="shared" si="3"/>
        <v>145.911111111111</v>
      </c>
      <c r="V47" s="21">
        <f t="shared" si="4"/>
        <v>4267.9</v>
      </c>
      <c r="X47" s="21">
        <f t="shared" si="15"/>
        <v>87.5466666666667</v>
      </c>
      <c r="Y47" s="21">
        <f t="shared" si="16"/>
        <v>58.3644444444445</v>
      </c>
      <c r="Z47" s="7">
        <v>14</v>
      </c>
      <c r="AA47" s="23">
        <f t="shared" si="20"/>
        <v>-44.3644444444445</v>
      </c>
      <c r="AC47" s="21">
        <f t="shared" si="5"/>
        <v>1707.16</v>
      </c>
      <c r="AD47" s="21">
        <f t="shared" si="21"/>
        <v>1707.16</v>
      </c>
      <c r="AE47" s="7">
        <f t="shared" si="22"/>
        <v>409.5</v>
      </c>
    </row>
    <row r="48" ht="15" hidden="1" customHeight="1" spans="1:36">
      <c r="A48" s="7" t="s">
        <v>90</v>
      </c>
      <c r="B48" s="7" t="s">
        <v>91</v>
      </c>
      <c r="C48" s="7" t="s">
        <v>34</v>
      </c>
      <c r="D48" s="7" t="s">
        <v>35</v>
      </c>
      <c r="E48" s="7" t="s">
        <v>85</v>
      </c>
      <c r="F48" s="7">
        <v>349.3</v>
      </c>
      <c r="G48" s="7">
        <v>20</v>
      </c>
      <c r="J48" s="7">
        <v>20</v>
      </c>
      <c r="K48" s="7">
        <v>0</v>
      </c>
      <c r="L48" s="7">
        <v>10479</v>
      </c>
      <c r="M48" s="21">
        <v>0</v>
      </c>
      <c r="N48" s="22">
        <f t="shared" si="17"/>
        <v>1</v>
      </c>
      <c r="O48" s="21">
        <f t="shared" si="0"/>
        <v>0.4</v>
      </c>
      <c r="P48" s="21">
        <f t="shared" si="18"/>
        <v>11.2</v>
      </c>
      <c r="Q48" s="21">
        <f t="shared" si="8"/>
        <v>3912.16</v>
      </c>
      <c r="R48" s="21">
        <f t="shared" si="1"/>
        <v>0.222222222222222</v>
      </c>
      <c r="S48" s="21">
        <f t="shared" si="2"/>
        <v>6.22222222222222</v>
      </c>
      <c r="T48" s="21">
        <f t="shared" si="19"/>
        <v>3260.13333333333</v>
      </c>
      <c r="U48" s="21">
        <f t="shared" si="3"/>
        <v>6.22222222222222</v>
      </c>
      <c r="V48" s="21">
        <f t="shared" si="4"/>
        <v>3260.13333333333</v>
      </c>
      <c r="X48" s="21">
        <f t="shared" si="15"/>
        <v>3.73333333333333</v>
      </c>
      <c r="Y48" s="21">
        <f t="shared" si="16"/>
        <v>2.48888888888889</v>
      </c>
      <c r="Z48" s="7">
        <v>3</v>
      </c>
      <c r="AA48" s="23">
        <f t="shared" si="20"/>
        <v>0.511111111111111</v>
      </c>
      <c r="AC48" s="21">
        <f t="shared" si="5"/>
        <v>1304.05333333333</v>
      </c>
      <c r="AD48" s="21">
        <f t="shared" si="21"/>
        <v>1304.05333333333</v>
      </c>
      <c r="AE48" s="7">
        <f t="shared" si="22"/>
        <v>1571.85</v>
      </c>
      <c r="AI48" s="7" t="s">
        <v>833</v>
      </c>
      <c r="AJ48" s="7" t="s">
        <v>855</v>
      </c>
    </row>
    <row r="49" ht="15" hidden="1" customHeight="1" spans="1:35">
      <c r="A49" s="7" t="s">
        <v>201</v>
      </c>
      <c r="B49" s="7" t="s">
        <v>202</v>
      </c>
      <c r="C49" s="7" t="s">
        <v>34</v>
      </c>
      <c r="D49" s="7" t="s">
        <v>51</v>
      </c>
      <c r="E49" s="7" t="s">
        <v>203</v>
      </c>
      <c r="F49" s="7">
        <v>87.37</v>
      </c>
      <c r="G49" s="7">
        <v>79</v>
      </c>
      <c r="J49" s="7">
        <v>78</v>
      </c>
      <c r="K49" s="7">
        <v>0</v>
      </c>
      <c r="L49" s="7">
        <v>10179</v>
      </c>
      <c r="M49" s="21">
        <v>0</v>
      </c>
      <c r="N49" s="22">
        <f t="shared" si="17"/>
        <v>1</v>
      </c>
      <c r="O49" s="21">
        <f t="shared" si="0"/>
        <v>1.58</v>
      </c>
      <c r="P49" s="21">
        <f t="shared" si="18"/>
        <v>44.24</v>
      </c>
      <c r="Q49" s="21">
        <f t="shared" si="8"/>
        <v>3865.2488</v>
      </c>
      <c r="R49" s="21">
        <f t="shared" si="1"/>
        <v>0.877777777777778</v>
      </c>
      <c r="S49" s="21">
        <f t="shared" si="2"/>
        <v>24.5777777777778</v>
      </c>
      <c r="T49" s="21">
        <f t="shared" si="19"/>
        <v>3221.04066666667</v>
      </c>
      <c r="U49" s="21">
        <f t="shared" si="3"/>
        <v>24.5777777777778</v>
      </c>
      <c r="V49" s="21">
        <f t="shared" si="4"/>
        <v>3221.04066666667</v>
      </c>
      <c r="X49" s="21">
        <f t="shared" si="15"/>
        <v>14.7466666666667</v>
      </c>
      <c r="Y49" s="21">
        <f t="shared" si="16"/>
        <v>9.83111111111111</v>
      </c>
      <c r="Z49" s="7">
        <v>12</v>
      </c>
      <c r="AA49" s="23">
        <f t="shared" si="20"/>
        <v>2.16888888888889</v>
      </c>
      <c r="AC49" s="21">
        <f t="shared" si="5"/>
        <v>1288.41626666667</v>
      </c>
      <c r="AD49" s="21">
        <f t="shared" si="21"/>
        <v>1288.41626666667</v>
      </c>
      <c r="AE49" s="7">
        <f t="shared" si="22"/>
        <v>1572.66</v>
      </c>
    </row>
    <row r="50" ht="15" hidden="1" customHeight="1" spans="1:35">
      <c r="A50" s="7" t="s">
        <v>775</v>
      </c>
      <c r="B50" s="7" t="s">
        <v>776</v>
      </c>
      <c r="C50" s="7" t="s">
        <v>34</v>
      </c>
      <c r="D50" s="7" t="s">
        <v>35</v>
      </c>
      <c r="E50" s="7" t="s">
        <v>156</v>
      </c>
      <c r="F50" s="7">
        <v>133.9</v>
      </c>
      <c r="G50" s="7">
        <v>163</v>
      </c>
      <c r="H50" s="7">
        <v>1</v>
      </c>
      <c r="I50" s="7">
        <v>163</v>
      </c>
      <c r="J50" s="7">
        <v>66</v>
      </c>
      <c r="K50" s="7">
        <v>26</v>
      </c>
      <c r="L50" s="7">
        <v>9440</v>
      </c>
      <c r="M50" s="21">
        <v>3481</v>
      </c>
      <c r="N50" s="22">
        <f t="shared" si="17"/>
        <v>0.63125</v>
      </c>
      <c r="O50" s="21">
        <f t="shared" si="0"/>
        <v>2.26</v>
      </c>
      <c r="P50" s="21">
        <f t="shared" si="18"/>
        <v>91.28</v>
      </c>
      <c r="Q50" s="21">
        <f t="shared" si="8"/>
        <v>12222.392</v>
      </c>
      <c r="R50" s="21">
        <f t="shared" si="1"/>
        <v>0.811111111111111</v>
      </c>
      <c r="S50" s="21">
        <f t="shared" si="2"/>
        <v>50.7111111111111</v>
      </c>
      <c r="T50" s="21">
        <f t="shared" si="19"/>
        <v>10185.3266666667</v>
      </c>
      <c r="U50" s="21">
        <f t="shared" si="3"/>
        <v>50.7111111111111</v>
      </c>
      <c r="V50" s="21">
        <f t="shared" si="4"/>
        <v>10185.3266666667</v>
      </c>
      <c r="X50" s="21">
        <f t="shared" si="15"/>
        <v>30.4266666666667</v>
      </c>
      <c r="Y50" s="21">
        <f t="shared" si="16"/>
        <v>20.2844444444444</v>
      </c>
      <c r="Z50" s="7">
        <v>25</v>
      </c>
      <c r="AA50" s="23">
        <f t="shared" si="20"/>
        <v>4.71555555555555</v>
      </c>
      <c r="AC50" s="21">
        <f t="shared" si="5"/>
        <v>4074.13066666667</v>
      </c>
      <c r="AD50" s="21">
        <f t="shared" si="21"/>
        <v>4074.13066666667</v>
      </c>
      <c r="AE50" s="7">
        <f t="shared" si="22"/>
        <v>5021.25</v>
      </c>
    </row>
    <row r="51" ht="15" hidden="1" customHeight="1" spans="1:35">
      <c r="A51" s="7" t="s">
        <v>792</v>
      </c>
      <c r="B51" s="7" t="s">
        <v>793</v>
      </c>
      <c r="C51" s="7" t="s">
        <v>34</v>
      </c>
      <c r="D51" s="7" t="s">
        <v>51</v>
      </c>
      <c r="E51" s="7" t="s">
        <v>203</v>
      </c>
      <c r="F51" s="7">
        <v>120.08</v>
      </c>
      <c r="G51" s="7">
        <v>50</v>
      </c>
      <c r="J51" s="7">
        <v>50</v>
      </c>
      <c r="K51" s="7">
        <v>29</v>
      </c>
      <c r="L51" s="7">
        <v>9006</v>
      </c>
      <c r="M51" s="21">
        <v>4563</v>
      </c>
      <c r="N51" s="22">
        <f t="shared" si="17"/>
        <v>0.493337774816789</v>
      </c>
      <c r="O51" s="21">
        <f t="shared" si="0"/>
        <v>1</v>
      </c>
      <c r="P51" s="21">
        <f t="shared" si="18"/>
        <v>28</v>
      </c>
      <c r="Q51" s="21">
        <f t="shared" si="8"/>
        <v>3362.24</v>
      </c>
      <c r="R51" s="21">
        <f t="shared" si="1"/>
        <v>0.555555555555556</v>
      </c>
      <c r="S51" s="21">
        <f t="shared" si="2"/>
        <v>15.5555555555556</v>
      </c>
      <c r="T51" s="21">
        <f t="shared" si="19"/>
        <v>2801.86666666667</v>
      </c>
      <c r="U51" s="21">
        <f t="shared" si="3"/>
        <v>15.5555555555556</v>
      </c>
      <c r="V51" s="21">
        <f t="shared" si="4"/>
        <v>2801.86666666667</v>
      </c>
      <c r="X51" s="21">
        <f t="shared" si="15"/>
        <v>9.33333333333333</v>
      </c>
      <c r="Y51" s="21">
        <f t="shared" si="16"/>
        <v>6.22222222222222</v>
      </c>
      <c r="Z51" s="7">
        <v>0</v>
      </c>
      <c r="AA51" s="23">
        <f t="shared" si="20"/>
        <v>-6.22222222222222</v>
      </c>
      <c r="AC51" s="21">
        <f t="shared" si="5"/>
        <v>1120.74666666667</v>
      </c>
      <c r="AD51" s="21">
        <f t="shared" si="21"/>
        <v>1120.74666666667</v>
      </c>
      <c r="AE51" s="7">
        <f t="shared" si="22"/>
        <v>0</v>
      </c>
    </row>
    <row r="52" ht="15" hidden="1" customHeight="1" spans="1:35">
      <c r="A52" s="7" t="s">
        <v>217</v>
      </c>
      <c r="B52" s="7" t="s">
        <v>218</v>
      </c>
      <c r="C52" s="7" t="s">
        <v>34</v>
      </c>
      <c r="D52" s="7" t="s">
        <v>35</v>
      </c>
      <c r="E52" s="7" t="s">
        <v>219</v>
      </c>
      <c r="F52" s="7">
        <v>92.46</v>
      </c>
      <c r="G52" s="7">
        <v>64</v>
      </c>
      <c r="J52" s="7">
        <v>64</v>
      </c>
      <c r="K52" s="7">
        <v>62</v>
      </c>
      <c r="L52" s="7">
        <v>8876</v>
      </c>
      <c r="M52" s="21">
        <v>8553</v>
      </c>
      <c r="N52" s="22">
        <f t="shared" si="17"/>
        <v>0.036390265885534</v>
      </c>
      <c r="O52" s="21">
        <f t="shared" si="0"/>
        <v>1.28</v>
      </c>
      <c r="P52" s="21">
        <f t="shared" si="18"/>
        <v>35.84</v>
      </c>
      <c r="Q52" s="21">
        <f t="shared" si="8"/>
        <v>3313.7664</v>
      </c>
      <c r="R52" s="21">
        <f t="shared" si="1"/>
        <v>0.711111111111111</v>
      </c>
      <c r="S52" s="21">
        <f t="shared" si="2"/>
        <v>19.9111111111111</v>
      </c>
      <c r="T52" s="21">
        <f t="shared" si="19"/>
        <v>2761.472</v>
      </c>
      <c r="U52" s="21">
        <f t="shared" si="3"/>
        <v>19.9111111111111</v>
      </c>
      <c r="V52" s="21">
        <f t="shared" si="4"/>
        <v>2761.472</v>
      </c>
      <c r="X52" s="21">
        <f t="shared" si="15"/>
        <v>11.9466666666667</v>
      </c>
      <c r="Y52" s="21">
        <f t="shared" si="16"/>
        <v>7.96444444444445</v>
      </c>
      <c r="Z52" s="7">
        <v>0</v>
      </c>
      <c r="AA52" s="23">
        <f t="shared" si="20"/>
        <v>-7.96444444444445</v>
      </c>
      <c r="AC52" s="21">
        <f t="shared" si="5"/>
        <v>1104.5888</v>
      </c>
      <c r="AD52" s="21">
        <f t="shared" si="21"/>
        <v>1104.5888</v>
      </c>
      <c r="AE52" s="7">
        <f t="shared" si="22"/>
        <v>0</v>
      </c>
    </row>
    <row r="53" ht="15" hidden="1" customHeight="1" spans="1:35">
      <c r="A53" s="7" t="s">
        <v>404</v>
      </c>
      <c r="B53" s="7" t="s">
        <v>405</v>
      </c>
      <c r="C53" s="7" t="s">
        <v>34</v>
      </c>
      <c r="D53" s="7" t="s">
        <v>35</v>
      </c>
      <c r="E53" s="7" t="s">
        <v>250</v>
      </c>
      <c r="F53" s="7">
        <v>146.2</v>
      </c>
      <c r="G53" s="7">
        <v>40</v>
      </c>
      <c r="J53" s="7">
        <v>40</v>
      </c>
      <c r="K53" s="7">
        <v>38</v>
      </c>
      <c r="L53" s="7">
        <v>8772</v>
      </c>
      <c r="M53" s="21">
        <v>8260</v>
      </c>
      <c r="N53" s="22">
        <f t="shared" si="17"/>
        <v>0.0583675330597355</v>
      </c>
      <c r="O53" s="21">
        <f t="shared" si="0"/>
        <v>0.8</v>
      </c>
      <c r="P53" s="21">
        <f t="shared" si="18"/>
        <v>22.4</v>
      </c>
      <c r="Q53" s="21">
        <f t="shared" si="8"/>
        <v>3274.88</v>
      </c>
      <c r="R53" s="21">
        <f t="shared" si="1"/>
        <v>0.444444444444444</v>
      </c>
      <c r="S53" s="21">
        <f t="shared" si="2"/>
        <v>12.4444444444444</v>
      </c>
      <c r="T53" s="21">
        <f t="shared" si="19"/>
        <v>2729.06666666667</v>
      </c>
      <c r="U53" s="21">
        <f t="shared" si="3"/>
        <v>12.4444444444444</v>
      </c>
      <c r="V53" s="21">
        <f t="shared" si="4"/>
        <v>2729.06666666667</v>
      </c>
      <c r="X53" s="21">
        <f t="shared" si="15"/>
        <v>7.46666666666667</v>
      </c>
      <c r="Y53" s="21">
        <f t="shared" si="16"/>
        <v>4.97777777777778</v>
      </c>
      <c r="Z53" s="7">
        <v>1</v>
      </c>
      <c r="AA53" s="23">
        <f t="shared" si="20"/>
        <v>-3.97777777777778</v>
      </c>
      <c r="AC53" s="21">
        <f t="shared" si="5"/>
        <v>1091.62666666667</v>
      </c>
      <c r="AD53" s="21">
        <f t="shared" si="21"/>
        <v>1091.62666666667</v>
      </c>
      <c r="AE53" s="7">
        <f t="shared" si="22"/>
        <v>219.3</v>
      </c>
    </row>
    <row r="54" ht="15" hidden="1" customHeight="1" spans="1:35">
      <c r="A54" s="7" t="s">
        <v>266</v>
      </c>
      <c r="B54" s="7" t="s">
        <v>267</v>
      </c>
      <c r="C54" s="7" t="s">
        <v>34</v>
      </c>
      <c r="D54" s="7" t="s">
        <v>35</v>
      </c>
      <c r="E54" s="7" t="s">
        <v>250</v>
      </c>
      <c r="F54" s="7">
        <v>160.68</v>
      </c>
      <c r="G54" s="7">
        <v>36</v>
      </c>
      <c r="J54" s="7">
        <v>36</v>
      </c>
      <c r="K54" s="7">
        <v>34</v>
      </c>
      <c r="L54" s="7">
        <v>8677</v>
      </c>
      <c r="M54" s="21">
        <v>8114</v>
      </c>
      <c r="N54" s="22">
        <f t="shared" si="17"/>
        <v>0.0648841765587184</v>
      </c>
      <c r="O54" s="21">
        <f t="shared" si="0"/>
        <v>0.72</v>
      </c>
      <c r="P54" s="21">
        <f t="shared" si="18"/>
        <v>20.16</v>
      </c>
      <c r="Q54" s="21">
        <f t="shared" si="8"/>
        <v>3239.3088</v>
      </c>
      <c r="R54" s="21">
        <f t="shared" si="1"/>
        <v>0.4</v>
      </c>
      <c r="S54" s="21">
        <f t="shared" si="2"/>
        <v>11.2</v>
      </c>
      <c r="T54" s="21">
        <f t="shared" si="19"/>
        <v>2699.424</v>
      </c>
      <c r="U54" s="21">
        <f t="shared" si="3"/>
        <v>11.2</v>
      </c>
      <c r="V54" s="21">
        <f t="shared" si="4"/>
        <v>2699.424</v>
      </c>
      <c r="X54" s="21">
        <f t="shared" si="15"/>
        <v>6.72</v>
      </c>
      <c r="Y54" s="21">
        <f t="shared" si="16"/>
        <v>4.48</v>
      </c>
      <c r="Z54" s="7">
        <v>1</v>
      </c>
      <c r="AA54" s="23">
        <f t="shared" si="20"/>
        <v>-3.48</v>
      </c>
      <c r="AC54" s="21">
        <f t="shared" si="5"/>
        <v>1079.7696</v>
      </c>
      <c r="AD54" s="21">
        <f t="shared" si="21"/>
        <v>1079.7696</v>
      </c>
      <c r="AE54" s="7">
        <f t="shared" si="22"/>
        <v>241.02</v>
      </c>
    </row>
    <row r="55" ht="15" hidden="1" customHeight="1" spans="1:35">
      <c r="A55" s="7" t="s">
        <v>83</v>
      </c>
      <c r="B55" s="7" t="s">
        <v>84</v>
      </c>
      <c r="C55" s="7" t="s">
        <v>34</v>
      </c>
      <c r="D55" s="7" t="s">
        <v>35</v>
      </c>
      <c r="E55" s="7" t="s">
        <v>85</v>
      </c>
      <c r="F55" s="7">
        <v>287.35</v>
      </c>
      <c r="G55" s="7">
        <v>20</v>
      </c>
      <c r="J55" s="7">
        <v>20</v>
      </c>
      <c r="K55" s="7">
        <v>0</v>
      </c>
      <c r="L55" s="7">
        <v>8621</v>
      </c>
      <c r="M55" s="21">
        <v>0</v>
      </c>
      <c r="N55" s="22">
        <f t="shared" si="17"/>
        <v>1</v>
      </c>
      <c r="O55" s="21">
        <f t="shared" si="0"/>
        <v>0.4</v>
      </c>
      <c r="P55" s="21">
        <f t="shared" si="18"/>
        <v>11.2</v>
      </c>
      <c r="Q55" s="21">
        <f t="shared" si="8"/>
        <v>3218.32</v>
      </c>
      <c r="R55" s="21">
        <f t="shared" si="1"/>
        <v>0.222222222222222</v>
      </c>
      <c r="S55" s="21">
        <f t="shared" si="2"/>
        <v>6.22222222222222</v>
      </c>
      <c r="T55" s="21">
        <f t="shared" si="19"/>
        <v>2681.93333333333</v>
      </c>
      <c r="U55" s="21">
        <f t="shared" si="3"/>
        <v>6.22222222222222</v>
      </c>
      <c r="V55" s="21">
        <f t="shared" si="4"/>
        <v>2681.93333333333</v>
      </c>
      <c r="X55" s="21">
        <f t="shared" si="15"/>
        <v>3.73333333333333</v>
      </c>
      <c r="Y55" s="21">
        <f t="shared" si="16"/>
        <v>2.48888888888889</v>
      </c>
      <c r="Z55" s="7">
        <v>1</v>
      </c>
      <c r="AA55" s="23">
        <f t="shared" si="20"/>
        <v>-1.48888888888889</v>
      </c>
      <c r="AC55" s="21">
        <f t="shared" si="5"/>
        <v>1072.77333333333</v>
      </c>
      <c r="AD55" s="21">
        <f t="shared" si="21"/>
        <v>1072.77333333333</v>
      </c>
      <c r="AE55" s="7">
        <f t="shared" si="22"/>
        <v>431.025</v>
      </c>
    </row>
    <row r="56" ht="15" hidden="1" customHeight="1" spans="1:35">
      <c r="A56" s="7" t="s">
        <v>672</v>
      </c>
      <c r="B56" s="7" t="s">
        <v>730</v>
      </c>
      <c r="C56" s="7" t="s">
        <v>34</v>
      </c>
      <c r="D56" s="7" t="s">
        <v>51</v>
      </c>
      <c r="E56" s="7" t="s">
        <v>203</v>
      </c>
      <c r="F56" s="7">
        <v>113.04</v>
      </c>
      <c r="G56" s="7">
        <v>50</v>
      </c>
      <c r="J56" s="7">
        <v>50</v>
      </c>
      <c r="K56" s="7">
        <v>26</v>
      </c>
      <c r="L56" s="7">
        <v>8478</v>
      </c>
      <c r="M56" s="21">
        <v>3730</v>
      </c>
      <c r="N56" s="22">
        <f t="shared" si="17"/>
        <v>0.560037744751121</v>
      </c>
      <c r="O56" s="21">
        <f t="shared" si="0"/>
        <v>1</v>
      </c>
      <c r="P56" s="21">
        <f t="shared" si="18"/>
        <v>28</v>
      </c>
      <c r="Q56" s="21">
        <f t="shared" si="8"/>
        <v>3165.12</v>
      </c>
      <c r="R56" s="21">
        <f t="shared" si="1"/>
        <v>0.555555555555556</v>
      </c>
      <c r="S56" s="21">
        <f t="shared" si="2"/>
        <v>15.5555555555556</v>
      </c>
      <c r="T56" s="21">
        <f t="shared" si="19"/>
        <v>2637.6</v>
      </c>
      <c r="U56" s="21">
        <f t="shared" si="3"/>
        <v>15.5555555555556</v>
      </c>
      <c r="V56" s="21">
        <f t="shared" si="4"/>
        <v>2637.6</v>
      </c>
      <c r="X56" s="21">
        <f t="shared" si="15"/>
        <v>9.33333333333333</v>
      </c>
      <c r="Y56" s="21">
        <f t="shared" si="16"/>
        <v>6.22222222222222</v>
      </c>
      <c r="Z56" s="7">
        <v>2</v>
      </c>
      <c r="AA56" s="23">
        <f t="shared" si="20"/>
        <v>-4.22222222222222</v>
      </c>
      <c r="AC56" s="21">
        <f t="shared" si="5"/>
        <v>1055.04</v>
      </c>
      <c r="AD56" s="21">
        <f t="shared" si="21"/>
        <v>1055.04</v>
      </c>
      <c r="AE56" s="7">
        <f t="shared" si="22"/>
        <v>339.12</v>
      </c>
    </row>
    <row r="57" ht="15" hidden="1" customHeight="1" spans="1:35">
      <c r="A57" s="7" t="s">
        <v>378</v>
      </c>
      <c r="B57" s="7" t="s">
        <v>379</v>
      </c>
      <c r="C57" s="7" t="s">
        <v>34</v>
      </c>
      <c r="D57" s="7" t="s">
        <v>51</v>
      </c>
      <c r="E57" s="7" t="s">
        <v>380</v>
      </c>
      <c r="F57" s="7">
        <v>14.03</v>
      </c>
      <c r="G57" s="7">
        <v>939</v>
      </c>
      <c r="H57" s="7">
        <v>6</v>
      </c>
      <c r="I57" s="7">
        <v>156</v>
      </c>
      <c r="J57" s="7">
        <v>472</v>
      </c>
      <c r="K57" s="7">
        <v>612</v>
      </c>
      <c r="L57" s="7">
        <v>8187</v>
      </c>
      <c r="M57" s="21">
        <v>11701</v>
      </c>
      <c r="N57" s="22">
        <f t="shared" si="17"/>
        <v>-0.429217051422988</v>
      </c>
      <c r="O57" s="21">
        <f t="shared" si="0"/>
        <v>12.78</v>
      </c>
      <c r="P57" s="21">
        <f t="shared" si="18"/>
        <v>525.84</v>
      </c>
      <c r="Q57" s="21">
        <f t="shared" si="8"/>
        <v>7377.5352</v>
      </c>
      <c r="R57" s="21">
        <f t="shared" si="1"/>
        <v>4.43333333333333</v>
      </c>
      <c r="S57" s="21">
        <f t="shared" si="2"/>
        <v>292.133333333333</v>
      </c>
      <c r="T57" s="21">
        <f t="shared" si="19"/>
        <v>6147.946</v>
      </c>
      <c r="U57" s="21">
        <f t="shared" si="3"/>
        <v>292.133333333333</v>
      </c>
      <c r="V57" s="21">
        <f t="shared" si="4"/>
        <v>6147.946</v>
      </c>
      <c r="X57" s="21">
        <f t="shared" si="15"/>
        <v>175.28</v>
      </c>
      <c r="Y57" s="21">
        <f t="shared" si="16"/>
        <v>116.853333333333</v>
      </c>
      <c r="Z57" s="7">
        <v>70</v>
      </c>
      <c r="AA57" s="23">
        <f t="shared" si="20"/>
        <v>-46.8533333333333</v>
      </c>
      <c r="AC57" s="21">
        <f t="shared" si="5"/>
        <v>2459.1784</v>
      </c>
      <c r="AD57" s="21">
        <f t="shared" si="21"/>
        <v>2459.1784</v>
      </c>
      <c r="AE57" s="7">
        <f t="shared" si="22"/>
        <v>1473.15</v>
      </c>
    </row>
    <row r="58" ht="15" hidden="1" customHeight="1" spans="1:35">
      <c r="A58" s="7" t="s">
        <v>223</v>
      </c>
      <c r="B58" s="7" t="s">
        <v>224</v>
      </c>
      <c r="C58" s="7" t="s">
        <v>34</v>
      </c>
      <c r="D58" s="7" t="s">
        <v>35</v>
      </c>
      <c r="E58" s="7" t="s">
        <v>66</v>
      </c>
      <c r="F58" s="7">
        <v>109.41</v>
      </c>
      <c r="G58" s="7">
        <v>50</v>
      </c>
      <c r="J58" s="7">
        <v>49</v>
      </c>
      <c r="K58" s="7">
        <v>50</v>
      </c>
      <c r="L58" s="7">
        <v>7987</v>
      </c>
      <c r="M58" s="21">
        <v>8206</v>
      </c>
      <c r="N58" s="22">
        <f t="shared" si="17"/>
        <v>-0.0274195567797671</v>
      </c>
      <c r="O58" s="21">
        <f t="shared" si="0"/>
        <v>1</v>
      </c>
      <c r="P58" s="21">
        <f t="shared" si="18"/>
        <v>28</v>
      </c>
      <c r="Q58" s="21">
        <f t="shared" si="8"/>
        <v>3063.48</v>
      </c>
      <c r="R58" s="21">
        <f t="shared" si="1"/>
        <v>0.555555555555556</v>
      </c>
      <c r="S58" s="21">
        <f t="shared" si="2"/>
        <v>15.5555555555556</v>
      </c>
      <c r="T58" s="21">
        <f t="shared" si="19"/>
        <v>2552.9</v>
      </c>
      <c r="U58" s="21">
        <f t="shared" si="3"/>
        <v>15.5555555555556</v>
      </c>
      <c r="V58" s="21">
        <f t="shared" si="4"/>
        <v>2552.9</v>
      </c>
      <c r="X58" s="21">
        <f t="shared" si="15"/>
        <v>9.33333333333333</v>
      </c>
      <c r="Y58" s="21">
        <f t="shared" si="16"/>
        <v>6.22222222222222</v>
      </c>
      <c r="Z58" s="7">
        <v>0</v>
      </c>
      <c r="AA58" s="23">
        <f t="shared" si="20"/>
        <v>-6.22222222222222</v>
      </c>
      <c r="AC58" s="21">
        <f t="shared" si="5"/>
        <v>1021.16</v>
      </c>
      <c r="AD58" s="21">
        <f t="shared" si="21"/>
        <v>1021.16</v>
      </c>
      <c r="AE58" s="7">
        <f t="shared" si="22"/>
        <v>0</v>
      </c>
      <c r="AI58" s="7" t="s">
        <v>225</v>
      </c>
    </row>
    <row r="59" ht="15" hidden="1" customHeight="1" spans="1:35">
      <c r="A59" s="7" t="s">
        <v>241</v>
      </c>
      <c r="B59" s="7" t="s">
        <v>242</v>
      </c>
      <c r="C59" s="7" t="s">
        <v>34</v>
      </c>
      <c r="D59" s="7" t="s">
        <v>51</v>
      </c>
      <c r="E59" s="7" t="s">
        <v>243</v>
      </c>
      <c r="F59" s="7">
        <v>43.71</v>
      </c>
      <c r="G59" s="7">
        <v>116</v>
      </c>
      <c r="J59" s="7">
        <v>115</v>
      </c>
      <c r="K59" s="7">
        <v>114</v>
      </c>
      <c r="L59" s="7">
        <v>7518</v>
      </c>
      <c r="M59" s="21">
        <v>7424</v>
      </c>
      <c r="N59" s="22">
        <f t="shared" si="17"/>
        <v>0.0125033253524874</v>
      </c>
      <c r="O59" s="21">
        <f t="shared" si="0"/>
        <v>2.32</v>
      </c>
      <c r="P59" s="21">
        <f t="shared" si="18"/>
        <v>64.96</v>
      </c>
      <c r="Q59" s="21">
        <f t="shared" si="8"/>
        <v>2839.4016</v>
      </c>
      <c r="R59" s="21">
        <f t="shared" si="1"/>
        <v>1.28888888888889</v>
      </c>
      <c r="S59" s="21">
        <f t="shared" si="2"/>
        <v>36.0888888888889</v>
      </c>
      <c r="T59" s="21">
        <f t="shared" si="19"/>
        <v>2366.168</v>
      </c>
      <c r="U59" s="21">
        <f t="shared" si="3"/>
        <v>36.0888888888889</v>
      </c>
      <c r="V59" s="21">
        <f t="shared" si="4"/>
        <v>2366.168</v>
      </c>
      <c r="X59" s="21">
        <f t="shared" si="15"/>
        <v>21.6533333333333</v>
      </c>
      <c r="Y59" s="21">
        <f t="shared" si="16"/>
        <v>14.4355555555556</v>
      </c>
      <c r="Z59" s="7">
        <v>1</v>
      </c>
      <c r="AA59" s="23">
        <f t="shared" si="20"/>
        <v>-13.4355555555556</v>
      </c>
      <c r="AC59" s="21">
        <f t="shared" si="5"/>
        <v>946.4672</v>
      </c>
      <c r="AD59" s="21">
        <f t="shared" si="21"/>
        <v>946.4672</v>
      </c>
      <c r="AE59" s="7">
        <f t="shared" si="22"/>
        <v>65.565</v>
      </c>
    </row>
    <row r="60" ht="15" hidden="1" customHeight="1" spans="1:35">
      <c r="A60" s="7" t="s">
        <v>766</v>
      </c>
      <c r="B60" s="7" t="s">
        <v>767</v>
      </c>
      <c r="C60" s="7" t="s">
        <v>34</v>
      </c>
      <c r="D60" s="7" t="s">
        <v>51</v>
      </c>
      <c r="E60" s="7" t="s">
        <v>283</v>
      </c>
      <c r="F60" s="7">
        <v>89.16</v>
      </c>
      <c r="G60" s="7">
        <v>541</v>
      </c>
      <c r="H60" s="7">
        <v>6</v>
      </c>
      <c r="I60" s="7">
        <v>90</v>
      </c>
      <c r="J60" s="7">
        <v>78</v>
      </c>
      <c r="K60" s="7">
        <v>73</v>
      </c>
      <c r="L60" s="7">
        <v>6954</v>
      </c>
      <c r="M60" s="21">
        <v>6509</v>
      </c>
      <c r="N60" s="22">
        <f t="shared" si="17"/>
        <v>0.0639919470808168</v>
      </c>
      <c r="O60" s="21">
        <f t="shared" si="0"/>
        <v>4.82</v>
      </c>
      <c r="P60" s="21">
        <f t="shared" si="18"/>
        <v>302.96</v>
      </c>
      <c r="Q60" s="21">
        <f t="shared" si="8"/>
        <v>27011.9136</v>
      </c>
      <c r="R60" s="21">
        <f t="shared" si="1"/>
        <v>0.0111111111111111</v>
      </c>
      <c r="S60" s="21">
        <f t="shared" si="2"/>
        <v>168.311111111111</v>
      </c>
      <c r="T60" s="21">
        <f t="shared" si="19"/>
        <v>22509.928</v>
      </c>
      <c r="U60" s="21">
        <f t="shared" si="3"/>
        <v>168.311111111111</v>
      </c>
      <c r="V60" s="21">
        <f t="shared" si="4"/>
        <v>22509.928</v>
      </c>
      <c r="X60" s="21">
        <f t="shared" si="15"/>
        <v>100.986666666667</v>
      </c>
      <c r="Y60" s="21">
        <f t="shared" si="16"/>
        <v>67.3244444444444</v>
      </c>
      <c r="Z60" s="7">
        <v>195</v>
      </c>
      <c r="AA60" s="23">
        <f t="shared" si="20"/>
        <v>127.675555555556</v>
      </c>
      <c r="AC60" s="21">
        <f t="shared" si="5"/>
        <v>9003.9712</v>
      </c>
      <c r="AD60" s="21">
        <f t="shared" si="21"/>
        <v>9003.9712</v>
      </c>
      <c r="AE60" s="7">
        <f t="shared" si="22"/>
        <v>26079.3</v>
      </c>
    </row>
    <row r="61" ht="15" hidden="1" customHeight="1" spans="1:35">
      <c r="A61" s="7" t="s">
        <v>484</v>
      </c>
      <c r="B61" s="7" t="s">
        <v>485</v>
      </c>
      <c r="C61" s="7" t="s">
        <v>34</v>
      </c>
      <c r="D61" s="7" t="s">
        <v>35</v>
      </c>
      <c r="E61" s="7" t="s">
        <v>250</v>
      </c>
      <c r="F61" s="7">
        <v>63.58</v>
      </c>
      <c r="G61" s="7">
        <v>72</v>
      </c>
      <c r="J61" s="7">
        <v>72</v>
      </c>
      <c r="K61" s="7">
        <v>46</v>
      </c>
      <c r="L61" s="7">
        <v>6867</v>
      </c>
      <c r="M61" s="21">
        <v>3974</v>
      </c>
      <c r="N61" s="22">
        <f t="shared" si="17"/>
        <v>0.421290228629678</v>
      </c>
      <c r="O61" s="21">
        <f t="shared" si="0"/>
        <v>1.44</v>
      </c>
      <c r="P61" s="21">
        <f t="shared" si="18"/>
        <v>40.32</v>
      </c>
      <c r="Q61" s="21">
        <f t="shared" si="8"/>
        <v>2563.5456</v>
      </c>
      <c r="R61" s="21">
        <f t="shared" si="1"/>
        <v>0.8</v>
      </c>
      <c r="S61" s="21">
        <f t="shared" si="2"/>
        <v>22.4</v>
      </c>
      <c r="T61" s="21">
        <f t="shared" si="19"/>
        <v>2136.288</v>
      </c>
      <c r="U61" s="21">
        <f t="shared" si="3"/>
        <v>22.4</v>
      </c>
      <c r="V61" s="21">
        <f t="shared" si="4"/>
        <v>2136.288</v>
      </c>
      <c r="X61" s="21">
        <f t="shared" si="15"/>
        <v>13.44</v>
      </c>
      <c r="Y61" s="21">
        <f t="shared" si="16"/>
        <v>8.96</v>
      </c>
      <c r="Z61" s="7">
        <v>11</v>
      </c>
      <c r="AA61" s="23">
        <f t="shared" si="20"/>
        <v>2.04</v>
      </c>
      <c r="AC61" s="21">
        <f t="shared" si="5"/>
        <v>854.5152</v>
      </c>
      <c r="AD61" s="21">
        <f t="shared" si="21"/>
        <v>854.5152</v>
      </c>
      <c r="AE61" s="7">
        <f t="shared" si="22"/>
        <v>1049.07</v>
      </c>
    </row>
    <row r="62" ht="15" hidden="1" customHeight="1" spans="1:35">
      <c r="A62" s="7" t="s">
        <v>614</v>
      </c>
      <c r="B62" s="7" t="s">
        <v>705</v>
      </c>
      <c r="C62" s="7" t="s">
        <v>34</v>
      </c>
      <c r="D62" s="7" t="s">
        <v>35</v>
      </c>
      <c r="E62" s="7" t="s">
        <v>706</v>
      </c>
      <c r="F62" s="7">
        <v>179.23</v>
      </c>
      <c r="G62" s="7">
        <v>35</v>
      </c>
      <c r="J62" s="7">
        <v>27</v>
      </c>
      <c r="K62" s="7">
        <v>20</v>
      </c>
      <c r="L62" s="7">
        <v>6632</v>
      </c>
      <c r="M62" s="21">
        <v>4660</v>
      </c>
      <c r="N62" s="22">
        <f t="shared" si="17"/>
        <v>0.297346200241255</v>
      </c>
      <c r="O62" s="21">
        <f t="shared" si="0"/>
        <v>0.7</v>
      </c>
      <c r="P62" s="21">
        <f t="shared" si="18"/>
        <v>19.6</v>
      </c>
      <c r="Q62" s="21">
        <f t="shared" si="8"/>
        <v>3512.908</v>
      </c>
      <c r="R62" s="21">
        <f t="shared" si="1"/>
        <v>0.388888888888889</v>
      </c>
      <c r="S62" s="21">
        <f t="shared" si="2"/>
        <v>10.8888888888889</v>
      </c>
      <c r="T62" s="21">
        <f t="shared" si="19"/>
        <v>2927.42333333333</v>
      </c>
      <c r="U62" s="21">
        <f t="shared" si="3"/>
        <v>10.8888888888889</v>
      </c>
      <c r="V62" s="21">
        <f t="shared" si="4"/>
        <v>2927.42333333333</v>
      </c>
      <c r="X62" s="21">
        <f t="shared" si="15"/>
        <v>6.53333333333333</v>
      </c>
      <c r="Y62" s="21">
        <f t="shared" si="16"/>
        <v>4.35555555555556</v>
      </c>
      <c r="Z62" s="7">
        <v>3</v>
      </c>
      <c r="AA62" s="23">
        <f t="shared" si="20"/>
        <v>-1.35555555555556</v>
      </c>
      <c r="AC62" s="21">
        <f t="shared" si="5"/>
        <v>1170.96933333333</v>
      </c>
      <c r="AD62" s="21">
        <f t="shared" si="21"/>
        <v>1170.96933333333</v>
      </c>
      <c r="AE62" s="7">
        <f t="shared" si="22"/>
        <v>806.535</v>
      </c>
    </row>
    <row r="63" ht="15" hidden="1" customHeight="1" spans="1:35">
      <c r="A63" s="7" t="s">
        <v>429</v>
      </c>
      <c r="B63" s="7" t="s">
        <v>430</v>
      </c>
      <c r="C63" s="7" t="s">
        <v>34</v>
      </c>
      <c r="D63" s="7" t="s">
        <v>35</v>
      </c>
      <c r="E63" s="7" t="s">
        <v>431</v>
      </c>
      <c r="F63" s="7">
        <v>20.33</v>
      </c>
      <c r="G63" s="7">
        <v>390</v>
      </c>
      <c r="J63" s="7">
        <v>222</v>
      </c>
      <c r="K63" s="7">
        <v>161</v>
      </c>
      <c r="L63" s="7">
        <v>6617</v>
      </c>
      <c r="M63" s="21">
        <v>4503</v>
      </c>
      <c r="N63" s="22">
        <f t="shared" si="17"/>
        <v>0.319480126945746</v>
      </c>
      <c r="O63" s="21">
        <f t="shared" si="0"/>
        <v>7.8</v>
      </c>
      <c r="P63" s="21">
        <f t="shared" si="18"/>
        <v>218.4</v>
      </c>
      <c r="Q63" s="21">
        <f t="shared" si="8"/>
        <v>4440.072</v>
      </c>
      <c r="R63" s="21">
        <f t="shared" si="1"/>
        <v>4.33333333333333</v>
      </c>
      <c r="S63" s="21">
        <f t="shared" si="2"/>
        <v>121.333333333333</v>
      </c>
      <c r="T63" s="21">
        <f t="shared" si="19"/>
        <v>3700.06</v>
      </c>
      <c r="U63" s="21">
        <f t="shared" si="3"/>
        <v>121.333333333333</v>
      </c>
      <c r="V63" s="21">
        <f t="shared" si="4"/>
        <v>3700.06</v>
      </c>
      <c r="X63" s="21">
        <f t="shared" si="15"/>
        <v>72.8</v>
      </c>
      <c r="Y63" s="21">
        <f t="shared" si="16"/>
        <v>48.5333333333333</v>
      </c>
      <c r="Z63" s="7">
        <v>3</v>
      </c>
      <c r="AA63" s="23">
        <f t="shared" si="20"/>
        <v>-45.5333333333333</v>
      </c>
      <c r="AC63" s="21">
        <f t="shared" si="5"/>
        <v>1480.024</v>
      </c>
      <c r="AD63" s="21">
        <f t="shared" si="21"/>
        <v>1480.024</v>
      </c>
      <c r="AE63" s="7">
        <f t="shared" si="22"/>
        <v>91.485</v>
      </c>
    </row>
    <row r="64" ht="15" hidden="1" customHeight="1" spans="1:35">
      <c r="A64" s="7" t="s">
        <v>490</v>
      </c>
      <c r="B64" s="7" t="s">
        <v>491</v>
      </c>
      <c r="C64" s="7" t="s">
        <v>34</v>
      </c>
      <c r="D64" s="7" t="s">
        <v>35</v>
      </c>
      <c r="E64" s="7" t="s">
        <v>492</v>
      </c>
      <c r="F64" s="7">
        <v>59.3</v>
      </c>
      <c r="G64" s="7">
        <v>86</v>
      </c>
      <c r="J64" s="7">
        <v>71</v>
      </c>
      <c r="K64" s="7">
        <v>36</v>
      </c>
      <c r="L64" s="7">
        <v>5960</v>
      </c>
      <c r="M64" s="21">
        <v>2461</v>
      </c>
      <c r="N64" s="22">
        <f t="shared" si="17"/>
        <v>0.587080536912752</v>
      </c>
      <c r="O64" s="21">
        <f t="shared" si="0"/>
        <v>1.72</v>
      </c>
      <c r="P64" s="21">
        <f t="shared" si="18"/>
        <v>48.16</v>
      </c>
      <c r="Q64" s="21">
        <f t="shared" si="8"/>
        <v>2855.888</v>
      </c>
      <c r="R64" s="21">
        <f t="shared" si="1"/>
        <v>0.955555555555556</v>
      </c>
      <c r="S64" s="21">
        <f t="shared" si="2"/>
        <v>26.7555555555556</v>
      </c>
      <c r="T64" s="21">
        <f t="shared" si="19"/>
        <v>2379.90666666667</v>
      </c>
      <c r="U64" s="21">
        <f t="shared" si="3"/>
        <v>26.7555555555556</v>
      </c>
      <c r="V64" s="21">
        <f t="shared" si="4"/>
        <v>2379.90666666667</v>
      </c>
      <c r="X64" s="21">
        <f t="shared" si="15"/>
        <v>16.0533333333333</v>
      </c>
      <c r="Y64" s="21">
        <f t="shared" si="16"/>
        <v>10.7022222222222</v>
      </c>
      <c r="Z64" s="7">
        <v>11</v>
      </c>
      <c r="AA64" s="23">
        <f t="shared" si="20"/>
        <v>0.297777777777776</v>
      </c>
      <c r="AC64" s="21">
        <f t="shared" si="5"/>
        <v>951.962666666667</v>
      </c>
      <c r="AD64" s="21">
        <f t="shared" si="21"/>
        <v>951.962666666667</v>
      </c>
      <c r="AE64" s="7">
        <f t="shared" si="22"/>
        <v>978.45</v>
      </c>
    </row>
    <row r="65" ht="15" hidden="1" customHeight="1" spans="1:31">
      <c r="A65" s="7" t="s">
        <v>626</v>
      </c>
      <c r="B65" s="7" t="s">
        <v>709</v>
      </c>
      <c r="C65" s="7" t="s">
        <v>34</v>
      </c>
      <c r="D65" s="7" t="s">
        <v>35</v>
      </c>
      <c r="E65" s="7" t="s">
        <v>492</v>
      </c>
      <c r="F65" s="7">
        <v>49.18</v>
      </c>
      <c r="G65" s="7">
        <v>110</v>
      </c>
      <c r="J65" s="7">
        <v>87</v>
      </c>
      <c r="K65" s="7">
        <v>94</v>
      </c>
      <c r="L65" s="7">
        <v>5951</v>
      </c>
      <c r="M65" s="21">
        <v>6738</v>
      </c>
      <c r="N65" s="22">
        <f t="shared" si="17"/>
        <v>-0.132246681230045</v>
      </c>
      <c r="O65" s="21">
        <f t="shared" si="0"/>
        <v>2.2</v>
      </c>
      <c r="P65" s="21">
        <f t="shared" si="18"/>
        <v>61.6</v>
      </c>
      <c r="Q65" s="21">
        <f t="shared" si="8"/>
        <v>3029.488</v>
      </c>
      <c r="R65" s="21">
        <f t="shared" si="1"/>
        <v>1.22222222222222</v>
      </c>
      <c r="S65" s="21">
        <f t="shared" si="2"/>
        <v>34.2222222222222</v>
      </c>
      <c r="T65" s="21">
        <f t="shared" si="19"/>
        <v>2524.57333333333</v>
      </c>
      <c r="U65" s="21">
        <f t="shared" si="3"/>
        <v>34.2222222222222</v>
      </c>
      <c r="V65" s="21">
        <f t="shared" si="4"/>
        <v>2524.57333333333</v>
      </c>
      <c r="X65" s="21">
        <f t="shared" si="15"/>
        <v>20.5333333333333</v>
      </c>
      <c r="Y65" s="21">
        <f t="shared" si="16"/>
        <v>13.6888888888889</v>
      </c>
      <c r="Z65" s="7">
        <v>5</v>
      </c>
      <c r="AA65" s="23">
        <f t="shared" si="20"/>
        <v>-8.68888888888889</v>
      </c>
      <c r="AC65" s="21">
        <f t="shared" si="5"/>
        <v>1009.82933333333</v>
      </c>
      <c r="AD65" s="21">
        <f t="shared" si="21"/>
        <v>1009.82933333333</v>
      </c>
      <c r="AE65" s="7">
        <f t="shared" si="22"/>
        <v>368.85</v>
      </c>
    </row>
    <row r="66" ht="15" hidden="1" customHeight="1" spans="1:31">
      <c r="A66" s="7" t="s">
        <v>627</v>
      </c>
      <c r="B66" s="7" t="s">
        <v>677</v>
      </c>
      <c r="C66" s="7" t="s">
        <v>34</v>
      </c>
      <c r="D66" s="7" t="s">
        <v>35</v>
      </c>
      <c r="E66" s="7" t="s">
        <v>525</v>
      </c>
      <c r="F66" s="7">
        <v>57.88</v>
      </c>
      <c r="G66" s="7">
        <v>201</v>
      </c>
      <c r="H66" s="7">
        <v>1</v>
      </c>
      <c r="I66" s="7">
        <v>201</v>
      </c>
      <c r="J66" s="7">
        <v>90</v>
      </c>
      <c r="K66" s="7">
        <v>131</v>
      </c>
      <c r="L66" s="7">
        <v>5846</v>
      </c>
      <c r="M66" s="21">
        <v>10245</v>
      </c>
      <c r="N66" s="22">
        <f t="shared" si="17"/>
        <v>-0.752480328429695</v>
      </c>
      <c r="O66" s="21">
        <f t="shared" si="0"/>
        <v>3.02</v>
      </c>
      <c r="P66" s="21">
        <f t="shared" si="18"/>
        <v>112.56</v>
      </c>
      <c r="Q66" s="21">
        <f t="shared" si="8"/>
        <v>6514.9728</v>
      </c>
      <c r="R66" s="21">
        <f t="shared" si="1"/>
        <v>1.23333333333333</v>
      </c>
      <c r="S66" s="21">
        <f t="shared" si="2"/>
        <v>62.5333333333333</v>
      </c>
      <c r="T66" s="21">
        <f t="shared" si="19"/>
        <v>5429.144</v>
      </c>
      <c r="U66" s="21">
        <f t="shared" si="3"/>
        <v>62.5333333333333</v>
      </c>
      <c r="V66" s="21">
        <f t="shared" si="4"/>
        <v>5429.144</v>
      </c>
      <c r="X66" s="21">
        <f t="shared" si="15"/>
        <v>37.52</v>
      </c>
      <c r="Y66" s="21">
        <f t="shared" si="16"/>
        <v>25.0133333333333</v>
      </c>
      <c r="Z66" s="7">
        <v>12</v>
      </c>
      <c r="AA66" s="23">
        <f t="shared" si="20"/>
        <v>-13.0133333333333</v>
      </c>
      <c r="AC66" s="21">
        <f t="shared" si="5"/>
        <v>2171.6576</v>
      </c>
      <c r="AD66" s="21">
        <f t="shared" si="21"/>
        <v>2171.6576</v>
      </c>
      <c r="AE66" s="7">
        <f t="shared" si="22"/>
        <v>1041.84</v>
      </c>
    </row>
    <row r="67" ht="15" hidden="1" customHeight="1" spans="1:31">
      <c r="A67" s="7" t="s">
        <v>652</v>
      </c>
      <c r="B67" s="7" t="s">
        <v>722</v>
      </c>
      <c r="C67" s="7" t="s">
        <v>34</v>
      </c>
      <c r="D67" s="7" t="s">
        <v>35</v>
      </c>
      <c r="E67" s="7" t="s">
        <v>125</v>
      </c>
      <c r="F67" s="7">
        <v>118.21</v>
      </c>
      <c r="G67" s="7">
        <v>81</v>
      </c>
      <c r="J67" s="7">
        <v>40</v>
      </c>
      <c r="K67" s="7">
        <v>35</v>
      </c>
      <c r="L67" s="7">
        <v>5142</v>
      </c>
      <c r="M67" s="21">
        <v>4756</v>
      </c>
      <c r="N67" s="22">
        <f t="shared" si="17"/>
        <v>0.0750680669000389</v>
      </c>
      <c r="O67" s="21">
        <f t="shared" si="0"/>
        <v>1.62</v>
      </c>
      <c r="P67" s="21">
        <f t="shared" si="18"/>
        <v>45.36</v>
      </c>
      <c r="Q67" s="21">
        <f t="shared" si="8"/>
        <v>5362.0056</v>
      </c>
      <c r="R67" s="21">
        <f t="shared" si="1"/>
        <v>0.9</v>
      </c>
      <c r="S67" s="21">
        <f t="shared" si="2"/>
        <v>25.2</v>
      </c>
      <c r="T67" s="21">
        <f t="shared" si="19"/>
        <v>4468.338</v>
      </c>
      <c r="U67" s="21">
        <f t="shared" si="3"/>
        <v>25.2</v>
      </c>
      <c r="V67" s="21">
        <f t="shared" si="4"/>
        <v>4468.338</v>
      </c>
      <c r="X67" s="21">
        <f t="shared" si="15"/>
        <v>15.12</v>
      </c>
      <c r="Y67" s="21">
        <f t="shared" si="16"/>
        <v>10.08</v>
      </c>
      <c r="Z67" s="7">
        <v>1</v>
      </c>
      <c r="AA67" s="23">
        <f t="shared" si="20"/>
        <v>-9.08</v>
      </c>
      <c r="AC67" s="21">
        <f t="shared" si="5"/>
        <v>1787.3352</v>
      </c>
      <c r="AD67" s="21">
        <f t="shared" si="21"/>
        <v>1787.3352</v>
      </c>
      <c r="AE67" s="7">
        <f t="shared" si="22"/>
        <v>177.315</v>
      </c>
    </row>
    <row r="68" ht="15" hidden="1" customHeight="1" spans="1:31">
      <c r="A68" s="7" t="s">
        <v>869</v>
      </c>
      <c r="B68" s="7" t="s">
        <v>870</v>
      </c>
      <c r="C68" s="7" t="s">
        <v>34</v>
      </c>
      <c r="D68" s="7" t="s">
        <v>35</v>
      </c>
      <c r="E68" s="7" t="s">
        <v>391</v>
      </c>
      <c r="F68" s="7">
        <v>225.69</v>
      </c>
      <c r="G68" s="7">
        <v>15</v>
      </c>
      <c r="J68" s="7">
        <v>15</v>
      </c>
      <c r="K68" s="7">
        <v>0</v>
      </c>
      <c r="L68" s="7">
        <v>5078</v>
      </c>
      <c r="M68" s="21">
        <v>0</v>
      </c>
      <c r="N68" s="22">
        <f t="shared" si="17"/>
        <v>1</v>
      </c>
      <c r="O68" s="21">
        <f t="shared" ref="O68:O131" si="23">(G68-(H68*50))/50</f>
        <v>0.3</v>
      </c>
      <c r="P68" s="21">
        <f t="shared" si="18"/>
        <v>8.4</v>
      </c>
      <c r="Q68" s="21">
        <f t="shared" ref="Q68:Q131" si="24">P68*F68</f>
        <v>1895.796</v>
      </c>
      <c r="R68" s="21">
        <f t="shared" ref="R68:R131" si="25">(G68-(H68*90))/90</f>
        <v>0.166666666666667</v>
      </c>
      <c r="S68" s="21">
        <f t="shared" ref="S68:S131" si="26">28*(R68+H68)</f>
        <v>4.66666666666667</v>
      </c>
      <c r="T68" s="21">
        <f t="shared" si="19"/>
        <v>1579.83</v>
      </c>
      <c r="U68" s="21">
        <f t="shared" ref="U68:U131" si="27">S68</f>
        <v>4.66666666666667</v>
      </c>
      <c r="V68" s="21">
        <f t="shared" ref="V68:V131" si="28">T68</f>
        <v>1579.83</v>
      </c>
      <c r="X68" s="21">
        <f t="shared" si="15"/>
        <v>2.8</v>
      </c>
      <c r="Y68" s="21">
        <f t="shared" si="16"/>
        <v>1.86666666666667</v>
      </c>
      <c r="Z68" s="7">
        <v>0</v>
      </c>
      <c r="AA68" s="23">
        <f t="shared" si="20"/>
        <v>-1.86666666666667</v>
      </c>
      <c r="AC68" s="21">
        <f t="shared" ref="AC68:AC131" si="29">X68*F68</f>
        <v>631.932</v>
      </c>
      <c r="AD68" s="21">
        <f t="shared" si="21"/>
        <v>631.932</v>
      </c>
      <c r="AE68" s="7">
        <f t="shared" si="22"/>
        <v>0</v>
      </c>
    </row>
    <row r="69" ht="15" hidden="1" customHeight="1" spans="1:31">
      <c r="A69" s="7" t="s">
        <v>779</v>
      </c>
      <c r="B69" s="7" t="s">
        <v>780</v>
      </c>
      <c r="C69" s="7" t="s">
        <v>34</v>
      </c>
      <c r="D69" s="7" t="s">
        <v>35</v>
      </c>
      <c r="E69" s="7" t="s">
        <v>36</v>
      </c>
      <c r="F69" s="7">
        <v>119.0776</v>
      </c>
      <c r="G69" s="7">
        <v>122</v>
      </c>
      <c r="H69" s="7">
        <v>1</v>
      </c>
      <c r="I69" s="7">
        <v>122</v>
      </c>
      <c r="J69" s="7">
        <v>42</v>
      </c>
      <c r="K69" s="7">
        <v>28</v>
      </c>
      <c r="L69" s="7">
        <v>5061</v>
      </c>
      <c r="M69" s="21">
        <v>3334</v>
      </c>
      <c r="N69" s="22">
        <f t="shared" ref="N69:N100" si="30">(L69-M69)/L69</f>
        <v>0.34123690970164</v>
      </c>
      <c r="O69" s="21">
        <f t="shared" si="23"/>
        <v>1.44</v>
      </c>
      <c r="P69" s="21">
        <f t="shared" ref="P69:P100" si="31">28*(O69+H69)</f>
        <v>68.32</v>
      </c>
      <c r="Q69" s="21">
        <f t="shared" si="24"/>
        <v>8135.381632</v>
      </c>
      <c r="R69" s="21">
        <f t="shared" si="25"/>
        <v>0.355555555555556</v>
      </c>
      <c r="S69" s="21">
        <f t="shared" si="26"/>
        <v>37.9555555555556</v>
      </c>
      <c r="T69" s="21">
        <f t="shared" ref="T69:T100" si="32">(R69+H69)*28*F69*1.5</f>
        <v>6779.48469333333</v>
      </c>
      <c r="U69" s="21">
        <f t="shared" si="27"/>
        <v>37.9555555555556</v>
      </c>
      <c r="V69" s="21">
        <f t="shared" si="28"/>
        <v>6779.48469333333</v>
      </c>
      <c r="X69" s="21">
        <f t="shared" si="15"/>
        <v>22.7733333333333</v>
      </c>
      <c r="Y69" s="21">
        <f t="shared" si="16"/>
        <v>15.1822222222222</v>
      </c>
      <c r="Z69" s="7">
        <v>0</v>
      </c>
      <c r="AA69" s="23">
        <f t="shared" ref="AA69:AA100" si="33">Z69-Y69</f>
        <v>-15.1822222222222</v>
      </c>
      <c r="AC69" s="21">
        <f t="shared" si="29"/>
        <v>2711.79387733333</v>
      </c>
      <c r="AD69" s="21">
        <f t="shared" ref="AD69:AD100" si="34">F69*Y69*1.5</f>
        <v>2711.79387733333</v>
      </c>
      <c r="AE69" s="7">
        <f t="shared" ref="AE69:AE100" si="35">Z69*F69*1.5</f>
        <v>0</v>
      </c>
    </row>
    <row r="70" ht="15" hidden="1" customHeight="1" spans="1:31">
      <c r="A70" s="7" t="s">
        <v>615</v>
      </c>
      <c r="B70" s="7" t="s">
        <v>649</v>
      </c>
      <c r="C70" s="7" t="s">
        <v>34</v>
      </c>
      <c r="D70" s="7" t="s">
        <v>35</v>
      </c>
      <c r="E70" s="7" t="s">
        <v>431</v>
      </c>
      <c r="F70" s="7">
        <v>9.52</v>
      </c>
      <c r="G70" s="7">
        <v>358</v>
      </c>
      <c r="J70" s="7">
        <v>327</v>
      </c>
      <c r="K70" s="7">
        <v>275</v>
      </c>
      <c r="L70" s="7">
        <v>4551</v>
      </c>
      <c r="M70" s="21">
        <v>3713</v>
      </c>
      <c r="N70" s="22">
        <f t="shared" si="30"/>
        <v>0.184135354867062</v>
      </c>
      <c r="O70" s="21">
        <f t="shared" si="23"/>
        <v>7.16</v>
      </c>
      <c r="P70" s="21">
        <f t="shared" si="31"/>
        <v>200.48</v>
      </c>
      <c r="Q70" s="21">
        <f t="shared" si="24"/>
        <v>1908.5696</v>
      </c>
      <c r="R70" s="21">
        <f t="shared" si="25"/>
        <v>3.97777777777778</v>
      </c>
      <c r="S70" s="21">
        <f t="shared" si="26"/>
        <v>111.377777777778</v>
      </c>
      <c r="T70" s="21">
        <f t="shared" si="32"/>
        <v>1590.47466666667</v>
      </c>
      <c r="U70" s="21">
        <f t="shared" si="27"/>
        <v>111.377777777778</v>
      </c>
      <c r="V70" s="21">
        <f t="shared" si="28"/>
        <v>1590.47466666667</v>
      </c>
      <c r="X70" s="21">
        <f t="shared" si="15"/>
        <v>66.8266666666667</v>
      </c>
      <c r="Y70" s="21">
        <f t="shared" si="16"/>
        <v>44.5511111111111</v>
      </c>
      <c r="Z70" s="7">
        <v>8</v>
      </c>
      <c r="AA70" s="23">
        <f t="shared" si="33"/>
        <v>-36.5511111111111</v>
      </c>
      <c r="AC70" s="21">
        <f t="shared" si="29"/>
        <v>636.189866666667</v>
      </c>
      <c r="AD70" s="21">
        <f t="shared" si="34"/>
        <v>636.189866666667</v>
      </c>
      <c r="AE70" s="7">
        <f t="shared" si="35"/>
        <v>114.24</v>
      </c>
    </row>
    <row r="71" ht="15" hidden="1" customHeight="1" spans="1:31">
      <c r="A71" s="7" t="s">
        <v>383</v>
      </c>
      <c r="B71" s="7" t="s">
        <v>384</v>
      </c>
      <c r="C71" s="7" t="s">
        <v>34</v>
      </c>
      <c r="D71" s="7" t="s">
        <v>51</v>
      </c>
      <c r="E71" s="7" t="s">
        <v>309</v>
      </c>
      <c r="F71" s="7">
        <v>17.29</v>
      </c>
      <c r="G71" s="7">
        <v>212</v>
      </c>
      <c r="J71" s="7">
        <v>171</v>
      </c>
      <c r="K71" s="7">
        <v>147</v>
      </c>
      <c r="L71" s="7">
        <v>4150</v>
      </c>
      <c r="M71" s="21">
        <v>3540</v>
      </c>
      <c r="N71" s="22">
        <f t="shared" si="30"/>
        <v>0.146987951807229</v>
      </c>
      <c r="O71" s="21">
        <f t="shared" si="23"/>
        <v>4.24</v>
      </c>
      <c r="P71" s="21">
        <f t="shared" si="31"/>
        <v>118.72</v>
      </c>
      <c r="Q71" s="21">
        <f t="shared" si="24"/>
        <v>2052.6688</v>
      </c>
      <c r="R71" s="21">
        <f t="shared" si="25"/>
        <v>2.35555555555556</v>
      </c>
      <c r="S71" s="21">
        <f t="shared" si="26"/>
        <v>65.9555555555556</v>
      </c>
      <c r="T71" s="21">
        <f t="shared" si="32"/>
        <v>1710.55733333333</v>
      </c>
      <c r="U71" s="21">
        <f t="shared" si="27"/>
        <v>65.9555555555556</v>
      </c>
      <c r="V71" s="21">
        <f t="shared" si="28"/>
        <v>1710.55733333333</v>
      </c>
      <c r="X71" s="21">
        <f t="shared" si="15"/>
        <v>39.5733333333333</v>
      </c>
      <c r="Y71" s="21">
        <f t="shared" si="16"/>
        <v>26.3822222222222</v>
      </c>
      <c r="Z71" s="7">
        <v>17</v>
      </c>
      <c r="AA71" s="23">
        <f t="shared" si="33"/>
        <v>-9.38222222222223</v>
      </c>
      <c r="AC71" s="21">
        <f t="shared" si="29"/>
        <v>684.222933333333</v>
      </c>
      <c r="AD71" s="21">
        <f t="shared" si="34"/>
        <v>684.222933333333</v>
      </c>
      <c r="AE71" s="7">
        <f t="shared" si="35"/>
        <v>440.895</v>
      </c>
    </row>
    <row r="72" ht="15" hidden="1" customHeight="1" spans="1:31">
      <c r="A72" s="7" t="s">
        <v>399</v>
      </c>
      <c r="B72" s="7" t="s">
        <v>400</v>
      </c>
      <c r="C72" s="7" t="s">
        <v>34</v>
      </c>
      <c r="D72" s="7" t="s">
        <v>35</v>
      </c>
      <c r="E72" s="7" t="s">
        <v>250</v>
      </c>
      <c r="F72" s="7">
        <v>151.83</v>
      </c>
      <c r="G72" s="7">
        <v>18</v>
      </c>
      <c r="J72" s="7">
        <v>18</v>
      </c>
      <c r="K72" s="7">
        <v>18</v>
      </c>
      <c r="L72" s="7">
        <v>4099</v>
      </c>
      <c r="M72" s="21">
        <v>4099</v>
      </c>
      <c r="N72" s="22">
        <f t="shared" si="30"/>
        <v>0</v>
      </c>
      <c r="O72" s="21">
        <f t="shared" si="23"/>
        <v>0.36</v>
      </c>
      <c r="P72" s="21">
        <f t="shared" si="31"/>
        <v>10.08</v>
      </c>
      <c r="Q72" s="21">
        <f t="shared" si="24"/>
        <v>1530.4464</v>
      </c>
      <c r="R72" s="21">
        <f t="shared" si="25"/>
        <v>0.2</v>
      </c>
      <c r="S72" s="21">
        <f t="shared" si="26"/>
        <v>5.6</v>
      </c>
      <c r="T72" s="21">
        <f t="shared" si="32"/>
        <v>1275.372</v>
      </c>
      <c r="U72" s="21">
        <f t="shared" si="27"/>
        <v>5.6</v>
      </c>
      <c r="V72" s="21">
        <f t="shared" si="28"/>
        <v>1275.372</v>
      </c>
      <c r="X72" s="21">
        <f t="shared" si="15"/>
        <v>3.36</v>
      </c>
      <c r="Y72" s="21">
        <f t="shared" si="16"/>
        <v>2.24</v>
      </c>
      <c r="Z72" s="7">
        <v>0</v>
      </c>
      <c r="AA72" s="23">
        <f t="shared" si="33"/>
        <v>-2.24</v>
      </c>
      <c r="AC72" s="21">
        <f t="shared" si="29"/>
        <v>510.1488</v>
      </c>
      <c r="AD72" s="21">
        <f t="shared" si="34"/>
        <v>510.1488</v>
      </c>
      <c r="AE72" s="7">
        <f t="shared" si="35"/>
        <v>0</v>
      </c>
    </row>
    <row r="73" ht="15" hidden="1" customHeight="1" spans="1:31">
      <c r="A73" s="7" t="s">
        <v>154</v>
      </c>
      <c r="B73" s="7" t="s">
        <v>155</v>
      </c>
      <c r="C73" s="7" t="s">
        <v>34</v>
      </c>
      <c r="D73" s="7" t="s">
        <v>35</v>
      </c>
      <c r="E73" s="7" t="s">
        <v>156</v>
      </c>
      <c r="F73" s="7">
        <v>171.6</v>
      </c>
      <c r="G73" s="7">
        <v>132</v>
      </c>
      <c r="J73" s="7">
        <v>19</v>
      </c>
      <c r="K73" s="7">
        <v>24</v>
      </c>
      <c r="L73" s="7">
        <v>3947</v>
      </c>
      <c r="M73" s="21">
        <v>5749</v>
      </c>
      <c r="N73" s="22">
        <f t="shared" si="30"/>
        <v>-0.456549277932607</v>
      </c>
      <c r="O73" s="21">
        <f t="shared" si="23"/>
        <v>2.64</v>
      </c>
      <c r="P73" s="21">
        <f t="shared" si="31"/>
        <v>73.92</v>
      </c>
      <c r="Q73" s="21">
        <f t="shared" si="24"/>
        <v>12684.672</v>
      </c>
      <c r="R73" s="21">
        <f t="shared" si="25"/>
        <v>1.46666666666667</v>
      </c>
      <c r="S73" s="21">
        <f t="shared" si="26"/>
        <v>41.0666666666667</v>
      </c>
      <c r="T73" s="21">
        <f t="shared" si="32"/>
        <v>10570.56</v>
      </c>
      <c r="U73" s="21">
        <f t="shared" si="27"/>
        <v>41.0666666666667</v>
      </c>
      <c r="V73" s="21">
        <f t="shared" si="28"/>
        <v>10570.56</v>
      </c>
      <c r="X73" s="21">
        <f t="shared" si="15"/>
        <v>24.64</v>
      </c>
      <c r="Y73" s="21">
        <f t="shared" si="16"/>
        <v>16.4266666666667</v>
      </c>
      <c r="Z73" s="7">
        <v>2</v>
      </c>
      <c r="AA73" s="23">
        <f t="shared" si="33"/>
        <v>-14.4266666666667</v>
      </c>
      <c r="AC73" s="21">
        <f t="shared" si="29"/>
        <v>4228.224</v>
      </c>
      <c r="AD73" s="21">
        <f t="shared" si="34"/>
        <v>4228.224</v>
      </c>
      <c r="AE73" s="7">
        <f t="shared" si="35"/>
        <v>514.8</v>
      </c>
    </row>
    <row r="74" ht="15" hidden="1" customHeight="1" spans="1:31">
      <c r="A74" s="7" t="s">
        <v>325</v>
      </c>
      <c r="B74" s="7" t="s">
        <v>326</v>
      </c>
      <c r="C74" s="7" t="s">
        <v>34</v>
      </c>
      <c r="D74" s="7" t="s">
        <v>35</v>
      </c>
      <c r="E74" s="7" t="s">
        <v>327</v>
      </c>
      <c r="F74" s="7">
        <v>7.48</v>
      </c>
      <c r="G74" s="7">
        <v>334</v>
      </c>
      <c r="J74" s="7">
        <v>323</v>
      </c>
      <c r="K74" s="7">
        <v>284</v>
      </c>
      <c r="L74" s="7">
        <v>3590</v>
      </c>
      <c r="M74" s="21">
        <v>3093</v>
      </c>
      <c r="N74" s="22">
        <f t="shared" si="30"/>
        <v>0.138440111420613</v>
      </c>
      <c r="O74" s="21">
        <f t="shared" si="23"/>
        <v>6.68</v>
      </c>
      <c r="P74" s="21">
        <f t="shared" si="31"/>
        <v>187.04</v>
      </c>
      <c r="Q74" s="21">
        <f t="shared" si="24"/>
        <v>1399.0592</v>
      </c>
      <c r="R74" s="21">
        <f t="shared" si="25"/>
        <v>3.71111111111111</v>
      </c>
      <c r="S74" s="21">
        <f t="shared" si="26"/>
        <v>103.911111111111</v>
      </c>
      <c r="T74" s="21">
        <f t="shared" si="32"/>
        <v>1165.88266666667</v>
      </c>
      <c r="U74" s="21">
        <f t="shared" si="27"/>
        <v>103.911111111111</v>
      </c>
      <c r="V74" s="21">
        <f t="shared" si="28"/>
        <v>1165.88266666667</v>
      </c>
      <c r="X74" s="21">
        <f t="shared" si="15"/>
        <v>62.3466666666667</v>
      </c>
      <c r="Y74" s="21">
        <f t="shared" si="16"/>
        <v>41.5644444444444</v>
      </c>
      <c r="Z74" s="7">
        <v>17</v>
      </c>
      <c r="AA74" s="23">
        <f t="shared" si="33"/>
        <v>-24.5644444444444</v>
      </c>
      <c r="AC74" s="21">
        <f t="shared" si="29"/>
        <v>466.353066666667</v>
      </c>
      <c r="AD74" s="21">
        <f t="shared" si="34"/>
        <v>466.353066666667</v>
      </c>
      <c r="AE74" s="7">
        <f t="shared" si="35"/>
        <v>190.74</v>
      </c>
    </row>
    <row r="75" ht="15" hidden="1" customHeight="1" spans="1:31">
      <c r="A75" s="7" t="s">
        <v>363</v>
      </c>
      <c r="B75" s="7" t="s">
        <v>364</v>
      </c>
      <c r="C75" s="7" t="s">
        <v>34</v>
      </c>
      <c r="D75" s="7" t="s">
        <v>35</v>
      </c>
      <c r="E75" s="7" t="s">
        <v>365</v>
      </c>
      <c r="F75" s="7">
        <v>47.24</v>
      </c>
      <c r="G75" s="7">
        <v>49</v>
      </c>
      <c r="J75" s="7">
        <v>46</v>
      </c>
      <c r="K75" s="7">
        <v>47</v>
      </c>
      <c r="L75" s="7">
        <v>3189</v>
      </c>
      <c r="M75" s="21">
        <v>3347</v>
      </c>
      <c r="N75" s="22">
        <f t="shared" si="30"/>
        <v>-0.0495453120100345</v>
      </c>
      <c r="O75" s="21">
        <f t="shared" si="23"/>
        <v>0.98</v>
      </c>
      <c r="P75" s="21">
        <f t="shared" si="31"/>
        <v>27.44</v>
      </c>
      <c r="Q75" s="21">
        <f t="shared" si="24"/>
        <v>1296.2656</v>
      </c>
      <c r="R75" s="21">
        <f t="shared" si="25"/>
        <v>0.544444444444444</v>
      </c>
      <c r="S75" s="21">
        <f t="shared" si="26"/>
        <v>15.2444444444444</v>
      </c>
      <c r="T75" s="21">
        <f t="shared" si="32"/>
        <v>1080.22133333333</v>
      </c>
      <c r="U75" s="21">
        <f t="shared" si="27"/>
        <v>15.2444444444444</v>
      </c>
      <c r="V75" s="21">
        <f t="shared" si="28"/>
        <v>1080.22133333333</v>
      </c>
      <c r="X75" s="21">
        <f t="shared" si="15"/>
        <v>9.14666666666667</v>
      </c>
      <c r="Y75" s="21">
        <f t="shared" si="16"/>
        <v>6.09777777777778</v>
      </c>
      <c r="Z75" s="7">
        <v>0</v>
      </c>
      <c r="AA75" s="23">
        <f t="shared" si="33"/>
        <v>-6.09777777777778</v>
      </c>
      <c r="AC75" s="21">
        <f t="shared" si="29"/>
        <v>432.088533333333</v>
      </c>
      <c r="AD75" s="21">
        <f t="shared" si="34"/>
        <v>432.088533333333</v>
      </c>
      <c r="AE75" s="7">
        <f t="shared" si="35"/>
        <v>0</v>
      </c>
    </row>
    <row r="76" ht="15" hidden="1" customHeight="1" spans="1:31">
      <c r="A76" s="7" t="s">
        <v>329</v>
      </c>
      <c r="B76" s="7" t="s">
        <v>330</v>
      </c>
      <c r="C76" s="7" t="s">
        <v>34</v>
      </c>
      <c r="D76" s="7" t="s">
        <v>35</v>
      </c>
      <c r="E76" s="7" t="s">
        <v>171</v>
      </c>
      <c r="F76" s="7">
        <v>43.14</v>
      </c>
      <c r="G76" s="7">
        <v>47</v>
      </c>
      <c r="J76" s="7">
        <v>47</v>
      </c>
      <c r="K76" s="7">
        <v>47</v>
      </c>
      <c r="L76" s="7">
        <v>3041</v>
      </c>
      <c r="M76" s="21">
        <v>2952</v>
      </c>
      <c r="N76" s="22">
        <f t="shared" si="30"/>
        <v>0.0292666885892798</v>
      </c>
      <c r="O76" s="21">
        <f t="shared" si="23"/>
        <v>0.94</v>
      </c>
      <c r="P76" s="21">
        <f t="shared" si="31"/>
        <v>26.32</v>
      </c>
      <c r="Q76" s="21">
        <f t="shared" si="24"/>
        <v>1135.4448</v>
      </c>
      <c r="R76" s="21">
        <f t="shared" si="25"/>
        <v>0.522222222222222</v>
      </c>
      <c r="S76" s="21">
        <f t="shared" si="26"/>
        <v>14.6222222222222</v>
      </c>
      <c r="T76" s="21">
        <f t="shared" si="32"/>
        <v>946.204</v>
      </c>
      <c r="U76" s="21">
        <f t="shared" si="27"/>
        <v>14.6222222222222</v>
      </c>
      <c r="V76" s="21">
        <f t="shared" si="28"/>
        <v>946.204</v>
      </c>
      <c r="X76" s="21">
        <f t="shared" si="15"/>
        <v>8.77333333333333</v>
      </c>
      <c r="Y76" s="21">
        <f t="shared" si="16"/>
        <v>5.84888888888889</v>
      </c>
      <c r="Z76" s="7">
        <v>0</v>
      </c>
      <c r="AA76" s="23">
        <f t="shared" si="33"/>
        <v>-5.84888888888889</v>
      </c>
      <c r="AC76" s="21">
        <f t="shared" si="29"/>
        <v>378.4816</v>
      </c>
      <c r="AD76" s="21">
        <f t="shared" si="34"/>
        <v>378.4816</v>
      </c>
      <c r="AE76" s="7">
        <f t="shared" si="35"/>
        <v>0</v>
      </c>
    </row>
    <row r="77" ht="15" hidden="1" customHeight="1" spans="1:31">
      <c r="A77" s="7" t="s">
        <v>788</v>
      </c>
      <c r="B77" s="7" t="s">
        <v>789</v>
      </c>
      <c r="C77" s="7" t="s">
        <v>34</v>
      </c>
      <c r="D77" s="7" t="s">
        <v>35</v>
      </c>
      <c r="E77" s="7" t="s">
        <v>525</v>
      </c>
      <c r="F77" s="7">
        <v>87.69</v>
      </c>
      <c r="G77" s="7">
        <v>129</v>
      </c>
      <c r="H77" s="7">
        <v>1</v>
      </c>
      <c r="I77" s="7">
        <v>129</v>
      </c>
      <c r="J77" s="7">
        <v>33</v>
      </c>
      <c r="K77" s="7">
        <v>19</v>
      </c>
      <c r="L77" s="7">
        <v>2894</v>
      </c>
      <c r="M77" s="21">
        <v>1666</v>
      </c>
      <c r="N77" s="22">
        <f t="shared" si="30"/>
        <v>0.424326192121631</v>
      </c>
      <c r="O77" s="21">
        <f t="shared" si="23"/>
        <v>1.58</v>
      </c>
      <c r="P77" s="21">
        <f t="shared" si="31"/>
        <v>72.24</v>
      </c>
      <c r="Q77" s="21">
        <f t="shared" si="24"/>
        <v>6334.7256</v>
      </c>
      <c r="R77" s="21">
        <f t="shared" si="25"/>
        <v>0.433333333333333</v>
      </c>
      <c r="S77" s="21">
        <f t="shared" si="26"/>
        <v>40.1333333333333</v>
      </c>
      <c r="T77" s="21">
        <f t="shared" si="32"/>
        <v>5278.938</v>
      </c>
      <c r="U77" s="21">
        <f t="shared" si="27"/>
        <v>40.1333333333333</v>
      </c>
      <c r="V77" s="21">
        <f t="shared" si="28"/>
        <v>5278.938</v>
      </c>
      <c r="X77" s="21">
        <f t="shared" si="15"/>
        <v>24.08</v>
      </c>
      <c r="Y77" s="21">
        <f t="shared" si="16"/>
        <v>16.0533333333333</v>
      </c>
      <c r="Z77" s="7">
        <v>8</v>
      </c>
      <c r="AA77" s="23">
        <f t="shared" si="33"/>
        <v>-8.05333333333333</v>
      </c>
      <c r="AC77" s="21">
        <f t="shared" si="29"/>
        <v>2111.5752</v>
      </c>
      <c r="AD77" s="21">
        <f t="shared" si="34"/>
        <v>2111.5752</v>
      </c>
      <c r="AE77" s="7">
        <f t="shared" si="35"/>
        <v>1052.28</v>
      </c>
    </row>
    <row r="78" ht="15" hidden="1" customHeight="1" spans="1:31">
      <c r="A78" s="7" t="s">
        <v>871</v>
      </c>
      <c r="B78" s="7" t="s">
        <v>574</v>
      </c>
      <c r="C78" s="7" t="s">
        <v>34</v>
      </c>
      <c r="D78" s="7" t="s">
        <v>35</v>
      </c>
      <c r="E78" s="7" t="s">
        <v>250</v>
      </c>
      <c r="F78" s="7">
        <v>146.25</v>
      </c>
      <c r="G78" s="7">
        <v>12</v>
      </c>
      <c r="J78" s="7">
        <v>12</v>
      </c>
      <c r="K78" s="7">
        <v>0</v>
      </c>
      <c r="L78" s="7">
        <v>2633</v>
      </c>
      <c r="M78" s="21">
        <v>0</v>
      </c>
      <c r="N78" s="22">
        <f t="shared" si="30"/>
        <v>1</v>
      </c>
      <c r="O78" s="21">
        <f t="shared" si="23"/>
        <v>0.24</v>
      </c>
      <c r="P78" s="21">
        <f t="shared" si="31"/>
        <v>6.72</v>
      </c>
      <c r="Q78" s="21">
        <f t="shared" si="24"/>
        <v>982.8</v>
      </c>
      <c r="R78" s="21">
        <f t="shared" si="25"/>
        <v>0.133333333333333</v>
      </c>
      <c r="S78" s="21">
        <f t="shared" si="26"/>
        <v>3.73333333333333</v>
      </c>
      <c r="T78" s="21">
        <f t="shared" si="32"/>
        <v>819</v>
      </c>
      <c r="U78" s="21">
        <f t="shared" si="27"/>
        <v>3.73333333333333</v>
      </c>
      <c r="V78" s="21">
        <f t="shared" si="28"/>
        <v>819</v>
      </c>
      <c r="X78" s="21">
        <f t="shared" si="15"/>
        <v>2.24</v>
      </c>
      <c r="Y78" s="21">
        <f t="shared" si="16"/>
        <v>1.49333333333333</v>
      </c>
      <c r="Z78" s="7">
        <v>8</v>
      </c>
      <c r="AA78" s="23">
        <f t="shared" si="33"/>
        <v>6.50666666666667</v>
      </c>
      <c r="AC78" s="21">
        <f t="shared" si="29"/>
        <v>327.6</v>
      </c>
      <c r="AD78" s="21">
        <f t="shared" si="34"/>
        <v>327.6</v>
      </c>
      <c r="AE78" s="7">
        <f t="shared" si="35"/>
        <v>1755</v>
      </c>
    </row>
    <row r="79" ht="15" hidden="1" customHeight="1" spans="1:31">
      <c r="A79" s="7" t="s">
        <v>352</v>
      </c>
      <c r="B79" s="7" t="s">
        <v>353</v>
      </c>
      <c r="C79" s="7" t="s">
        <v>34</v>
      </c>
      <c r="D79" s="7" t="s">
        <v>35</v>
      </c>
      <c r="E79" s="7" t="s">
        <v>354</v>
      </c>
      <c r="F79" s="7">
        <v>87.64</v>
      </c>
      <c r="G79" s="7">
        <v>20</v>
      </c>
      <c r="J79" s="7">
        <v>20</v>
      </c>
      <c r="K79" s="7">
        <v>20</v>
      </c>
      <c r="L79" s="7">
        <v>2629</v>
      </c>
      <c r="M79" s="21">
        <v>2629</v>
      </c>
      <c r="N79" s="22">
        <f t="shared" si="30"/>
        <v>0</v>
      </c>
      <c r="O79" s="21">
        <f t="shared" si="23"/>
        <v>0.4</v>
      </c>
      <c r="P79" s="21">
        <f t="shared" si="31"/>
        <v>11.2</v>
      </c>
      <c r="Q79" s="21">
        <f t="shared" si="24"/>
        <v>981.568</v>
      </c>
      <c r="R79" s="21">
        <f t="shared" si="25"/>
        <v>0.222222222222222</v>
      </c>
      <c r="S79" s="21">
        <f t="shared" si="26"/>
        <v>6.22222222222222</v>
      </c>
      <c r="T79" s="21">
        <f t="shared" si="32"/>
        <v>817.973333333333</v>
      </c>
      <c r="U79" s="21">
        <f t="shared" si="27"/>
        <v>6.22222222222222</v>
      </c>
      <c r="V79" s="21">
        <f t="shared" si="28"/>
        <v>817.973333333333</v>
      </c>
      <c r="X79" s="21">
        <f t="shared" si="15"/>
        <v>3.73333333333333</v>
      </c>
      <c r="Y79" s="21">
        <f t="shared" si="16"/>
        <v>2.48888888888889</v>
      </c>
      <c r="Z79" s="7">
        <v>0</v>
      </c>
      <c r="AA79" s="23">
        <f t="shared" si="33"/>
        <v>-2.48888888888889</v>
      </c>
      <c r="AC79" s="21">
        <f t="shared" si="29"/>
        <v>327.189333333333</v>
      </c>
      <c r="AD79" s="21">
        <f t="shared" si="34"/>
        <v>327.189333333333</v>
      </c>
      <c r="AE79" s="7">
        <f t="shared" si="35"/>
        <v>0</v>
      </c>
    </row>
    <row r="80" ht="15" hidden="1" customHeight="1" spans="1:31">
      <c r="A80" s="7" t="s">
        <v>389</v>
      </c>
      <c r="B80" s="7" t="s">
        <v>390</v>
      </c>
      <c r="C80" s="7" t="s">
        <v>34</v>
      </c>
      <c r="D80" s="7" t="s">
        <v>35</v>
      </c>
      <c r="E80" s="7" t="s">
        <v>391</v>
      </c>
      <c r="F80" s="7">
        <v>326.39</v>
      </c>
      <c r="G80" s="7">
        <v>5</v>
      </c>
      <c r="J80" s="7">
        <v>5</v>
      </c>
      <c r="K80" s="7">
        <v>5</v>
      </c>
      <c r="L80" s="7">
        <v>2448</v>
      </c>
      <c r="M80" s="21">
        <v>2484</v>
      </c>
      <c r="N80" s="22">
        <f t="shared" si="30"/>
        <v>-0.0147058823529412</v>
      </c>
      <c r="O80" s="21">
        <f t="shared" si="23"/>
        <v>0.1</v>
      </c>
      <c r="P80" s="21">
        <f t="shared" si="31"/>
        <v>2.8</v>
      </c>
      <c r="Q80" s="21">
        <f t="shared" si="24"/>
        <v>913.892</v>
      </c>
      <c r="R80" s="21">
        <f t="shared" si="25"/>
        <v>0.0555555555555556</v>
      </c>
      <c r="S80" s="21">
        <f t="shared" si="26"/>
        <v>1.55555555555556</v>
      </c>
      <c r="T80" s="21">
        <f t="shared" si="32"/>
        <v>761.576666666667</v>
      </c>
      <c r="U80" s="21">
        <f t="shared" si="27"/>
        <v>1.55555555555556</v>
      </c>
      <c r="V80" s="21">
        <f t="shared" si="28"/>
        <v>761.576666666667</v>
      </c>
      <c r="X80" s="21">
        <f t="shared" si="15"/>
        <v>0.933333333333333</v>
      </c>
      <c r="Y80" s="21">
        <f t="shared" si="16"/>
        <v>0.622222222222222</v>
      </c>
      <c r="Z80" s="7">
        <v>0</v>
      </c>
      <c r="AA80" s="23">
        <f t="shared" si="33"/>
        <v>-0.622222222222222</v>
      </c>
      <c r="AC80" s="21">
        <f t="shared" si="29"/>
        <v>304.630666666667</v>
      </c>
      <c r="AD80" s="21">
        <f t="shared" si="34"/>
        <v>304.630666666667</v>
      </c>
      <c r="AE80" s="7">
        <f t="shared" si="35"/>
        <v>0</v>
      </c>
    </row>
    <row r="81" ht="15" hidden="1" customHeight="1" spans="1:31">
      <c r="A81" s="7" t="s">
        <v>196</v>
      </c>
      <c r="B81" s="7" t="s">
        <v>197</v>
      </c>
      <c r="C81" s="7" t="s">
        <v>34</v>
      </c>
      <c r="D81" s="7" t="s">
        <v>51</v>
      </c>
      <c r="E81" s="7" t="s">
        <v>80</v>
      </c>
      <c r="F81" s="7">
        <v>129.79</v>
      </c>
      <c r="G81" s="7">
        <v>12</v>
      </c>
      <c r="J81" s="7">
        <v>12</v>
      </c>
      <c r="K81" s="7">
        <v>12</v>
      </c>
      <c r="L81" s="7">
        <v>2336</v>
      </c>
      <c r="M81" s="21">
        <v>2365</v>
      </c>
      <c r="N81" s="22">
        <f t="shared" si="30"/>
        <v>-0.0124143835616438</v>
      </c>
      <c r="O81" s="21">
        <f t="shared" si="23"/>
        <v>0.24</v>
      </c>
      <c r="P81" s="21">
        <f t="shared" si="31"/>
        <v>6.72</v>
      </c>
      <c r="Q81" s="21">
        <f t="shared" si="24"/>
        <v>872.1888</v>
      </c>
      <c r="R81" s="21">
        <f t="shared" si="25"/>
        <v>0.133333333333333</v>
      </c>
      <c r="S81" s="21">
        <f t="shared" si="26"/>
        <v>3.73333333333333</v>
      </c>
      <c r="T81" s="21">
        <f t="shared" si="32"/>
        <v>726.824</v>
      </c>
      <c r="U81" s="21">
        <f t="shared" si="27"/>
        <v>3.73333333333333</v>
      </c>
      <c r="V81" s="21">
        <f t="shared" si="28"/>
        <v>726.824</v>
      </c>
      <c r="X81" s="21">
        <f t="shared" si="15"/>
        <v>2.24</v>
      </c>
      <c r="Y81" s="21">
        <f t="shared" si="16"/>
        <v>1.49333333333333</v>
      </c>
      <c r="Z81" s="7">
        <v>0</v>
      </c>
      <c r="AA81" s="23">
        <f t="shared" si="33"/>
        <v>-1.49333333333333</v>
      </c>
      <c r="AC81" s="21">
        <f t="shared" si="29"/>
        <v>290.7296</v>
      </c>
      <c r="AD81" s="21">
        <f t="shared" si="34"/>
        <v>290.7296</v>
      </c>
      <c r="AE81" s="7">
        <f t="shared" si="35"/>
        <v>0</v>
      </c>
    </row>
    <row r="82" ht="15" hidden="1" customHeight="1" spans="1:31">
      <c r="A82" s="7" t="s">
        <v>872</v>
      </c>
      <c r="B82" s="7" t="s">
        <v>873</v>
      </c>
      <c r="C82" s="7" t="s">
        <v>34</v>
      </c>
      <c r="D82" s="7" t="s">
        <v>35</v>
      </c>
      <c r="E82" s="7" t="s">
        <v>447</v>
      </c>
      <c r="F82" s="7">
        <v>29.86</v>
      </c>
      <c r="G82" s="7">
        <v>59</v>
      </c>
      <c r="J82" s="7">
        <v>53</v>
      </c>
      <c r="K82" s="7">
        <v>0</v>
      </c>
      <c r="L82" s="7">
        <v>2299</v>
      </c>
      <c r="M82" s="21">
        <v>0</v>
      </c>
      <c r="N82" s="22">
        <f t="shared" si="30"/>
        <v>1</v>
      </c>
      <c r="O82" s="21">
        <f t="shared" si="23"/>
        <v>1.18</v>
      </c>
      <c r="P82" s="21">
        <f t="shared" si="31"/>
        <v>33.04</v>
      </c>
      <c r="Q82" s="21">
        <f t="shared" si="24"/>
        <v>986.5744</v>
      </c>
      <c r="R82" s="21">
        <f t="shared" si="25"/>
        <v>0.655555555555556</v>
      </c>
      <c r="S82" s="21">
        <f t="shared" si="26"/>
        <v>18.3555555555556</v>
      </c>
      <c r="T82" s="21">
        <f t="shared" si="32"/>
        <v>822.145333333333</v>
      </c>
      <c r="U82" s="21">
        <f t="shared" si="27"/>
        <v>18.3555555555556</v>
      </c>
      <c r="V82" s="21">
        <f t="shared" si="28"/>
        <v>822.145333333333</v>
      </c>
      <c r="X82" s="21">
        <f t="shared" si="15"/>
        <v>11.0133333333333</v>
      </c>
      <c r="Y82" s="21">
        <f t="shared" si="16"/>
        <v>7.34222222222222</v>
      </c>
      <c r="Z82" s="7">
        <v>2</v>
      </c>
      <c r="AA82" s="23">
        <f t="shared" si="33"/>
        <v>-5.34222222222222</v>
      </c>
      <c r="AC82" s="21">
        <f t="shared" si="29"/>
        <v>328.858133333333</v>
      </c>
      <c r="AD82" s="21">
        <f t="shared" si="34"/>
        <v>328.858133333333</v>
      </c>
      <c r="AE82" s="7">
        <f t="shared" si="35"/>
        <v>89.58</v>
      </c>
    </row>
    <row r="83" ht="15" hidden="1" customHeight="1" spans="1:31">
      <c r="A83" s="7" t="s">
        <v>375</v>
      </c>
      <c r="B83" s="7" t="s">
        <v>376</v>
      </c>
      <c r="C83" s="7" t="s">
        <v>34</v>
      </c>
      <c r="D83" s="7" t="s">
        <v>35</v>
      </c>
      <c r="E83" s="7" t="s">
        <v>377</v>
      </c>
      <c r="F83" s="7">
        <v>19.04</v>
      </c>
      <c r="G83" s="7">
        <v>77</v>
      </c>
      <c r="J83" s="7">
        <v>74</v>
      </c>
      <c r="K83" s="7">
        <v>75</v>
      </c>
      <c r="L83" s="7">
        <v>2085</v>
      </c>
      <c r="M83" s="21">
        <v>2132</v>
      </c>
      <c r="N83" s="22">
        <f t="shared" si="30"/>
        <v>-0.0225419664268585</v>
      </c>
      <c r="O83" s="21">
        <f t="shared" si="23"/>
        <v>1.54</v>
      </c>
      <c r="P83" s="21">
        <f t="shared" si="31"/>
        <v>43.12</v>
      </c>
      <c r="Q83" s="21">
        <f t="shared" si="24"/>
        <v>821.0048</v>
      </c>
      <c r="R83" s="21">
        <f t="shared" si="25"/>
        <v>0.855555555555556</v>
      </c>
      <c r="S83" s="21">
        <f t="shared" si="26"/>
        <v>23.9555555555556</v>
      </c>
      <c r="T83" s="21">
        <f t="shared" si="32"/>
        <v>684.170666666667</v>
      </c>
      <c r="U83" s="21">
        <f t="shared" si="27"/>
        <v>23.9555555555556</v>
      </c>
      <c r="V83" s="21">
        <f t="shared" si="28"/>
        <v>684.170666666667</v>
      </c>
      <c r="X83" s="21">
        <f t="shared" si="15"/>
        <v>14.3733333333333</v>
      </c>
      <c r="Y83" s="21">
        <f t="shared" si="16"/>
        <v>9.58222222222222</v>
      </c>
      <c r="Z83" s="7">
        <v>0</v>
      </c>
      <c r="AA83" s="23">
        <f t="shared" si="33"/>
        <v>-9.58222222222222</v>
      </c>
      <c r="AC83" s="21">
        <f t="shared" si="29"/>
        <v>273.668266666667</v>
      </c>
      <c r="AD83" s="21">
        <f t="shared" si="34"/>
        <v>273.668266666667</v>
      </c>
      <c r="AE83" s="7">
        <f t="shared" si="35"/>
        <v>0</v>
      </c>
    </row>
    <row r="84" ht="15" hidden="1" customHeight="1" spans="1:31">
      <c r="A84" s="7" t="s">
        <v>504</v>
      </c>
      <c r="B84" s="7" t="s">
        <v>505</v>
      </c>
      <c r="C84" s="7" t="s">
        <v>34</v>
      </c>
      <c r="D84" s="7" t="s">
        <v>35</v>
      </c>
      <c r="E84" s="7" t="s">
        <v>492</v>
      </c>
      <c r="F84" s="7">
        <v>37.71</v>
      </c>
      <c r="G84" s="7">
        <v>87</v>
      </c>
      <c r="J84" s="7">
        <v>47</v>
      </c>
      <c r="K84" s="7">
        <v>63</v>
      </c>
      <c r="L84" s="7">
        <v>2055</v>
      </c>
      <c r="M84" s="21">
        <v>3318</v>
      </c>
      <c r="N84" s="22">
        <f t="shared" si="30"/>
        <v>-0.614598540145985</v>
      </c>
      <c r="O84" s="21">
        <f t="shared" si="23"/>
        <v>1.74</v>
      </c>
      <c r="P84" s="21">
        <f t="shared" si="31"/>
        <v>48.72</v>
      </c>
      <c r="Q84" s="21">
        <f t="shared" si="24"/>
        <v>1837.2312</v>
      </c>
      <c r="R84" s="21">
        <f t="shared" si="25"/>
        <v>0.966666666666667</v>
      </c>
      <c r="S84" s="21">
        <f t="shared" si="26"/>
        <v>27.0666666666667</v>
      </c>
      <c r="T84" s="21">
        <f t="shared" si="32"/>
        <v>1531.026</v>
      </c>
      <c r="U84" s="21">
        <f t="shared" si="27"/>
        <v>27.0666666666667</v>
      </c>
      <c r="V84" s="21">
        <f t="shared" si="28"/>
        <v>1531.026</v>
      </c>
      <c r="X84" s="21">
        <f t="shared" si="15"/>
        <v>16.24</v>
      </c>
      <c r="Y84" s="21">
        <f t="shared" si="16"/>
        <v>10.8266666666667</v>
      </c>
      <c r="Z84" s="7">
        <v>10</v>
      </c>
      <c r="AA84" s="23">
        <f t="shared" si="33"/>
        <v>-0.826666666666668</v>
      </c>
      <c r="AC84" s="21">
        <f t="shared" si="29"/>
        <v>612.4104</v>
      </c>
      <c r="AD84" s="21">
        <f t="shared" si="34"/>
        <v>612.4104</v>
      </c>
      <c r="AE84" s="7">
        <f t="shared" si="35"/>
        <v>565.65</v>
      </c>
    </row>
    <row r="85" ht="15" hidden="1" customHeight="1" spans="1:31">
      <c r="A85" s="7" t="s">
        <v>802</v>
      </c>
      <c r="B85" s="7" t="s">
        <v>660</v>
      </c>
      <c r="C85" s="7" t="s">
        <v>34</v>
      </c>
      <c r="D85" s="7" t="s">
        <v>35</v>
      </c>
      <c r="E85" s="7" t="s">
        <v>661</v>
      </c>
      <c r="F85" s="7">
        <v>20.77</v>
      </c>
      <c r="G85" s="7">
        <v>83</v>
      </c>
      <c r="J85" s="7">
        <v>67</v>
      </c>
      <c r="K85" s="7">
        <v>0</v>
      </c>
      <c r="L85" s="7">
        <v>1952</v>
      </c>
      <c r="M85" s="21">
        <v>0</v>
      </c>
      <c r="N85" s="22">
        <f t="shared" si="30"/>
        <v>1</v>
      </c>
      <c r="O85" s="21">
        <f t="shared" si="23"/>
        <v>1.66</v>
      </c>
      <c r="P85" s="21">
        <f t="shared" si="31"/>
        <v>46.48</v>
      </c>
      <c r="Q85" s="21">
        <f t="shared" si="24"/>
        <v>965.3896</v>
      </c>
      <c r="R85" s="21">
        <f t="shared" si="25"/>
        <v>0.922222222222222</v>
      </c>
      <c r="S85" s="21">
        <f t="shared" si="26"/>
        <v>25.8222222222222</v>
      </c>
      <c r="T85" s="21">
        <f t="shared" si="32"/>
        <v>804.491333333333</v>
      </c>
      <c r="U85" s="21">
        <f t="shared" si="27"/>
        <v>25.8222222222222</v>
      </c>
      <c r="V85" s="21">
        <f t="shared" si="28"/>
        <v>804.491333333333</v>
      </c>
      <c r="X85" s="21">
        <f t="shared" si="15"/>
        <v>15.4933333333333</v>
      </c>
      <c r="Y85" s="21">
        <f t="shared" si="16"/>
        <v>10.3288888888889</v>
      </c>
      <c r="Z85" s="7">
        <v>56</v>
      </c>
      <c r="AA85" s="23">
        <f t="shared" si="33"/>
        <v>45.6711111111111</v>
      </c>
      <c r="AC85" s="21">
        <f t="shared" si="29"/>
        <v>321.796533333333</v>
      </c>
      <c r="AD85" s="21">
        <f t="shared" si="34"/>
        <v>321.796533333333</v>
      </c>
      <c r="AE85" s="7">
        <f t="shared" si="35"/>
        <v>1744.68</v>
      </c>
    </row>
    <row r="86" ht="15" hidden="1" customHeight="1" spans="1:31">
      <c r="A86" s="7" t="s">
        <v>412</v>
      </c>
      <c r="B86" s="7" t="s">
        <v>413</v>
      </c>
      <c r="C86" s="7" t="s">
        <v>34</v>
      </c>
      <c r="D86" s="7" t="s">
        <v>35</v>
      </c>
      <c r="E86" s="7" t="s">
        <v>171</v>
      </c>
      <c r="F86" s="7">
        <v>43.51</v>
      </c>
      <c r="G86" s="7">
        <v>43</v>
      </c>
      <c r="J86" s="7">
        <v>32</v>
      </c>
      <c r="K86" s="7">
        <v>43</v>
      </c>
      <c r="L86" s="7">
        <v>1893</v>
      </c>
      <c r="M86" s="21">
        <v>2698</v>
      </c>
      <c r="N86" s="22">
        <f t="shared" si="30"/>
        <v>-0.425250924458531</v>
      </c>
      <c r="O86" s="21">
        <f t="shared" si="23"/>
        <v>0.86</v>
      </c>
      <c r="P86" s="21">
        <f t="shared" si="31"/>
        <v>24.08</v>
      </c>
      <c r="Q86" s="21">
        <f t="shared" si="24"/>
        <v>1047.7208</v>
      </c>
      <c r="R86" s="21">
        <f t="shared" si="25"/>
        <v>0.477777777777778</v>
      </c>
      <c r="S86" s="21">
        <f t="shared" si="26"/>
        <v>13.3777777777778</v>
      </c>
      <c r="T86" s="21">
        <f t="shared" si="32"/>
        <v>873.100666666667</v>
      </c>
      <c r="U86" s="21">
        <f t="shared" si="27"/>
        <v>13.3777777777778</v>
      </c>
      <c r="V86" s="21">
        <f t="shared" si="28"/>
        <v>873.100666666667</v>
      </c>
      <c r="X86" s="21">
        <f t="shared" si="15"/>
        <v>8.02666666666667</v>
      </c>
      <c r="Y86" s="21">
        <f t="shared" si="16"/>
        <v>5.35111111111111</v>
      </c>
      <c r="Z86" s="7">
        <v>0</v>
      </c>
      <c r="AA86" s="23">
        <f t="shared" si="33"/>
        <v>-5.35111111111111</v>
      </c>
      <c r="AC86" s="21">
        <f t="shared" si="29"/>
        <v>349.240266666667</v>
      </c>
      <c r="AD86" s="21">
        <f t="shared" si="34"/>
        <v>349.240266666667</v>
      </c>
      <c r="AE86" s="7">
        <f t="shared" si="35"/>
        <v>0</v>
      </c>
    </row>
    <row r="87" ht="15" hidden="1" customHeight="1" spans="1:31">
      <c r="A87" s="7" t="s">
        <v>262</v>
      </c>
      <c r="B87" s="7" t="s">
        <v>263</v>
      </c>
      <c r="C87" s="7" t="s">
        <v>34</v>
      </c>
      <c r="D87" s="7" t="s">
        <v>35</v>
      </c>
      <c r="E87" s="7" t="s">
        <v>264</v>
      </c>
      <c r="F87" s="7">
        <v>32.95</v>
      </c>
      <c r="G87" s="7">
        <v>119</v>
      </c>
      <c r="J87" s="7">
        <v>38</v>
      </c>
      <c r="K87" s="7">
        <v>39</v>
      </c>
      <c r="L87" s="7">
        <v>1862</v>
      </c>
      <c r="M87" s="21">
        <v>1928</v>
      </c>
      <c r="N87" s="22">
        <f t="shared" si="30"/>
        <v>-0.0354457572502685</v>
      </c>
      <c r="O87" s="21">
        <f t="shared" si="23"/>
        <v>2.38</v>
      </c>
      <c r="P87" s="21">
        <f t="shared" si="31"/>
        <v>66.64</v>
      </c>
      <c r="Q87" s="21">
        <f t="shared" si="24"/>
        <v>2195.788</v>
      </c>
      <c r="R87" s="21">
        <f t="shared" si="25"/>
        <v>1.32222222222222</v>
      </c>
      <c r="S87" s="21">
        <f t="shared" si="26"/>
        <v>37.0222222222222</v>
      </c>
      <c r="T87" s="21">
        <f t="shared" si="32"/>
        <v>1829.82333333333</v>
      </c>
      <c r="U87" s="21">
        <f t="shared" si="27"/>
        <v>37.0222222222222</v>
      </c>
      <c r="V87" s="21">
        <f t="shared" si="28"/>
        <v>1829.82333333333</v>
      </c>
      <c r="X87" s="21">
        <f t="shared" si="15"/>
        <v>22.2133333333333</v>
      </c>
      <c r="Y87" s="21">
        <f t="shared" si="16"/>
        <v>14.8088888888889</v>
      </c>
      <c r="Z87" s="7">
        <v>0</v>
      </c>
      <c r="AA87" s="23">
        <f t="shared" si="33"/>
        <v>-14.8088888888889</v>
      </c>
      <c r="AC87" s="21">
        <f t="shared" si="29"/>
        <v>731.929333333333</v>
      </c>
      <c r="AD87" s="21">
        <f t="shared" si="34"/>
        <v>731.929333333333</v>
      </c>
      <c r="AE87" s="7">
        <f t="shared" si="35"/>
        <v>0</v>
      </c>
    </row>
    <row r="88" ht="15" hidden="1" customHeight="1" spans="1:31">
      <c r="A88" s="7" t="s">
        <v>385</v>
      </c>
      <c r="B88" s="7" t="s">
        <v>386</v>
      </c>
      <c r="C88" s="7" t="s">
        <v>34</v>
      </c>
      <c r="D88" s="7" t="s">
        <v>35</v>
      </c>
      <c r="E88" s="7" t="s">
        <v>110</v>
      </c>
      <c r="F88" s="7">
        <v>15.45</v>
      </c>
      <c r="G88" s="7">
        <v>80</v>
      </c>
      <c r="J88" s="7">
        <v>80</v>
      </c>
      <c r="K88" s="7">
        <v>0</v>
      </c>
      <c r="L88" s="7">
        <v>1854</v>
      </c>
      <c r="M88" s="21">
        <v>0</v>
      </c>
      <c r="N88" s="22">
        <f t="shared" si="30"/>
        <v>1</v>
      </c>
      <c r="O88" s="21">
        <f t="shared" si="23"/>
        <v>1.6</v>
      </c>
      <c r="P88" s="21">
        <f t="shared" si="31"/>
        <v>44.8</v>
      </c>
      <c r="Q88" s="21">
        <f t="shared" si="24"/>
        <v>692.16</v>
      </c>
      <c r="R88" s="21">
        <f t="shared" si="25"/>
        <v>0.888888888888889</v>
      </c>
      <c r="S88" s="21">
        <f t="shared" si="26"/>
        <v>24.8888888888889</v>
      </c>
      <c r="T88" s="21">
        <f t="shared" si="32"/>
        <v>576.8</v>
      </c>
      <c r="U88" s="21">
        <f t="shared" si="27"/>
        <v>24.8888888888889</v>
      </c>
      <c r="V88" s="21">
        <f t="shared" si="28"/>
        <v>576.8</v>
      </c>
      <c r="X88" s="21">
        <f t="shared" si="15"/>
        <v>14.9333333333333</v>
      </c>
      <c r="Y88" s="21">
        <f t="shared" si="16"/>
        <v>9.95555555555556</v>
      </c>
      <c r="Z88" s="7">
        <v>82</v>
      </c>
      <c r="AA88" s="23">
        <f t="shared" si="33"/>
        <v>72.0444444444445</v>
      </c>
      <c r="AC88" s="21">
        <f t="shared" si="29"/>
        <v>230.72</v>
      </c>
      <c r="AD88" s="21">
        <f t="shared" si="34"/>
        <v>230.72</v>
      </c>
      <c r="AE88" s="7">
        <f t="shared" si="35"/>
        <v>1900.35</v>
      </c>
    </row>
    <row r="89" ht="15" hidden="1" customHeight="1" spans="1:31">
      <c r="A89" s="7" t="s">
        <v>418</v>
      </c>
      <c r="B89" s="7" t="s">
        <v>419</v>
      </c>
      <c r="C89" s="7" t="s">
        <v>34</v>
      </c>
      <c r="D89" s="7" t="s">
        <v>35</v>
      </c>
      <c r="E89" s="7" t="s">
        <v>110</v>
      </c>
      <c r="F89" s="7">
        <v>15.45</v>
      </c>
      <c r="G89" s="7">
        <v>80</v>
      </c>
      <c r="J89" s="7">
        <v>80</v>
      </c>
      <c r="K89" s="7">
        <v>0</v>
      </c>
      <c r="L89" s="7">
        <v>1854</v>
      </c>
      <c r="M89" s="21">
        <v>0</v>
      </c>
      <c r="N89" s="22">
        <f t="shared" si="30"/>
        <v>1</v>
      </c>
      <c r="O89" s="21">
        <f t="shared" si="23"/>
        <v>1.6</v>
      </c>
      <c r="P89" s="21">
        <f t="shared" si="31"/>
        <v>44.8</v>
      </c>
      <c r="Q89" s="21">
        <f t="shared" si="24"/>
        <v>692.16</v>
      </c>
      <c r="R89" s="21">
        <f t="shared" si="25"/>
        <v>0.888888888888889</v>
      </c>
      <c r="S89" s="21">
        <f t="shared" si="26"/>
        <v>24.8888888888889</v>
      </c>
      <c r="T89" s="21">
        <f t="shared" si="32"/>
        <v>576.8</v>
      </c>
      <c r="U89" s="21">
        <f t="shared" si="27"/>
        <v>24.8888888888889</v>
      </c>
      <c r="V89" s="21">
        <f t="shared" si="28"/>
        <v>576.8</v>
      </c>
      <c r="X89" s="21">
        <f t="shared" si="15"/>
        <v>14.9333333333333</v>
      </c>
      <c r="Y89" s="21">
        <f t="shared" si="16"/>
        <v>9.95555555555556</v>
      </c>
      <c r="Z89" s="7">
        <v>0</v>
      </c>
      <c r="AA89" s="23">
        <f t="shared" si="33"/>
        <v>-9.95555555555556</v>
      </c>
      <c r="AC89" s="21">
        <f t="shared" si="29"/>
        <v>230.72</v>
      </c>
      <c r="AD89" s="21">
        <f t="shared" si="34"/>
        <v>230.72</v>
      </c>
      <c r="AE89" s="7">
        <f t="shared" si="35"/>
        <v>0</v>
      </c>
    </row>
    <row r="90" ht="15" hidden="1" customHeight="1" spans="1:31">
      <c r="A90" s="7" t="s">
        <v>331</v>
      </c>
      <c r="B90" s="7" t="s">
        <v>332</v>
      </c>
      <c r="C90" s="7" t="s">
        <v>34</v>
      </c>
      <c r="D90" s="7" t="s">
        <v>35</v>
      </c>
      <c r="E90" s="7" t="s">
        <v>110</v>
      </c>
      <c r="F90" s="7">
        <v>15.45</v>
      </c>
      <c r="G90" s="7">
        <v>80</v>
      </c>
      <c r="J90" s="7">
        <v>80</v>
      </c>
      <c r="K90" s="7">
        <v>0</v>
      </c>
      <c r="L90" s="7">
        <v>1854</v>
      </c>
      <c r="M90" s="21">
        <v>0</v>
      </c>
      <c r="N90" s="22">
        <f t="shared" si="30"/>
        <v>1</v>
      </c>
      <c r="O90" s="21">
        <f t="shared" si="23"/>
        <v>1.6</v>
      </c>
      <c r="P90" s="21">
        <f t="shared" si="31"/>
        <v>44.8</v>
      </c>
      <c r="Q90" s="21">
        <f t="shared" si="24"/>
        <v>692.16</v>
      </c>
      <c r="R90" s="21">
        <f t="shared" si="25"/>
        <v>0.888888888888889</v>
      </c>
      <c r="S90" s="21">
        <f t="shared" si="26"/>
        <v>24.8888888888889</v>
      </c>
      <c r="T90" s="21">
        <f t="shared" si="32"/>
        <v>576.8</v>
      </c>
      <c r="U90" s="21">
        <f t="shared" si="27"/>
        <v>24.8888888888889</v>
      </c>
      <c r="V90" s="21">
        <f t="shared" si="28"/>
        <v>576.8</v>
      </c>
      <c r="X90" s="21">
        <f t="shared" si="15"/>
        <v>14.9333333333333</v>
      </c>
      <c r="Y90" s="21">
        <f t="shared" si="16"/>
        <v>9.95555555555556</v>
      </c>
      <c r="Z90" s="7">
        <v>51</v>
      </c>
      <c r="AA90" s="23">
        <f t="shared" si="33"/>
        <v>41.0444444444444</v>
      </c>
      <c r="AC90" s="21">
        <f t="shared" si="29"/>
        <v>230.72</v>
      </c>
      <c r="AD90" s="21">
        <f t="shared" si="34"/>
        <v>230.72</v>
      </c>
      <c r="AE90" s="7">
        <f t="shared" si="35"/>
        <v>1181.925</v>
      </c>
    </row>
    <row r="91" ht="15" hidden="1" customHeight="1" spans="1:31">
      <c r="A91" s="7" t="s">
        <v>439</v>
      </c>
      <c r="B91" s="7" t="s">
        <v>440</v>
      </c>
      <c r="C91" s="7" t="s">
        <v>34</v>
      </c>
      <c r="D91" s="7" t="s">
        <v>51</v>
      </c>
      <c r="E91" s="7" t="s">
        <v>80</v>
      </c>
      <c r="F91" s="7">
        <v>9.71</v>
      </c>
      <c r="G91" s="7">
        <v>120</v>
      </c>
      <c r="J91" s="7">
        <v>120</v>
      </c>
      <c r="K91" s="7">
        <v>120</v>
      </c>
      <c r="L91" s="7">
        <v>1748</v>
      </c>
      <c r="M91" s="21">
        <v>1748</v>
      </c>
      <c r="N91" s="22">
        <f t="shared" si="30"/>
        <v>0</v>
      </c>
      <c r="O91" s="21">
        <f t="shared" si="23"/>
        <v>2.4</v>
      </c>
      <c r="P91" s="21">
        <f t="shared" si="31"/>
        <v>67.2</v>
      </c>
      <c r="Q91" s="21">
        <f t="shared" si="24"/>
        <v>652.512</v>
      </c>
      <c r="R91" s="21">
        <f t="shared" si="25"/>
        <v>1.33333333333333</v>
      </c>
      <c r="S91" s="21">
        <f t="shared" si="26"/>
        <v>37.3333333333333</v>
      </c>
      <c r="T91" s="21">
        <f t="shared" si="32"/>
        <v>543.76</v>
      </c>
      <c r="U91" s="21">
        <f t="shared" si="27"/>
        <v>37.3333333333333</v>
      </c>
      <c r="V91" s="21">
        <f t="shared" si="28"/>
        <v>543.76</v>
      </c>
      <c r="X91" s="21">
        <f t="shared" ref="X91:X136" si="36">U91*0.6</f>
        <v>22.4</v>
      </c>
      <c r="Y91" s="21">
        <f t="shared" ref="Y91:Y136" si="37">U91*0.4</f>
        <v>14.9333333333333</v>
      </c>
      <c r="Z91" s="7">
        <v>0</v>
      </c>
      <c r="AA91" s="23">
        <f t="shared" si="33"/>
        <v>-14.9333333333333</v>
      </c>
      <c r="AC91" s="21">
        <f t="shared" si="29"/>
        <v>217.504</v>
      </c>
      <c r="AD91" s="21">
        <f t="shared" si="34"/>
        <v>217.504</v>
      </c>
      <c r="AE91" s="7">
        <f t="shared" si="35"/>
        <v>0</v>
      </c>
    </row>
    <row r="92" ht="15" hidden="1" customHeight="1" spans="1:31">
      <c r="A92" s="7" t="s">
        <v>501</v>
      </c>
      <c r="B92" s="7" t="s">
        <v>502</v>
      </c>
      <c r="C92" s="7" t="s">
        <v>34</v>
      </c>
      <c r="D92" s="7" t="s">
        <v>35</v>
      </c>
      <c r="E92" s="7" t="s">
        <v>447</v>
      </c>
      <c r="F92" s="7">
        <v>21.06</v>
      </c>
      <c r="G92" s="7">
        <v>57</v>
      </c>
      <c r="J92" s="7">
        <v>54</v>
      </c>
      <c r="K92" s="7">
        <v>45</v>
      </c>
      <c r="L92" s="7">
        <v>1674</v>
      </c>
      <c r="M92" s="21">
        <v>1348</v>
      </c>
      <c r="N92" s="22">
        <f t="shared" si="30"/>
        <v>0.194743130227001</v>
      </c>
      <c r="O92" s="21">
        <f t="shared" si="23"/>
        <v>1.14</v>
      </c>
      <c r="P92" s="21">
        <f t="shared" si="31"/>
        <v>31.92</v>
      </c>
      <c r="Q92" s="21">
        <f t="shared" si="24"/>
        <v>672.2352</v>
      </c>
      <c r="R92" s="21">
        <f t="shared" si="25"/>
        <v>0.633333333333333</v>
      </c>
      <c r="S92" s="21">
        <f t="shared" si="26"/>
        <v>17.7333333333333</v>
      </c>
      <c r="T92" s="21">
        <f t="shared" si="32"/>
        <v>560.196</v>
      </c>
      <c r="U92" s="21">
        <f t="shared" si="27"/>
        <v>17.7333333333333</v>
      </c>
      <c r="V92" s="21">
        <f t="shared" si="28"/>
        <v>560.196</v>
      </c>
      <c r="X92" s="21">
        <f t="shared" si="36"/>
        <v>10.64</v>
      </c>
      <c r="Y92" s="21">
        <f t="shared" si="37"/>
        <v>7.09333333333333</v>
      </c>
      <c r="Z92" s="7">
        <v>0</v>
      </c>
      <c r="AA92" s="23">
        <f t="shared" si="33"/>
        <v>-7.09333333333333</v>
      </c>
      <c r="AC92" s="21">
        <f t="shared" si="29"/>
        <v>224.0784</v>
      </c>
      <c r="AD92" s="21">
        <f t="shared" si="34"/>
        <v>224.0784</v>
      </c>
      <c r="AE92" s="7">
        <f t="shared" si="35"/>
        <v>0</v>
      </c>
    </row>
    <row r="93" ht="15" hidden="1" customHeight="1" spans="1:31">
      <c r="A93" s="7" t="s">
        <v>445</v>
      </c>
      <c r="B93" s="7" t="s">
        <v>446</v>
      </c>
      <c r="C93" s="7" t="s">
        <v>34</v>
      </c>
      <c r="D93" s="7" t="s">
        <v>35</v>
      </c>
      <c r="E93" s="7" t="s">
        <v>447</v>
      </c>
      <c r="F93" s="7">
        <v>19.15</v>
      </c>
      <c r="G93" s="7">
        <v>58</v>
      </c>
      <c r="J93" s="7">
        <v>58</v>
      </c>
      <c r="K93" s="7">
        <v>53</v>
      </c>
      <c r="L93" s="7">
        <v>1666</v>
      </c>
      <c r="M93" s="21">
        <v>1494</v>
      </c>
      <c r="N93" s="22">
        <f t="shared" si="30"/>
        <v>0.103241296518607</v>
      </c>
      <c r="O93" s="21">
        <f t="shared" si="23"/>
        <v>1.16</v>
      </c>
      <c r="P93" s="21">
        <f t="shared" si="31"/>
        <v>32.48</v>
      </c>
      <c r="Q93" s="21">
        <f t="shared" si="24"/>
        <v>621.992</v>
      </c>
      <c r="R93" s="21">
        <f t="shared" si="25"/>
        <v>0.644444444444444</v>
      </c>
      <c r="S93" s="21">
        <f t="shared" si="26"/>
        <v>18.0444444444444</v>
      </c>
      <c r="T93" s="21">
        <f t="shared" si="32"/>
        <v>518.326666666667</v>
      </c>
      <c r="U93" s="21">
        <f t="shared" si="27"/>
        <v>18.0444444444444</v>
      </c>
      <c r="V93" s="21">
        <f t="shared" si="28"/>
        <v>518.326666666667</v>
      </c>
      <c r="X93" s="21">
        <f t="shared" si="36"/>
        <v>10.8266666666667</v>
      </c>
      <c r="Y93" s="21">
        <f t="shared" si="37"/>
        <v>7.21777777777778</v>
      </c>
      <c r="Z93" s="7">
        <v>1</v>
      </c>
      <c r="AA93" s="23">
        <f t="shared" si="33"/>
        <v>-6.21777777777778</v>
      </c>
      <c r="AC93" s="21">
        <f t="shared" si="29"/>
        <v>207.330666666667</v>
      </c>
      <c r="AD93" s="21">
        <f t="shared" si="34"/>
        <v>207.330666666667</v>
      </c>
      <c r="AE93" s="7">
        <f t="shared" si="35"/>
        <v>28.725</v>
      </c>
    </row>
    <row r="94" ht="15" hidden="1" customHeight="1" spans="1:31">
      <c r="A94" s="7" t="s">
        <v>409</v>
      </c>
      <c r="B94" s="7" t="s">
        <v>410</v>
      </c>
      <c r="C94" s="7" t="s">
        <v>34</v>
      </c>
      <c r="D94" s="7" t="s">
        <v>35</v>
      </c>
      <c r="E94" s="7" t="s">
        <v>411</v>
      </c>
      <c r="F94" s="7">
        <v>11.05</v>
      </c>
      <c r="G94" s="7">
        <v>100</v>
      </c>
      <c r="J94" s="7">
        <v>100</v>
      </c>
      <c r="K94" s="7">
        <v>100</v>
      </c>
      <c r="L94" s="7">
        <v>1658</v>
      </c>
      <c r="M94" s="21">
        <v>1658</v>
      </c>
      <c r="N94" s="22">
        <f t="shared" si="30"/>
        <v>0</v>
      </c>
      <c r="O94" s="21">
        <f t="shared" si="23"/>
        <v>2</v>
      </c>
      <c r="P94" s="21">
        <f t="shared" si="31"/>
        <v>56</v>
      </c>
      <c r="Q94" s="21">
        <f t="shared" si="24"/>
        <v>618.8</v>
      </c>
      <c r="R94" s="21">
        <f t="shared" si="25"/>
        <v>1.11111111111111</v>
      </c>
      <c r="S94" s="21">
        <f t="shared" si="26"/>
        <v>31.1111111111111</v>
      </c>
      <c r="T94" s="21">
        <f t="shared" si="32"/>
        <v>515.666666666667</v>
      </c>
      <c r="U94" s="21">
        <f t="shared" si="27"/>
        <v>31.1111111111111</v>
      </c>
      <c r="V94" s="21">
        <f t="shared" si="28"/>
        <v>515.666666666667</v>
      </c>
      <c r="X94" s="21">
        <f t="shared" si="36"/>
        <v>18.6666666666667</v>
      </c>
      <c r="Y94" s="21">
        <f t="shared" si="37"/>
        <v>12.4444444444444</v>
      </c>
      <c r="Z94" s="7">
        <v>0</v>
      </c>
      <c r="AA94" s="23">
        <f t="shared" si="33"/>
        <v>-12.4444444444444</v>
      </c>
      <c r="AC94" s="21">
        <f t="shared" si="29"/>
        <v>206.266666666667</v>
      </c>
      <c r="AD94" s="21">
        <f t="shared" si="34"/>
        <v>206.266666666667</v>
      </c>
      <c r="AE94" s="7">
        <f t="shared" si="35"/>
        <v>0</v>
      </c>
    </row>
    <row r="95" ht="15" hidden="1" customHeight="1" spans="1:31">
      <c r="A95" s="7" t="s">
        <v>515</v>
      </c>
      <c r="B95" s="7" t="s">
        <v>516</v>
      </c>
      <c r="C95" s="7" t="s">
        <v>34</v>
      </c>
      <c r="D95" s="7" t="s">
        <v>35</v>
      </c>
      <c r="E95" s="7" t="s">
        <v>377</v>
      </c>
      <c r="F95" s="7">
        <v>13.76</v>
      </c>
      <c r="G95" s="7">
        <v>82</v>
      </c>
      <c r="J95" s="7">
        <v>80</v>
      </c>
      <c r="K95" s="7">
        <v>80</v>
      </c>
      <c r="L95" s="7">
        <v>1651</v>
      </c>
      <c r="M95" s="21">
        <v>1651</v>
      </c>
      <c r="N95" s="22">
        <f t="shared" si="30"/>
        <v>0</v>
      </c>
      <c r="O95" s="21">
        <f t="shared" si="23"/>
        <v>1.64</v>
      </c>
      <c r="P95" s="21">
        <f t="shared" si="31"/>
        <v>45.92</v>
      </c>
      <c r="Q95" s="21">
        <f t="shared" si="24"/>
        <v>631.8592</v>
      </c>
      <c r="R95" s="21">
        <f t="shared" si="25"/>
        <v>0.911111111111111</v>
      </c>
      <c r="S95" s="21">
        <f t="shared" si="26"/>
        <v>25.5111111111111</v>
      </c>
      <c r="T95" s="21">
        <f t="shared" si="32"/>
        <v>526.549333333333</v>
      </c>
      <c r="U95" s="21">
        <f t="shared" si="27"/>
        <v>25.5111111111111</v>
      </c>
      <c r="V95" s="21">
        <f t="shared" si="28"/>
        <v>526.549333333333</v>
      </c>
      <c r="X95" s="21">
        <f t="shared" si="36"/>
        <v>15.3066666666667</v>
      </c>
      <c r="Y95" s="21">
        <f t="shared" si="37"/>
        <v>10.2044444444444</v>
      </c>
      <c r="Z95" s="7">
        <v>0</v>
      </c>
      <c r="AA95" s="23">
        <f t="shared" si="33"/>
        <v>-10.2044444444444</v>
      </c>
      <c r="AC95" s="21">
        <f t="shared" si="29"/>
        <v>210.619733333333</v>
      </c>
      <c r="AD95" s="21">
        <f t="shared" si="34"/>
        <v>210.619733333333</v>
      </c>
      <c r="AE95" s="7">
        <f t="shared" si="35"/>
        <v>0</v>
      </c>
    </row>
    <row r="96" ht="15" hidden="1" customHeight="1" spans="1:31">
      <c r="A96" s="7" t="s">
        <v>401</v>
      </c>
      <c r="B96" s="7" t="s">
        <v>402</v>
      </c>
      <c r="C96" s="7" t="s">
        <v>34</v>
      </c>
      <c r="D96" s="7" t="s">
        <v>35</v>
      </c>
      <c r="E96" s="7" t="s">
        <v>403</v>
      </c>
      <c r="F96" s="7">
        <v>13.67</v>
      </c>
      <c r="G96" s="7">
        <v>79</v>
      </c>
      <c r="J96" s="7">
        <v>78</v>
      </c>
      <c r="K96" s="7">
        <v>79</v>
      </c>
      <c r="L96" s="7">
        <v>1593</v>
      </c>
      <c r="M96" s="21">
        <v>1620</v>
      </c>
      <c r="N96" s="22">
        <f t="shared" si="30"/>
        <v>-0.0169491525423729</v>
      </c>
      <c r="O96" s="21">
        <f t="shared" si="23"/>
        <v>1.58</v>
      </c>
      <c r="P96" s="21">
        <f t="shared" si="31"/>
        <v>44.24</v>
      </c>
      <c r="Q96" s="21">
        <f t="shared" si="24"/>
        <v>604.7608</v>
      </c>
      <c r="R96" s="21">
        <f t="shared" si="25"/>
        <v>0.877777777777778</v>
      </c>
      <c r="S96" s="21">
        <f t="shared" si="26"/>
        <v>24.5777777777778</v>
      </c>
      <c r="T96" s="21">
        <f t="shared" si="32"/>
        <v>503.967333333333</v>
      </c>
      <c r="U96" s="21">
        <f t="shared" si="27"/>
        <v>24.5777777777778</v>
      </c>
      <c r="V96" s="21">
        <f t="shared" si="28"/>
        <v>503.967333333333</v>
      </c>
      <c r="X96" s="21">
        <f t="shared" si="36"/>
        <v>14.7466666666667</v>
      </c>
      <c r="Y96" s="21">
        <f t="shared" si="37"/>
        <v>9.83111111111111</v>
      </c>
      <c r="Z96" s="7">
        <v>0</v>
      </c>
      <c r="AA96" s="23">
        <f t="shared" si="33"/>
        <v>-9.83111111111111</v>
      </c>
      <c r="AC96" s="21">
        <f t="shared" si="29"/>
        <v>201.586933333333</v>
      </c>
      <c r="AD96" s="21">
        <f t="shared" si="34"/>
        <v>201.586933333333</v>
      </c>
      <c r="AE96" s="7">
        <f t="shared" si="35"/>
        <v>0</v>
      </c>
    </row>
    <row r="97" ht="15" hidden="1" customHeight="1" spans="1:31">
      <c r="A97" s="7" t="s">
        <v>563</v>
      </c>
      <c r="B97" s="7" t="s">
        <v>671</v>
      </c>
      <c r="C97" s="7" t="s">
        <v>34</v>
      </c>
      <c r="D97" s="7" t="s">
        <v>35</v>
      </c>
      <c r="E97" s="7" t="s">
        <v>106</v>
      </c>
      <c r="F97" s="7">
        <v>27.45</v>
      </c>
      <c r="G97" s="7">
        <v>245</v>
      </c>
      <c r="H97" s="7">
        <v>2</v>
      </c>
      <c r="I97" s="7">
        <v>122</v>
      </c>
      <c r="J97" s="7">
        <v>58</v>
      </c>
      <c r="K97" s="7">
        <v>0</v>
      </c>
      <c r="L97" s="7">
        <v>1592</v>
      </c>
      <c r="M97" s="21">
        <v>0</v>
      </c>
      <c r="N97" s="22">
        <f t="shared" si="30"/>
        <v>1</v>
      </c>
      <c r="O97" s="21">
        <f t="shared" si="23"/>
        <v>2.9</v>
      </c>
      <c r="P97" s="21">
        <f t="shared" si="31"/>
        <v>137.2</v>
      </c>
      <c r="Q97" s="21">
        <f t="shared" si="24"/>
        <v>3766.14</v>
      </c>
      <c r="R97" s="21">
        <f t="shared" si="25"/>
        <v>0.722222222222222</v>
      </c>
      <c r="S97" s="21">
        <f t="shared" si="26"/>
        <v>76.2222222222222</v>
      </c>
      <c r="T97" s="21">
        <f t="shared" si="32"/>
        <v>3138.45</v>
      </c>
      <c r="U97" s="21">
        <f t="shared" si="27"/>
        <v>76.2222222222222</v>
      </c>
      <c r="V97" s="21">
        <f t="shared" si="28"/>
        <v>3138.45</v>
      </c>
      <c r="X97" s="21">
        <f t="shared" si="36"/>
        <v>45.7333333333333</v>
      </c>
      <c r="Y97" s="21">
        <f t="shared" si="37"/>
        <v>30.4888888888889</v>
      </c>
      <c r="Z97" s="7">
        <v>32</v>
      </c>
      <c r="AA97" s="23">
        <f t="shared" si="33"/>
        <v>1.51111111111111</v>
      </c>
      <c r="AC97" s="21">
        <f t="shared" si="29"/>
        <v>1255.38</v>
      </c>
      <c r="AD97" s="21">
        <f t="shared" si="34"/>
        <v>1255.38</v>
      </c>
      <c r="AE97" s="7">
        <f t="shared" si="35"/>
        <v>1317.6</v>
      </c>
    </row>
    <row r="98" ht="15" hidden="1" customHeight="1" spans="1:31">
      <c r="A98" s="7" t="s">
        <v>874</v>
      </c>
      <c r="B98" s="7" t="s">
        <v>875</v>
      </c>
      <c r="C98" s="7" t="s">
        <v>34</v>
      </c>
      <c r="D98" s="7" t="s">
        <v>35</v>
      </c>
      <c r="E98" s="7" t="s">
        <v>324</v>
      </c>
      <c r="F98" s="7">
        <v>8.65</v>
      </c>
      <c r="G98" s="7">
        <v>973</v>
      </c>
      <c r="H98" s="7">
        <v>10</v>
      </c>
      <c r="I98" s="7">
        <v>97</v>
      </c>
      <c r="J98" s="7">
        <v>177</v>
      </c>
      <c r="K98" s="7">
        <v>16</v>
      </c>
      <c r="L98" s="7">
        <v>1531</v>
      </c>
      <c r="M98" s="21">
        <v>138</v>
      </c>
      <c r="N98" s="22">
        <f t="shared" si="30"/>
        <v>0.90986283474853</v>
      </c>
      <c r="O98" s="21">
        <f t="shared" si="23"/>
        <v>9.46</v>
      </c>
      <c r="P98" s="21">
        <f t="shared" si="31"/>
        <v>544.88</v>
      </c>
      <c r="Q98" s="21">
        <f t="shared" si="24"/>
        <v>4713.212</v>
      </c>
      <c r="R98" s="21">
        <f t="shared" si="25"/>
        <v>0.811111111111111</v>
      </c>
      <c r="S98" s="21">
        <f t="shared" si="26"/>
        <v>302.711111111111</v>
      </c>
      <c r="T98" s="21">
        <f t="shared" si="32"/>
        <v>3927.67666666667</v>
      </c>
      <c r="U98" s="21">
        <f t="shared" si="27"/>
        <v>302.711111111111</v>
      </c>
      <c r="V98" s="21">
        <f t="shared" si="28"/>
        <v>3927.67666666667</v>
      </c>
      <c r="X98" s="21">
        <f t="shared" si="36"/>
        <v>181.626666666667</v>
      </c>
      <c r="Y98" s="21">
        <f t="shared" si="37"/>
        <v>121.084444444444</v>
      </c>
      <c r="Z98" s="7">
        <v>160</v>
      </c>
      <c r="AA98" s="23">
        <f t="shared" si="33"/>
        <v>38.9155555555556</v>
      </c>
      <c r="AC98" s="21">
        <f t="shared" si="29"/>
        <v>1571.07066666667</v>
      </c>
      <c r="AD98" s="21">
        <f t="shared" si="34"/>
        <v>1571.07066666667</v>
      </c>
      <c r="AE98" s="7">
        <f t="shared" si="35"/>
        <v>2076</v>
      </c>
    </row>
    <row r="99" ht="15" hidden="1" customHeight="1" spans="1:31">
      <c r="A99" s="7" t="s">
        <v>452</v>
      </c>
      <c r="B99" s="7" t="s">
        <v>453</v>
      </c>
      <c r="C99" s="7" t="s">
        <v>34</v>
      </c>
      <c r="D99" s="7" t="s">
        <v>35</v>
      </c>
      <c r="E99" s="7" t="s">
        <v>156</v>
      </c>
      <c r="F99" s="7">
        <v>21.11</v>
      </c>
      <c r="G99" s="7">
        <v>49</v>
      </c>
      <c r="J99" s="7">
        <v>48</v>
      </c>
      <c r="K99" s="7">
        <v>37</v>
      </c>
      <c r="L99" s="7">
        <v>1509</v>
      </c>
      <c r="M99" s="21">
        <v>1107</v>
      </c>
      <c r="N99" s="22">
        <f t="shared" si="30"/>
        <v>0.266401590457256</v>
      </c>
      <c r="O99" s="21">
        <f t="shared" si="23"/>
        <v>0.98</v>
      </c>
      <c r="P99" s="21">
        <f t="shared" si="31"/>
        <v>27.44</v>
      </c>
      <c r="Q99" s="21">
        <f t="shared" si="24"/>
        <v>579.2584</v>
      </c>
      <c r="R99" s="21">
        <f t="shared" si="25"/>
        <v>0.544444444444444</v>
      </c>
      <c r="S99" s="21">
        <f t="shared" si="26"/>
        <v>15.2444444444444</v>
      </c>
      <c r="T99" s="21">
        <f t="shared" si="32"/>
        <v>482.715333333333</v>
      </c>
      <c r="U99" s="21">
        <f t="shared" si="27"/>
        <v>15.2444444444444</v>
      </c>
      <c r="V99" s="21">
        <f t="shared" si="28"/>
        <v>482.715333333333</v>
      </c>
      <c r="X99" s="21">
        <f t="shared" si="36"/>
        <v>9.14666666666667</v>
      </c>
      <c r="Y99" s="21">
        <f t="shared" si="37"/>
        <v>6.09777777777778</v>
      </c>
      <c r="Z99" s="7">
        <v>5</v>
      </c>
      <c r="AA99" s="23">
        <f t="shared" si="33"/>
        <v>-1.09777777777778</v>
      </c>
      <c r="AC99" s="21">
        <f t="shared" si="29"/>
        <v>193.086133333333</v>
      </c>
      <c r="AD99" s="21">
        <f t="shared" si="34"/>
        <v>193.086133333333</v>
      </c>
      <c r="AE99" s="7">
        <f t="shared" si="35"/>
        <v>158.325</v>
      </c>
    </row>
    <row r="100" ht="15" hidden="1" customHeight="1" spans="1:31">
      <c r="A100" s="7" t="s">
        <v>269</v>
      </c>
      <c r="B100" s="7" t="s">
        <v>270</v>
      </c>
      <c r="C100" s="7" t="s">
        <v>34</v>
      </c>
      <c r="D100" s="7" t="s">
        <v>35</v>
      </c>
      <c r="E100" s="7" t="s">
        <v>110</v>
      </c>
      <c r="F100" s="7">
        <v>20.82</v>
      </c>
      <c r="G100" s="7">
        <v>49</v>
      </c>
      <c r="J100" s="7">
        <v>48</v>
      </c>
      <c r="K100" s="7">
        <v>0</v>
      </c>
      <c r="L100" s="7">
        <v>1489</v>
      </c>
      <c r="M100" s="21">
        <v>0</v>
      </c>
      <c r="N100" s="22">
        <f t="shared" si="30"/>
        <v>1</v>
      </c>
      <c r="O100" s="21">
        <f t="shared" si="23"/>
        <v>0.98</v>
      </c>
      <c r="P100" s="21">
        <f t="shared" si="31"/>
        <v>27.44</v>
      </c>
      <c r="Q100" s="21">
        <f t="shared" si="24"/>
        <v>571.3008</v>
      </c>
      <c r="R100" s="21">
        <f t="shared" si="25"/>
        <v>0.544444444444444</v>
      </c>
      <c r="S100" s="21">
        <f t="shared" si="26"/>
        <v>15.2444444444444</v>
      </c>
      <c r="T100" s="21">
        <f t="shared" si="32"/>
        <v>476.084</v>
      </c>
      <c r="U100" s="21">
        <f t="shared" si="27"/>
        <v>15.2444444444444</v>
      </c>
      <c r="V100" s="21">
        <f t="shared" si="28"/>
        <v>476.084</v>
      </c>
      <c r="X100" s="21">
        <f t="shared" si="36"/>
        <v>9.14666666666667</v>
      </c>
      <c r="Y100" s="21">
        <f t="shared" si="37"/>
        <v>6.09777777777778</v>
      </c>
      <c r="Z100" s="7">
        <v>0</v>
      </c>
      <c r="AA100" s="23">
        <f t="shared" si="33"/>
        <v>-6.09777777777778</v>
      </c>
      <c r="AC100" s="21">
        <f t="shared" si="29"/>
        <v>190.4336</v>
      </c>
      <c r="AD100" s="21">
        <f t="shared" si="34"/>
        <v>190.4336</v>
      </c>
      <c r="AE100" s="7">
        <f t="shared" si="35"/>
        <v>0</v>
      </c>
    </row>
    <row r="101" ht="15" hidden="1" customHeight="1" spans="1:31">
      <c r="A101" s="7" t="s">
        <v>624</v>
      </c>
      <c r="B101" s="7" t="s">
        <v>621</v>
      </c>
      <c r="C101" s="7" t="s">
        <v>34</v>
      </c>
      <c r="D101" s="7" t="s">
        <v>51</v>
      </c>
      <c r="E101" s="7" t="s">
        <v>195</v>
      </c>
      <c r="F101" s="7">
        <v>19.06</v>
      </c>
      <c r="G101" s="7">
        <v>399</v>
      </c>
      <c r="H101" s="7">
        <v>4</v>
      </c>
      <c r="I101" s="7">
        <v>99</v>
      </c>
      <c r="J101" s="7">
        <v>77</v>
      </c>
      <c r="K101" s="7">
        <v>0</v>
      </c>
      <c r="L101" s="7">
        <v>1468</v>
      </c>
      <c r="M101" s="21">
        <v>0</v>
      </c>
      <c r="N101" s="22">
        <f t="shared" ref="N101:N136" si="38">(L101-M101)/L101</f>
        <v>1</v>
      </c>
      <c r="O101" s="21">
        <f t="shared" si="23"/>
        <v>3.98</v>
      </c>
      <c r="P101" s="21">
        <f t="shared" ref="P101:P136" si="39">28*(O101+H101)</f>
        <v>223.44</v>
      </c>
      <c r="Q101" s="21">
        <f t="shared" si="24"/>
        <v>4258.7664</v>
      </c>
      <c r="R101" s="21">
        <f t="shared" si="25"/>
        <v>0.433333333333333</v>
      </c>
      <c r="S101" s="21">
        <f t="shared" si="26"/>
        <v>124.133333333333</v>
      </c>
      <c r="T101" s="21">
        <f t="shared" ref="T101:T136" si="40">(R101+H101)*28*F101*1.5</f>
        <v>3548.972</v>
      </c>
      <c r="U101" s="21">
        <f t="shared" si="27"/>
        <v>124.133333333333</v>
      </c>
      <c r="V101" s="21">
        <f t="shared" si="28"/>
        <v>3548.972</v>
      </c>
      <c r="X101" s="21">
        <f t="shared" si="36"/>
        <v>74.48</v>
      </c>
      <c r="Y101" s="21">
        <f t="shared" si="37"/>
        <v>49.6533333333333</v>
      </c>
      <c r="Z101" s="7">
        <v>30</v>
      </c>
      <c r="AA101" s="23">
        <f t="shared" ref="AA101:AA136" si="41">Z101-Y101</f>
        <v>-19.6533333333333</v>
      </c>
      <c r="AC101" s="21">
        <f t="shared" si="29"/>
        <v>1419.5888</v>
      </c>
      <c r="AD101" s="21">
        <f t="shared" ref="AD101:AD136" si="42">F101*Y101*1.5</f>
        <v>1419.5888</v>
      </c>
      <c r="AE101" s="7">
        <f t="shared" ref="AE101:AE136" si="43">Z101*F101*1.5</f>
        <v>857.7</v>
      </c>
    </row>
    <row r="102" ht="15" hidden="1" customHeight="1" spans="1:31">
      <c r="A102" s="7" t="s">
        <v>803</v>
      </c>
      <c r="B102" s="7" t="s">
        <v>804</v>
      </c>
      <c r="C102" s="7" t="s">
        <v>34</v>
      </c>
      <c r="D102" s="7" t="s">
        <v>35</v>
      </c>
      <c r="E102" s="7" t="s">
        <v>156</v>
      </c>
      <c r="F102" s="7">
        <v>27.39</v>
      </c>
      <c r="G102" s="7">
        <v>42</v>
      </c>
      <c r="J102" s="7">
        <v>37</v>
      </c>
      <c r="K102" s="7">
        <v>21</v>
      </c>
      <c r="L102" s="7">
        <v>1465</v>
      </c>
      <c r="M102" s="21">
        <v>715</v>
      </c>
      <c r="N102" s="22">
        <f t="shared" si="38"/>
        <v>0.511945392491468</v>
      </c>
      <c r="O102" s="21">
        <f t="shared" si="23"/>
        <v>0.84</v>
      </c>
      <c r="P102" s="21">
        <f t="shared" si="39"/>
        <v>23.52</v>
      </c>
      <c r="Q102" s="21">
        <f t="shared" si="24"/>
        <v>644.2128</v>
      </c>
      <c r="R102" s="21">
        <f t="shared" si="25"/>
        <v>0.466666666666667</v>
      </c>
      <c r="S102" s="21">
        <f t="shared" si="26"/>
        <v>13.0666666666667</v>
      </c>
      <c r="T102" s="21">
        <f t="shared" si="40"/>
        <v>536.844</v>
      </c>
      <c r="U102" s="21">
        <f t="shared" si="27"/>
        <v>13.0666666666667</v>
      </c>
      <c r="V102" s="21">
        <f t="shared" si="28"/>
        <v>536.844</v>
      </c>
      <c r="X102" s="21">
        <f t="shared" si="36"/>
        <v>7.84</v>
      </c>
      <c r="Y102" s="21">
        <f t="shared" si="37"/>
        <v>5.22666666666667</v>
      </c>
      <c r="Z102" s="7">
        <v>0</v>
      </c>
      <c r="AA102" s="23">
        <f t="shared" si="41"/>
        <v>-5.22666666666667</v>
      </c>
      <c r="AC102" s="21">
        <f t="shared" si="29"/>
        <v>214.7376</v>
      </c>
      <c r="AD102" s="21">
        <f t="shared" si="42"/>
        <v>214.7376</v>
      </c>
      <c r="AE102" s="7">
        <f t="shared" si="43"/>
        <v>0</v>
      </c>
    </row>
    <row r="103" ht="15" hidden="1" customHeight="1" spans="1:31">
      <c r="A103" s="7" t="s">
        <v>434</v>
      </c>
      <c r="B103" s="7" t="s">
        <v>435</v>
      </c>
      <c r="C103" s="7" t="s">
        <v>34</v>
      </c>
      <c r="D103" s="7" t="s">
        <v>35</v>
      </c>
      <c r="E103" s="7" t="s">
        <v>192</v>
      </c>
      <c r="F103" s="7">
        <v>81.71</v>
      </c>
      <c r="G103" s="7">
        <v>113</v>
      </c>
      <c r="H103" s="7">
        <v>1</v>
      </c>
      <c r="I103" s="7">
        <v>113</v>
      </c>
      <c r="J103" s="7">
        <v>17</v>
      </c>
      <c r="K103" s="7">
        <v>73</v>
      </c>
      <c r="L103" s="7">
        <v>1389</v>
      </c>
      <c r="M103" s="21">
        <v>8089</v>
      </c>
      <c r="N103" s="22">
        <f t="shared" si="38"/>
        <v>-4.82361411087113</v>
      </c>
      <c r="O103" s="21">
        <f t="shared" si="23"/>
        <v>1.26</v>
      </c>
      <c r="P103" s="21">
        <f t="shared" si="39"/>
        <v>63.28</v>
      </c>
      <c r="Q103" s="21">
        <f t="shared" si="24"/>
        <v>5170.6088</v>
      </c>
      <c r="R103" s="21">
        <f t="shared" si="25"/>
        <v>0.255555555555556</v>
      </c>
      <c r="S103" s="21">
        <f t="shared" si="26"/>
        <v>35.1555555555556</v>
      </c>
      <c r="T103" s="21">
        <f t="shared" si="40"/>
        <v>4308.84066666667</v>
      </c>
      <c r="U103" s="21">
        <f t="shared" si="27"/>
        <v>35.1555555555556</v>
      </c>
      <c r="V103" s="21">
        <f t="shared" si="28"/>
        <v>4308.84066666667</v>
      </c>
      <c r="X103" s="21">
        <f t="shared" si="36"/>
        <v>21.0933333333333</v>
      </c>
      <c r="Y103" s="21">
        <f t="shared" si="37"/>
        <v>14.0622222222222</v>
      </c>
      <c r="Z103" s="7">
        <v>2</v>
      </c>
      <c r="AA103" s="23">
        <f t="shared" si="41"/>
        <v>-12.0622222222222</v>
      </c>
      <c r="AC103" s="21">
        <f t="shared" si="29"/>
        <v>1723.53626666667</v>
      </c>
      <c r="AD103" s="21">
        <f t="shared" si="42"/>
        <v>1723.53626666667</v>
      </c>
      <c r="AE103" s="7">
        <f t="shared" si="43"/>
        <v>245.13</v>
      </c>
    </row>
    <row r="104" ht="15" hidden="1" customHeight="1" spans="1:31">
      <c r="A104" s="7" t="s">
        <v>532</v>
      </c>
      <c r="B104" s="7" t="s">
        <v>533</v>
      </c>
      <c r="C104" s="7" t="s">
        <v>34</v>
      </c>
      <c r="D104" s="7" t="s">
        <v>35</v>
      </c>
      <c r="E104" s="7" t="s">
        <v>500</v>
      </c>
      <c r="F104" s="7">
        <v>19.6</v>
      </c>
      <c r="G104" s="7">
        <v>47</v>
      </c>
      <c r="J104" s="7">
        <v>46</v>
      </c>
      <c r="K104" s="7">
        <v>45</v>
      </c>
      <c r="L104" s="7">
        <v>1343</v>
      </c>
      <c r="M104" s="21">
        <v>1313</v>
      </c>
      <c r="N104" s="22">
        <f t="shared" si="38"/>
        <v>0.0223380491437081</v>
      </c>
      <c r="O104" s="21">
        <f t="shared" si="23"/>
        <v>0.94</v>
      </c>
      <c r="P104" s="21">
        <f t="shared" si="39"/>
        <v>26.32</v>
      </c>
      <c r="Q104" s="21">
        <f t="shared" si="24"/>
        <v>515.872</v>
      </c>
      <c r="R104" s="21">
        <f t="shared" si="25"/>
        <v>0.522222222222222</v>
      </c>
      <c r="S104" s="21">
        <f t="shared" si="26"/>
        <v>14.6222222222222</v>
      </c>
      <c r="T104" s="21">
        <f t="shared" si="40"/>
        <v>429.893333333333</v>
      </c>
      <c r="U104" s="21">
        <f t="shared" si="27"/>
        <v>14.6222222222222</v>
      </c>
      <c r="V104" s="21">
        <f t="shared" si="28"/>
        <v>429.893333333333</v>
      </c>
      <c r="X104" s="21">
        <f t="shared" si="36"/>
        <v>8.77333333333333</v>
      </c>
      <c r="Y104" s="21">
        <f t="shared" si="37"/>
        <v>5.84888888888889</v>
      </c>
      <c r="Z104" s="7">
        <v>0</v>
      </c>
      <c r="AA104" s="23">
        <f t="shared" si="41"/>
        <v>-5.84888888888889</v>
      </c>
      <c r="AC104" s="21">
        <f t="shared" si="29"/>
        <v>171.957333333333</v>
      </c>
      <c r="AD104" s="21">
        <f t="shared" si="42"/>
        <v>171.957333333333</v>
      </c>
      <c r="AE104" s="7">
        <f t="shared" si="43"/>
        <v>0</v>
      </c>
    </row>
    <row r="105" ht="15" hidden="1" customHeight="1" spans="1:31">
      <c r="A105" s="7" t="s">
        <v>456</v>
      </c>
      <c r="B105" s="7" t="s">
        <v>457</v>
      </c>
      <c r="C105" s="7" t="s">
        <v>34</v>
      </c>
      <c r="D105" s="7" t="s">
        <v>35</v>
      </c>
      <c r="E105" s="7" t="s">
        <v>110</v>
      </c>
      <c r="F105" s="7">
        <v>20.82</v>
      </c>
      <c r="G105" s="7">
        <v>49</v>
      </c>
      <c r="J105" s="7">
        <v>44</v>
      </c>
      <c r="K105" s="7">
        <v>0</v>
      </c>
      <c r="L105" s="7">
        <v>1332</v>
      </c>
      <c r="M105" s="21">
        <v>0</v>
      </c>
      <c r="N105" s="22">
        <f t="shared" si="38"/>
        <v>1</v>
      </c>
      <c r="O105" s="21">
        <f t="shared" si="23"/>
        <v>0.98</v>
      </c>
      <c r="P105" s="21">
        <f t="shared" si="39"/>
        <v>27.44</v>
      </c>
      <c r="Q105" s="21">
        <f t="shared" si="24"/>
        <v>571.3008</v>
      </c>
      <c r="R105" s="21">
        <f t="shared" si="25"/>
        <v>0.544444444444444</v>
      </c>
      <c r="S105" s="21">
        <f t="shared" si="26"/>
        <v>15.2444444444444</v>
      </c>
      <c r="T105" s="21">
        <f t="shared" si="40"/>
        <v>476.084</v>
      </c>
      <c r="U105" s="21">
        <f t="shared" si="27"/>
        <v>15.2444444444444</v>
      </c>
      <c r="V105" s="21">
        <f t="shared" si="28"/>
        <v>476.084</v>
      </c>
      <c r="X105" s="21">
        <f t="shared" si="36"/>
        <v>9.14666666666667</v>
      </c>
      <c r="Y105" s="21">
        <f t="shared" si="37"/>
        <v>6.09777777777778</v>
      </c>
      <c r="Z105" s="7">
        <v>29</v>
      </c>
      <c r="AA105" s="23">
        <f t="shared" si="41"/>
        <v>22.9022222222222</v>
      </c>
      <c r="AC105" s="21">
        <f t="shared" si="29"/>
        <v>190.4336</v>
      </c>
      <c r="AD105" s="21">
        <f t="shared" si="42"/>
        <v>190.4336</v>
      </c>
      <c r="AE105" s="7">
        <f t="shared" si="43"/>
        <v>905.67</v>
      </c>
    </row>
    <row r="106" ht="15" hidden="1" customHeight="1" spans="1:31">
      <c r="A106" s="7" t="s">
        <v>740</v>
      </c>
      <c r="B106" s="7" t="s">
        <v>741</v>
      </c>
      <c r="C106" s="7" t="s">
        <v>34</v>
      </c>
      <c r="D106" s="7" t="s">
        <v>35</v>
      </c>
      <c r="E106" s="7" t="s">
        <v>110</v>
      </c>
      <c r="F106" s="7">
        <v>17.74</v>
      </c>
      <c r="G106" s="7">
        <v>50</v>
      </c>
      <c r="J106" s="7">
        <v>50</v>
      </c>
      <c r="K106" s="7">
        <v>29</v>
      </c>
      <c r="L106" s="7">
        <v>1330</v>
      </c>
      <c r="M106" s="21">
        <v>674</v>
      </c>
      <c r="N106" s="22">
        <f t="shared" si="38"/>
        <v>0.493233082706767</v>
      </c>
      <c r="O106" s="21">
        <f t="shared" si="23"/>
        <v>1</v>
      </c>
      <c r="P106" s="21">
        <f t="shared" si="39"/>
        <v>28</v>
      </c>
      <c r="Q106" s="21">
        <f t="shared" si="24"/>
        <v>496.72</v>
      </c>
      <c r="R106" s="21">
        <f t="shared" si="25"/>
        <v>0.555555555555556</v>
      </c>
      <c r="S106" s="21">
        <f t="shared" si="26"/>
        <v>15.5555555555556</v>
      </c>
      <c r="T106" s="21">
        <f t="shared" si="40"/>
        <v>413.933333333333</v>
      </c>
      <c r="U106" s="21">
        <f t="shared" si="27"/>
        <v>15.5555555555556</v>
      </c>
      <c r="V106" s="21">
        <f t="shared" si="28"/>
        <v>413.933333333333</v>
      </c>
      <c r="X106" s="21">
        <f t="shared" si="36"/>
        <v>9.33333333333333</v>
      </c>
      <c r="Y106" s="21">
        <f t="shared" si="37"/>
        <v>6.22222222222222</v>
      </c>
      <c r="Z106" s="7">
        <v>0</v>
      </c>
      <c r="AA106" s="23">
        <f t="shared" si="41"/>
        <v>-6.22222222222222</v>
      </c>
      <c r="AC106" s="21">
        <f t="shared" si="29"/>
        <v>165.573333333333</v>
      </c>
      <c r="AD106" s="21">
        <f t="shared" si="42"/>
        <v>165.573333333333</v>
      </c>
      <c r="AE106" s="7">
        <f t="shared" si="43"/>
        <v>0</v>
      </c>
    </row>
    <row r="107" ht="15" hidden="1" customHeight="1" spans="1:31">
      <c r="A107" s="7" t="s">
        <v>620</v>
      </c>
      <c r="B107" s="7" t="s">
        <v>708</v>
      </c>
      <c r="C107" s="7" t="s">
        <v>34</v>
      </c>
      <c r="D107" s="7" t="s">
        <v>35</v>
      </c>
      <c r="E107" s="7" t="s">
        <v>500</v>
      </c>
      <c r="F107" s="7">
        <v>40.27</v>
      </c>
      <c r="G107" s="7">
        <v>119</v>
      </c>
      <c r="H107" s="7">
        <v>1</v>
      </c>
      <c r="I107" s="7">
        <v>119</v>
      </c>
      <c r="J107" s="7">
        <v>33</v>
      </c>
      <c r="K107" s="7">
        <v>96</v>
      </c>
      <c r="L107" s="7">
        <v>1329</v>
      </c>
      <c r="M107" s="21">
        <v>5497</v>
      </c>
      <c r="N107" s="22">
        <f t="shared" si="38"/>
        <v>-3.13619262603461</v>
      </c>
      <c r="O107" s="21">
        <f t="shared" si="23"/>
        <v>1.38</v>
      </c>
      <c r="P107" s="21">
        <f t="shared" si="39"/>
        <v>66.64</v>
      </c>
      <c r="Q107" s="21">
        <f t="shared" si="24"/>
        <v>2683.5928</v>
      </c>
      <c r="R107" s="21">
        <f t="shared" si="25"/>
        <v>0.322222222222222</v>
      </c>
      <c r="S107" s="21">
        <f t="shared" si="26"/>
        <v>37.0222222222222</v>
      </c>
      <c r="T107" s="21">
        <f t="shared" si="40"/>
        <v>2236.32733333333</v>
      </c>
      <c r="U107" s="21">
        <f t="shared" si="27"/>
        <v>37.0222222222222</v>
      </c>
      <c r="V107" s="21">
        <f t="shared" si="28"/>
        <v>2236.32733333333</v>
      </c>
      <c r="X107" s="21">
        <f t="shared" si="36"/>
        <v>22.2133333333333</v>
      </c>
      <c r="Y107" s="21">
        <f t="shared" si="37"/>
        <v>14.8088888888889</v>
      </c>
      <c r="Z107" s="7">
        <v>10</v>
      </c>
      <c r="AA107" s="23">
        <f t="shared" si="41"/>
        <v>-4.80888888888889</v>
      </c>
      <c r="AC107" s="21">
        <f t="shared" si="29"/>
        <v>894.530933333333</v>
      </c>
      <c r="AD107" s="21">
        <f t="shared" si="42"/>
        <v>894.530933333333</v>
      </c>
      <c r="AE107" s="7">
        <f t="shared" si="43"/>
        <v>604.05</v>
      </c>
    </row>
    <row r="108" ht="15" hidden="1" customHeight="1" spans="1:31">
      <c r="A108" s="7" t="s">
        <v>876</v>
      </c>
      <c r="B108" s="7" t="s">
        <v>877</v>
      </c>
      <c r="C108" s="7" t="s">
        <v>34</v>
      </c>
      <c r="D108" s="7" t="s">
        <v>35</v>
      </c>
      <c r="E108" s="7" t="s">
        <v>110</v>
      </c>
      <c r="F108" s="7">
        <v>17.74</v>
      </c>
      <c r="G108" s="7">
        <v>50</v>
      </c>
      <c r="J108" s="7">
        <v>49</v>
      </c>
      <c r="K108" s="7">
        <v>3</v>
      </c>
      <c r="L108" s="7">
        <v>1295</v>
      </c>
      <c r="M108" s="21">
        <v>53</v>
      </c>
      <c r="N108" s="22">
        <f t="shared" si="38"/>
        <v>0.959073359073359</v>
      </c>
      <c r="O108" s="21">
        <f t="shared" si="23"/>
        <v>1</v>
      </c>
      <c r="P108" s="21">
        <f t="shared" si="39"/>
        <v>28</v>
      </c>
      <c r="Q108" s="21">
        <f t="shared" si="24"/>
        <v>496.72</v>
      </c>
      <c r="R108" s="21">
        <f t="shared" si="25"/>
        <v>0.555555555555556</v>
      </c>
      <c r="S108" s="21">
        <f t="shared" si="26"/>
        <v>15.5555555555556</v>
      </c>
      <c r="T108" s="21">
        <f t="shared" si="40"/>
        <v>413.933333333333</v>
      </c>
      <c r="U108" s="21">
        <f t="shared" si="27"/>
        <v>15.5555555555556</v>
      </c>
      <c r="V108" s="21">
        <f t="shared" si="28"/>
        <v>413.933333333333</v>
      </c>
      <c r="X108" s="21">
        <f t="shared" si="36"/>
        <v>9.33333333333333</v>
      </c>
      <c r="Y108" s="21">
        <f t="shared" si="37"/>
        <v>6.22222222222222</v>
      </c>
      <c r="Z108" s="7">
        <v>17</v>
      </c>
      <c r="AA108" s="23">
        <f t="shared" si="41"/>
        <v>10.7777777777778</v>
      </c>
      <c r="AC108" s="21">
        <f t="shared" si="29"/>
        <v>165.573333333333</v>
      </c>
      <c r="AD108" s="21">
        <f t="shared" si="42"/>
        <v>165.573333333333</v>
      </c>
      <c r="AE108" s="7">
        <f t="shared" si="43"/>
        <v>452.37</v>
      </c>
    </row>
    <row r="109" ht="15" hidden="1" customHeight="1" spans="1:31">
      <c r="A109" s="7" t="s">
        <v>488</v>
      </c>
      <c r="B109" s="7" t="s">
        <v>489</v>
      </c>
      <c r="C109" s="7" t="s">
        <v>34</v>
      </c>
      <c r="D109" s="7" t="s">
        <v>35</v>
      </c>
      <c r="E109" s="7" t="s">
        <v>110</v>
      </c>
      <c r="F109" s="7">
        <v>20.82</v>
      </c>
      <c r="G109" s="7">
        <v>49</v>
      </c>
      <c r="J109" s="7">
        <v>43</v>
      </c>
      <c r="K109" s="7">
        <v>0</v>
      </c>
      <c r="L109" s="7">
        <v>1291</v>
      </c>
      <c r="M109" s="21">
        <v>0</v>
      </c>
      <c r="N109" s="22">
        <f t="shared" si="38"/>
        <v>1</v>
      </c>
      <c r="O109" s="21">
        <f t="shared" si="23"/>
        <v>0.98</v>
      </c>
      <c r="P109" s="21">
        <f t="shared" si="39"/>
        <v>27.44</v>
      </c>
      <c r="Q109" s="21">
        <f t="shared" si="24"/>
        <v>571.3008</v>
      </c>
      <c r="R109" s="21">
        <f t="shared" si="25"/>
        <v>0.544444444444444</v>
      </c>
      <c r="S109" s="21">
        <f t="shared" si="26"/>
        <v>15.2444444444444</v>
      </c>
      <c r="T109" s="21">
        <f t="shared" si="40"/>
        <v>476.084</v>
      </c>
      <c r="U109" s="21">
        <f t="shared" si="27"/>
        <v>15.2444444444444</v>
      </c>
      <c r="V109" s="21">
        <f t="shared" si="28"/>
        <v>476.084</v>
      </c>
      <c r="X109" s="21">
        <f t="shared" si="36"/>
        <v>9.14666666666667</v>
      </c>
      <c r="Y109" s="21">
        <f t="shared" si="37"/>
        <v>6.09777777777778</v>
      </c>
      <c r="Z109" s="7">
        <v>44</v>
      </c>
      <c r="AA109" s="23">
        <f t="shared" si="41"/>
        <v>37.9022222222222</v>
      </c>
      <c r="AC109" s="21">
        <f t="shared" si="29"/>
        <v>190.4336</v>
      </c>
      <c r="AD109" s="21">
        <f t="shared" si="42"/>
        <v>190.4336</v>
      </c>
      <c r="AE109" s="7">
        <f t="shared" si="43"/>
        <v>1374.12</v>
      </c>
    </row>
    <row r="110" ht="15" hidden="1" customHeight="1" spans="1:31">
      <c r="A110" s="7" t="s">
        <v>464</v>
      </c>
      <c r="B110" s="7" t="s">
        <v>465</v>
      </c>
      <c r="C110" s="7" t="s">
        <v>34</v>
      </c>
      <c r="D110" s="7" t="s">
        <v>35</v>
      </c>
      <c r="E110" s="7" t="s">
        <v>110</v>
      </c>
      <c r="F110" s="7">
        <v>17.74</v>
      </c>
      <c r="G110" s="7">
        <v>48</v>
      </c>
      <c r="J110" s="7">
        <v>45</v>
      </c>
      <c r="K110" s="7">
        <v>0</v>
      </c>
      <c r="L110" s="7">
        <v>1171</v>
      </c>
      <c r="M110" s="21">
        <v>0</v>
      </c>
      <c r="N110" s="22">
        <f t="shared" si="38"/>
        <v>1</v>
      </c>
      <c r="O110" s="21">
        <f t="shared" si="23"/>
        <v>0.96</v>
      </c>
      <c r="P110" s="21">
        <f t="shared" si="39"/>
        <v>26.88</v>
      </c>
      <c r="Q110" s="21">
        <f t="shared" si="24"/>
        <v>476.8512</v>
      </c>
      <c r="R110" s="21">
        <f t="shared" si="25"/>
        <v>0.533333333333333</v>
      </c>
      <c r="S110" s="21">
        <f t="shared" si="26"/>
        <v>14.9333333333333</v>
      </c>
      <c r="T110" s="21">
        <f t="shared" si="40"/>
        <v>397.376</v>
      </c>
      <c r="U110" s="21">
        <f t="shared" si="27"/>
        <v>14.9333333333333</v>
      </c>
      <c r="V110" s="21">
        <f t="shared" si="28"/>
        <v>397.376</v>
      </c>
      <c r="X110" s="21">
        <f t="shared" si="36"/>
        <v>8.96</v>
      </c>
      <c r="Y110" s="21">
        <f t="shared" si="37"/>
        <v>5.97333333333333</v>
      </c>
      <c r="Z110" s="7">
        <v>25</v>
      </c>
      <c r="AA110" s="23">
        <f t="shared" si="41"/>
        <v>19.0266666666667</v>
      </c>
      <c r="AC110" s="21">
        <f t="shared" si="29"/>
        <v>158.9504</v>
      </c>
      <c r="AD110" s="21">
        <f t="shared" si="42"/>
        <v>158.9504</v>
      </c>
      <c r="AE110" s="7">
        <f t="shared" si="43"/>
        <v>665.25</v>
      </c>
    </row>
    <row r="111" ht="15" hidden="1" customHeight="1" spans="1:31">
      <c r="A111" s="7" t="s">
        <v>311</v>
      </c>
      <c r="B111" s="7" t="s">
        <v>312</v>
      </c>
      <c r="C111" s="7" t="s">
        <v>34</v>
      </c>
      <c r="D111" s="7" t="s">
        <v>51</v>
      </c>
      <c r="E111" s="7" t="s">
        <v>313</v>
      </c>
      <c r="F111" s="7">
        <v>34.31</v>
      </c>
      <c r="G111" s="7">
        <v>882</v>
      </c>
      <c r="H111" s="7">
        <v>8</v>
      </c>
      <c r="I111" s="7">
        <v>110</v>
      </c>
      <c r="J111" s="7">
        <v>34</v>
      </c>
      <c r="K111" s="7">
        <v>180</v>
      </c>
      <c r="L111" s="7">
        <v>1167</v>
      </c>
      <c r="M111" s="21">
        <v>6736</v>
      </c>
      <c r="N111" s="22">
        <f t="shared" si="38"/>
        <v>-4.77206512425021</v>
      </c>
      <c r="O111" s="21">
        <f t="shared" si="23"/>
        <v>9.64</v>
      </c>
      <c r="P111" s="21">
        <f t="shared" si="39"/>
        <v>493.92</v>
      </c>
      <c r="Q111" s="21">
        <f t="shared" si="24"/>
        <v>16946.3952</v>
      </c>
      <c r="R111" s="21">
        <f t="shared" si="25"/>
        <v>1.8</v>
      </c>
      <c r="S111" s="21">
        <f t="shared" si="26"/>
        <v>274.4</v>
      </c>
      <c r="T111" s="21">
        <f t="shared" si="40"/>
        <v>14121.996</v>
      </c>
      <c r="U111" s="21">
        <f t="shared" si="27"/>
        <v>274.4</v>
      </c>
      <c r="V111" s="21">
        <f t="shared" si="28"/>
        <v>14121.996</v>
      </c>
      <c r="X111" s="21">
        <f t="shared" si="36"/>
        <v>164.64</v>
      </c>
      <c r="Y111" s="21">
        <f t="shared" si="37"/>
        <v>109.76</v>
      </c>
      <c r="Z111" s="7">
        <v>74</v>
      </c>
      <c r="AA111" s="23">
        <f t="shared" si="41"/>
        <v>-35.76</v>
      </c>
      <c r="AC111" s="21">
        <f t="shared" si="29"/>
        <v>5648.7984</v>
      </c>
      <c r="AD111" s="21">
        <f t="shared" si="42"/>
        <v>5648.7984</v>
      </c>
      <c r="AE111" s="7">
        <f t="shared" si="43"/>
        <v>3808.41</v>
      </c>
    </row>
    <row r="112" ht="15" hidden="1" customHeight="1" spans="1:31">
      <c r="A112" s="7" t="s">
        <v>307</v>
      </c>
      <c r="B112" s="7" t="s">
        <v>308</v>
      </c>
      <c r="C112" s="7" t="s">
        <v>34</v>
      </c>
      <c r="D112" s="7" t="s">
        <v>51</v>
      </c>
      <c r="E112" s="7" t="s">
        <v>309</v>
      </c>
      <c r="F112" s="7">
        <v>16.05</v>
      </c>
      <c r="G112" s="7">
        <v>308</v>
      </c>
      <c r="H112" s="7">
        <v>3</v>
      </c>
      <c r="I112" s="7">
        <v>102</v>
      </c>
      <c r="J112" s="7">
        <v>64</v>
      </c>
      <c r="K112" s="7">
        <v>38</v>
      </c>
      <c r="L112" s="7">
        <v>1027</v>
      </c>
      <c r="M112" s="21">
        <v>612</v>
      </c>
      <c r="N112" s="22">
        <f t="shared" si="38"/>
        <v>0.404089581304771</v>
      </c>
      <c r="O112" s="21">
        <f t="shared" si="23"/>
        <v>3.16</v>
      </c>
      <c r="P112" s="21">
        <f t="shared" si="39"/>
        <v>172.48</v>
      </c>
      <c r="Q112" s="21">
        <f t="shared" si="24"/>
        <v>2768.304</v>
      </c>
      <c r="R112" s="21">
        <f t="shared" si="25"/>
        <v>0.422222222222222</v>
      </c>
      <c r="S112" s="21">
        <f t="shared" si="26"/>
        <v>95.8222222222222</v>
      </c>
      <c r="T112" s="21">
        <f t="shared" si="40"/>
        <v>2306.92</v>
      </c>
      <c r="U112" s="21">
        <f t="shared" si="27"/>
        <v>95.8222222222222</v>
      </c>
      <c r="V112" s="21">
        <f t="shared" si="28"/>
        <v>2306.92</v>
      </c>
      <c r="X112" s="21">
        <f t="shared" si="36"/>
        <v>57.4933333333333</v>
      </c>
      <c r="Y112" s="21">
        <f t="shared" si="37"/>
        <v>38.3288888888889</v>
      </c>
      <c r="Z112" s="7">
        <v>112</v>
      </c>
      <c r="AA112" s="23">
        <f t="shared" si="41"/>
        <v>73.6711111111111</v>
      </c>
      <c r="AC112" s="21">
        <f t="shared" si="29"/>
        <v>922.768</v>
      </c>
      <c r="AD112" s="21">
        <f t="shared" si="42"/>
        <v>922.768</v>
      </c>
      <c r="AE112" s="7">
        <f t="shared" si="43"/>
        <v>2696.4</v>
      </c>
    </row>
    <row r="113" ht="15" hidden="1" customHeight="1" spans="1:31">
      <c r="A113" s="7" t="s">
        <v>289</v>
      </c>
      <c r="B113" s="7" t="s">
        <v>290</v>
      </c>
      <c r="C113" s="7" t="s">
        <v>34</v>
      </c>
      <c r="D113" s="7" t="s">
        <v>35</v>
      </c>
      <c r="E113" s="7" t="s">
        <v>171</v>
      </c>
      <c r="F113" s="7">
        <v>46.55</v>
      </c>
      <c r="G113" s="7">
        <v>35</v>
      </c>
      <c r="J113" s="7">
        <v>19</v>
      </c>
      <c r="K113" s="7">
        <v>17</v>
      </c>
      <c r="L113" s="7">
        <v>1024</v>
      </c>
      <c r="M113" s="21">
        <v>942</v>
      </c>
      <c r="N113" s="22">
        <f t="shared" si="38"/>
        <v>0.080078125</v>
      </c>
      <c r="O113" s="21">
        <f t="shared" si="23"/>
        <v>0.7</v>
      </c>
      <c r="P113" s="21">
        <f t="shared" si="39"/>
        <v>19.6</v>
      </c>
      <c r="Q113" s="21">
        <f t="shared" si="24"/>
        <v>912.38</v>
      </c>
      <c r="R113" s="21">
        <f t="shared" si="25"/>
        <v>0.388888888888889</v>
      </c>
      <c r="S113" s="21">
        <f t="shared" si="26"/>
        <v>10.8888888888889</v>
      </c>
      <c r="T113" s="21">
        <f t="shared" si="40"/>
        <v>760.316666666667</v>
      </c>
      <c r="U113" s="21">
        <f t="shared" si="27"/>
        <v>10.8888888888889</v>
      </c>
      <c r="V113" s="21">
        <f t="shared" si="28"/>
        <v>760.316666666667</v>
      </c>
      <c r="X113" s="21">
        <f t="shared" si="36"/>
        <v>6.53333333333333</v>
      </c>
      <c r="Y113" s="21">
        <f t="shared" si="37"/>
        <v>4.35555555555556</v>
      </c>
      <c r="Z113" s="7">
        <v>2</v>
      </c>
      <c r="AA113" s="23">
        <f t="shared" si="41"/>
        <v>-2.35555555555556</v>
      </c>
      <c r="AC113" s="21">
        <f t="shared" si="29"/>
        <v>304.126666666667</v>
      </c>
      <c r="AD113" s="21">
        <f t="shared" si="42"/>
        <v>304.126666666667</v>
      </c>
      <c r="AE113" s="7">
        <f t="shared" si="43"/>
        <v>139.65</v>
      </c>
    </row>
    <row r="114" ht="15" hidden="1" customHeight="1" spans="1:31">
      <c r="A114" s="7" t="s">
        <v>472</v>
      </c>
      <c r="B114" s="7" t="s">
        <v>473</v>
      </c>
      <c r="C114" s="7" t="s">
        <v>34</v>
      </c>
      <c r="D114" s="7" t="s">
        <v>35</v>
      </c>
      <c r="E114" s="7" t="s">
        <v>474</v>
      </c>
      <c r="F114" s="7">
        <v>55.39</v>
      </c>
      <c r="G114" s="7">
        <v>13</v>
      </c>
      <c r="J114" s="7">
        <v>12</v>
      </c>
      <c r="K114" s="7">
        <v>5</v>
      </c>
      <c r="L114" s="7">
        <v>969</v>
      </c>
      <c r="M114" s="21">
        <v>305</v>
      </c>
      <c r="N114" s="22">
        <f t="shared" si="38"/>
        <v>0.685242518059855</v>
      </c>
      <c r="O114" s="21">
        <f t="shared" si="23"/>
        <v>0.26</v>
      </c>
      <c r="P114" s="21">
        <f t="shared" si="39"/>
        <v>7.28</v>
      </c>
      <c r="Q114" s="21">
        <f t="shared" si="24"/>
        <v>403.2392</v>
      </c>
      <c r="R114" s="21">
        <f t="shared" si="25"/>
        <v>0.144444444444444</v>
      </c>
      <c r="S114" s="21">
        <f t="shared" si="26"/>
        <v>4.04444444444444</v>
      </c>
      <c r="T114" s="21">
        <f t="shared" si="40"/>
        <v>336.032666666667</v>
      </c>
      <c r="U114" s="21">
        <f t="shared" si="27"/>
        <v>4.04444444444444</v>
      </c>
      <c r="V114" s="21">
        <f t="shared" si="28"/>
        <v>336.032666666667</v>
      </c>
      <c r="X114" s="21">
        <f t="shared" si="36"/>
        <v>2.42666666666667</v>
      </c>
      <c r="Y114" s="21">
        <f t="shared" si="37"/>
        <v>1.61777777777778</v>
      </c>
      <c r="Z114" s="7">
        <v>0</v>
      </c>
      <c r="AA114" s="23">
        <f t="shared" si="41"/>
        <v>-1.61777777777778</v>
      </c>
      <c r="AC114" s="21">
        <f t="shared" si="29"/>
        <v>134.413066666667</v>
      </c>
      <c r="AD114" s="21">
        <f t="shared" si="42"/>
        <v>134.413066666667</v>
      </c>
      <c r="AE114" s="7">
        <f t="shared" si="43"/>
        <v>0</v>
      </c>
    </row>
    <row r="115" ht="15" hidden="1" customHeight="1" spans="1:31">
      <c r="A115" s="7" t="s">
        <v>878</v>
      </c>
      <c r="B115" s="7" t="s">
        <v>879</v>
      </c>
      <c r="C115" s="7" t="s">
        <v>34</v>
      </c>
      <c r="D115" s="7" t="s">
        <v>51</v>
      </c>
      <c r="E115" s="7" t="s">
        <v>530</v>
      </c>
      <c r="F115" s="7">
        <v>24.93</v>
      </c>
      <c r="G115" s="7">
        <v>42</v>
      </c>
      <c r="J115" s="7">
        <v>29</v>
      </c>
      <c r="K115" s="7">
        <v>0</v>
      </c>
      <c r="L115" s="7">
        <v>947</v>
      </c>
      <c r="M115" s="21">
        <v>0</v>
      </c>
      <c r="N115" s="22">
        <f t="shared" si="38"/>
        <v>1</v>
      </c>
      <c r="O115" s="21">
        <f t="shared" si="23"/>
        <v>0.84</v>
      </c>
      <c r="P115" s="21">
        <f t="shared" si="39"/>
        <v>23.52</v>
      </c>
      <c r="Q115" s="21">
        <f t="shared" si="24"/>
        <v>586.3536</v>
      </c>
      <c r="R115" s="21">
        <f t="shared" si="25"/>
        <v>0.466666666666667</v>
      </c>
      <c r="S115" s="21">
        <f t="shared" si="26"/>
        <v>13.0666666666667</v>
      </c>
      <c r="T115" s="21">
        <f t="shared" si="40"/>
        <v>488.628</v>
      </c>
      <c r="U115" s="21">
        <f t="shared" si="27"/>
        <v>13.0666666666667</v>
      </c>
      <c r="V115" s="21">
        <f t="shared" si="28"/>
        <v>488.628</v>
      </c>
      <c r="X115" s="21">
        <f t="shared" si="36"/>
        <v>7.84</v>
      </c>
      <c r="Y115" s="21">
        <f t="shared" si="37"/>
        <v>5.22666666666667</v>
      </c>
      <c r="Z115" s="7">
        <v>21</v>
      </c>
      <c r="AA115" s="23">
        <f t="shared" si="41"/>
        <v>15.7733333333333</v>
      </c>
      <c r="AC115" s="21">
        <f t="shared" si="29"/>
        <v>195.4512</v>
      </c>
      <c r="AD115" s="21">
        <f t="shared" si="42"/>
        <v>195.4512</v>
      </c>
      <c r="AE115" s="7">
        <f t="shared" si="43"/>
        <v>785.295</v>
      </c>
    </row>
    <row r="116" ht="15" hidden="1" customHeight="1" spans="1:31">
      <c r="A116" s="7" t="s">
        <v>450</v>
      </c>
      <c r="B116" s="7" t="s">
        <v>451</v>
      </c>
      <c r="C116" s="7" t="s">
        <v>34</v>
      </c>
      <c r="D116" s="7" t="s">
        <v>51</v>
      </c>
      <c r="E116" s="7" t="s">
        <v>203</v>
      </c>
      <c r="F116" s="7">
        <v>65.89</v>
      </c>
      <c r="G116" s="7">
        <v>44</v>
      </c>
      <c r="J116" s="7">
        <v>14</v>
      </c>
      <c r="K116" s="7">
        <v>0</v>
      </c>
      <c r="L116" s="7">
        <v>922</v>
      </c>
      <c r="M116" s="21">
        <v>0</v>
      </c>
      <c r="N116" s="22">
        <f t="shared" si="38"/>
        <v>1</v>
      </c>
      <c r="O116" s="21">
        <f t="shared" si="23"/>
        <v>0.88</v>
      </c>
      <c r="P116" s="21">
        <f t="shared" si="39"/>
        <v>24.64</v>
      </c>
      <c r="Q116" s="21">
        <f t="shared" si="24"/>
        <v>1623.5296</v>
      </c>
      <c r="R116" s="21">
        <f t="shared" si="25"/>
        <v>0.488888888888889</v>
      </c>
      <c r="S116" s="21">
        <f t="shared" si="26"/>
        <v>13.6888888888889</v>
      </c>
      <c r="T116" s="21">
        <f t="shared" si="40"/>
        <v>1352.94133333333</v>
      </c>
      <c r="U116" s="21">
        <f t="shared" si="27"/>
        <v>13.6888888888889</v>
      </c>
      <c r="V116" s="21">
        <f t="shared" si="28"/>
        <v>1352.94133333333</v>
      </c>
      <c r="X116" s="21">
        <f t="shared" si="36"/>
        <v>8.21333333333333</v>
      </c>
      <c r="Y116" s="21">
        <f t="shared" si="37"/>
        <v>5.47555555555556</v>
      </c>
      <c r="Z116" s="7">
        <v>21</v>
      </c>
      <c r="AA116" s="23">
        <f t="shared" si="41"/>
        <v>15.5244444444444</v>
      </c>
      <c r="AC116" s="21">
        <f t="shared" si="29"/>
        <v>541.176533333333</v>
      </c>
      <c r="AD116" s="21">
        <f t="shared" si="42"/>
        <v>541.176533333333</v>
      </c>
      <c r="AE116" s="7">
        <f t="shared" si="43"/>
        <v>2075.535</v>
      </c>
    </row>
    <row r="117" ht="15" hidden="1" customHeight="1" spans="1:31">
      <c r="A117" s="7" t="s">
        <v>237</v>
      </c>
      <c r="B117" s="7" t="s">
        <v>238</v>
      </c>
      <c r="C117" s="7" t="s">
        <v>34</v>
      </c>
      <c r="D117" s="7" t="s">
        <v>51</v>
      </c>
      <c r="E117" s="7" t="s">
        <v>239</v>
      </c>
      <c r="F117" s="7">
        <v>75.23</v>
      </c>
      <c r="G117" s="7">
        <v>47</v>
      </c>
      <c r="J117" s="7">
        <v>12</v>
      </c>
      <c r="K117" s="7">
        <v>16</v>
      </c>
      <c r="L117" s="7">
        <v>903</v>
      </c>
      <c r="M117" s="21">
        <v>1204</v>
      </c>
      <c r="N117" s="22">
        <f t="shared" si="38"/>
        <v>-0.333333333333333</v>
      </c>
      <c r="O117" s="21">
        <f t="shared" si="23"/>
        <v>0.94</v>
      </c>
      <c r="P117" s="21">
        <f t="shared" si="39"/>
        <v>26.32</v>
      </c>
      <c r="Q117" s="21">
        <f t="shared" si="24"/>
        <v>1980.0536</v>
      </c>
      <c r="R117" s="21">
        <f t="shared" si="25"/>
        <v>0.522222222222222</v>
      </c>
      <c r="S117" s="21">
        <f t="shared" si="26"/>
        <v>14.6222222222222</v>
      </c>
      <c r="T117" s="21">
        <f t="shared" si="40"/>
        <v>1650.04466666667</v>
      </c>
      <c r="U117" s="21">
        <f t="shared" si="27"/>
        <v>14.6222222222222</v>
      </c>
      <c r="V117" s="21">
        <f t="shared" si="28"/>
        <v>1650.04466666667</v>
      </c>
      <c r="X117" s="21">
        <f t="shared" si="36"/>
        <v>8.77333333333333</v>
      </c>
      <c r="Y117" s="21">
        <f t="shared" si="37"/>
        <v>5.84888888888889</v>
      </c>
      <c r="Z117" s="7">
        <v>9</v>
      </c>
      <c r="AA117" s="23">
        <f t="shared" si="41"/>
        <v>3.15111111111111</v>
      </c>
      <c r="AC117" s="21">
        <f t="shared" si="29"/>
        <v>660.017866666667</v>
      </c>
      <c r="AD117" s="21">
        <f t="shared" si="42"/>
        <v>660.017866666667</v>
      </c>
      <c r="AE117" s="7">
        <f t="shared" si="43"/>
        <v>1015.605</v>
      </c>
    </row>
    <row r="118" ht="15" hidden="1" customHeight="1" spans="1:31">
      <c r="A118" s="7" t="s">
        <v>350</v>
      </c>
      <c r="B118" s="7" t="s">
        <v>351</v>
      </c>
      <c r="C118" s="7" t="s">
        <v>34</v>
      </c>
      <c r="D118" s="7" t="s">
        <v>35</v>
      </c>
      <c r="E118" s="7" t="s">
        <v>264</v>
      </c>
      <c r="F118" s="7">
        <v>28.01</v>
      </c>
      <c r="G118" s="7">
        <v>114</v>
      </c>
      <c r="J118" s="7">
        <v>24</v>
      </c>
      <c r="K118" s="7">
        <v>21</v>
      </c>
      <c r="L118" s="7">
        <v>896</v>
      </c>
      <c r="M118" s="21">
        <v>784</v>
      </c>
      <c r="N118" s="22">
        <f t="shared" si="38"/>
        <v>0.125</v>
      </c>
      <c r="O118" s="21">
        <f t="shared" si="23"/>
        <v>2.28</v>
      </c>
      <c r="P118" s="21">
        <f t="shared" si="39"/>
        <v>63.84</v>
      </c>
      <c r="Q118" s="21">
        <f t="shared" si="24"/>
        <v>1788.1584</v>
      </c>
      <c r="R118" s="21">
        <f t="shared" si="25"/>
        <v>1.26666666666667</v>
      </c>
      <c r="S118" s="21">
        <f t="shared" si="26"/>
        <v>35.4666666666667</v>
      </c>
      <c r="T118" s="21">
        <f t="shared" si="40"/>
        <v>1490.132</v>
      </c>
      <c r="U118" s="21">
        <f t="shared" si="27"/>
        <v>35.4666666666667</v>
      </c>
      <c r="V118" s="21">
        <f t="shared" si="28"/>
        <v>1490.132</v>
      </c>
      <c r="X118" s="21">
        <f t="shared" si="36"/>
        <v>21.28</v>
      </c>
      <c r="Y118" s="21">
        <f t="shared" si="37"/>
        <v>14.1866666666667</v>
      </c>
      <c r="Z118" s="7">
        <v>2</v>
      </c>
      <c r="AA118" s="23">
        <f t="shared" si="41"/>
        <v>-12.1866666666667</v>
      </c>
      <c r="AC118" s="21">
        <f t="shared" si="29"/>
        <v>596.0528</v>
      </c>
      <c r="AD118" s="21">
        <f t="shared" si="42"/>
        <v>596.0528</v>
      </c>
      <c r="AE118" s="7">
        <f t="shared" si="43"/>
        <v>84.03</v>
      </c>
    </row>
    <row r="119" ht="15" hidden="1" customHeight="1" spans="1:31">
      <c r="A119" s="7" t="s">
        <v>646</v>
      </c>
      <c r="B119" s="7" t="s">
        <v>670</v>
      </c>
      <c r="C119" s="7" t="s">
        <v>34</v>
      </c>
      <c r="D119" s="7" t="s">
        <v>51</v>
      </c>
      <c r="E119" s="7" t="s">
        <v>320</v>
      </c>
      <c r="F119" s="7">
        <v>62.89</v>
      </c>
      <c r="G119" s="7">
        <v>97</v>
      </c>
      <c r="H119" s="7">
        <v>1</v>
      </c>
      <c r="I119" s="7">
        <v>97</v>
      </c>
      <c r="J119" s="7">
        <v>13</v>
      </c>
      <c r="K119" s="7">
        <v>20</v>
      </c>
      <c r="L119" s="7">
        <v>818</v>
      </c>
      <c r="M119" s="21">
        <v>1258</v>
      </c>
      <c r="N119" s="22">
        <f t="shared" si="38"/>
        <v>-0.537897310513447</v>
      </c>
      <c r="O119" s="21">
        <f t="shared" si="23"/>
        <v>0.94</v>
      </c>
      <c r="P119" s="21">
        <f t="shared" si="39"/>
        <v>54.32</v>
      </c>
      <c r="Q119" s="21">
        <f t="shared" si="24"/>
        <v>3416.1848</v>
      </c>
      <c r="R119" s="21">
        <f t="shared" si="25"/>
        <v>0.0777777777777778</v>
      </c>
      <c r="S119" s="21">
        <f t="shared" si="26"/>
        <v>30.1777777777778</v>
      </c>
      <c r="T119" s="21">
        <f t="shared" si="40"/>
        <v>2846.82066666667</v>
      </c>
      <c r="U119" s="21">
        <f t="shared" si="27"/>
        <v>30.1777777777778</v>
      </c>
      <c r="V119" s="21">
        <f t="shared" si="28"/>
        <v>2846.82066666667</v>
      </c>
      <c r="X119" s="21">
        <f t="shared" si="36"/>
        <v>18.1066666666667</v>
      </c>
      <c r="Y119" s="21">
        <f t="shared" si="37"/>
        <v>12.0711111111111</v>
      </c>
      <c r="Z119" s="7">
        <v>29</v>
      </c>
      <c r="AA119" s="23">
        <f t="shared" si="41"/>
        <v>16.9288888888889</v>
      </c>
      <c r="AC119" s="21">
        <f t="shared" si="29"/>
        <v>1138.72826666667</v>
      </c>
      <c r="AD119" s="21">
        <f t="shared" si="42"/>
        <v>1138.72826666667</v>
      </c>
      <c r="AE119" s="7">
        <f t="shared" si="43"/>
        <v>2735.715</v>
      </c>
    </row>
    <row r="120" ht="15" hidden="1" customHeight="1" spans="1:31">
      <c r="A120" s="7" t="s">
        <v>395</v>
      </c>
      <c r="B120" s="7" t="s">
        <v>396</v>
      </c>
      <c r="C120" s="7" t="s">
        <v>34</v>
      </c>
      <c r="D120" s="7" t="s">
        <v>35</v>
      </c>
      <c r="E120" s="7" t="s">
        <v>264</v>
      </c>
      <c r="F120" s="7">
        <v>13.75</v>
      </c>
      <c r="G120" s="7">
        <v>162</v>
      </c>
      <c r="H120" s="7">
        <v>1</v>
      </c>
      <c r="I120" s="7">
        <v>162</v>
      </c>
      <c r="J120" s="7">
        <v>58</v>
      </c>
      <c r="K120" s="7">
        <v>0</v>
      </c>
      <c r="L120" s="7">
        <v>798</v>
      </c>
      <c r="M120" s="21">
        <v>0</v>
      </c>
      <c r="N120" s="22">
        <f t="shared" si="38"/>
        <v>1</v>
      </c>
      <c r="O120" s="21">
        <f t="shared" si="23"/>
        <v>2.24</v>
      </c>
      <c r="P120" s="21">
        <f t="shared" si="39"/>
        <v>90.72</v>
      </c>
      <c r="Q120" s="21">
        <f t="shared" si="24"/>
        <v>1247.4</v>
      </c>
      <c r="R120" s="21">
        <f t="shared" si="25"/>
        <v>0.8</v>
      </c>
      <c r="S120" s="21">
        <f t="shared" si="26"/>
        <v>50.4</v>
      </c>
      <c r="T120" s="21">
        <f t="shared" si="40"/>
        <v>1039.5</v>
      </c>
      <c r="U120" s="21">
        <f t="shared" si="27"/>
        <v>50.4</v>
      </c>
      <c r="V120" s="21">
        <f t="shared" si="28"/>
        <v>1039.5</v>
      </c>
      <c r="X120" s="21">
        <f t="shared" si="36"/>
        <v>30.24</v>
      </c>
      <c r="Y120" s="21">
        <f t="shared" si="37"/>
        <v>20.16</v>
      </c>
      <c r="Z120" s="7">
        <v>37</v>
      </c>
      <c r="AA120" s="23">
        <f t="shared" si="41"/>
        <v>16.84</v>
      </c>
      <c r="AC120" s="21">
        <f t="shared" si="29"/>
        <v>415.8</v>
      </c>
      <c r="AD120" s="21">
        <f t="shared" si="42"/>
        <v>415.8</v>
      </c>
      <c r="AE120" s="7">
        <f t="shared" si="43"/>
        <v>763.125</v>
      </c>
    </row>
    <row r="121" ht="15" hidden="1" customHeight="1" spans="1:31">
      <c r="A121" s="7" t="s">
        <v>880</v>
      </c>
      <c r="B121" s="7" t="s">
        <v>881</v>
      </c>
      <c r="C121" s="7" t="s">
        <v>34</v>
      </c>
      <c r="D121" s="7" t="s">
        <v>35</v>
      </c>
      <c r="E121" s="7" t="s">
        <v>492</v>
      </c>
      <c r="F121" s="7">
        <v>26.64</v>
      </c>
      <c r="G121" s="7">
        <v>51</v>
      </c>
      <c r="J121" s="7">
        <v>26</v>
      </c>
      <c r="K121" s="7">
        <v>0</v>
      </c>
      <c r="L121" s="7">
        <v>773</v>
      </c>
      <c r="M121" s="21">
        <v>0</v>
      </c>
      <c r="N121" s="22">
        <f t="shared" si="38"/>
        <v>1</v>
      </c>
      <c r="O121" s="21">
        <f t="shared" si="23"/>
        <v>1.02</v>
      </c>
      <c r="P121" s="21">
        <f t="shared" si="39"/>
        <v>28.56</v>
      </c>
      <c r="Q121" s="21">
        <f t="shared" si="24"/>
        <v>760.8384</v>
      </c>
      <c r="R121" s="21">
        <f t="shared" si="25"/>
        <v>0.566666666666667</v>
      </c>
      <c r="S121" s="21">
        <f t="shared" si="26"/>
        <v>15.8666666666667</v>
      </c>
      <c r="T121" s="21">
        <f t="shared" si="40"/>
        <v>634.032</v>
      </c>
      <c r="U121" s="21">
        <f t="shared" si="27"/>
        <v>15.8666666666667</v>
      </c>
      <c r="V121" s="21">
        <f t="shared" si="28"/>
        <v>634.032</v>
      </c>
      <c r="X121" s="21">
        <f t="shared" si="36"/>
        <v>9.52</v>
      </c>
      <c r="Y121" s="21">
        <f t="shared" si="37"/>
        <v>6.34666666666667</v>
      </c>
      <c r="Z121" s="7">
        <v>38</v>
      </c>
      <c r="AA121" s="23">
        <f t="shared" si="41"/>
        <v>31.6533333333333</v>
      </c>
      <c r="AC121" s="21">
        <f t="shared" si="29"/>
        <v>253.6128</v>
      </c>
      <c r="AD121" s="21">
        <f t="shared" si="42"/>
        <v>253.6128</v>
      </c>
      <c r="AE121" s="7">
        <f t="shared" si="43"/>
        <v>1518.48</v>
      </c>
    </row>
    <row r="122" ht="15" hidden="1" customHeight="1" spans="1:31">
      <c r="A122" s="7" t="s">
        <v>882</v>
      </c>
      <c r="B122" s="7" t="s">
        <v>883</v>
      </c>
      <c r="C122" s="7" t="s">
        <v>34</v>
      </c>
      <c r="D122" s="7" t="s">
        <v>35</v>
      </c>
      <c r="E122" s="7" t="s">
        <v>106</v>
      </c>
      <c r="F122" s="7">
        <v>8.89</v>
      </c>
      <c r="G122" s="7">
        <v>194</v>
      </c>
      <c r="H122" s="7">
        <v>1</v>
      </c>
      <c r="I122" s="7">
        <v>194</v>
      </c>
      <c r="J122" s="7">
        <v>80</v>
      </c>
      <c r="K122" s="7">
        <v>0</v>
      </c>
      <c r="L122" s="7">
        <v>751</v>
      </c>
      <c r="M122" s="21">
        <v>0</v>
      </c>
      <c r="N122" s="22">
        <f t="shared" si="38"/>
        <v>1</v>
      </c>
      <c r="O122" s="21">
        <f t="shared" si="23"/>
        <v>2.88</v>
      </c>
      <c r="P122" s="21">
        <f t="shared" si="39"/>
        <v>108.64</v>
      </c>
      <c r="Q122" s="21">
        <f t="shared" si="24"/>
        <v>965.8096</v>
      </c>
      <c r="R122" s="21">
        <f t="shared" si="25"/>
        <v>1.15555555555556</v>
      </c>
      <c r="S122" s="21">
        <f t="shared" si="26"/>
        <v>60.3555555555556</v>
      </c>
      <c r="T122" s="21">
        <f t="shared" si="40"/>
        <v>804.841333333333</v>
      </c>
      <c r="U122" s="21">
        <f t="shared" si="27"/>
        <v>60.3555555555556</v>
      </c>
      <c r="V122" s="21">
        <f t="shared" si="28"/>
        <v>804.841333333333</v>
      </c>
      <c r="X122" s="21">
        <f t="shared" si="36"/>
        <v>36.2133333333333</v>
      </c>
      <c r="Y122" s="21">
        <f t="shared" si="37"/>
        <v>24.1422222222222</v>
      </c>
      <c r="Z122" s="7">
        <v>19</v>
      </c>
      <c r="AA122" s="23">
        <f t="shared" si="41"/>
        <v>-5.14222222222222</v>
      </c>
      <c r="AC122" s="21">
        <f t="shared" si="29"/>
        <v>321.936533333333</v>
      </c>
      <c r="AD122" s="21">
        <f t="shared" si="42"/>
        <v>321.936533333333</v>
      </c>
      <c r="AE122" s="7">
        <f t="shared" si="43"/>
        <v>253.365</v>
      </c>
    </row>
    <row r="123" ht="15" hidden="1" customHeight="1" spans="1:31">
      <c r="A123" s="7" t="s">
        <v>805</v>
      </c>
      <c r="B123" s="7" t="s">
        <v>806</v>
      </c>
      <c r="C123" s="7" t="s">
        <v>34</v>
      </c>
      <c r="D123" s="7" t="s">
        <v>51</v>
      </c>
      <c r="E123" s="7" t="s">
        <v>807</v>
      </c>
      <c r="F123" s="7">
        <v>21.29</v>
      </c>
      <c r="G123" s="7">
        <v>22</v>
      </c>
      <c r="J123" s="7">
        <v>22</v>
      </c>
      <c r="K123" s="7">
        <v>20</v>
      </c>
      <c r="L123" s="7">
        <v>703</v>
      </c>
      <c r="M123" s="21">
        <v>640</v>
      </c>
      <c r="N123" s="22">
        <f t="shared" si="38"/>
        <v>0.0896159317211949</v>
      </c>
      <c r="O123" s="21">
        <f t="shared" si="23"/>
        <v>0.44</v>
      </c>
      <c r="P123" s="21">
        <f t="shared" si="39"/>
        <v>12.32</v>
      </c>
      <c r="Q123" s="21">
        <f t="shared" si="24"/>
        <v>262.2928</v>
      </c>
      <c r="R123" s="21">
        <f t="shared" si="25"/>
        <v>0.244444444444444</v>
      </c>
      <c r="S123" s="21">
        <f t="shared" si="26"/>
        <v>6.84444444444444</v>
      </c>
      <c r="T123" s="21">
        <f t="shared" si="40"/>
        <v>218.577333333333</v>
      </c>
      <c r="U123" s="21">
        <f t="shared" si="27"/>
        <v>6.84444444444444</v>
      </c>
      <c r="V123" s="21">
        <f t="shared" si="28"/>
        <v>218.577333333333</v>
      </c>
      <c r="X123" s="21">
        <f t="shared" si="36"/>
        <v>4.10666666666667</v>
      </c>
      <c r="Y123" s="21">
        <f t="shared" si="37"/>
        <v>2.73777777777778</v>
      </c>
      <c r="Z123" s="7">
        <v>2</v>
      </c>
      <c r="AA123" s="23">
        <f t="shared" si="41"/>
        <v>-0.737777777777778</v>
      </c>
      <c r="AC123" s="21">
        <f t="shared" si="29"/>
        <v>87.4309333333333</v>
      </c>
      <c r="AD123" s="21">
        <f t="shared" si="42"/>
        <v>87.4309333333333</v>
      </c>
      <c r="AE123" s="7">
        <f t="shared" si="43"/>
        <v>63.87</v>
      </c>
    </row>
    <row r="124" ht="15" hidden="1" customHeight="1" spans="1:31">
      <c r="A124" s="7" t="s">
        <v>884</v>
      </c>
      <c r="B124" s="7" t="s">
        <v>885</v>
      </c>
      <c r="C124" s="7" t="s">
        <v>34</v>
      </c>
      <c r="D124" s="7" t="s">
        <v>35</v>
      </c>
      <c r="E124" s="7" t="s">
        <v>886</v>
      </c>
      <c r="F124" s="7">
        <v>20.4572</v>
      </c>
      <c r="G124" s="7">
        <v>758</v>
      </c>
      <c r="H124" s="7">
        <v>9</v>
      </c>
      <c r="I124" s="7">
        <v>84</v>
      </c>
      <c r="J124" s="7">
        <v>26</v>
      </c>
      <c r="K124" s="7">
        <v>0</v>
      </c>
      <c r="L124" s="7">
        <v>532</v>
      </c>
      <c r="M124" s="21">
        <v>0</v>
      </c>
      <c r="N124" s="22">
        <f t="shared" si="38"/>
        <v>1</v>
      </c>
      <c r="O124" s="21">
        <f t="shared" si="23"/>
        <v>6.16</v>
      </c>
      <c r="P124" s="21">
        <f t="shared" si="39"/>
        <v>424.48</v>
      </c>
      <c r="Q124" s="21">
        <f t="shared" si="24"/>
        <v>8683.672256</v>
      </c>
      <c r="R124" s="21">
        <f t="shared" si="25"/>
        <v>-0.577777777777778</v>
      </c>
      <c r="S124" s="21">
        <f t="shared" si="26"/>
        <v>235.822222222222</v>
      </c>
      <c r="T124" s="21">
        <f t="shared" si="40"/>
        <v>7236.39354666667</v>
      </c>
      <c r="U124" s="21">
        <f t="shared" si="27"/>
        <v>235.822222222222</v>
      </c>
      <c r="V124" s="21">
        <f t="shared" si="28"/>
        <v>7236.39354666667</v>
      </c>
      <c r="X124" s="21">
        <f t="shared" si="36"/>
        <v>141.493333333333</v>
      </c>
      <c r="Y124" s="21">
        <f t="shared" si="37"/>
        <v>94.3288888888889</v>
      </c>
      <c r="Z124" s="7">
        <v>256</v>
      </c>
      <c r="AA124" s="23">
        <f t="shared" si="41"/>
        <v>161.671111111111</v>
      </c>
      <c r="AC124" s="21">
        <f t="shared" si="29"/>
        <v>2894.55741866667</v>
      </c>
      <c r="AD124" s="21">
        <f t="shared" si="42"/>
        <v>2894.55741866667</v>
      </c>
      <c r="AE124" s="7">
        <f t="shared" si="43"/>
        <v>7855.5648</v>
      </c>
    </row>
    <row r="125" ht="15" hidden="1" customHeight="1" spans="1:31">
      <c r="A125" s="7" t="s">
        <v>462</v>
      </c>
      <c r="B125" s="7" t="s">
        <v>463</v>
      </c>
      <c r="C125" s="7" t="s">
        <v>34</v>
      </c>
      <c r="D125" s="7" t="s">
        <v>35</v>
      </c>
      <c r="E125" s="7" t="s">
        <v>264</v>
      </c>
      <c r="F125" s="7">
        <v>21.19</v>
      </c>
      <c r="G125" s="7">
        <v>43</v>
      </c>
      <c r="J125" s="7">
        <v>22</v>
      </c>
      <c r="K125" s="7">
        <v>11</v>
      </c>
      <c r="L125" s="7">
        <v>519</v>
      </c>
      <c r="M125" s="21">
        <v>233</v>
      </c>
      <c r="N125" s="22">
        <f t="shared" si="38"/>
        <v>0.551059730250482</v>
      </c>
      <c r="O125" s="21">
        <f t="shared" si="23"/>
        <v>0.86</v>
      </c>
      <c r="P125" s="21">
        <f t="shared" si="39"/>
        <v>24.08</v>
      </c>
      <c r="Q125" s="21">
        <f t="shared" si="24"/>
        <v>510.2552</v>
      </c>
      <c r="R125" s="21">
        <f t="shared" si="25"/>
        <v>0.477777777777778</v>
      </c>
      <c r="S125" s="21">
        <f t="shared" si="26"/>
        <v>13.3777777777778</v>
      </c>
      <c r="T125" s="21">
        <f t="shared" si="40"/>
        <v>425.212666666667</v>
      </c>
      <c r="U125" s="21">
        <f t="shared" si="27"/>
        <v>13.3777777777778</v>
      </c>
      <c r="V125" s="21">
        <f t="shared" si="28"/>
        <v>425.212666666667</v>
      </c>
      <c r="X125" s="21">
        <f t="shared" si="36"/>
        <v>8.02666666666667</v>
      </c>
      <c r="Y125" s="21">
        <f t="shared" si="37"/>
        <v>5.35111111111111</v>
      </c>
      <c r="Z125" s="7">
        <v>9</v>
      </c>
      <c r="AA125" s="23">
        <f t="shared" si="41"/>
        <v>3.64888888888889</v>
      </c>
      <c r="AC125" s="21">
        <f t="shared" si="29"/>
        <v>170.085066666667</v>
      </c>
      <c r="AD125" s="21">
        <f t="shared" si="42"/>
        <v>170.085066666667</v>
      </c>
      <c r="AE125" s="7">
        <f t="shared" si="43"/>
        <v>286.065</v>
      </c>
    </row>
    <row r="126" ht="15" hidden="1" customHeight="1" spans="1:31">
      <c r="A126" s="7" t="s">
        <v>477</v>
      </c>
      <c r="B126" s="7" t="s">
        <v>478</v>
      </c>
      <c r="C126" s="7" t="s">
        <v>34</v>
      </c>
      <c r="D126" s="7" t="s">
        <v>35</v>
      </c>
      <c r="E126" s="7" t="s">
        <v>479</v>
      </c>
      <c r="F126" s="7">
        <v>6.89</v>
      </c>
      <c r="G126" s="7">
        <v>50</v>
      </c>
      <c r="J126" s="7">
        <v>50</v>
      </c>
      <c r="K126" s="7">
        <v>45</v>
      </c>
      <c r="L126" s="7">
        <v>517</v>
      </c>
      <c r="M126" s="21">
        <v>455</v>
      </c>
      <c r="N126" s="22">
        <f t="shared" si="38"/>
        <v>0.119922630560928</v>
      </c>
      <c r="O126" s="21">
        <f t="shared" si="23"/>
        <v>1</v>
      </c>
      <c r="P126" s="21">
        <f t="shared" si="39"/>
        <v>28</v>
      </c>
      <c r="Q126" s="21">
        <f t="shared" si="24"/>
        <v>192.92</v>
      </c>
      <c r="R126" s="21">
        <f t="shared" si="25"/>
        <v>0.555555555555556</v>
      </c>
      <c r="S126" s="21">
        <f t="shared" si="26"/>
        <v>15.5555555555556</v>
      </c>
      <c r="T126" s="21">
        <f t="shared" si="40"/>
        <v>160.766666666667</v>
      </c>
      <c r="U126" s="21">
        <f t="shared" si="27"/>
        <v>15.5555555555556</v>
      </c>
      <c r="V126" s="21">
        <f t="shared" si="28"/>
        <v>160.766666666667</v>
      </c>
      <c r="X126" s="21">
        <f t="shared" si="36"/>
        <v>9.33333333333333</v>
      </c>
      <c r="Y126" s="21">
        <f t="shared" si="37"/>
        <v>6.22222222222222</v>
      </c>
      <c r="Z126" s="7">
        <v>0</v>
      </c>
      <c r="AA126" s="23">
        <f t="shared" si="41"/>
        <v>-6.22222222222222</v>
      </c>
      <c r="AC126" s="21">
        <f t="shared" si="29"/>
        <v>64.3066666666667</v>
      </c>
      <c r="AD126" s="21">
        <f t="shared" si="42"/>
        <v>64.3066666666667</v>
      </c>
      <c r="AE126" s="7">
        <f t="shared" si="43"/>
        <v>0</v>
      </c>
    </row>
    <row r="127" ht="15" hidden="1" customHeight="1" spans="1:31">
      <c r="A127" s="7" t="s">
        <v>466</v>
      </c>
      <c r="B127" s="7" t="s">
        <v>467</v>
      </c>
      <c r="C127" s="7" t="s">
        <v>34</v>
      </c>
      <c r="D127" s="7" t="s">
        <v>51</v>
      </c>
      <c r="E127" s="7" t="s">
        <v>203</v>
      </c>
      <c r="F127" s="7">
        <v>72.97</v>
      </c>
      <c r="G127" s="7">
        <v>45</v>
      </c>
      <c r="J127" s="7">
        <v>7</v>
      </c>
      <c r="K127" s="7">
        <v>0</v>
      </c>
      <c r="L127" s="7">
        <v>511</v>
      </c>
      <c r="M127" s="21">
        <v>0</v>
      </c>
      <c r="N127" s="22">
        <f t="shared" si="38"/>
        <v>1</v>
      </c>
      <c r="O127" s="21">
        <f t="shared" si="23"/>
        <v>0.9</v>
      </c>
      <c r="P127" s="21">
        <f t="shared" si="39"/>
        <v>25.2</v>
      </c>
      <c r="Q127" s="21">
        <f t="shared" si="24"/>
        <v>1838.844</v>
      </c>
      <c r="R127" s="21">
        <f t="shared" si="25"/>
        <v>0.5</v>
      </c>
      <c r="S127" s="21">
        <f t="shared" si="26"/>
        <v>14</v>
      </c>
      <c r="T127" s="21">
        <f t="shared" si="40"/>
        <v>1532.37</v>
      </c>
      <c r="U127" s="21">
        <f t="shared" si="27"/>
        <v>14</v>
      </c>
      <c r="V127" s="21">
        <f t="shared" si="28"/>
        <v>1532.37</v>
      </c>
      <c r="X127" s="21">
        <f t="shared" si="36"/>
        <v>8.4</v>
      </c>
      <c r="Y127" s="21">
        <f t="shared" si="37"/>
        <v>5.6</v>
      </c>
      <c r="Z127" s="7">
        <v>12</v>
      </c>
      <c r="AA127" s="23">
        <f t="shared" si="41"/>
        <v>6.4</v>
      </c>
      <c r="AC127" s="21">
        <f t="shared" si="29"/>
        <v>612.948</v>
      </c>
      <c r="AD127" s="21">
        <f t="shared" si="42"/>
        <v>612.948</v>
      </c>
      <c r="AE127" s="7">
        <f t="shared" si="43"/>
        <v>1313.46</v>
      </c>
    </row>
    <row r="128" ht="15" hidden="1" customHeight="1" spans="1:31">
      <c r="A128" s="7" t="s">
        <v>346</v>
      </c>
      <c r="B128" s="7" t="s">
        <v>347</v>
      </c>
      <c r="C128" s="7" t="s">
        <v>34</v>
      </c>
      <c r="D128" s="7" t="s">
        <v>35</v>
      </c>
      <c r="E128" s="7" t="s">
        <v>156</v>
      </c>
      <c r="F128" s="7">
        <v>165.94</v>
      </c>
      <c r="G128" s="7">
        <v>24</v>
      </c>
      <c r="J128" s="7">
        <v>3</v>
      </c>
      <c r="K128" s="7">
        <v>0</v>
      </c>
      <c r="L128" s="7">
        <v>498</v>
      </c>
      <c r="M128" s="21">
        <v>0</v>
      </c>
      <c r="N128" s="22">
        <f t="shared" si="38"/>
        <v>1</v>
      </c>
      <c r="O128" s="21">
        <f t="shared" si="23"/>
        <v>0.48</v>
      </c>
      <c r="P128" s="21">
        <f t="shared" si="39"/>
        <v>13.44</v>
      </c>
      <c r="Q128" s="21">
        <f t="shared" si="24"/>
        <v>2230.2336</v>
      </c>
      <c r="R128" s="21">
        <f t="shared" si="25"/>
        <v>0.266666666666667</v>
      </c>
      <c r="S128" s="21">
        <f t="shared" si="26"/>
        <v>7.46666666666667</v>
      </c>
      <c r="T128" s="21">
        <f t="shared" si="40"/>
        <v>1858.528</v>
      </c>
      <c r="U128" s="21">
        <f t="shared" si="27"/>
        <v>7.46666666666667</v>
      </c>
      <c r="V128" s="21">
        <f t="shared" si="28"/>
        <v>1858.528</v>
      </c>
      <c r="X128" s="21">
        <f t="shared" si="36"/>
        <v>4.48</v>
      </c>
      <c r="Y128" s="21">
        <f t="shared" si="37"/>
        <v>2.98666666666667</v>
      </c>
      <c r="Z128" s="7">
        <v>10</v>
      </c>
      <c r="AA128" s="23">
        <f t="shared" si="41"/>
        <v>7.01333333333333</v>
      </c>
      <c r="AC128" s="21">
        <f t="shared" si="29"/>
        <v>743.4112</v>
      </c>
      <c r="AD128" s="21">
        <f t="shared" si="42"/>
        <v>743.4112</v>
      </c>
      <c r="AE128" s="7">
        <f t="shared" si="43"/>
        <v>2489.1</v>
      </c>
    </row>
    <row r="129" ht="15" hidden="1" customHeight="1" spans="1:31">
      <c r="A129" s="7" t="s">
        <v>648</v>
      </c>
      <c r="B129" s="7" t="s">
        <v>662</v>
      </c>
      <c r="C129" s="7" t="s">
        <v>34</v>
      </c>
      <c r="D129" s="7" t="s">
        <v>51</v>
      </c>
      <c r="E129" s="7" t="s">
        <v>316</v>
      </c>
      <c r="F129" s="7">
        <v>233.51</v>
      </c>
      <c r="G129" s="7">
        <v>5</v>
      </c>
      <c r="J129" s="7">
        <v>2</v>
      </c>
      <c r="K129" s="7">
        <v>5</v>
      </c>
      <c r="L129" s="7">
        <v>467</v>
      </c>
      <c r="M129" s="21">
        <v>1751</v>
      </c>
      <c r="N129" s="22">
        <f t="shared" si="38"/>
        <v>-2.74946466809422</v>
      </c>
      <c r="O129" s="21">
        <f t="shared" si="23"/>
        <v>0.1</v>
      </c>
      <c r="P129" s="21">
        <f t="shared" si="39"/>
        <v>2.8</v>
      </c>
      <c r="Q129" s="21">
        <f t="shared" si="24"/>
        <v>653.828</v>
      </c>
      <c r="R129" s="21">
        <f t="shared" si="25"/>
        <v>0.0555555555555556</v>
      </c>
      <c r="S129" s="21">
        <f t="shared" si="26"/>
        <v>1.55555555555556</v>
      </c>
      <c r="T129" s="21">
        <f t="shared" si="40"/>
        <v>544.856666666667</v>
      </c>
      <c r="U129" s="21">
        <f t="shared" si="27"/>
        <v>1.55555555555556</v>
      </c>
      <c r="V129" s="21">
        <f t="shared" si="28"/>
        <v>544.856666666667</v>
      </c>
      <c r="X129" s="21">
        <f t="shared" si="36"/>
        <v>0.933333333333333</v>
      </c>
      <c r="Y129" s="21">
        <f t="shared" si="37"/>
        <v>0.622222222222222</v>
      </c>
      <c r="Z129" s="7">
        <v>0</v>
      </c>
      <c r="AA129" s="23">
        <f t="shared" si="41"/>
        <v>-0.622222222222222</v>
      </c>
      <c r="AC129" s="21">
        <f t="shared" si="29"/>
        <v>217.942666666667</v>
      </c>
      <c r="AD129" s="21">
        <f t="shared" si="42"/>
        <v>217.942666666667</v>
      </c>
      <c r="AE129" s="7">
        <f t="shared" si="43"/>
        <v>0</v>
      </c>
    </row>
    <row r="130" ht="15" hidden="1" customHeight="1" spans="1:31">
      <c r="A130" s="7" t="s">
        <v>603</v>
      </c>
      <c r="B130" s="7" t="s">
        <v>633</v>
      </c>
      <c r="C130" s="7" t="s">
        <v>34</v>
      </c>
      <c r="D130" s="7" t="s">
        <v>51</v>
      </c>
      <c r="E130" s="7" t="s">
        <v>195</v>
      </c>
      <c r="F130" s="7">
        <v>18.56</v>
      </c>
      <c r="G130" s="7">
        <v>730</v>
      </c>
      <c r="H130" s="7">
        <v>9</v>
      </c>
      <c r="I130" s="7">
        <v>81</v>
      </c>
      <c r="J130" s="7">
        <v>23</v>
      </c>
      <c r="K130" s="7">
        <v>0</v>
      </c>
      <c r="L130" s="7">
        <v>427</v>
      </c>
      <c r="M130" s="21">
        <v>0</v>
      </c>
      <c r="N130" s="22">
        <f t="shared" si="38"/>
        <v>1</v>
      </c>
      <c r="O130" s="21">
        <f t="shared" si="23"/>
        <v>5.6</v>
      </c>
      <c r="P130" s="21">
        <f t="shared" si="39"/>
        <v>408.8</v>
      </c>
      <c r="Q130" s="21">
        <f t="shared" si="24"/>
        <v>7587.328</v>
      </c>
      <c r="R130" s="21">
        <f t="shared" si="25"/>
        <v>-0.888888888888889</v>
      </c>
      <c r="S130" s="21">
        <f t="shared" si="26"/>
        <v>227.111111111111</v>
      </c>
      <c r="T130" s="21">
        <f t="shared" si="40"/>
        <v>6322.77333333333</v>
      </c>
      <c r="U130" s="21">
        <f t="shared" si="27"/>
        <v>227.111111111111</v>
      </c>
      <c r="V130" s="21">
        <f t="shared" si="28"/>
        <v>6322.77333333333</v>
      </c>
      <c r="X130" s="21">
        <f t="shared" si="36"/>
        <v>136.266666666667</v>
      </c>
      <c r="Y130" s="21">
        <f t="shared" si="37"/>
        <v>90.8444444444444</v>
      </c>
      <c r="Z130" s="7">
        <v>126</v>
      </c>
      <c r="AA130" s="23">
        <f t="shared" si="41"/>
        <v>35.1555555555556</v>
      </c>
      <c r="AC130" s="21">
        <f t="shared" si="29"/>
        <v>2529.10933333333</v>
      </c>
      <c r="AD130" s="21">
        <f t="shared" si="42"/>
        <v>2529.10933333333</v>
      </c>
      <c r="AE130" s="7">
        <f t="shared" si="43"/>
        <v>3507.84</v>
      </c>
    </row>
    <row r="131" ht="15" hidden="1" customHeight="1" spans="1:31">
      <c r="A131" s="7" t="s">
        <v>658</v>
      </c>
      <c r="B131" s="7" t="s">
        <v>642</v>
      </c>
      <c r="C131" s="7" t="s">
        <v>34</v>
      </c>
      <c r="D131" s="7" t="s">
        <v>35</v>
      </c>
      <c r="E131" s="7" t="s">
        <v>171</v>
      </c>
      <c r="F131" s="7">
        <v>38.91</v>
      </c>
      <c r="G131" s="7">
        <v>35</v>
      </c>
      <c r="J131" s="7">
        <v>10</v>
      </c>
      <c r="K131" s="7">
        <v>7</v>
      </c>
      <c r="L131" s="7">
        <v>389</v>
      </c>
      <c r="M131" s="21">
        <v>262</v>
      </c>
      <c r="N131" s="22">
        <f t="shared" si="38"/>
        <v>0.326478149100257</v>
      </c>
      <c r="O131" s="21">
        <f t="shared" si="23"/>
        <v>0.7</v>
      </c>
      <c r="P131" s="21">
        <f t="shared" si="39"/>
        <v>19.6</v>
      </c>
      <c r="Q131" s="21">
        <f t="shared" si="24"/>
        <v>762.636</v>
      </c>
      <c r="R131" s="21">
        <f t="shared" si="25"/>
        <v>0.388888888888889</v>
      </c>
      <c r="S131" s="21">
        <f t="shared" si="26"/>
        <v>10.8888888888889</v>
      </c>
      <c r="T131" s="21">
        <f t="shared" si="40"/>
        <v>635.53</v>
      </c>
      <c r="U131" s="21">
        <f t="shared" si="27"/>
        <v>10.8888888888889</v>
      </c>
      <c r="V131" s="21">
        <f t="shared" si="28"/>
        <v>635.53</v>
      </c>
      <c r="X131" s="21">
        <f t="shared" si="36"/>
        <v>6.53333333333333</v>
      </c>
      <c r="Y131" s="21">
        <f t="shared" si="37"/>
        <v>4.35555555555556</v>
      </c>
      <c r="Z131" s="7">
        <v>0</v>
      </c>
      <c r="AA131" s="23">
        <f t="shared" si="41"/>
        <v>-4.35555555555556</v>
      </c>
      <c r="AC131" s="21">
        <f t="shared" si="29"/>
        <v>254.212</v>
      </c>
      <c r="AD131" s="21">
        <f t="shared" si="42"/>
        <v>254.212</v>
      </c>
      <c r="AE131" s="7">
        <f t="shared" si="43"/>
        <v>0</v>
      </c>
    </row>
    <row r="132" ht="15" hidden="1" customHeight="1" spans="1:31">
      <c r="A132" s="7" t="s">
        <v>595</v>
      </c>
      <c r="B132" s="7" t="s">
        <v>700</v>
      </c>
      <c r="C132" s="7" t="s">
        <v>34</v>
      </c>
      <c r="D132" s="7" t="s">
        <v>35</v>
      </c>
      <c r="E132" s="7" t="s">
        <v>106</v>
      </c>
      <c r="F132" s="7">
        <v>22.02</v>
      </c>
      <c r="G132" s="7">
        <v>125</v>
      </c>
      <c r="H132" s="7">
        <v>1</v>
      </c>
      <c r="I132" s="7">
        <v>125</v>
      </c>
      <c r="J132" s="7">
        <v>13</v>
      </c>
      <c r="K132" s="7">
        <v>0</v>
      </c>
      <c r="L132" s="7">
        <v>286</v>
      </c>
      <c r="M132" s="21">
        <v>0</v>
      </c>
      <c r="N132" s="22">
        <f t="shared" si="38"/>
        <v>1</v>
      </c>
      <c r="O132" s="21">
        <f>(G132-(H132*50))/50</f>
        <v>1.5</v>
      </c>
      <c r="P132" s="21">
        <f t="shared" si="39"/>
        <v>70</v>
      </c>
      <c r="Q132" s="21">
        <f>P132*F132</f>
        <v>1541.4</v>
      </c>
      <c r="R132" s="21">
        <f>(G132-(H132*90))/90</f>
        <v>0.388888888888889</v>
      </c>
      <c r="S132" s="21">
        <f>28*(R132+H132)</f>
        <v>38.8888888888889</v>
      </c>
      <c r="T132" s="21">
        <f t="shared" si="40"/>
        <v>1284.5</v>
      </c>
      <c r="U132" s="21">
        <f>S132</f>
        <v>38.8888888888889</v>
      </c>
      <c r="V132" s="21">
        <f>T132</f>
        <v>1284.5</v>
      </c>
      <c r="X132" s="21">
        <f t="shared" si="36"/>
        <v>23.3333333333333</v>
      </c>
      <c r="Y132" s="21">
        <f t="shared" si="37"/>
        <v>15.5555555555556</v>
      </c>
      <c r="Z132" s="7">
        <v>19</v>
      </c>
      <c r="AA132" s="23">
        <f t="shared" si="41"/>
        <v>3.44444444444444</v>
      </c>
      <c r="AC132" s="21">
        <f>X132*F132</f>
        <v>513.8</v>
      </c>
      <c r="AD132" s="21">
        <f t="shared" si="42"/>
        <v>513.8</v>
      </c>
      <c r="AE132" s="7">
        <f t="shared" si="43"/>
        <v>627.57</v>
      </c>
    </row>
    <row r="133" ht="15" hidden="1" customHeight="1" spans="1:31">
      <c r="A133" s="7" t="s">
        <v>149</v>
      </c>
      <c r="B133" s="7" t="s">
        <v>150</v>
      </c>
      <c r="C133" s="7" t="s">
        <v>34</v>
      </c>
      <c r="D133" s="7" t="s">
        <v>35</v>
      </c>
      <c r="E133" s="7" t="s">
        <v>151</v>
      </c>
      <c r="F133" s="7">
        <v>237.5296</v>
      </c>
      <c r="G133" s="7">
        <v>11</v>
      </c>
      <c r="J133" s="7">
        <v>1</v>
      </c>
      <c r="K133" s="7">
        <v>11</v>
      </c>
      <c r="L133" s="7">
        <v>238</v>
      </c>
      <c r="M133" s="21">
        <v>3919</v>
      </c>
      <c r="N133" s="22">
        <f t="shared" si="38"/>
        <v>-15.4663865546218</v>
      </c>
      <c r="O133" s="21">
        <f>(G133-(H133*50))/50</f>
        <v>0.22</v>
      </c>
      <c r="P133" s="21">
        <f t="shared" si="39"/>
        <v>6.16</v>
      </c>
      <c r="Q133" s="21">
        <f>P133*F133</f>
        <v>1463.182336</v>
      </c>
      <c r="R133" s="21">
        <f>(G133-(H133*90))/90</f>
        <v>0.122222222222222</v>
      </c>
      <c r="S133" s="21">
        <f>28*(R133+H133)</f>
        <v>3.42222222222222</v>
      </c>
      <c r="T133" s="21">
        <f t="shared" si="40"/>
        <v>1219.31861333333</v>
      </c>
      <c r="U133" s="21">
        <f>S133</f>
        <v>3.42222222222222</v>
      </c>
      <c r="V133" s="21">
        <f>T133</f>
        <v>1219.31861333333</v>
      </c>
      <c r="X133" s="21">
        <f t="shared" si="36"/>
        <v>2.05333333333333</v>
      </c>
      <c r="Y133" s="21">
        <f t="shared" si="37"/>
        <v>1.36888888888889</v>
      </c>
      <c r="Z133" s="7">
        <v>0</v>
      </c>
      <c r="AA133" s="23">
        <f t="shared" si="41"/>
        <v>-1.36888888888889</v>
      </c>
      <c r="AC133" s="21">
        <f>X133*F133</f>
        <v>487.727445333333</v>
      </c>
      <c r="AD133" s="21">
        <f t="shared" si="42"/>
        <v>487.727445333333</v>
      </c>
      <c r="AE133" s="7">
        <f t="shared" si="43"/>
        <v>0</v>
      </c>
    </row>
    <row r="134" ht="15" hidden="1" customHeight="1" spans="1:31">
      <c r="A134" s="7" t="s">
        <v>683</v>
      </c>
      <c r="B134" s="7" t="s">
        <v>738</v>
      </c>
      <c r="C134" s="7" t="s">
        <v>34</v>
      </c>
      <c r="D134" s="7" t="s">
        <v>35</v>
      </c>
      <c r="E134" s="7" t="s">
        <v>492</v>
      </c>
      <c r="F134" s="7">
        <v>42.63</v>
      </c>
      <c r="G134" s="7">
        <v>2</v>
      </c>
      <c r="J134" s="7">
        <v>2</v>
      </c>
      <c r="K134" s="7">
        <v>2</v>
      </c>
      <c r="L134" s="7">
        <v>128</v>
      </c>
      <c r="M134" s="21">
        <v>128</v>
      </c>
      <c r="N134" s="22">
        <f t="shared" si="38"/>
        <v>0</v>
      </c>
      <c r="O134" s="21">
        <f>(G134-(H134*50))/50</f>
        <v>0.04</v>
      </c>
      <c r="P134" s="21">
        <f t="shared" si="39"/>
        <v>1.12</v>
      </c>
      <c r="Q134" s="21">
        <f>P134*F134</f>
        <v>47.7456</v>
      </c>
      <c r="R134" s="21">
        <f>(G134-(H134*90))/90</f>
        <v>0.0222222222222222</v>
      </c>
      <c r="S134" s="21">
        <f>28*(R134+H134)</f>
        <v>0.622222222222222</v>
      </c>
      <c r="T134" s="21">
        <f t="shared" si="40"/>
        <v>39.788</v>
      </c>
      <c r="U134" s="21">
        <f>S134</f>
        <v>0.622222222222222</v>
      </c>
      <c r="V134" s="21">
        <f>T134</f>
        <v>39.788</v>
      </c>
      <c r="X134" s="21">
        <f t="shared" si="36"/>
        <v>0.373333333333333</v>
      </c>
      <c r="Y134" s="21">
        <f t="shared" si="37"/>
        <v>0.248888888888889</v>
      </c>
      <c r="Z134" s="7">
        <v>0</v>
      </c>
      <c r="AA134" s="23">
        <f t="shared" si="41"/>
        <v>-0.248888888888889</v>
      </c>
      <c r="AC134" s="21">
        <f>X134*F134</f>
        <v>15.9152</v>
      </c>
      <c r="AD134" s="21">
        <f t="shared" si="42"/>
        <v>15.9152</v>
      </c>
      <c r="AE134" s="7">
        <f t="shared" si="43"/>
        <v>0</v>
      </c>
    </row>
    <row r="135" ht="15" hidden="1" customHeight="1" spans="1:31">
      <c r="A135" s="7" t="s">
        <v>743</v>
      </c>
      <c r="B135" s="7" t="s">
        <v>744</v>
      </c>
      <c r="C135" s="7" t="s">
        <v>34</v>
      </c>
      <c r="D135" s="7" t="s">
        <v>35</v>
      </c>
      <c r="E135" s="7" t="s">
        <v>365</v>
      </c>
      <c r="F135" s="7">
        <v>32.47</v>
      </c>
      <c r="G135" s="7">
        <v>2</v>
      </c>
      <c r="J135" s="7">
        <v>2</v>
      </c>
      <c r="K135" s="7">
        <v>0</v>
      </c>
      <c r="L135" s="7">
        <v>97</v>
      </c>
      <c r="M135" s="21">
        <v>0</v>
      </c>
      <c r="N135" s="22">
        <f t="shared" si="38"/>
        <v>1</v>
      </c>
      <c r="O135" s="21">
        <f>(G135-(H135*50))/50</f>
        <v>0.04</v>
      </c>
      <c r="P135" s="21">
        <f t="shared" si="39"/>
        <v>1.12</v>
      </c>
      <c r="Q135" s="21">
        <f>P135*F135</f>
        <v>36.3664</v>
      </c>
      <c r="R135" s="21">
        <f>(G135-(H135*90))/90</f>
        <v>0.0222222222222222</v>
      </c>
      <c r="S135" s="21">
        <f>28*(R135+H135)</f>
        <v>0.622222222222222</v>
      </c>
      <c r="T135" s="21">
        <f t="shared" si="40"/>
        <v>30.3053333333333</v>
      </c>
      <c r="U135" s="21">
        <f>S135</f>
        <v>0.622222222222222</v>
      </c>
      <c r="V135" s="21">
        <f>T135</f>
        <v>30.3053333333333</v>
      </c>
      <c r="X135" s="21">
        <f t="shared" si="36"/>
        <v>0.373333333333333</v>
      </c>
      <c r="Y135" s="21">
        <f t="shared" si="37"/>
        <v>0.248888888888889</v>
      </c>
      <c r="Z135" s="7">
        <v>0</v>
      </c>
      <c r="AA135" s="23">
        <f t="shared" si="41"/>
        <v>-0.248888888888889</v>
      </c>
      <c r="AC135" s="21">
        <f>X135*F135</f>
        <v>12.1221333333333</v>
      </c>
      <c r="AD135" s="21">
        <f t="shared" si="42"/>
        <v>12.1221333333333</v>
      </c>
      <c r="AE135" s="7">
        <f t="shared" si="43"/>
        <v>0</v>
      </c>
    </row>
    <row r="136" ht="15" hidden="1" customHeight="1" spans="1:31">
      <c r="A136" s="7" t="s">
        <v>629</v>
      </c>
      <c r="B136" s="7" t="s">
        <v>711</v>
      </c>
      <c r="C136" s="7" t="s">
        <v>34</v>
      </c>
      <c r="D136" s="7" t="s">
        <v>51</v>
      </c>
      <c r="E136" s="7" t="s">
        <v>712</v>
      </c>
      <c r="F136" s="7">
        <v>15.7</v>
      </c>
      <c r="G136" s="7">
        <v>1126</v>
      </c>
      <c r="H136" s="7">
        <v>9</v>
      </c>
      <c r="I136" s="7">
        <v>125</v>
      </c>
      <c r="J136" s="7">
        <v>2</v>
      </c>
      <c r="K136" s="7">
        <v>0</v>
      </c>
      <c r="L136" s="7">
        <v>31</v>
      </c>
      <c r="M136" s="21">
        <v>0</v>
      </c>
      <c r="N136" s="22">
        <f t="shared" si="38"/>
        <v>1</v>
      </c>
      <c r="O136" s="21">
        <f>(G136-(H136*50))/50</f>
        <v>13.52</v>
      </c>
      <c r="P136" s="21">
        <f t="shared" si="39"/>
        <v>630.56</v>
      </c>
      <c r="Q136" s="21">
        <f>P136*F136</f>
        <v>9899.792</v>
      </c>
      <c r="R136" s="21">
        <f>(G136-(H136*90))/90</f>
        <v>3.51111111111111</v>
      </c>
      <c r="S136" s="21">
        <f>28*(R136+H136)</f>
        <v>350.311111111111</v>
      </c>
      <c r="T136" s="21">
        <f t="shared" si="40"/>
        <v>8249.82666666667</v>
      </c>
      <c r="U136" s="21">
        <f>S136</f>
        <v>350.311111111111</v>
      </c>
      <c r="V136" s="21">
        <f>T136</f>
        <v>8249.82666666667</v>
      </c>
      <c r="X136" s="21">
        <f t="shared" si="36"/>
        <v>210.186666666667</v>
      </c>
      <c r="Y136" s="21">
        <f t="shared" si="37"/>
        <v>140.124444444444</v>
      </c>
      <c r="Z136" s="7">
        <v>98</v>
      </c>
      <c r="AA136" s="23">
        <f t="shared" si="41"/>
        <v>-42.1244444444445</v>
      </c>
      <c r="AC136" s="21">
        <f>X136*F136</f>
        <v>3299.93066666667</v>
      </c>
      <c r="AD136" s="21">
        <f t="shared" si="42"/>
        <v>3299.93066666667</v>
      </c>
      <c r="AE136" s="7">
        <f t="shared" si="43"/>
        <v>2307.9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T136" etc:filterBottomFollowUsedRange="0">
    <filterColumn colId="1">
      <customFilters>
        <customFilter operator="equal" val="3C-圆筒投影仪白色"/>
      </customFilters>
    </filterColumn>
    <sortState ref="A3:T136">
      <sortCondition ref="L3:L136" descending="1"/>
    </sortState>
    <extLst/>
  </autoFilter>
  <mergeCells count="6">
    <mergeCell ref="AC1:AD1"/>
    <mergeCell ref="AG3:AH3"/>
    <mergeCell ref="AI3:AJ3"/>
    <mergeCell ref="U1:V2"/>
    <mergeCell ref="X1:Y2"/>
    <mergeCell ref="AG1:AI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I410"/>
  <sheetViews>
    <sheetView workbookViewId="0">
      <selection activeCell="A1" sqref="A1"/>
    </sheetView>
  </sheetViews>
  <sheetFormatPr defaultColWidth="9" defaultRowHeight="15.75"/>
  <sheetData>
    <row r="2" spans="7:9">
      <c r="G2" s="1"/>
      <c r="H2" s="1"/>
      <c r="I2" s="1"/>
    </row>
    <row r="3" spans="7:9">
      <c r="G3" s="2" t="s">
        <v>4</v>
      </c>
      <c r="H3" s="3" t="s">
        <v>887</v>
      </c>
      <c r="I3" s="4" t="s">
        <v>888</v>
      </c>
    </row>
    <row r="4" ht="33.75" spans="7:9">
      <c r="G4" s="5" t="s">
        <v>696</v>
      </c>
      <c r="H4" s="6">
        <v>0.02</v>
      </c>
      <c r="I4" s="6">
        <v>0.98</v>
      </c>
    </row>
    <row r="5" ht="33.75" spans="7:9">
      <c r="G5" s="5" t="s">
        <v>630</v>
      </c>
      <c r="H5" s="6">
        <v>0.789473684210526</v>
      </c>
      <c r="I5" s="6">
        <v>0.210526315789474</v>
      </c>
    </row>
    <row r="6" ht="22.5" spans="7:9">
      <c r="G6" s="5" t="s">
        <v>889</v>
      </c>
      <c r="H6" s="6">
        <v>0</v>
      </c>
      <c r="I6" s="6">
        <v>0</v>
      </c>
    </row>
    <row r="7" ht="22.5" spans="7:9">
      <c r="G7" s="5" t="s">
        <v>65</v>
      </c>
      <c r="H7" s="6">
        <v>1</v>
      </c>
      <c r="I7" s="6">
        <v>0</v>
      </c>
    </row>
    <row r="8" ht="22.5" spans="7:9">
      <c r="G8" s="5" t="s">
        <v>769</v>
      </c>
      <c r="H8" s="6">
        <v>1</v>
      </c>
      <c r="I8" s="6">
        <v>0</v>
      </c>
    </row>
    <row r="9" ht="22.5" spans="7:9">
      <c r="G9" s="5" t="s">
        <v>45</v>
      </c>
      <c r="H9" s="6">
        <v>0.48125</v>
      </c>
      <c r="I9" s="6">
        <v>0.51875</v>
      </c>
    </row>
    <row r="10" ht="33.75" spans="7:9">
      <c r="G10" s="5" t="s">
        <v>633</v>
      </c>
      <c r="H10" s="6">
        <v>0.619289340101523</v>
      </c>
      <c r="I10" s="6">
        <v>0.380710659898477</v>
      </c>
    </row>
    <row r="11" ht="22.5" spans="7:9">
      <c r="G11" s="5" t="s">
        <v>736</v>
      </c>
      <c r="H11" s="6">
        <v>0.864864864864865</v>
      </c>
      <c r="I11" s="6">
        <v>0.135135135135135</v>
      </c>
    </row>
    <row r="12" ht="22.5" spans="7:9">
      <c r="G12" s="5" t="s">
        <v>245</v>
      </c>
      <c r="H12" s="6">
        <v>0.534246575342466</v>
      </c>
      <c r="I12" s="6">
        <v>0.465753424657534</v>
      </c>
    </row>
    <row r="13" ht="33.75" spans="7:9">
      <c r="G13" s="5" t="s">
        <v>379</v>
      </c>
      <c r="H13" s="6">
        <v>0.705882352941176</v>
      </c>
      <c r="I13" s="6">
        <v>0.294117647058823</v>
      </c>
    </row>
    <row r="14" ht="33.75" spans="7:9">
      <c r="G14" s="5" t="s">
        <v>214</v>
      </c>
      <c r="H14" s="6">
        <v>0.75</v>
      </c>
      <c r="I14" s="6">
        <v>0.25</v>
      </c>
    </row>
    <row r="15" ht="22.5" spans="7:9">
      <c r="G15" s="5" t="s">
        <v>890</v>
      </c>
      <c r="H15" s="6">
        <v>0.432624113475177</v>
      </c>
      <c r="I15" s="6">
        <v>0.567375886524823</v>
      </c>
    </row>
    <row r="16" ht="22.5" spans="7:9">
      <c r="G16" s="5" t="s">
        <v>772</v>
      </c>
      <c r="H16" s="6">
        <v>0.929577464788732</v>
      </c>
      <c r="I16" s="6">
        <v>0.0704225352112676</v>
      </c>
    </row>
    <row r="17" ht="33.75" spans="7:9">
      <c r="G17" s="5" t="s">
        <v>891</v>
      </c>
      <c r="H17" s="6">
        <v>0.968325791855204</v>
      </c>
      <c r="I17" s="6">
        <v>0.0316742081447964</v>
      </c>
    </row>
    <row r="18" ht="33.75" spans="7:9">
      <c r="G18" s="5" t="s">
        <v>892</v>
      </c>
      <c r="H18" s="6">
        <v>0.931034482758621</v>
      </c>
      <c r="I18" s="6">
        <v>0.0689655172413793</v>
      </c>
    </row>
    <row r="19" ht="22.5" spans="7:9">
      <c r="G19" s="5" t="s">
        <v>778</v>
      </c>
      <c r="H19" s="6">
        <v>0.872340425531915</v>
      </c>
      <c r="I19" s="6">
        <v>0.127659574468085</v>
      </c>
    </row>
    <row r="20" ht="22.5" spans="7:9">
      <c r="G20" s="5" t="s">
        <v>728</v>
      </c>
      <c r="H20" s="6">
        <v>0.452631578947368</v>
      </c>
      <c r="I20" s="6">
        <v>0.547368421052632</v>
      </c>
    </row>
    <row r="21" ht="22.5" spans="7:9">
      <c r="G21" s="5" t="s">
        <v>140</v>
      </c>
      <c r="H21" s="6">
        <v>0.39622641509434</v>
      </c>
      <c r="I21" s="6">
        <v>0.60377358490566</v>
      </c>
    </row>
    <row r="22" ht="33.75" spans="7:9">
      <c r="G22" s="5" t="s">
        <v>893</v>
      </c>
      <c r="H22" s="6">
        <v>0.596330275229358</v>
      </c>
      <c r="I22" s="6">
        <v>0.403669724770642</v>
      </c>
    </row>
    <row r="23" ht="22.5" spans="7:9">
      <c r="G23" s="5" t="s">
        <v>312</v>
      </c>
      <c r="H23" s="6">
        <v>0.7</v>
      </c>
      <c r="I23" s="6">
        <v>0.3</v>
      </c>
    </row>
    <row r="24" ht="22.5" spans="7:9">
      <c r="G24" s="5" t="s">
        <v>518</v>
      </c>
      <c r="H24" s="6">
        <v>0.7</v>
      </c>
      <c r="I24" s="6">
        <v>0.3</v>
      </c>
    </row>
    <row r="25" ht="33.75" spans="7:9">
      <c r="G25" s="5" t="s">
        <v>261</v>
      </c>
      <c r="H25" s="6">
        <v>0.16289592760181</v>
      </c>
      <c r="I25" s="6">
        <v>0.83710407239819</v>
      </c>
    </row>
    <row r="26" ht="22.5" spans="7:9">
      <c r="G26" s="5" t="s">
        <v>233</v>
      </c>
      <c r="H26" s="6">
        <v>0.25</v>
      </c>
      <c r="I26" s="6">
        <v>0.75</v>
      </c>
    </row>
    <row r="27" ht="22.5" spans="7:9">
      <c r="G27" s="5" t="s">
        <v>725</v>
      </c>
      <c r="H27" s="6">
        <v>0.232558139534884</v>
      </c>
      <c r="I27" s="6">
        <v>0.767441860465116</v>
      </c>
    </row>
    <row r="28" ht="45" spans="7:9">
      <c r="G28" s="5" t="s">
        <v>843</v>
      </c>
      <c r="H28" s="6">
        <v>0</v>
      </c>
      <c r="I28" s="6">
        <v>0</v>
      </c>
    </row>
    <row r="29" ht="22.5" spans="7:9">
      <c r="G29" s="5" t="s">
        <v>625</v>
      </c>
      <c r="H29" s="6">
        <v>0.688405797101449</v>
      </c>
      <c r="I29" s="6">
        <v>0.311594202898551</v>
      </c>
    </row>
    <row r="30" ht="22.5" spans="7:9">
      <c r="G30" s="5" t="s">
        <v>97</v>
      </c>
      <c r="H30" s="6">
        <v>0.617283950617284</v>
      </c>
      <c r="I30" s="6">
        <v>0.382716049382716</v>
      </c>
    </row>
    <row r="31" ht="33.75" spans="7:9">
      <c r="G31" s="5" t="s">
        <v>491</v>
      </c>
      <c r="H31" s="6">
        <v>0</v>
      </c>
      <c r="I31" s="6">
        <v>0</v>
      </c>
    </row>
    <row r="32" ht="33.75" spans="7:9">
      <c r="G32" s="5" t="s">
        <v>723</v>
      </c>
      <c r="H32" s="6">
        <v>0.25</v>
      </c>
      <c r="I32" s="6">
        <v>0.75</v>
      </c>
    </row>
    <row r="33" ht="22.5" spans="7:9">
      <c r="G33" s="5" t="s">
        <v>699</v>
      </c>
      <c r="H33" s="6">
        <v>0.596977329974811</v>
      </c>
      <c r="I33" s="6">
        <v>0.403022670025189</v>
      </c>
    </row>
    <row r="34" spans="7:9">
      <c r="G34" s="5" t="s">
        <v>589</v>
      </c>
      <c r="H34" s="6">
        <v>0.714285714285714</v>
      </c>
      <c r="I34" s="6">
        <v>0.285714285714286</v>
      </c>
    </row>
    <row r="35" ht="45" spans="7:9">
      <c r="G35" s="5" t="s">
        <v>827</v>
      </c>
      <c r="H35" s="6">
        <v>0</v>
      </c>
      <c r="I35" s="6">
        <v>1</v>
      </c>
    </row>
    <row r="36" ht="33.75" spans="7:9">
      <c r="G36" s="5" t="s">
        <v>109</v>
      </c>
      <c r="H36" s="6">
        <v>0.415584415584416</v>
      </c>
      <c r="I36" s="6">
        <v>0.584415584415584</v>
      </c>
    </row>
    <row r="37" ht="33.75" spans="7:9">
      <c r="G37" s="5" t="s">
        <v>138</v>
      </c>
      <c r="H37" s="6">
        <v>0.583333333333333</v>
      </c>
      <c r="I37" s="6">
        <v>0.416666666666667</v>
      </c>
    </row>
    <row r="38" ht="45" spans="7:9">
      <c r="G38" s="5" t="s">
        <v>689</v>
      </c>
      <c r="H38" s="6">
        <v>0.51417004048583</v>
      </c>
      <c r="I38" s="6">
        <v>0.48582995951417</v>
      </c>
    </row>
    <row r="39" ht="22.5" spans="7:9">
      <c r="G39" s="5" t="s">
        <v>875</v>
      </c>
      <c r="H39" s="6">
        <v>0</v>
      </c>
      <c r="I39" s="6">
        <v>0</v>
      </c>
    </row>
    <row r="40" ht="22.5" spans="7:9">
      <c r="G40" s="5" t="s">
        <v>471</v>
      </c>
      <c r="H40" s="6">
        <v>0.651376146788991</v>
      </c>
      <c r="I40" s="6">
        <v>0.348623853211009</v>
      </c>
    </row>
    <row r="41" ht="22.5" spans="7:9">
      <c r="G41" s="5" t="s">
        <v>701</v>
      </c>
      <c r="H41" s="6">
        <v>1</v>
      </c>
      <c r="I41" s="6">
        <v>0</v>
      </c>
    </row>
    <row r="42" ht="22.5" spans="7:9">
      <c r="G42" s="5" t="s">
        <v>520</v>
      </c>
      <c r="H42" s="6">
        <v>0</v>
      </c>
      <c r="I42" s="6">
        <v>0</v>
      </c>
    </row>
    <row r="43" ht="33.75" spans="7:9">
      <c r="G43" s="5" t="s">
        <v>686</v>
      </c>
      <c r="H43" s="6">
        <v>0.59468438538206</v>
      </c>
      <c r="I43" s="6">
        <v>0.40531561461794</v>
      </c>
    </row>
    <row r="44" ht="22.5" spans="7:9">
      <c r="G44" s="5" t="s">
        <v>786</v>
      </c>
      <c r="H44" s="6">
        <v>1</v>
      </c>
      <c r="I44" s="6">
        <v>0</v>
      </c>
    </row>
    <row r="45" ht="22.5" spans="7:9">
      <c r="G45" s="5" t="s">
        <v>194</v>
      </c>
      <c r="H45" s="6">
        <v>0.293478260869565</v>
      </c>
      <c r="I45" s="6">
        <v>0.706521739130435</v>
      </c>
    </row>
    <row r="46" ht="22.5" spans="7:9">
      <c r="G46" s="5" t="s">
        <v>572</v>
      </c>
      <c r="H46" s="6">
        <v>0.415929203539823</v>
      </c>
      <c r="I46" s="6">
        <v>0.584070796460177</v>
      </c>
    </row>
    <row r="47" ht="22.5" spans="7:9">
      <c r="G47" s="5" t="s">
        <v>765</v>
      </c>
      <c r="H47" s="6">
        <v>0.203804347826087</v>
      </c>
      <c r="I47" s="6">
        <v>0.796195652173913</v>
      </c>
    </row>
    <row r="48" ht="22.5" spans="7:9">
      <c r="G48" s="5" t="s">
        <v>894</v>
      </c>
      <c r="H48" s="6">
        <v>0.681818181818182</v>
      </c>
      <c r="I48" s="6">
        <v>0.318181818181818</v>
      </c>
    </row>
    <row r="49" ht="33.75" spans="7:9">
      <c r="G49" s="5" t="s">
        <v>315</v>
      </c>
      <c r="H49" s="6">
        <v>0.714285714285714</v>
      </c>
      <c r="I49" s="6">
        <v>0.285714285714286</v>
      </c>
    </row>
    <row r="50" ht="33.75" spans="7:9">
      <c r="G50" s="5" t="s">
        <v>708</v>
      </c>
      <c r="H50" s="6">
        <v>0</v>
      </c>
      <c r="I50" s="6">
        <v>0</v>
      </c>
    </row>
    <row r="51" ht="33.75" spans="7:9">
      <c r="G51" s="5" t="s">
        <v>634</v>
      </c>
      <c r="H51" s="6">
        <v>0.536912751677852</v>
      </c>
      <c r="I51" s="6">
        <v>0.463087248322148</v>
      </c>
    </row>
    <row r="52" ht="33.75" spans="7:9">
      <c r="G52" s="5" t="s">
        <v>407</v>
      </c>
      <c r="H52" s="6">
        <v>0.778846153846154</v>
      </c>
      <c r="I52" s="6">
        <v>0.221153846153846</v>
      </c>
    </row>
    <row r="53" ht="33.75" spans="7:9">
      <c r="G53" s="5" t="s">
        <v>714</v>
      </c>
      <c r="H53" s="6">
        <v>0.7</v>
      </c>
      <c r="I53" s="6">
        <v>0.3</v>
      </c>
    </row>
    <row r="54" ht="33.75" spans="7:9">
      <c r="G54" s="5" t="s">
        <v>249</v>
      </c>
      <c r="H54" s="6">
        <v>0.627627627627628</v>
      </c>
      <c r="I54" s="6">
        <v>0.372372372372372</v>
      </c>
    </row>
    <row r="55" ht="45" spans="7:9">
      <c r="G55" s="5" t="s">
        <v>499</v>
      </c>
      <c r="H55" s="6">
        <v>0</v>
      </c>
      <c r="I55" s="6">
        <v>0</v>
      </c>
    </row>
    <row r="56" ht="33.75" spans="7:9">
      <c r="G56" s="5" t="s">
        <v>533</v>
      </c>
      <c r="H56" s="6">
        <v>0</v>
      </c>
      <c r="I56" s="6">
        <v>1</v>
      </c>
    </row>
    <row r="57" ht="33.75" spans="7:9">
      <c r="G57" s="5" t="s">
        <v>677</v>
      </c>
      <c r="H57" s="6">
        <v>0.611111111111111</v>
      </c>
      <c r="I57" s="6">
        <v>0.388888888888889</v>
      </c>
    </row>
    <row r="58" ht="33.75" spans="7:9">
      <c r="G58" s="5" t="s">
        <v>895</v>
      </c>
      <c r="H58" s="6">
        <v>0</v>
      </c>
      <c r="I58" s="6">
        <v>0</v>
      </c>
    </row>
    <row r="59" ht="33.75" spans="7:9">
      <c r="G59" s="5" t="s">
        <v>896</v>
      </c>
      <c r="H59" s="6">
        <v>0</v>
      </c>
      <c r="I59" s="6">
        <v>0</v>
      </c>
    </row>
    <row r="60" ht="33.75" spans="7:9">
      <c r="G60" s="5" t="s">
        <v>897</v>
      </c>
      <c r="H60" s="6">
        <v>0</v>
      </c>
      <c r="I60" s="6">
        <v>0</v>
      </c>
    </row>
    <row r="61" ht="22.5" spans="7:9">
      <c r="G61" s="5" t="s">
        <v>189</v>
      </c>
      <c r="H61" s="6">
        <v>0.861538461538461</v>
      </c>
      <c r="I61" s="6">
        <v>0.138461538461538</v>
      </c>
    </row>
    <row r="62" ht="22.5" spans="7:9">
      <c r="G62" s="5" t="s">
        <v>757</v>
      </c>
      <c r="H62" s="6">
        <v>0.491478834524464</v>
      </c>
      <c r="I62" s="6">
        <v>0.508521165475536</v>
      </c>
    </row>
    <row r="63" ht="22.5" spans="7:9">
      <c r="G63" s="5" t="s">
        <v>134</v>
      </c>
      <c r="H63" s="6">
        <v>0.431372549019608</v>
      </c>
      <c r="I63" s="6">
        <v>0.568627450980392</v>
      </c>
    </row>
    <row r="64" ht="22.5" spans="7:9">
      <c r="G64" s="5" t="s">
        <v>898</v>
      </c>
      <c r="H64" s="6">
        <v>0</v>
      </c>
      <c r="I64" s="6">
        <v>0</v>
      </c>
    </row>
    <row r="65" spans="7:9">
      <c r="G65" s="5" t="s">
        <v>899</v>
      </c>
      <c r="H65" s="6">
        <v>0.571428571428571</v>
      </c>
      <c r="I65" s="6">
        <v>0.428571428571429</v>
      </c>
    </row>
    <row r="66" ht="33.75" spans="7:9">
      <c r="G66" s="5" t="s">
        <v>721</v>
      </c>
      <c r="H66" s="6">
        <v>0.818181818181818</v>
      </c>
      <c r="I66" s="6">
        <v>0.181818181818182</v>
      </c>
    </row>
    <row r="67" ht="22.5" spans="7:9">
      <c r="G67" s="5" t="s">
        <v>570</v>
      </c>
      <c r="H67" s="6">
        <v>0.393939393939394</v>
      </c>
      <c r="I67" s="6">
        <v>0.606060606060606</v>
      </c>
    </row>
    <row r="68" ht="33.75" spans="7:9">
      <c r="G68" s="5" t="s">
        <v>621</v>
      </c>
      <c r="H68" s="6">
        <v>0.683168316831683</v>
      </c>
      <c r="I68" s="6">
        <v>0.316831683168317</v>
      </c>
    </row>
    <row r="69" ht="22.5" spans="7:9">
      <c r="G69" s="5" t="s">
        <v>900</v>
      </c>
      <c r="H69" s="6">
        <v>0.73758865248227</v>
      </c>
      <c r="I69" s="6">
        <v>0.26241134751773</v>
      </c>
    </row>
    <row r="70" ht="22.5" spans="7:9">
      <c r="G70" s="5" t="s">
        <v>585</v>
      </c>
      <c r="H70" s="6">
        <v>0.74468085106383</v>
      </c>
      <c r="I70" s="6">
        <v>0.25531914893617</v>
      </c>
    </row>
    <row r="71" ht="22.5" spans="7:9">
      <c r="G71" s="5" t="s">
        <v>747</v>
      </c>
      <c r="H71" s="6">
        <v>0.104761904761905</v>
      </c>
      <c r="I71" s="6">
        <v>0.895238095238095</v>
      </c>
    </row>
    <row r="72" ht="22.5" spans="7:9">
      <c r="G72" s="5" t="s">
        <v>483</v>
      </c>
      <c r="H72" s="6">
        <v>0.607142857142857</v>
      </c>
      <c r="I72" s="6">
        <v>0.392857142857143</v>
      </c>
    </row>
    <row r="73" ht="22.5" spans="7:9">
      <c r="G73" s="5" t="s">
        <v>425</v>
      </c>
      <c r="H73" s="6">
        <v>0.571428571428571</v>
      </c>
      <c r="I73" s="6">
        <v>0.428571428571429</v>
      </c>
    </row>
    <row r="74" ht="22.5" spans="7:9">
      <c r="G74" s="5" t="s">
        <v>649</v>
      </c>
      <c r="H74" s="6">
        <v>1</v>
      </c>
      <c r="I74" s="6">
        <v>0</v>
      </c>
    </row>
    <row r="75" ht="22.5" spans="7:9">
      <c r="G75" s="5" t="s">
        <v>430</v>
      </c>
      <c r="H75" s="6">
        <v>0.761904761904762</v>
      </c>
      <c r="I75" s="6">
        <v>0.238095238095238</v>
      </c>
    </row>
    <row r="76" ht="22.5" spans="7:9">
      <c r="G76" s="5" t="s">
        <v>384</v>
      </c>
      <c r="H76" s="6">
        <v>0.9</v>
      </c>
      <c r="I76" s="6">
        <v>0.1</v>
      </c>
    </row>
    <row r="77" ht="33.75" spans="7:9">
      <c r="G77" s="5" t="s">
        <v>529</v>
      </c>
      <c r="H77" s="6">
        <v>0</v>
      </c>
      <c r="I77" s="6">
        <v>1</v>
      </c>
    </row>
    <row r="78" ht="33.75" spans="7:9">
      <c r="G78" s="5" t="s">
        <v>879</v>
      </c>
      <c r="H78" s="6">
        <v>0</v>
      </c>
      <c r="I78" s="6">
        <v>0</v>
      </c>
    </row>
    <row r="79" ht="22.5" spans="7:9">
      <c r="G79" s="5" t="s">
        <v>124</v>
      </c>
      <c r="H79" s="6">
        <v>0.290909090909091</v>
      </c>
      <c r="I79" s="6">
        <v>0.709090909090909</v>
      </c>
    </row>
    <row r="80" ht="22.5" spans="7:9">
      <c r="G80" s="5" t="s">
        <v>774</v>
      </c>
      <c r="H80" s="6">
        <v>0.583333333333333</v>
      </c>
      <c r="I80" s="6">
        <v>0.416666666666667</v>
      </c>
    </row>
    <row r="81" ht="22.5" spans="7:9">
      <c r="G81" s="5" t="s">
        <v>698</v>
      </c>
      <c r="H81" s="6">
        <v>0.25</v>
      </c>
      <c r="I81" s="6">
        <v>0.75</v>
      </c>
    </row>
    <row r="82" ht="22.5" spans="7:9">
      <c r="G82" s="5" t="s">
        <v>187</v>
      </c>
      <c r="H82" s="6">
        <v>0.315789473684211</v>
      </c>
      <c r="I82" s="6">
        <v>0.684210526315789</v>
      </c>
    </row>
    <row r="83" ht="33.75" spans="7:9">
      <c r="G83" s="5" t="s">
        <v>560</v>
      </c>
      <c r="H83" s="6">
        <v>0.653153153153153</v>
      </c>
      <c r="I83" s="6">
        <v>0.346846846846847</v>
      </c>
    </row>
    <row r="84" ht="33.75" spans="7:9">
      <c r="G84" s="5" t="s">
        <v>546</v>
      </c>
      <c r="H84" s="6">
        <v>0.783132530120482</v>
      </c>
      <c r="I84" s="6">
        <v>0.216867469879518</v>
      </c>
    </row>
    <row r="85" ht="22.5" spans="7:9">
      <c r="G85" s="5" t="s">
        <v>33</v>
      </c>
      <c r="H85" s="6">
        <v>0.585</v>
      </c>
      <c r="I85" s="6">
        <v>0.415</v>
      </c>
    </row>
    <row r="86" ht="33.75" spans="7:9">
      <c r="G86" s="5" t="s">
        <v>592</v>
      </c>
      <c r="H86" s="6">
        <v>0.0909090909090909</v>
      </c>
      <c r="I86" s="6">
        <v>0.909090909090909</v>
      </c>
    </row>
    <row r="87" ht="33.75" spans="7:9">
      <c r="G87" s="5" t="s">
        <v>901</v>
      </c>
      <c r="H87" s="6">
        <v>0</v>
      </c>
      <c r="I87" s="6">
        <v>0</v>
      </c>
    </row>
    <row r="88" ht="22.5" spans="7:9">
      <c r="G88" s="5" t="s">
        <v>175</v>
      </c>
      <c r="H88" s="6">
        <v>0.5</v>
      </c>
      <c r="I88" s="6">
        <v>0.5</v>
      </c>
    </row>
    <row r="89" ht="22.5" spans="7:9">
      <c r="G89" s="5" t="s">
        <v>40</v>
      </c>
      <c r="H89" s="6">
        <v>0.44</v>
      </c>
      <c r="I89" s="6">
        <v>0.56</v>
      </c>
    </row>
    <row r="90" spans="7:9">
      <c r="G90" s="5" t="s">
        <v>285</v>
      </c>
      <c r="H90" s="6">
        <v>0.625</v>
      </c>
      <c r="I90" s="6">
        <v>0.375</v>
      </c>
    </row>
    <row r="91" ht="22.5" spans="7:9">
      <c r="G91" s="5" t="s">
        <v>308</v>
      </c>
      <c r="H91" s="6">
        <v>0.388888888888889</v>
      </c>
      <c r="I91" s="6">
        <v>0.611111111111111</v>
      </c>
    </row>
    <row r="92" ht="22.5" spans="7:9">
      <c r="G92" s="5" t="s">
        <v>95</v>
      </c>
      <c r="H92" s="6">
        <v>0</v>
      </c>
      <c r="I92" s="6">
        <v>0</v>
      </c>
    </row>
    <row r="93" ht="22.5" spans="7:9">
      <c r="G93" s="5" t="s">
        <v>224</v>
      </c>
      <c r="H93" s="6">
        <v>0</v>
      </c>
      <c r="I93" s="6">
        <v>0</v>
      </c>
    </row>
    <row r="94" ht="22.5" spans="7:9">
      <c r="G94" s="5" t="s">
        <v>184</v>
      </c>
      <c r="H94" s="6">
        <v>0.353293413173653</v>
      </c>
      <c r="I94" s="6">
        <v>0.646706586826347</v>
      </c>
    </row>
    <row r="95" ht="33.75" spans="7:9">
      <c r="G95" s="5" t="s">
        <v>711</v>
      </c>
      <c r="H95" s="6">
        <v>0.664596273291925</v>
      </c>
      <c r="I95" s="6">
        <v>0.335403726708075</v>
      </c>
    </row>
    <row r="96" ht="33.75" spans="7:9">
      <c r="G96" s="5" t="s">
        <v>367</v>
      </c>
      <c r="H96" s="6">
        <v>0.296296296296296</v>
      </c>
      <c r="I96" s="6">
        <v>0.703703703703704</v>
      </c>
    </row>
    <row r="97" ht="22.5" spans="7:9">
      <c r="G97" s="5" t="s">
        <v>561</v>
      </c>
      <c r="H97" s="6">
        <v>0.756637168141593</v>
      </c>
      <c r="I97" s="6">
        <v>0.243362831858407</v>
      </c>
    </row>
    <row r="98" ht="22.5" spans="7:9">
      <c r="G98" s="5" t="s">
        <v>789</v>
      </c>
      <c r="H98" s="6">
        <v>0.5</v>
      </c>
      <c r="I98" s="6">
        <v>0.5</v>
      </c>
    </row>
    <row r="99" ht="22.5" spans="7:9">
      <c r="G99" s="5" t="s">
        <v>692</v>
      </c>
      <c r="H99" s="6">
        <v>0.183823529411765</v>
      </c>
      <c r="I99" s="6">
        <v>0.816176470588235</v>
      </c>
    </row>
    <row r="100" ht="22.5" spans="7:9">
      <c r="G100" s="5" t="s">
        <v>902</v>
      </c>
      <c r="H100" s="6">
        <v>0.491803278688525</v>
      </c>
      <c r="I100" s="6">
        <v>0.508196721311475</v>
      </c>
    </row>
    <row r="101" ht="22.5" spans="7:9">
      <c r="G101" s="5" t="s">
        <v>638</v>
      </c>
      <c r="H101" s="6">
        <v>0.552447552447552</v>
      </c>
      <c r="I101" s="6">
        <v>0.447552447552447</v>
      </c>
    </row>
    <row r="102" ht="22.5" spans="7:9">
      <c r="G102" s="5" t="s">
        <v>616</v>
      </c>
      <c r="H102" s="6">
        <v>0.656</v>
      </c>
      <c r="I102" s="6">
        <v>0.344</v>
      </c>
    </row>
    <row r="103" ht="33.75" spans="7:9">
      <c r="G103" s="5" t="s">
        <v>903</v>
      </c>
      <c r="H103" s="6">
        <v>0.132231404958678</v>
      </c>
      <c r="I103" s="6">
        <v>0.867768595041322</v>
      </c>
    </row>
    <row r="104" ht="33.75" spans="7:9">
      <c r="G104" s="5" t="s">
        <v>398</v>
      </c>
      <c r="H104" s="6">
        <v>0.152777777777778</v>
      </c>
      <c r="I104" s="6">
        <v>0.847222222222222</v>
      </c>
    </row>
    <row r="105" ht="22.5" spans="7:9">
      <c r="G105" s="5" t="s">
        <v>798</v>
      </c>
      <c r="H105" s="6">
        <v>0</v>
      </c>
      <c r="I105" s="6">
        <v>0</v>
      </c>
    </row>
    <row r="106" ht="33.75" spans="7:9">
      <c r="G106" s="5" t="s">
        <v>382</v>
      </c>
      <c r="H106" s="6">
        <v>0.433962264150943</v>
      </c>
      <c r="I106" s="6">
        <v>0.566037735849057</v>
      </c>
    </row>
    <row r="107" ht="33.75" spans="7:9">
      <c r="G107" s="5" t="s">
        <v>275</v>
      </c>
      <c r="H107" s="6">
        <v>0.147368421052632</v>
      </c>
      <c r="I107" s="6">
        <v>0.852631578947368</v>
      </c>
    </row>
    <row r="108" ht="33.75" spans="7:9">
      <c r="G108" s="5" t="s">
        <v>207</v>
      </c>
      <c r="H108" s="6">
        <v>1</v>
      </c>
      <c r="I108" s="6">
        <v>0</v>
      </c>
    </row>
    <row r="109" ht="33.75" spans="7:9">
      <c r="G109" s="5" t="s">
        <v>117</v>
      </c>
      <c r="H109" s="6">
        <v>0</v>
      </c>
      <c r="I109" s="6">
        <v>1</v>
      </c>
    </row>
    <row r="110" ht="33.75" spans="7:9">
      <c r="G110" s="5" t="s">
        <v>662</v>
      </c>
      <c r="H110" s="6">
        <v>0</v>
      </c>
      <c r="I110" s="6">
        <v>1</v>
      </c>
    </row>
    <row r="111" ht="33.75" spans="7:9">
      <c r="G111" s="5" t="s">
        <v>469</v>
      </c>
      <c r="H111" s="6">
        <v>0</v>
      </c>
      <c r="I111" s="6">
        <v>0</v>
      </c>
    </row>
    <row r="112" ht="22.5" spans="7:9">
      <c r="G112" s="5" t="s">
        <v>731</v>
      </c>
      <c r="H112" s="6">
        <v>0.152173913043478</v>
      </c>
      <c r="I112" s="6">
        <v>0.847826086956522</v>
      </c>
    </row>
    <row r="113" ht="33.75" spans="7:9">
      <c r="G113" s="5" t="s">
        <v>543</v>
      </c>
      <c r="H113" s="6">
        <v>0.75668449197861</v>
      </c>
      <c r="I113" s="6">
        <v>0.24331550802139</v>
      </c>
    </row>
    <row r="114" ht="33.75" spans="7:9">
      <c r="G114" s="5" t="s">
        <v>904</v>
      </c>
      <c r="H114" s="6">
        <v>1</v>
      </c>
      <c r="I114" s="6">
        <v>0</v>
      </c>
    </row>
    <row r="115" ht="33.75" spans="7:9">
      <c r="G115" s="5" t="s">
        <v>734</v>
      </c>
      <c r="H115" s="6">
        <v>0.871794871794872</v>
      </c>
      <c r="I115" s="6">
        <v>0.128205128205128</v>
      </c>
    </row>
    <row r="116" ht="22.5" spans="7:9">
      <c r="G116" s="5" t="s">
        <v>221</v>
      </c>
      <c r="H116" s="6">
        <v>0.882352941176471</v>
      </c>
      <c r="I116" s="6">
        <v>0.117647058823529</v>
      </c>
    </row>
    <row r="117" ht="22.5" spans="7:9">
      <c r="G117" s="5" t="s">
        <v>695</v>
      </c>
      <c r="H117" s="6">
        <v>0.916666666666667</v>
      </c>
      <c r="I117" s="6">
        <v>0.0833333333333333</v>
      </c>
    </row>
    <row r="118" ht="33.75" spans="7:9">
      <c r="G118" s="5" t="s">
        <v>337</v>
      </c>
      <c r="H118" s="6">
        <v>0.666666666666667</v>
      </c>
      <c r="I118" s="6">
        <v>0.333333333333333</v>
      </c>
    </row>
    <row r="119" ht="33.75" spans="7:9">
      <c r="G119" s="5" t="s">
        <v>905</v>
      </c>
      <c r="H119" s="6">
        <v>0.23015873015873</v>
      </c>
      <c r="I119" s="6">
        <v>0.76984126984127</v>
      </c>
    </row>
    <row r="120" ht="33.75" spans="7:9">
      <c r="G120" s="5" t="s">
        <v>763</v>
      </c>
      <c r="H120" s="6">
        <v>0</v>
      </c>
      <c r="I120" s="6">
        <v>1</v>
      </c>
    </row>
    <row r="121" ht="22.5" spans="7:9">
      <c r="G121" s="5" t="s">
        <v>885</v>
      </c>
      <c r="H121" s="6">
        <v>1</v>
      </c>
      <c r="I121" s="6">
        <v>0</v>
      </c>
    </row>
    <row r="122" ht="33.75" spans="7:9">
      <c r="G122" s="5" t="s">
        <v>693</v>
      </c>
      <c r="H122" s="6">
        <v>0.904191616766467</v>
      </c>
      <c r="I122" s="6">
        <v>0.0958083832335329</v>
      </c>
    </row>
    <row r="123" ht="33.75" spans="7:9">
      <c r="G123" s="5" t="s">
        <v>702</v>
      </c>
      <c r="H123" s="6">
        <v>0.256</v>
      </c>
      <c r="I123" s="6">
        <v>0.744</v>
      </c>
    </row>
    <row r="124" ht="33.75" spans="7:9">
      <c r="G124" s="5" t="s">
        <v>342</v>
      </c>
      <c r="H124" s="6">
        <v>0.135416666666667</v>
      </c>
      <c r="I124" s="6">
        <v>0.864583333333333</v>
      </c>
    </row>
    <row r="125" ht="45" spans="7:9">
      <c r="G125" s="5" t="s">
        <v>79</v>
      </c>
      <c r="H125" s="6">
        <v>0.352941176470588</v>
      </c>
      <c r="I125" s="6">
        <v>0.647058823529412</v>
      </c>
    </row>
    <row r="126" ht="22.5" spans="7:9">
      <c r="G126" s="5" t="s">
        <v>393</v>
      </c>
      <c r="H126" s="6">
        <v>0.352941176470588</v>
      </c>
      <c r="I126" s="6">
        <v>0.647058823529412</v>
      </c>
    </row>
    <row r="127" ht="22.5" spans="7:9">
      <c r="G127" s="5" t="s">
        <v>607</v>
      </c>
      <c r="H127" s="6">
        <v>0.216666666666667</v>
      </c>
      <c r="I127" s="6">
        <v>0.783333333333333</v>
      </c>
    </row>
    <row r="128" ht="22.5" spans="7:9">
      <c r="G128" s="5" t="s">
        <v>56</v>
      </c>
      <c r="H128" s="6">
        <v>0.335443037974684</v>
      </c>
      <c r="I128" s="6">
        <v>0.664556962025317</v>
      </c>
    </row>
    <row r="129" ht="22.5" spans="7:9">
      <c r="G129" s="5" t="s">
        <v>715</v>
      </c>
      <c r="H129" s="6">
        <v>0.107142857142857</v>
      </c>
      <c r="I129" s="6">
        <v>0.892857142857143</v>
      </c>
    </row>
    <row r="130" ht="22.5" spans="7:9">
      <c r="G130" s="5" t="s">
        <v>575</v>
      </c>
      <c r="H130" s="6">
        <v>0.227272727272727</v>
      </c>
      <c r="I130" s="6">
        <v>0.772727272727273</v>
      </c>
    </row>
    <row r="131" ht="33.75" spans="7:9">
      <c r="G131" s="5" t="s">
        <v>722</v>
      </c>
      <c r="H131" s="6">
        <v>0.818181818181818</v>
      </c>
      <c r="I131" s="6">
        <v>0.181818181818182</v>
      </c>
    </row>
    <row r="132" ht="22.5" spans="7:9">
      <c r="G132" s="5" t="s">
        <v>511</v>
      </c>
      <c r="H132" s="6">
        <v>0</v>
      </c>
      <c r="I132" s="6">
        <v>0</v>
      </c>
    </row>
    <row r="133" ht="33.75" spans="7:9">
      <c r="G133" s="5" t="s">
        <v>673</v>
      </c>
      <c r="H133" s="6">
        <v>0.596491228070175</v>
      </c>
      <c r="I133" s="6">
        <v>0.403508771929825</v>
      </c>
    </row>
    <row r="134" ht="22.5" spans="7:9">
      <c r="G134" s="5" t="s">
        <v>726</v>
      </c>
      <c r="H134" s="6">
        <v>0</v>
      </c>
      <c r="I134" s="6">
        <v>0</v>
      </c>
    </row>
    <row r="135" ht="22.5" spans="7:9">
      <c r="G135" s="5" t="s">
        <v>597</v>
      </c>
      <c r="H135" s="6">
        <v>0.131578947368421</v>
      </c>
      <c r="I135" s="6">
        <v>0.868421052631579</v>
      </c>
    </row>
    <row r="136" ht="22.5" spans="7:9">
      <c r="G136" s="5" t="s">
        <v>906</v>
      </c>
      <c r="H136" s="6">
        <v>0</v>
      </c>
      <c r="I136" s="6">
        <v>0</v>
      </c>
    </row>
    <row r="137" ht="22.5" spans="7:9">
      <c r="G137" s="5" t="s">
        <v>907</v>
      </c>
      <c r="H137" s="6">
        <v>0</v>
      </c>
      <c r="I137" s="6">
        <v>0</v>
      </c>
    </row>
    <row r="138" ht="45" spans="7:9">
      <c r="G138" s="5" t="s">
        <v>199</v>
      </c>
      <c r="H138" s="6">
        <v>1</v>
      </c>
      <c r="I138" s="6">
        <v>0</v>
      </c>
    </row>
    <row r="139" ht="22.5" spans="7:9">
      <c r="G139" s="5" t="s">
        <v>729</v>
      </c>
      <c r="H139" s="6">
        <v>0</v>
      </c>
      <c r="I139" s="6">
        <v>0</v>
      </c>
    </row>
    <row r="140" ht="22.5" spans="7:9">
      <c r="G140" s="5" t="s">
        <v>516</v>
      </c>
      <c r="H140" s="6">
        <v>1</v>
      </c>
      <c r="I140" s="6">
        <v>0</v>
      </c>
    </row>
    <row r="141" ht="22.5" spans="7:9">
      <c r="G141" s="5" t="s">
        <v>376</v>
      </c>
      <c r="H141" s="6">
        <v>0</v>
      </c>
      <c r="I141" s="6">
        <v>0</v>
      </c>
    </row>
    <row r="142" ht="22.5" spans="7:9">
      <c r="G142" s="5" t="s">
        <v>353</v>
      </c>
      <c r="H142" s="6">
        <v>0</v>
      </c>
      <c r="I142" s="6">
        <v>0</v>
      </c>
    </row>
    <row r="143" ht="22.5" spans="7:9">
      <c r="G143" s="5" t="s">
        <v>410</v>
      </c>
      <c r="H143" s="6">
        <v>0</v>
      </c>
      <c r="I143" s="6">
        <v>0</v>
      </c>
    </row>
    <row r="144" ht="22.5" spans="7:9">
      <c r="G144" s="5" t="s">
        <v>402</v>
      </c>
      <c r="H144" s="6">
        <v>0</v>
      </c>
      <c r="I144" s="6">
        <v>0</v>
      </c>
    </row>
    <row r="145" ht="33.75" spans="7:9">
      <c r="G145" s="5" t="s">
        <v>446</v>
      </c>
      <c r="H145" s="6">
        <v>0</v>
      </c>
      <c r="I145" s="6">
        <v>1</v>
      </c>
    </row>
    <row r="146" ht="33.75" spans="7:9">
      <c r="G146" s="5" t="s">
        <v>502</v>
      </c>
      <c r="H146" s="6">
        <v>0.5</v>
      </c>
      <c r="I146" s="6">
        <v>0.5</v>
      </c>
    </row>
    <row r="147" ht="33.75" spans="7:9">
      <c r="G147" s="5" t="s">
        <v>873</v>
      </c>
      <c r="H147" s="6">
        <v>1</v>
      </c>
      <c r="I147" s="6">
        <v>0</v>
      </c>
    </row>
    <row r="148" ht="33.75" spans="7:9">
      <c r="G148" s="5" t="s">
        <v>700</v>
      </c>
      <c r="H148" s="6">
        <v>0.431578947368421</v>
      </c>
      <c r="I148" s="6">
        <v>0.568421052631579</v>
      </c>
    </row>
    <row r="149" ht="33.75" spans="7:9">
      <c r="G149" s="5" t="s">
        <v>671</v>
      </c>
      <c r="H149" s="6">
        <v>0.539823008849557</v>
      </c>
      <c r="I149" s="6">
        <v>0.460176991150443</v>
      </c>
    </row>
    <row r="150" ht="33.75" spans="7:9">
      <c r="G150" s="5" t="s">
        <v>691</v>
      </c>
      <c r="H150" s="6">
        <v>0.59375</v>
      </c>
      <c r="I150" s="6">
        <v>0.40625</v>
      </c>
    </row>
    <row r="151" ht="33.75" spans="7:9">
      <c r="G151" s="5" t="s">
        <v>121</v>
      </c>
      <c r="H151" s="6">
        <v>0.78125</v>
      </c>
      <c r="I151" s="6">
        <v>0.21875</v>
      </c>
    </row>
    <row r="152" ht="45" spans="7:9">
      <c r="G152" s="5" t="s">
        <v>647</v>
      </c>
      <c r="H152" s="6">
        <v>0.583333333333333</v>
      </c>
      <c r="I152" s="6">
        <v>0.416666666666667</v>
      </c>
    </row>
    <row r="153" ht="22.5" spans="7:9">
      <c r="G153" s="5" t="s">
        <v>727</v>
      </c>
      <c r="H153" s="6">
        <v>0.5</v>
      </c>
      <c r="I153" s="6">
        <v>0.5</v>
      </c>
    </row>
    <row r="154" ht="22.5" spans="7:9">
      <c r="G154" s="5" t="s">
        <v>883</v>
      </c>
      <c r="H154" s="6">
        <v>0</v>
      </c>
      <c r="I154" s="6">
        <v>0</v>
      </c>
    </row>
    <row r="155" ht="33.75" spans="7:9">
      <c r="G155" s="5" t="s">
        <v>326</v>
      </c>
      <c r="H155" s="6">
        <v>0</v>
      </c>
      <c r="I155" s="6">
        <v>1</v>
      </c>
    </row>
    <row r="156" ht="33.75" spans="7:9">
      <c r="G156" s="5" t="s">
        <v>664</v>
      </c>
      <c r="H156" s="6">
        <v>0.384615384615385</v>
      </c>
      <c r="I156" s="6">
        <v>0.615384615384615</v>
      </c>
    </row>
    <row r="157" ht="45" spans="7:9">
      <c r="G157" s="5" t="s">
        <v>670</v>
      </c>
      <c r="H157" s="6">
        <v>0.333333333333333</v>
      </c>
      <c r="I157" s="6">
        <v>0.666666666666667</v>
      </c>
    </row>
    <row r="158" ht="33.75" spans="7:9">
      <c r="G158" s="5" t="s">
        <v>319</v>
      </c>
      <c r="H158" s="6">
        <v>0.4</v>
      </c>
      <c r="I158" s="6">
        <v>0.6</v>
      </c>
    </row>
    <row r="159" ht="33.75" spans="7:9">
      <c r="G159" s="5" t="s">
        <v>718</v>
      </c>
      <c r="H159" s="6">
        <v>0.592592592592593</v>
      </c>
      <c r="I159" s="6">
        <v>0.407407407407407</v>
      </c>
    </row>
    <row r="160" ht="22.5" spans="7:9">
      <c r="G160" s="5" t="s">
        <v>660</v>
      </c>
      <c r="H160" s="6">
        <v>0.0384615384615385</v>
      </c>
      <c r="I160" s="6">
        <v>0.961538461538462</v>
      </c>
    </row>
    <row r="161" spans="7:9">
      <c r="G161" s="5" t="s">
        <v>437</v>
      </c>
      <c r="H161" s="6">
        <v>0.478260869565217</v>
      </c>
      <c r="I161" s="6">
        <v>0.521739130434783</v>
      </c>
    </row>
    <row r="162" ht="22.5" spans="7:9">
      <c r="G162" s="5" t="s">
        <v>435</v>
      </c>
      <c r="H162" s="6">
        <v>1</v>
      </c>
      <c r="I162" s="6">
        <v>0</v>
      </c>
    </row>
    <row r="163" ht="22.5" spans="7:9">
      <c r="G163" s="5" t="s">
        <v>593</v>
      </c>
      <c r="H163" s="6">
        <v>0.9</v>
      </c>
      <c r="I163" s="6">
        <v>0.1</v>
      </c>
    </row>
    <row r="164" ht="22.5" spans="7:9">
      <c r="G164" s="5" t="s">
        <v>717</v>
      </c>
      <c r="H164" s="6">
        <v>1</v>
      </c>
      <c r="I164" s="6">
        <v>0</v>
      </c>
    </row>
    <row r="165" ht="22.5" spans="7:9">
      <c r="G165" s="5" t="s">
        <v>580</v>
      </c>
      <c r="H165" s="6">
        <v>0.846153846153846</v>
      </c>
      <c r="I165" s="6">
        <v>0.153846153846154</v>
      </c>
    </row>
    <row r="166" ht="22.5" spans="7:9">
      <c r="G166" s="5" t="s">
        <v>476</v>
      </c>
      <c r="H166" s="6">
        <v>0.875</v>
      </c>
      <c r="I166" s="6">
        <v>0.125</v>
      </c>
    </row>
    <row r="167" spans="7:9">
      <c r="G167" s="5" t="s">
        <v>159</v>
      </c>
      <c r="H167" s="6">
        <v>0.652173913043478</v>
      </c>
      <c r="I167" s="6">
        <v>0.347826086956522</v>
      </c>
    </row>
    <row r="168" ht="22.5" spans="7:9">
      <c r="G168" s="5" t="s">
        <v>587</v>
      </c>
      <c r="H168" s="6">
        <v>0.888888888888889</v>
      </c>
      <c r="I168" s="6">
        <v>0.111111111111111</v>
      </c>
    </row>
    <row r="169" ht="22.5" spans="7:9">
      <c r="G169" s="5" t="s">
        <v>191</v>
      </c>
      <c r="H169" s="6">
        <v>0.888888888888889</v>
      </c>
      <c r="I169" s="6">
        <v>0.111111111111111</v>
      </c>
    </row>
    <row r="170" spans="7:9">
      <c r="G170" s="5" t="s">
        <v>50</v>
      </c>
      <c r="H170" s="6">
        <v>0.166666666666667</v>
      </c>
      <c r="I170" s="6">
        <v>0.833333333333333</v>
      </c>
    </row>
    <row r="171" ht="33.75" spans="7:9">
      <c r="G171" s="5" t="s">
        <v>703</v>
      </c>
      <c r="H171" s="6">
        <v>0</v>
      </c>
      <c r="I171" s="6">
        <v>1</v>
      </c>
    </row>
    <row r="172" ht="22.5" spans="7:9">
      <c r="G172" s="5" t="s">
        <v>242</v>
      </c>
      <c r="H172" s="6">
        <v>0</v>
      </c>
      <c r="I172" s="6">
        <v>1</v>
      </c>
    </row>
    <row r="173" ht="22.5" spans="7:9">
      <c r="G173" s="5" t="s">
        <v>428</v>
      </c>
      <c r="H173" s="6">
        <v>0.4</v>
      </c>
      <c r="I173" s="6">
        <v>0.6</v>
      </c>
    </row>
    <row r="174" ht="33.75" spans="7:9">
      <c r="G174" s="5" t="s">
        <v>114</v>
      </c>
      <c r="H174" s="6">
        <v>0.384615384615385</v>
      </c>
      <c r="I174" s="6">
        <v>0.615384615384615</v>
      </c>
    </row>
    <row r="175" ht="33.75" spans="7:9">
      <c r="G175" s="5" t="s">
        <v>238</v>
      </c>
      <c r="H175" s="6">
        <v>0.333333333333333</v>
      </c>
      <c r="I175" s="6">
        <v>0.666666666666667</v>
      </c>
    </row>
    <row r="176" ht="45" spans="7:9">
      <c r="G176" s="5" t="s">
        <v>656</v>
      </c>
      <c r="H176" s="6">
        <v>0</v>
      </c>
      <c r="I176" s="6">
        <v>1</v>
      </c>
    </row>
    <row r="177" ht="22.5" spans="7:9">
      <c r="G177" s="5" t="s">
        <v>451</v>
      </c>
      <c r="H177" s="6">
        <v>0.588235294117647</v>
      </c>
      <c r="I177" s="6">
        <v>0.411764705882353</v>
      </c>
    </row>
    <row r="178" ht="22.5" spans="7:9">
      <c r="G178" s="5" t="s">
        <v>467</v>
      </c>
      <c r="H178" s="6">
        <v>0.428571428571429</v>
      </c>
      <c r="I178" s="6">
        <v>0.571428571428571</v>
      </c>
    </row>
    <row r="179" ht="22.5" spans="7:9">
      <c r="G179" s="5" t="s">
        <v>440</v>
      </c>
      <c r="H179" s="6">
        <v>1</v>
      </c>
      <c r="I179" s="6">
        <v>0</v>
      </c>
    </row>
    <row r="180" ht="22.5" spans="7:9">
      <c r="G180" s="5" t="s">
        <v>164</v>
      </c>
      <c r="H180" s="6">
        <v>1</v>
      </c>
      <c r="I180" s="6">
        <v>0</v>
      </c>
    </row>
    <row r="181" ht="22.5" spans="7:9">
      <c r="G181" s="5" t="s">
        <v>724</v>
      </c>
      <c r="H181" s="6">
        <v>1</v>
      </c>
      <c r="I181" s="6">
        <v>0</v>
      </c>
    </row>
    <row r="182" ht="22.5" spans="7:9">
      <c r="G182" s="5" t="s">
        <v>716</v>
      </c>
      <c r="H182" s="6">
        <v>0.263157894736842</v>
      </c>
      <c r="I182" s="6">
        <v>0.736842105263158</v>
      </c>
    </row>
    <row r="183" ht="33.75" spans="7:9">
      <c r="G183" s="5" t="s">
        <v>611</v>
      </c>
      <c r="H183" s="6">
        <v>0.954545454545455</v>
      </c>
      <c r="I183" s="6">
        <v>0.0454545454545455</v>
      </c>
    </row>
    <row r="184" ht="22.5" spans="7:9">
      <c r="G184" s="5" t="s">
        <v>791</v>
      </c>
      <c r="H184" s="6">
        <v>1</v>
      </c>
      <c r="I184" s="6">
        <v>0</v>
      </c>
    </row>
    <row r="185" ht="22.5" spans="7:9">
      <c r="G185" s="5" t="s">
        <v>197</v>
      </c>
      <c r="H185" s="6">
        <v>0</v>
      </c>
      <c r="I185" s="6">
        <v>0</v>
      </c>
    </row>
    <row r="186" spans="7:9">
      <c r="G186" s="5" t="s">
        <v>295</v>
      </c>
      <c r="H186" s="6">
        <v>0.619047619047619</v>
      </c>
      <c r="I186" s="6">
        <v>0.380952380952381</v>
      </c>
    </row>
    <row r="187" ht="45" spans="7:9">
      <c r="G187" s="5" t="s">
        <v>908</v>
      </c>
      <c r="H187" s="6">
        <v>0</v>
      </c>
      <c r="I187" s="6">
        <v>0</v>
      </c>
    </row>
    <row r="188" ht="45" spans="7:9">
      <c r="G188" s="5" t="s">
        <v>909</v>
      </c>
      <c r="H188" s="6">
        <v>0</v>
      </c>
      <c r="I188" s="6">
        <v>0</v>
      </c>
    </row>
    <row r="189" ht="22.5" spans="7:9">
      <c r="G189" s="5" t="s">
        <v>910</v>
      </c>
      <c r="H189" s="6">
        <v>0.346938775510204</v>
      </c>
      <c r="I189" s="6">
        <v>0.653061224489796</v>
      </c>
    </row>
    <row r="190" ht="22.5" spans="7:9">
      <c r="G190" s="5" t="s">
        <v>870</v>
      </c>
      <c r="H190" s="6">
        <v>0.884615384615385</v>
      </c>
      <c r="I190" s="6">
        <v>0.115384615384615</v>
      </c>
    </row>
    <row r="191" ht="22.5" spans="7:9">
      <c r="G191" s="5" t="s">
        <v>442</v>
      </c>
      <c r="H191" s="6">
        <v>1</v>
      </c>
      <c r="I191" s="6">
        <v>0</v>
      </c>
    </row>
    <row r="192" ht="22.5" spans="7:9">
      <c r="G192" s="5" t="s">
        <v>390</v>
      </c>
      <c r="H192" s="6">
        <v>0</v>
      </c>
      <c r="I192" s="6">
        <v>0</v>
      </c>
    </row>
    <row r="193" ht="33.75" spans="7:9">
      <c r="G193" s="5" t="s">
        <v>347</v>
      </c>
      <c r="H193" s="6">
        <v>0.5</v>
      </c>
      <c r="I193" s="6">
        <v>0.5</v>
      </c>
    </row>
    <row r="194" ht="22.5" spans="7:9">
      <c r="G194" s="5" t="s">
        <v>514</v>
      </c>
      <c r="H194" s="6">
        <v>0</v>
      </c>
      <c r="I194" s="6">
        <v>0</v>
      </c>
    </row>
    <row r="195" ht="22.5" spans="7:9">
      <c r="G195" s="5" t="s">
        <v>150</v>
      </c>
      <c r="H195" s="6">
        <v>0</v>
      </c>
      <c r="I195" s="6">
        <v>0</v>
      </c>
    </row>
    <row r="196" ht="33.75" spans="7:9">
      <c r="G196" s="5" t="s">
        <v>911</v>
      </c>
      <c r="H196" s="6">
        <v>0</v>
      </c>
      <c r="I196" s="6">
        <v>0</v>
      </c>
    </row>
    <row r="197" ht="45" spans="7:9">
      <c r="G197" s="5" t="s">
        <v>349</v>
      </c>
      <c r="H197" s="6">
        <v>0.0666666666666667</v>
      </c>
      <c r="I197" s="6">
        <v>0.933333333333333</v>
      </c>
    </row>
    <row r="198" ht="45" spans="7:9">
      <c r="G198" s="5" t="s">
        <v>227</v>
      </c>
      <c r="H198" s="6">
        <v>0</v>
      </c>
      <c r="I198" s="6">
        <v>1</v>
      </c>
    </row>
    <row r="199" spans="7:9">
      <c r="G199" s="5" t="s">
        <v>127</v>
      </c>
      <c r="H199" s="6">
        <v>0</v>
      </c>
      <c r="I199" s="6">
        <v>1</v>
      </c>
    </row>
    <row r="200" ht="33.75" spans="7:9">
      <c r="G200" s="5" t="s">
        <v>60</v>
      </c>
      <c r="H200" s="6">
        <v>0.375</v>
      </c>
      <c r="I200" s="6">
        <v>0.625</v>
      </c>
    </row>
    <row r="201" ht="22.5" spans="7:9">
      <c r="G201" s="5" t="s">
        <v>330</v>
      </c>
      <c r="H201" s="6">
        <v>0</v>
      </c>
      <c r="I201" s="6">
        <v>0</v>
      </c>
    </row>
    <row r="202" ht="22.5" spans="7:9">
      <c r="G202" s="5" t="s">
        <v>413</v>
      </c>
      <c r="H202" s="6">
        <v>0</v>
      </c>
      <c r="I202" s="6">
        <v>0</v>
      </c>
    </row>
    <row r="203" ht="22.5" spans="7:9">
      <c r="G203" s="5" t="s">
        <v>290</v>
      </c>
      <c r="H203" s="6">
        <v>1</v>
      </c>
      <c r="I203" s="6">
        <v>0</v>
      </c>
    </row>
    <row r="204" ht="22.5" spans="7:9">
      <c r="G204" s="5" t="s">
        <v>642</v>
      </c>
      <c r="H204" s="6">
        <v>1</v>
      </c>
      <c r="I204" s="6">
        <v>0</v>
      </c>
    </row>
    <row r="205" ht="22.5" spans="7:9">
      <c r="G205" s="5" t="s">
        <v>170</v>
      </c>
      <c r="H205" s="6">
        <v>0.4</v>
      </c>
      <c r="I205" s="6">
        <v>0.6</v>
      </c>
    </row>
    <row r="206" ht="22.5" spans="7:9">
      <c r="G206" s="5" t="s">
        <v>444</v>
      </c>
      <c r="H206" s="6">
        <v>0.269230769230769</v>
      </c>
      <c r="I206" s="6">
        <v>0.730769230769231</v>
      </c>
    </row>
    <row r="207" ht="22.5" spans="7:9">
      <c r="G207" s="5" t="s">
        <v>282</v>
      </c>
      <c r="H207" s="6">
        <v>0.375</v>
      </c>
      <c r="I207" s="6">
        <v>0.625</v>
      </c>
    </row>
    <row r="208" ht="33.75" spans="7:9">
      <c r="G208" s="5" t="s">
        <v>303</v>
      </c>
      <c r="H208" s="6">
        <v>0.0909090909090909</v>
      </c>
      <c r="I208" s="6">
        <v>0.909090909090909</v>
      </c>
    </row>
    <row r="209" ht="33.75" spans="7:9">
      <c r="G209" s="5" t="s">
        <v>415</v>
      </c>
      <c r="H209" s="6">
        <v>0</v>
      </c>
      <c r="I209" s="6">
        <v>1</v>
      </c>
    </row>
    <row r="210" ht="33.75" spans="7:9">
      <c r="G210" s="5" t="s">
        <v>288</v>
      </c>
      <c r="H210" s="6">
        <v>0.318181818181818</v>
      </c>
      <c r="I210" s="6">
        <v>0.681818181818182</v>
      </c>
    </row>
    <row r="211" ht="33.75" spans="7:9">
      <c r="G211" s="5" t="s">
        <v>767</v>
      </c>
      <c r="H211" s="6">
        <v>0.209677419354839</v>
      </c>
      <c r="I211" s="6">
        <v>0.790322580645161</v>
      </c>
    </row>
    <row r="212" ht="45" spans="7:9">
      <c r="G212" s="5" t="s">
        <v>70</v>
      </c>
      <c r="H212" s="6">
        <v>0.521739130434783</v>
      </c>
      <c r="I212" s="6">
        <v>0.478260869565217</v>
      </c>
    </row>
    <row r="213" ht="33.75" spans="7:9">
      <c r="G213" s="5" t="s">
        <v>675</v>
      </c>
      <c r="H213" s="6">
        <v>0.576086956521739</v>
      </c>
      <c r="I213" s="6">
        <v>0.423913043478261</v>
      </c>
    </row>
    <row r="214" ht="22.5" spans="7:9">
      <c r="G214" s="5" t="s">
        <v>566</v>
      </c>
      <c r="H214" s="6">
        <v>0.423664122137405</v>
      </c>
      <c r="I214" s="6">
        <v>0.576335877862595</v>
      </c>
    </row>
    <row r="215" ht="22.5" spans="7:9">
      <c r="G215" s="5" t="s">
        <v>605</v>
      </c>
      <c r="H215" s="6">
        <v>0.54</v>
      </c>
      <c r="I215" s="6">
        <v>0.46</v>
      </c>
    </row>
    <row r="216" ht="33.75" spans="7:9">
      <c r="G216" s="5" t="s">
        <v>148</v>
      </c>
      <c r="H216" s="6">
        <v>0.698305084745763</v>
      </c>
      <c r="I216" s="6">
        <v>0.301694915254237</v>
      </c>
    </row>
    <row r="217" ht="33.75" spans="7:9">
      <c r="G217" s="5" t="s">
        <v>132</v>
      </c>
      <c r="H217" s="6">
        <v>0.715492957746479</v>
      </c>
      <c r="I217" s="6">
        <v>0.284507042253521</v>
      </c>
    </row>
    <row r="218" ht="33.75" spans="7:9">
      <c r="G218" s="5" t="s">
        <v>177</v>
      </c>
      <c r="H218" s="6">
        <v>0.864516129032258</v>
      </c>
      <c r="I218" s="6">
        <v>0.135483870967742</v>
      </c>
    </row>
    <row r="219" ht="33.75" spans="7:9">
      <c r="G219" s="5" t="s">
        <v>105</v>
      </c>
      <c r="H219" s="6">
        <v>0.884057971014493</v>
      </c>
      <c r="I219" s="6">
        <v>0.115942028985507</v>
      </c>
    </row>
    <row r="220" ht="33.75" spans="7:9">
      <c r="G220" s="5" t="s">
        <v>688</v>
      </c>
      <c r="H220" s="6">
        <v>0.929292929292929</v>
      </c>
      <c r="I220" s="6">
        <v>0.0707070707070707</v>
      </c>
    </row>
    <row r="221" ht="22.5" spans="7:9">
      <c r="G221" s="5" t="s">
        <v>733</v>
      </c>
      <c r="H221" s="6">
        <v>0</v>
      </c>
      <c r="I221" s="6">
        <v>0</v>
      </c>
    </row>
    <row r="222" ht="33.75" spans="7:9">
      <c r="G222" s="5" t="s">
        <v>645</v>
      </c>
      <c r="H222" s="6">
        <v>1</v>
      </c>
      <c r="I222" s="6">
        <v>0</v>
      </c>
    </row>
    <row r="223" ht="33.75" spans="7:9">
      <c r="G223" s="5" t="s">
        <v>155</v>
      </c>
      <c r="H223" s="6">
        <v>0.875</v>
      </c>
      <c r="I223" s="6">
        <v>0.125</v>
      </c>
    </row>
    <row r="224" ht="33.75" spans="7:9">
      <c r="G224" s="5" t="s">
        <v>776</v>
      </c>
      <c r="H224" s="6">
        <v>0.727272727272727</v>
      </c>
      <c r="I224" s="6">
        <v>0.272727272727273</v>
      </c>
    </row>
    <row r="225" ht="33.75" spans="7:9">
      <c r="G225" s="5" t="s">
        <v>231</v>
      </c>
      <c r="H225" s="6">
        <v>1</v>
      </c>
      <c r="I225" s="6">
        <v>0</v>
      </c>
    </row>
    <row r="226" ht="22.5" spans="7:9">
      <c r="G226" s="5" t="s">
        <v>461</v>
      </c>
      <c r="H226" s="6">
        <v>1</v>
      </c>
      <c r="I226" s="6">
        <v>0</v>
      </c>
    </row>
    <row r="227" ht="22.5" spans="7:9">
      <c r="G227" s="5" t="s">
        <v>396</v>
      </c>
      <c r="H227" s="6">
        <v>0.769230769230769</v>
      </c>
      <c r="I227" s="6">
        <v>0.230769230769231</v>
      </c>
    </row>
    <row r="228" ht="33.75" spans="7:9">
      <c r="G228" s="5" t="s">
        <v>351</v>
      </c>
      <c r="H228" s="6">
        <v>1</v>
      </c>
      <c r="I228" s="6">
        <v>0</v>
      </c>
    </row>
    <row r="229" ht="33.75" spans="7:9">
      <c r="G229" s="5" t="s">
        <v>263</v>
      </c>
      <c r="H229" s="6">
        <v>0</v>
      </c>
      <c r="I229" s="6">
        <v>1</v>
      </c>
    </row>
    <row r="230" ht="22.5" spans="7:9">
      <c r="G230" s="5" t="s">
        <v>463</v>
      </c>
      <c r="H230" s="6">
        <v>0.5</v>
      </c>
      <c r="I230" s="6">
        <v>0.5</v>
      </c>
    </row>
    <row r="231" ht="22.5" spans="7:9">
      <c r="G231" s="5" t="s">
        <v>478</v>
      </c>
      <c r="H231" s="6">
        <v>0</v>
      </c>
      <c r="I231" s="6">
        <v>0</v>
      </c>
    </row>
    <row r="232" ht="33.75" spans="7:9">
      <c r="G232" s="5" t="s">
        <v>218</v>
      </c>
      <c r="H232" s="6">
        <v>1</v>
      </c>
      <c r="I232" s="6">
        <v>0</v>
      </c>
    </row>
    <row r="233" ht="33.75" spans="7:9">
      <c r="G233" s="5" t="s">
        <v>705</v>
      </c>
      <c r="H233" s="6">
        <v>0</v>
      </c>
      <c r="I233" s="6">
        <v>0</v>
      </c>
    </row>
    <row r="234" ht="22.5" spans="7:9">
      <c r="G234" s="5" t="s">
        <v>453</v>
      </c>
      <c r="H234" s="6">
        <v>0</v>
      </c>
      <c r="I234" s="6">
        <v>1</v>
      </c>
    </row>
    <row r="235" ht="22.5" spans="7:9">
      <c r="G235" s="5" t="s">
        <v>804</v>
      </c>
      <c r="H235" s="6">
        <v>1</v>
      </c>
      <c r="I235" s="6">
        <v>0</v>
      </c>
    </row>
    <row r="236" ht="33.75" spans="7:9">
      <c r="G236" s="5" t="s">
        <v>88</v>
      </c>
      <c r="H236" s="6">
        <v>0.394736842105263</v>
      </c>
      <c r="I236" s="6">
        <v>0.605263157894737</v>
      </c>
    </row>
    <row r="237" ht="33.75" spans="7:9">
      <c r="G237" s="5" t="s">
        <v>485</v>
      </c>
      <c r="H237" s="6">
        <v>0</v>
      </c>
      <c r="I237" s="6">
        <v>1</v>
      </c>
    </row>
    <row r="238" ht="33.75" spans="7:9">
      <c r="G238" s="5" t="s">
        <v>574</v>
      </c>
      <c r="H238" s="6">
        <v>0.242424242424242</v>
      </c>
      <c r="I238" s="6">
        <v>0.757575757575758</v>
      </c>
    </row>
    <row r="239" ht="33.75" spans="7:9">
      <c r="G239" s="5" t="s">
        <v>400</v>
      </c>
      <c r="H239" s="6">
        <v>0</v>
      </c>
      <c r="I239" s="6">
        <v>1</v>
      </c>
    </row>
    <row r="240" ht="33.75" spans="7:9">
      <c r="G240" s="5" t="s">
        <v>267</v>
      </c>
      <c r="H240" s="6">
        <v>0</v>
      </c>
      <c r="I240" s="6">
        <v>0</v>
      </c>
    </row>
    <row r="241" ht="22.5" spans="7:9">
      <c r="G241" s="5" t="s">
        <v>216</v>
      </c>
      <c r="H241" s="6">
        <v>0</v>
      </c>
      <c r="I241" s="6">
        <v>1</v>
      </c>
    </row>
    <row r="242" ht="22.5" spans="7:9">
      <c r="G242" s="5" t="s">
        <v>551</v>
      </c>
      <c r="H242" s="6">
        <v>0</v>
      </c>
      <c r="I242" s="6">
        <v>1</v>
      </c>
    </row>
    <row r="243" ht="22.5" spans="7:9">
      <c r="G243" s="5" t="s">
        <v>912</v>
      </c>
      <c r="H243" s="6">
        <v>0</v>
      </c>
      <c r="I243" s="6">
        <v>0</v>
      </c>
    </row>
    <row r="244" ht="45" spans="7:9">
      <c r="G244" s="5" t="s">
        <v>760</v>
      </c>
      <c r="H244" s="6">
        <v>0.716216216216216</v>
      </c>
      <c r="I244" s="6">
        <v>0.283783783783784</v>
      </c>
    </row>
    <row r="245" ht="22.5" spans="7:9">
      <c r="G245" s="5" t="s">
        <v>697</v>
      </c>
      <c r="H245" s="6">
        <v>0.95</v>
      </c>
      <c r="I245" s="6">
        <v>0.05</v>
      </c>
    </row>
    <row r="246" ht="22.5" spans="7:9">
      <c r="G246" s="5" t="s">
        <v>323</v>
      </c>
      <c r="H246" s="6">
        <v>1</v>
      </c>
      <c r="I246" s="6">
        <v>0</v>
      </c>
    </row>
    <row r="247" ht="45" spans="7:9">
      <c r="G247" s="5" t="s">
        <v>405</v>
      </c>
      <c r="H247" s="6">
        <v>0.75</v>
      </c>
      <c r="I247" s="6">
        <v>0.25</v>
      </c>
    </row>
    <row r="248" ht="22.5" spans="7:9">
      <c r="G248" s="5" t="s">
        <v>361</v>
      </c>
      <c r="H248" s="6">
        <v>1</v>
      </c>
      <c r="I248" s="6">
        <v>0</v>
      </c>
    </row>
    <row r="249" ht="33.75" spans="7:9">
      <c r="G249" s="5" t="s">
        <v>489</v>
      </c>
      <c r="H249" s="6">
        <v>0</v>
      </c>
      <c r="I249" s="6">
        <v>1</v>
      </c>
    </row>
    <row r="250" ht="33.75" spans="7:9">
      <c r="G250" s="5" t="s">
        <v>465</v>
      </c>
      <c r="H250" s="6">
        <v>0</v>
      </c>
      <c r="I250" s="6">
        <v>1</v>
      </c>
    </row>
    <row r="251" ht="33.75" spans="7:9">
      <c r="G251" s="5" t="s">
        <v>386</v>
      </c>
      <c r="H251" s="6">
        <v>0</v>
      </c>
      <c r="I251" s="6">
        <v>1</v>
      </c>
    </row>
    <row r="252" ht="33.75" spans="7:9">
      <c r="G252" s="5" t="s">
        <v>270</v>
      </c>
      <c r="H252" s="6">
        <v>0</v>
      </c>
      <c r="I252" s="6">
        <v>1</v>
      </c>
    </row>
    <row r="253" ht="33.75" spans="7:9">
      <c r="G253" s="5" t="s">
        <v>741</v>
      </c>
      <c r="H253" s="6">
        <v>0</v>
      </c>
      <c r="I253" s="6">
        <v>0</v>
      </c>
    </row>
    <row r="254" ht="33.75" spans="7:9">
      <c r="G254" s="5" t="s">
        <v>419</v>
      </c>
      <c r="H254" s="6">
        <v>1</v>
      </c>
      <c r="I254" s="6">
        <v>0</v>
      </c>
    </row>
    <row r="255" ht="33.75" spans="7:9">
      <c r="G255" s="5" t="s">
        <v>457</v>
      </c>
      <c r="H255" s="6">
        <v>0</v>
      </c>
      <c r="I255" s="6">
        <v>1</v>
      </c>
    </row>
    <row r="256" ht="33.75" spans="7:9">
      <c r="G256" s="5" t="s">
        <v>877</v>
      </c>
      <c r="H256" s="6">
        <v>0</v>
      </c>
      <c r="I256" s="6">
        <v>0</v>
      </c>
    </row>
    <row r="257" ht="33.75" spans="7:9">
      <c r="G257" s="5" t="s">
        <v>332</v>
      </c>
      <c r="H257" s="6">
        <v>0</v>
      </c>
      <c r="I257" s="6">
        <v>1</v>
      </c>
    </row>
    <row r="258" ht="22.5" spans="7:9">
      <c r="G258" s="5" t="s">
        <v>345</v>
      </c>
      <c r="H258" s="6">
        <v>0</v>
      </c>
      <c r="I258" s="6">
        <v>0</v>
      </c>
    </row>
    <row r="259" ht="22.5" spans="7:9">
      <c r="G259" s="5" t="s">
        <v>305</v>
      </c>
      <c r="H259" s="6">
        <v>0</v>
      </c>
      <c r="I259" s="6">
        <v>1</v>
      </c>
    </row>
    <row r="260" ht="22.5" spans="7:9">
      <c r="G260" s="5" t="s">
        <v>455</v>
      </c>
      <c r="H260" s="6">
        <v>0</v>
      </c>
      <c r="I260" s="6">
        <v>0</v>
      </c>
    </row>
    <row r="261" ht="33.75" spans="7:9">
      <c r="G261" s="5" t="s">
        <v>421</v>
      </c>
      <c r="H261" s="6">
        <v>0</v>
      </c>
      <c r="I261" s="6">
        <v>1</v>
      </c>
    </row>
    <row r="262" ht="33.75" spans="7:9">
      <c r="G262" s="5" t="s">
        <v>913</v>
      </c>
      <c r="H262" s="6">
        <v>0</v>
      </c>
      <c r="I262" s="6">
        <v>0</v>
      </c>
    </row>
    <row r="263" ht="33.75" spans="7:9">
      <c r="G263" s="5" t="s">
        <v>509</v>
      </c>
      <c r="H263" s="6">
        <v>0</v>
      </c>
      <c r="I263" s="6">
        <v>0</v>
      </c>
    </row>
    <row r="264" ht="22.5" spans="7:9">
      <c r="G264" s="5" t="s">
        <v>507</v>
      </c>
      <c r="H264" s="6">
        <v>0</v>
      </c>
      <c r="I264" s="6">
        <v>0</v>
      </c>
    </row>
    <row r="265" ht="22.5" spans="7:9">
      <c r="G265" s="5" t="s">
        <v>297</v>
      </c>
      <c r="H265" s="6">
        <v>1</v>
      </c>
      <c r="I265" s="6">
        <v>0</v>
      </c>
    </row>
    <row r="266" ht="22.5" spans="7:9">
      <c r="G266" s="5" t="s">
        <v>783</v>
      </c>
      <c r="H266" s="6">
        <v>0</v>
      </c>
      <c r="I266" s="6">
        <v>0</v>
      </c>
    </row>
    <row r="267" ht="22.5" spans="7:9">
      <c r="G267" s="5" t="s">
        <v>801</v>
      </c>
      <c r="H267" s="6">
        <v>0</v>
      </c>
      <c r="I267" s="6">
        <v>0</v>
      </c>
    </row>
    <row r="268" spans="7:9">
      <c r="G268" s="5" t="s">
        <v>371</v>
      </c>
      <c r="H268" s="6">
        <v>0.5</v>
      </c>
      <c r="I268" s="6">
        <v>0.5</v>
      </c>
    </row>
    <row r="269" ht="45" spans="7:9">
      <c r="G269" s="5" t="s">
        <v>539</v>
      </c>
      <c r="H269" s="6">
        <v>0.0476190476190476</v>
      </c>
      <c r="I269" s="6">
        <v>0.952380952380952</v>
      </c>
    </row>
    <row r="270" ht="45" spans="7:9">
      <c r="G270" s="5" t="s">
        <v>548</v>
      </c>
      <c r="H270" s="6">
        <v>0.1</v>
      </c>
      <c r="I270" s="6">
        <v>0.9</v>
      </c>
    </row>
    <row r="271" ht="33.75" spans="7:9">
      <c r="G271" s="5" t="s">
        <v>84</v>
      </c>
      <c r="H271" s="6">
        <v>0</v>
      </c>
      <c r="I271" s="6">
        <v>0</v>
      </c>
    </row>
    <row r="272" ht="33.75" spans="7:9">
      <c r="G272" s="5" t="s">
        <v>91</v>
      </c>
      <c r="H272" s="6">
        <v>0.6</v>
      </c>
      <c r="I272" s="6">
        <v>0.4</v>
      </c>
    </row>
    <row r="273" ht="33.75" spans="7:9">
      <c r="G273" s="5" t="s">
        <v>292</v>
      </c>
      <c r="H273" s="6">
        <v>0</v>
      </c>
      <c r="I273" s="6">
        <v>1</v>
      </c>
    </row>
    <row r="274" ht="22.5" spans="7:9">
      <c r="G274" s="5" t="s">
        <v>179</v>
      </c>
      <c r="H274" s="6">
        <v>0</v>
      </c>
      <c r="I274" s="6">
        <v>1</v>
      </c>
    </row>
    <row r="275" ht="33.75" spans="7:9">
      <c r="G275" s="5" t="s">
        <v>369</v>
      </c>
      <c r="H275" s="6">
        <v>0</v>
      </c>
      <c r="I275" s="6">
        <v>1</v>
      </c>
    </row>
    <row r="276" ht="33.75" spans="7:9">
      <c r="G276" s="5" t="s">
        <v>229</v>
      </c>
      <c r="H276" s="6">
        <v>0</v>
      </c>
      <c r="I276" s="6">
        <v>1</v>
      </c>
    </row>
    <row r="277" ht="33.75" spans="7:9">
      <c r="G277" s="5" t="s">
        <v>356</v>
      </c>
      <c r="H277" s="6">
        <v>0</v>
      </c>
      <c r="I277" s="6">
        <v>1</v>
      </c>
    </row>
    <row r="278" ht="22.5" spans="7:9">
      <c r="G278" s="5" t="s">
        <v>473</v>
      </c>
      <c r="H278" s="6">
        <v>0</v>
      </c>
      <c r="I278" s="6">
        <v>0</v>
      </c>
    </row>
    <row r="279" ht="22.5" spans="7:9">
      <c r="G279" s="5" t="s">
        <v>730</v>
      </c>
      <c r="H279" s="6">
        <v>1</v>
      </c>
      <c r="I279" s="6">
        <v>0</v>
      </c>
    </row>
    <row r="280" ht="22.5" spans="7:9">
      <c r="G280" s="5" t="s">
        <v>793</v>
      </c>
      <c r="H280" s="6">
        <v>0.666666666666667</v>
      </c>
      <c r="I280" s="6">
        <v>0.333333333333333</v>
      </c>
    </row>
    <row r="281" ht="33.75" spans="7:9">
      <c r="G281" s="5" t="s">
        <v>359</v>
      </c>
      <c r="H281" s="6">
        <v>0.666666666666667</v>
      </c>
      <c r="I281" s="6">
        <v>0.333333333333333</v>
      </c>
    </row>
    <row r="282" ht="33.75" spans="7:9">
      <c r="G282" s="5" t="s">
        <v>643</v>
      </c>
      <c r="H282" s="6">
        <v>0.666666666666667</v>
      </c>
      <c r="I282" s="6">
        <v>0.333333333333333</v>
      </c>
    </row>
    <row r="283" ht="33.75" spans="7:9">
      <c r="G283" s="5" t="s">
        <v>202</v>
      </c>
      <c r="H283" s="6">
        <v>1</v>
      </c>
      <c r="I283" s="6">
        <v>0</v>
      </c>
    </row>
    <row r="284" spans="7:9">
      <c r="G284" s="1" t="s">
        <v>707</v>
      </c>
      <c r="H284" s="6">
        <v>0.666666666666667</v>
      </c>
      <c r="I284" s="6">
        <v>0.333333333333333</v>
      </c>
    </row>
    <row r="285" spans="7:9">
      <c r="G285" s="1" t="s">
        <v>459</v>
      </c>
      <c r="H285" s="6">
        <v>0.5</v>
      </c>
      <c r="I285" s="6">
        <v>0.5</v>
      </c>
    </row>
    <row r="286" spans="7:9">
      <c r="G286" s="1" t="s">
        <v>423</v>
      </c>
      <c r="H286" s="6">
        <v>0.625</v>
      </c>
      <c r="I286" s="6">
        <v>0.375</v>
      </c>
    </row>
    <row r="287" spans="7:9">
      <c r="G287" s="1" t="s">
        <v>481</v>
      </c>
      <c r="H287" s="6">
        <v>0.956521739130435</v>
      </c>
      <c r="I287" s="6">
        <v>0.0434782608695652</v>
      </c>
    </row>
    <row r="288" spans="7:9">
      <c r="G288" s="1" t="s">
        <v>496</v>
      </c>
      <c r="H288" s="6">
        <v>0.5</v>
      </c>
      <c r="I288" s="6">
        <v>0.5</v>
      </c>
    </row>
    <row r="289" spans="7:9">
      <c r="G289" s="1" t="s">
        <v>449</v>
      </c>
      <c r="H289" s="6">
        <v>0.875</v>
      </c>
      <c r="I289" s="6">
        <v>0.125</v>
      </c>
    </row>
    <row r="290" spans="7:9">
      <c r="G290" s="1" t="s">
        <v>334</v>
      </c>
      <c r="H290" s="6">
        <v>0</v>
      </c>
      <c r="I290" s="6">
        <v>0</v>
      </c>
    </row>
    <row r="291" spans="7:9">
      <c r="G291" s="1" t="s">
        <v>417</v>
      </c>
      <c r="H291" s="6">
        <v>0.75</v>
      </c>
      <c r="I291" s="6">
        <v>0.25</v>
      </c>
    </row>
    <row r="292" spans="7:9">
      <c r="G292" s="1" t="s">
        <v>584</v>
      </c>
      <c r="H292" s="6">
        <v>0</v>
      </c>
      <c r="I292" s="6">
        <v>1</v>
      </c>
    </row>
    <row r="293" spans="7:9">
      <c r="G293" s="1" t="s">
        <v>388</v>
      </c>
      <c r="H293" s="6">
        <v>0.25</v>
      </c>
      <c r="I293" s="6">
        <v>0.75</v>
      </c>
    </row>
    <row r="294" spans="7:9">
      <c r="G294" s="1" t="s">
        <v>735</v>
      </c>
      <c r="H294" s="6">
        <v>0</v>
      </c>
      <c r="I294" s="6">
        <v>0</v>
      </c>
    </row>
    <row r="295" spans="7:9">
      <c r="G295" s="1" t="s">
        <v>653</v>
      </c>
      <c r="H295" s="6">
        <v>0.0425531914893617</v>
      </c>
      <c r="I295" s="6">
        <v>0.957446808510638</v>
      </c>
    </row>
    <row r="296" spans="7:9">
      <c r="G296" s="1" t="s">
        <v>640</v>
      </c>
      <c r="H296" s="6">
        <v>0.405405405405405</v>
      </c>
      <c r="I296" s="6">
        <v>0.594594594594595</v>
      </c>
    </row>
    <row r="297" spans="7:9">
      <c r="G297" s="1" t="s">
        <v>713</v>
      </c>
      <c r="H297" s="6">
        <v>0.102564102564103</v>
      </c>
      <c r="I297" s="6">
        <v>0.897435897435897</v>
      </c>
    </row>
    <row r="298" spans="7:9">
      <c r="G298" s="1" t="s">
        <v>796</v>
      </c>
      <c r="H298" s="6">
        <v>0</v>
      </c>
      <c r="I298" s="6">
        <v>0</v>
      </c>
    </row>
    <row r="299" spans="7:9">
      <c r="G299" s="1" t="s">
        <v>710</v>
      </c>
      <c r="H299" s="6">
        <v>0.227272727272727</v>
      </c>
      <c r="I299" s="6">
        <v>0.772727272727273</v>
      </c>
    </row>
    <row r="300" spans="7:9">
      <c r="G300" s="1" t="s">
        <v>720</v>
      </c>
      <c r="H300" s="6">
        <v>0</v>
      </c>
      <c r="I300" s="6">
        <v>1</v>
      </c>
    </row>
    <row r="301" spans="7:9">
      <c r="G301" s="1" t="s">
        <v>650</v>
      </c>
      <c r="H301" s="6">
        <v>0.125</v>
      </c>
      <c r="I301" s="6">
        <v>0.875</v>
      </c>
    </row>
    <row r="302" spans="7:9">
      <c r="G302" s="1" t="s">
        <v>527</v>
      </c>
      <c r="H302" s="6">
        <v>0</v>
      </c>
      <c r="I302" s="6">
        <v>0</v>
      </c>
    </row>
    <row r="303" spans="7:9">
      <c r="G303" s="1" t="s">
        <v>663</v>
      </c>
      <c r="H303" s="6">
        <v>0.5</v>
      </c>
      <c r="I303" s="6">
        <v>0.5</v>
      </c>
    </row>
    <row r="304" spans="7:9">
      <c r="G304" s="1" t="s">
        <v>487</v>
      </c>
      <c r="H304" s="6">
        <v>0.444444444444444</v>
      </c>
      <c r="I304" s="6">
        <v>0.555555555555556</v>
      </c>
    </row>
    <row r="305" spans="7:9">
      <c r="G305" s="1" t="s">
        <v>210</v>
      </c>
      <c r="H305" s="6">
        <v>0</v>
      </c>
      <c r="I305" s="6">
        <v>0</v>
      </c>
    </row>
    <row r="306" spans="7:9">
      <c r="G306" s="1" t="s">
        <v>374</v>
      </c>
      <c r="H306" s="6">
        <v>1</v>
      </c>
      <c r="I306" s="6">
        <v>0</v>
      </c>
    </row>
    <row r="307" spans="7:9">
      <c r="G307" s="1" t="s">
        <v>914</v>
      </c>
      <c r="H307" s="6">
        <v>0</v>
      </c>
      <c r="I307" s="6">
        <v>0</v>
      </c>
    </row>
    <row r="308" spans="7:9">
      <c r="G308" s="1" t="s">
        <v>915</v>
      </c>
      <c r="H308" s="6">
        <v>0</v>
      </c>
      <c r="I308" s="6">
        <v>0</v>
      </c>
    </row>
    <row r="309" spans="7:9">
      <c r="G309" s="1" t="s">
        <v>916</v>
      </c>
      <c r="H309" s="6">
        <v>0</v>
      </c>
      <c r="I309" s="6">
        <v>0</v>
      </c>
    </row>
    <row r="310" spans="7:9">
      <c r="G310" s="1" t="s">
        <v>364</v>
      </c>
      <c r="H310" s="6">
        <v>1</v>
      </c>
      <c r="I310" s="6">
        <v>0</v>
      </c>
    </row>
    <row r="311" spans="7:9">
      <c r="G311" s="1" t="s">
        <v>101</v>
      </c>
      <c r="H311" s="6">
        <v>0</v>
      </c>
      <c r="I311" s="6">
        <v>1</v>
      </c>
    </row>
    <row r="312" spans="7:9">
      <c r="G312" s="1" t="s">
        <v>569</v>
      </c>
      <c r="H312" s="6">
        <v>0.55</v>
      </c>
      <c r="I312" s="6">
        <v>0.45</v>
      </c>
    </row>
    <row r="313" spans="7:9">
      <c r="G313" s="1" t="s">
        <v>255</v>
      </c>
      <c r="H313" s="6">
        <v>0</v>
      </c>
      <c r="I313" s="6">
        <v>0</v>
      </c>
    </row>
    <row r="314" spans="7:9">
      <c r="G314" s="1" t="s">
        <v>252</v>
      </c>
      <c r="H314" s="6">
        <v>0</v>
      </c>
      <c r="I314" s="6">
        <v>1</v>
      </c>
    </row>
    <row r="315" spans="7:9">
      <c r="G315" s="1" t="s">
        <v>917</v>
      </c>
      <c r="H315" s="6">
        <v>0</v>
      </c>
      <c r="I315" s="6">
        <v>0</v>
      </c>
    </row>
    <row r="316" spans="7:9">
      <c r="G316" s="1" t="s">
        <v>918</v>
      </c>
      <c r="H316" s="6">
        <v>0</v>
      </c>
      <c r="I316" s="6">
        <v>0</v>
      </c>
    </row>
    <row r="317" spans="7:9">
      <c r="G317" s="1" t="s">
        <v>588</v>
      </c>
      <c r="H317" s="6">
        <v>1</v>
      </c>
      <c r="I317" s="6">
        <v>0</v>
      </c>
    </row>
    <row r="318" spans="7:9">
      <c r="G318" s="1" t="s">
        <v>301</v>
      </c>
      <c r="H318" s="6">
        <v>1</v>
      </c>
      <c r="I318" s="6">
        <v>0</v>
      </c>
    </row>
    <row r="319" spans="7:9">
      <c r="G319" s="1" t="s">
        <v>258</v>
      </c>
      <c r="H319" s="6">
        <v>1</v>
      </c>
      <c r="I319" s="6">
        <v>0</v>
      </c>
    </row>
    <row r="320" spans="7:9">
      <c r="G320" s="1" t="s">
        <v>272</v>
      </c>
      <c r="H320" s="6">
        <v>1</v>
      </c>
      <c r="I320" s="6">
        <v>0</v>
      </c>
    </row>
    <row r="321" spans="7:9">
      <c r="G321" s="1" t="s">
        <v>280</v>
      </c>
      <c r="H321" s="6">
        <v>0</v>
      </c>
      <c r="I321" s="6">
        <v>0</v>
      </c>
    </row>
    <row r="322" spans="7:9">
      <c r="G322" s="1" t="s">
        <v>340</v>
      </c>
      <c r="H322" s="6">
        <v>1</v>
      </c>
      <c r="I322" s="6">
        <v>0</v>
      </c>
    </row>
    <row r="323" spans="7:9">
      <c r="G323" s="1" t="s">
        <v>919</v>
      </c>
      <c r="H323" s="6">
        <v>0</v>
      </c>
      <c r="I323" s="6">
        <v>0</v>
      </c>
    </row>
    <row r="324" spans="7:9">
      <c r="G324" s="1" t="s">
        <v>920</v>
      </c>
      <c r="H324" s="6">
        <v>0</v>
      </c>
      <c r="I324" s="6">
        <v>0</v>
      </c>
    </row>
    <row r="325" spans="7:9">
      <c r="G325" s="1" t="s">
        <v>921</v>
      </c>
      <c r="H325" s="6">
        <v>0</v>
      </c>
      <c r="I325" s="6">
        <v>1</v>
      </c>
    </row>
    <row r="326" spans="7:9">
      <c r="G326" s="1" t="s">
        <v>541</v>
      </c>
      <c r="H326" s="6">
        <v>0.0333333333333333</v>
      </c>
      <c r="I326" s="6">
        <v>0.966666666666667</v>
      </c>
    </row>
    <row r="327" spans="7:9">
      <c r="G327" s="1" t="s">
        <v>578</v>
      </c>
      <c r="H327" s="6">
        <v>0</v>
      </c>
      <c r="I327" s="6">
        <v>1</v>
      </c>
    </row>
    <row r="328" spans="7:9">
      <c r="G328" s="1" t="s">
        <v>922</v>
      </c>
      <c r="H328" s="6">
        <v>0</v>
      </c>
      <c r="I328" s="6">
        <v>0</v>
      </c>
    </row>
    <row r="329" spans="7:9">
      <c r="G329" s="1" t="s">
        <v>923</v>
      </c>
      <c r="H329" s="6">
        <v>0</v>
      </c>
      <c r="I329" s="6">
        <v>0</v>
      </c>
    </row>
    <row r="330" spans="7:9">
      <c r="G330" s="1" t="s">
        <v>924</v>
      </c>
      <c r="H330" s="6">
        <v>0</v>
      </c>
      <c r="I330" s="6">
        <v>0</v>
      </c>
    </row>
    <row r="331" spans="7:9">
      <c r="G331" s="1" t="s">
        <v>925</v>
      </c>
      <c r="H331" s="6">
        <v>0</v>
      </c>
      <c r="I331" s="6">
        <v>0</v>
      </c>
    </row>
    <row r="332" spans="7:9">
      <c r="G332" s="1" t="s">
        <v>926</v>
      </c>
      <c r="H332" s="6">
        <v>0</v>
      </c>
      <c r="I332" s="6">
        <v>0</v>
      </c>
    </row>
    <row r="333" spans="7:9">
      <c r="G333" s="1" t="s">
        <v>927</v>
      </c>
      <c r="H333" s="6">
        <v>0</v>
      </c>
      <c r="I333" s="6">
        <v>0</v>
      </c>
    </row>
    <row r="334" spans="7:9">
      <c r="G334" s="1" t="s">
        <v>277</v>
      </c>
      <c r="H334" s="6">
        <v>0</v>
      </c>
      <c r="I334" s="6">
        <v>1</v>
      </c>
    </row>
    <row r="335" spans="7:9">
      <c r="G335" s="1" t="s">
        <v>928</v>
      </c>
      <c r="H335" s="6">
        <v>0</v>
      </c>
      <c r="I335" s="6">
        <v>0</v>
      </c>
    </row>
    <row r="336" spans="7:9">
      <c r="G336" s="1" t="s">
        <v>929</v>
      </c>
      <c r="H336" s="6">
        <v>0</v>
      </c>
      <c r="I336" s="6">
        <v>0</v>
      </c>
    </row>
    <row r="337" spans="7:9">
      <c r="G337" s="1" t="s">
        <v>930</v>
      </c>
      <c r="H337" s="6">
        <v>0</v>
      </c>
      <c r="I337" s="6">
        <v>0</v>
      </c>
    </row>
    <row r="338" spans="7:9">
      <c r="G338" s="1" t="s">
        <v>931</v>
      </c>
      <c r="H338" s="6">
        <v>0</v>
      </c>
      <c r="I338" s="6">
        <v>0</v>
      </c>
    </row>
    <row r="339" spans="7:9">
      <c r="G339" s="1" t="s">
        <v>932</v>
      </c>
      <c r="H339" s="6">
        <v>0</v>
      </c>
      <c r="I339" s="6">
        <v>0</v>
      </c>
    </row>
    <row r="340" spans="7:9">
      <c r="G340" s="1" t="s">
        <v>933</v>
      </c>
      <c r="H340" s="6">
        <v>0</v>
      </c>
      <c r="I340" s="6">
        <v>0</v>
      </c>
    </row>
    <row r="341" spans="7:9">
      <c r="G341" s="1" t="s">
        <v>934</v>
      </c>
      <c r="H341" s="6">
        <v>0</v>
      </c>
      <c r="I341" s="6">
        <v>0</v>
      </c>
    </row>
    <row r="342" spans="7:9">
      <c r="G342" s="1" t="s">
        <v>935</v>
      </c>
      <c r="H342" s="6">
        <v>0</v>
      </c>
      <c r="I342" s="6">
        <v>0</v>
      </c>
    </row>
    <row r="343" spans="7:9">
      <c r="G343" s="1" t="s">
        <v>936</v>
      </c>
      <c r="H343" s="6">
        <v>0</v>
      </c>
      <c r="I343" s="6">
        <v>0</v>
      </c>
    </row>
    <row r="344" spans="7:9">
      <c r="G344" s="1" t="s">
        <v>937</v>
      </c>
      <c r="H344" s="6">
        <v>0</v>
      </c>
      <c r="I344" s="6">
        <v>0</v>
      </c>
    </row>
    <row r="345" spans="7:9">
      <c r="G345" s="1" t="s">
        <v>938</v>
      </c>
      <c r="H345" s="6">
        <v>0</v>
      </c>
      <c r="I345" s="6">
        <v>0</v>
      </c>
    </row>
    <row r="346" spans="7:9">
      <c r="G346" s="1" t="s">
        <v>939</v>
      </c>
      <c r="H346" s="6">
        <v>0</v>
      </c>
      <c r="I346" s="6">
        <v>0</v>
      </c>
    </row>
    <row r="347" spans="7:9">
      <c r="G347" s="1" t="s">
        <v>940</v>
      </c>
      <c r="H347" s="6">
        <v>0</v>
      </c>
      <c r="I347" s="6">
        <v>0</v>
      </c>
    </row>
    <row r="348" spans="7:9">
      <c r="G348" s="1" t="s">
        <v>941</v>
      </c>
      <c r="H348" s="6">
        <v>0</v>
      </c>
      <c r="I348" s="6">
        <v>0</v>
      </c>
    </row>
    <row r="349" spans="7:9">
      <c r="G349" s="1" t="s">
        <v>942</v>
      </c>
      <c r="H349" s="6">
        <v>0</v>
      </c>
      <c r="I349" s="6">
        <v>0</v>
      </c>
    </row>
    <row r="350" spans="7:9">
      <c r="G350" s="1" t="s">
        <v>943</v>
      </c>
      <c r="H350" s="6">
        <v>0</v>
      </c>
      <c r="I350" s="6">
        <v>0</v>
      </c>
    </row>
    <row r="351" spans="7:9">
      <c r="G351" s="1" t="s">
        <v>944</v>
      </c>
      <c r="H351" s="6">
        <v>0</v>
      </c>
      <c r="I351" s="6">
        <v>0</v>
      </c>
    </row>
    <row r="352" spans="7:9">
      <c r="G352" s="1" t="s">
        <v>945</v>
      </c>
      <c r="H352" s="6">
        <v>0</v>
      </c>
      <c r="I352" s="6">
        <v>0</v>
      </c>
    </row>
    <row r="353" spans="7:9">
      <c r="G353" s="1" t="s">
        <v>946</v>
      </c>
      <c r="H353" s="6">
        <v>0</v>
      </c>
      <c r="I353" s="6">
        <v>0</v>
      </c>
    </row>
    <row r="354" spans="7:9">
      <c r="G354" s="1" t="s">
        <v>947</v>
      </c>
      <c r="H354" s="6">
        <v>0</v>
      </c>
      <c r="I354" s="6">
        <v>0</v>
      </c>
    </row>
    <row r="355" spans="7:9">
      <c r="G355" s="1" t="s">
        <v>948</v>
      </c>
      <c r="H355" s="6">
        <v>0</v>
      </c>
      <c r="I355" s="6">
        <v>0</v>
      </c>
    </row>
    <row r="356" spans="7:9">
      <c r="G356" s="1" t="s">
        <v>949</v>
      </c>
      <c r="H356" s="6">
        <v>0</v>
      </c>
      <c r="I356" s="6">
        <v>0</v>
      </c>
    </row>
    <row r="357" spans="7:9">
      <c r="G357" s="1" t="s">
        <v>950</v>
      </c>
      <c r="H357" s="6">
        <v>0</v>
      </c>
      <c r="I357" s="6">
        <v>0</v>
      </c>
    </row>
    <row r="358" spans="7:9">
      <c r="G358" s="1" t="s">
        <v>951</v>
      </c>
      <c r="H358" s="6">
        <v>0</v>
      </c>
      <c r="I358" s="6">
        <v>0</v>
      </c>
    </row>
    <row r="359" spans="7:9">
      <c r="G359" s="1" t="s">
        <v>952</v>
      </c>
      <c r="H359" s="6">
        <v>0</v>
      </c>
      <c r="I359" s="6">
        <v>0</v>
      </c>
    </row>
    <row r="360" spans="7:9">
      <c r="G360" s="1" t="s">
        <v>953</v>
      </c>
      <c r="H360" s="6">
        <v>0</v>
      </c>
      <c r="I360" s="6">
        <v>0</v>
      </c>
    </row>
    <row r="361" spans="7:9">
      <c r="G361" s="1" t="s">
        <v>954</v>
      </c>
      <c r="H361" s="6">
        <v>0</v>
      </c>
      <c r="I361" s="6">
        <v>0</v>
      </c>
    </row>
    <row r="362" spans="7:9">
      <c r="G362" s="1" t="s">
        <v>955</v>
      </c>
      <c r="H362" s="6">
        <v>0</v>
      </c>
      <c r="I362" s="6">
        <v>0</v>
      </c>
    </row>
    <row r="363" spans="7:9">
      <c r="G363" s="1" t="s">
        <v>956</v>
      </c>
      <c r="H363" s="6">
        <v>0</v>
      </c>
      <c r="I363" s="6">
        <v>0</v>
      </c>
    </row>
    <row r="364" spans="7:9">
      <c r="G364" s="1" t="s">
        <v>957</v>
      </c>
      <c r="H364" s="6">
        <v>0</v>
      </c>
      <c r="I364" s="6">
        <v>0</v>
      </c>
    </row>
    <row r="365" spans="7:9">
      <c r="G365" s="1" t="s">
        <v>167</v>
      </c>
      <c r="H365" s="6">
        <v>0.5</v>
      </c>
      <c r="I365" s="6">
        <v>0.5</v>
      </c>
    </row>
    <row r="366" spans="7:9">
      <c r="G366" s="1" t="s">
        <v>958</v>
      </c>
      <c r="H366" s="6">
        <v>0</v>
      </c>
      <c r="I366" s="6">
        <v>0</v>
      </c>
    </row>
    <row r="367" spans="7:9">
      <c r="G367" s="1" t="s">
        <v>959</v>
      </c>
      <c r="H367" s="6">
        <v>0</v>
      </c>
      <c r="I367" s="6">
        <v>0</v>
      </c>
    </row>
    <row r="368" spans="7:9">
      <c r="G368" s="1" t="s">
        <v>74</v>
      </c>
      <c r="H368" s="6">
        <v>0</v>
      </c>
      <c r="I368" s="6">
        <v>1</v>
      </c>
    </row>
    <row r="369" spans="7:9">
      <c r="G369" s="1" t="s">
        <v>522</v>
      </c>
      <c r="H369" s="6">
        <v>0</v>
      </c>
      <c r="I369" s="6">
        <v>0</v>
      </c>
    </row>
    <row r="370" spans="7:9">
      <c r="G370" s="1" t="s">
        <v>505</v>
      </c>
      <c r="H370" s="6">
        <v>0</v>
      </c>
      <c r="I370" s="6">
        <v>0</v>
      </c>
    </row>
    <row r="371" spans="7:9">
      <c r="G371" s="1" t="s">
        <v>960</v>
      </c>
      <c r="H371" s="6">
        <v>0</v>
      </c>
      <c r="I371" s="6">
        <v>0</v>
      </c>
    </row>
    <row r="372" spans="7:9">
      <c r="G372" s="1" t="s">
        <v>709</v>
      </c>
      <c r="H372" s="6">
        <v>1</v>
      </c>
      <c r="I372" s="6">
        <v>0</v>
      </c>
    </row>
    <row r="373" spans="7:9">
      <c r="G373" s="1" t="s">
        <v>524</v>
      </c>
      <c r="H373" s="6">
        <v>0</v>
      </c>
      <c r="I373" s="6">
        <v>0</v>
      </c>
    </row>
    <row r="374" spans="7:9">
      <c r="G374" s="1" t="s">
        <v>961</v>
      </c>
      <c r="H374" s="6">
        <v>0</v>
      </c>
      <c r="I374" s="6">
        <v>0</v>
      </c>
    </row>
    <row r="375" spans="7:9">
      <c r="G375" s="1" t="s">
        <v>962</v>
      </c>
      <c r="H375" s="6">
        <v>0</v>
      </c>
      <c r="I375" s="6">
        <v>0</v>
      </c>
    </row>
    <row r="376" spans="7:9">
      <c r="G376" s="1" t="s">
        <v>963</v>
      </c>
      <c r="H376" s="6">
        <v>0</v>
      </c>
      <c r="I376" s="6">
        <v>0</v>
      </c>
    </row>
    <row r="377" spans="7:9">
      <c r="G377" s="1" t="s">
        <v>964</v>
      </c>
      <c r="H377" s="6">
        <v>0</v>
      </c>
      <c r="I377" s="6">
        <v>0</v>
      </c>
    </row>
    <row r="378" spans="7:9">
      <c r="G378" s="1" t="s">
        <v>965</v>
      </c>
      <c r="H378" s="6">
        <v>0</v>
      </c>
      <c r="I378" s="6">
        <v>0</v>
      </c>
    </row>
    <row r="379" spans="7:9">
      <c r="G379" s="1" t="s">
        <v>966</v>
      </c>
      <c r="H379" s="6">
        <v>0</v>
      </c>
      <c r="I379" s="6">
        <v>0</v>
      </c>
    </row>
    <row r="380" spans="7:9">
      <c r="G380" s="1" t="s">
        <v>967</v>
      </c>
      <c r="H380" s="6">
        <v>0</v>
      </c>
      <c r="I380" s="6">
        <v>0</v>
      </c>
    </row>
    <row r="381" spans="7:9">
      <c r="G381" s="1" t="s">
        <v>968</v>
      </c>
      <c r="H381" s="6">
        <v>0</v>
      </c>
      <c r="I381" s="6">
        <v>0</v>
      </c>
    </row>
    <row r="382" spans="7:9">
      <c r="G382" s="1" t="s">
        <v>969</v>
      </c>
      <c r="H382" s="6">
        <v>0</v>
      </c>
      <c r="I382" s="6">
        <v>0</v>
      </c>
    </row>
    <row r="383" spans="7:9">
      <c r="G383" s="1" t="s">
        <v>970</v>
      </c>
      <c r="H383" s="6">
        <v>0</v>
      </c>
      <c r="I383" s="6">
        <v>0</v>
      </c>
    </row>
    <row r="384" spans="7:9">
      <c r="G384" s="1" t="s">
        <v>971</v>
      </c>
      <c r="H384" s="6">
        <v>0</v>
      </c>
      <c r="I384" s="6">
        <v>0</v>
      </c>
    </row>
    <row r="385" spans="7:9">
      <c r="G385" s="1" t="s">
        <v>972</v>
      </c>
      <c r="H385" s="6">
        <v>0</v>
      </c>
      <c r="I385" s="6">
        <v>0</v>
      </c>
    </row>
    <row r="386" spans="7:9">
      <c r="G386" s="1" t="s">
        <v>973</v>
      </c>
      <c r="H386" s="6">
        <v>0</v>
      </c>
      <c r="I386" s="6">
        <v>0</v>
      </c>
    </row>
    <row r="387" spans="7:9">
      <c r="G387" s="1" t="s">
        <v>974</v>
      </c>
      <c r="H387" s="6">
        <v>0</v>
      </c>
      <c r="I387" s="6">
        <v>0</v>
      </c>
    </row>
    <row r="388" spans="7:9">
      <c r="G388" s="1" t="s">
        <v>975</v>
      </c>
      <c r="H388" s="6">
        <v>0</v>
      </c>
      <c r="I388" s="6">
        <v>0</v>
      </c>
    </row>
    <row r="389" spans="7:9">
      <c r="G389" s="1" t="s">
        <v>976</v>
      </c>
      <c r="H389" s="6">
        <v>0</v>
      </c>
      <c r="I389" s="6">
        <v>0</v>
      </c>
    </row>
    <row r="390" spans="7:9">
      <c r="G390" s="1" t="s">
        <v>977</v>
      </c>
      <c r="H390" s="6">
        <v>0</v>
      </c>
      <c r="I390" s="6">
        <v>0</v>
      </c>
    </row>
    <row r="391" spans="7:9">
      <c r="G391" s="1" t="s">
        <v>978</v>
      </c>
      <c r="H391" s="6">
        <v>0</v>
      </c>
      <c r="I391" s="6">
        <v>0</v>
      </c>
    </row>
    <row r="392" spans="7:9">
      <c r="G392" s="1" t="s">
        <v>979</v>
      </c>
      <c r="H392" s="6">
        <v>0</v>
      </c>
      <c r="I392" s="6">
        <v>0</v>
      </c>
    </row>
    <row r="393" spans="7:9">
      <c r="G393" s="1" t="s">
        <v>980</v>
      </c>
      <c r="H393" s="6">
        <v>0</v>
      </c>
      <c r="I393" s="6">
        <v>0</v>
      </c>
    </row>
    <row r="394" spans="7:9">
      <c r="G394" s="1" t="s">
        <v>981</v>
      </c>
      <c r="H394" s="6">
        <v>0</v>
      </c>
      <c r="I394" s="6">
        <v>0</v>
      </c>
    </row>
    <row r="395" spans="7:9">
      <c r="G395" s="1" t="s">
        <v>982</v>
      </c>
      <c r="H395" s="6">
        <v>0</v>
      </c>
      <c r="I395" s="6">
        <v>0</v>
      </c>
    </row>
    <row r="396" spans="7:9">
      <c r="G396" s="1" t="s">
        <v>983</v>
      </c>
      <c r="H396" s="6">
        <v>0</v>
      </c>
      <c r="I396" s="6">
        <v>0</v>
      </c>
    </row>
    <row r="397" spans="7:9">
      <c r="G397" s="1" t="s">
        <v>984</v>
      </c>
      <c r="H397" s="6">
        <v>0</v>
      </c>
      <c r="I397" s="6">
        <v>0</v>
      </c>
    </row>
    <row r="398" spans="7:9">
      <c r="G398" s="1" t="s">
        <v>985</v>
      </c>
      <c r="H398" s="6">
        <v>0</v>
      </c>
      <c r="I398" s="6">
        <v>0</v>
      </c>
    </row>
    <row r="399" spans="7:9">
      <c r="G399" s="1" t="s">
        <v>986</v>
      </c>
      <c r="H399" s="6">
        <v>0</v>
      </c>
      <c r="I399" s="6">
        <v>0</v>
      </c>
    </row>
    <row r="400" spans="7:9">
      <c r="G400" s="1" t="s">
        <v>987</v>
      </c>
      <c r="H400" s="6">
        <v>0</v>
      </c>
      <c r="I400" s="6">
        <v>0</v>
      </c>
    </row>
    <row r="401" spans="7:9">
      <c r="G401" s="1" t="s">
        <v>988</v>
      </c>
      <c r="H401" s="6">
        <v>0</v>
      </c>
      <c r="I401" s="6">
        <v>0</v>
      </c>
    </row>
    <row r="402" spans="7:9">
      <c r="G402" s="1" t="s">
        <v>989</v>
      </c>
      <c r="H402" s="6">
        <v>0</v>
      </c>
      <c r="I402" s="6">
        <v>0</v>
      </c>
    </row>
    <row r="403" spans="7:9">
      <c r="G403" s="1" t="s">
        <v>990</v>
      </c>
      <c r="H403" s="6">
        <v>0</v>
      </c>
      <c r="I403" s="6">
        <v>0</v>
      </c>
    </row>
    <row r="404" spans="7:9">
      <c r="G404" s="1" t="s">
        <v>739</v>
      </c>
      <c r="H404" s="6">
        <v>0</v>
      </c>
      <c r="I404" s="6">
        <v>0</v>
      </c>
    </row>
    <row r="405" spans="7:9">
      <c r="G405" s="1" t="s">
        <v>991</v>
      </c>
      <c r="H405" s="6">
        <v>0</v>
      </c>
      <c r="I405" s="6">
        <v>0</v>
      </c>
    </row>
    <row r="406" spans="7:9">
      <c r="G406" s="1" t="s">
        <v>992</v>
      </c>
      <c r="H406" s="6">
        <v>0</v>
      </c>
      <c r="I406" s="6">
        <v>0</v>
      </c>
    </row>
    <row r="407" spans="7:9">
      <c r="G407" s="1" t="s">
        <v>993</v>
      </c>
      <c r="H407" s="6">
        <v>0</v>
      </c>
      <c r="I407" s="6">
        <v>0</v>
      </c>
    </row>
    <row r="408" spans="7:9">
      <c r="G408" s="1" t="s">
        <v>994</v>
      </c>
      <c r="H408" s="6">
        <v>0</v>
      </c>
      <c r="I408" s="6">
        <v>0</v>
      </c>
    </row>
    <row r="409" spans="7:9">
      <c r="G409" s="1" t="s">
        <v>995</v>
      </c>
      <c r="H409" s="6">
        <v>0</v>
      </c>
      <c r="I409" s="6">
        <v>0</v>
      </c>
    </row>
    <row r="410" spans="7:9">
      <c r="G410" s="1" t="s">
        <v>996</v>
      </c>
      <c r="H410" s="6">
        <v>0</v>
      </c>
      <c r="I410" s="6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6月分配 </vt:lpstr>
      <vt:lpstr>5月分配 </vt:lpstr>
      <vt:lpstr>4月分配</vt:lpstr>
      <vt:lpstr>3月分配</vt:lpstr>
      <vt:lpstr>2月分配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曾伟铭</cp:lastModifiedBy>
  <dcterms:created xsi:type="dcterms:W3CDTF">2006-09-22T16:00:00Z</dcterms:created>
  <dcterms:modified xsi:type="dcterms:W3CDTF">2026-06-05T01:33:27Z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59621770189E47F49435BA319FE54436_13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