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firstSheet="1" activeTab="2"/>
  </bookViews>
  <sheets>
    <sheet name="6月调整栏" sheetId="21" r:id="rId1"/>
    <sheet name="6月达人佣金特殊申请" sheetId="27" r:id="rId2"/>
    <sheet name="6月控价 " sheetId="22" r:id="rId3"/>
    <sheet name="6月产品包" sheetId="23" r:id="rId4"/>
    <sheet name="6月库存" sheetId="25" r:id="rId5"/>
  </sheets>
  <externalReferences>
    <externalReference r:id="rId10"/>
  </externalReferences>
  <definedNames>
    <definedName name="_xlnm._FilterDatabase" localSheetId="1" hidden="1">'6月达人佣金特殊申请'!$A$1:$J$19</definedName>
    <definedName name="_xlnm._FilterDatabase" localSheetId="2" hidden="1">'6月控价 '!$A$2:$AN$462</definedName>
    <definedName name="_xlnm._FilterDatabase" localSheetId="3" hidden="1">'6月产品包'!$A$1:$AI$481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<sst xmlns="http://schemas.openxmlformats.org/spreadsheetml/2006/main" count="19406" uniqueCount="4250">
  <si>
    <t>调整时间</t>
  </si>
  <si>
    <t>商品名称</t>
  </si>
  <si>
    <t>SKU</t>
  </si>
  <si>
    <t>提价25%特殊控价</t>
  </si>
  <si>
    <t>特殊优惠卷</t>
  </si>
  <si>
    <t>截至时间</t>
  </si>
  <si>
    <t>人员</t>
  </si>
  <si>
    <t>特殊原因</t>
  </si>
  <si>
    <t>3C-折叠带蓝牙带琴谱架电子琴61键</t>
  </si>
  <si>
    <t>M4CC2450780</t>
  </si>
  <si>
    <t>/</t>
  </si>
  <si>
    <t>30%最高减免25RM
每日两张</t>
  </si>
  <si>
    <t>曾伟铭</t>
  </si>
  <si>
    <t>其余人未销售</t>
  </si>
  <si>
    <t>3C-32英寸到55英寸带中托可移动电视支架</t>
  </si>
  <si>
    <t>T4CC1120706</t>
  </si>
  <si>
    <t>27%最高减免27RM
每日两张</t>
  </si>
  <si>
    <t>曾伟铭+饶伟铭</t>
  </si>
  <si>
    <t>3B-仿真书银钱盒钥匙款蓝色</t>
  </si>
  <si>
    <t>T3CC1220672</t>
  </si>
  <si>
    <t>王心怡</t>
  </si>
  <si>
    <t>超期扶持</t>
  </si>
  <si>
    <t>3B-仿真书银钱盒密码款蓝色</t>
  </si>
  <si>
    <t>T3CC1220673</t>
  </si>
  <si>
    <t>T4CC2660672</t>
  </si>
  <si>
    <t>T4CC2660673</t>
  </si>
  <si>
    <t>3B-仿真书银钱盒钥匙款红色</t>
  </si>
  <si>
    <t>T4CC2660965</t>
  </si>
  <si>
    <t>店铺</t>
  </si>
  <si>
    <t>申请达人佣金</t>
  </si>
  <si>
    <t>链接ID</t>
  </si>
  <si>
    <t>产品中文名</t>
  </si>
  <si>
    <t>25%折扣价</t>
  </si>
  <si>
    <t>20%到手价</t>
  </si>
  <si>
    <t>控价调整项</t>
  </si>
  <si>
    <t>优惠卷调整项</t>
  </si>
  <si>
    <t>实际到手价</t>
  </si>
  <si>
    <t>达人佣金</t>
  </si>
  <si>
    <t>EXPSOE TK</t>
  </si>
  <si>
    <t>1731131393182042075</t>
  </si>
  <si>
    <t>M4CC3300653</t>
  </si>
  <si>
    <t>1735418725005952987</t>
  </si>
  <si>
    <t>M4CC3300283</t>
  </si>
  <si>
    <t>1734938035338381275</t>
  </si>
  <si>
    <t>EXPOSE.Tech Wealth</t>
  </si>
  <si>
    <t>1734983983228290729</t>
  </si>
  <si>
    <t>TechWave &amp; EXPOSE</t>
  </si>
  <si>
    <t>1733108275034490485</t>
  </si>
  <si>
    <t xml:space="preserve">M4CC2500589X9
</t>
  </si>
  <si>
    <t>1730401820766799477</t>
  </si>
  <si>
    <t>M4CC2500589X9</t>
  </si>
  <si>
    <t>1729782181369120373</t>
  </si>
  <si>
    <t>T3CC1120605</t>
  </si>
  <si>
    <t>1734914291005818537</t>
  </si>
  <si>
    <t>M5CC1721048</t>
  </si>
  <si>
    <t>3C-高亮自动对焦灯带投影仪Z300</t>
  </si>
  <si>
    <t xml:space="preserve">产品信息 </t>
  </si>
  <si>
    <t>拓展信息</t>
  </si>
  <si>
    <t>控价信息</t>
  </si>
  <si>
    <t>8% off
Capped at RM20.00, on orders ≥ RM50.00
All customers
Co-funding ratio: Platform 70 % / Seller 30 %
Maximum funding from seller: RM6.00</t>
  </si>
  <si>
    <t>18% off
Capped at RM70.00, on orders ≥ RM200.00
All customers
Co-funding ratio: Platform 70 % / Seller 30 %
Maximum funding from seller: RM21.00</t>
  </si>
  <si>
    <t>28% off
Capped at RM350.00, on orders ≥ RM380.00
All customers
Co-funding ratio: Platform 70 % / Seller 30 %
Maximum funding from seller: RM105.00</t>
  </si>
  <si>
    <t>25% off
Capped at RM350.00, on orders ≥ RM380.00
All customers
Co-funding ratio: Platform 70 % / Seller 30 %
Maximum funding from seller: RM105.00</t>
  </si>
  <si>
    <t>22% off
Capped at RM300.00, on orders ≥ RM380.00
All customers
Co-funding ratio: Platform 70 % / Seller 30 %
Maximum funding from seller: RM90.00</t>
  </si>
  <si>
    <t>18% off
Capped at RM120.00, on orders ≥ RM250.00
All customers
Co-funding ratio: Platform 70 % / Seller 30 %
Maximum funding from seller: RM36.00</t>
  </si>
  <si>
    <t>15% off
Capped at RM60.00, on orders ≥ RM180.00
All customers
Co-funding ratio: Platform 70 % / Seller 30 %
Maximum funding from seller: RM18.00</t>
  </si>
  <si>
    <t>一级品类</t>
  </si>
  <si>
    <t>二级品类</t>
  </si>
  <si>
    <t>三级品类</t>
  </si>
  <si>
    <t>款名</t>
  </si>
  <si>
    <t>推品定位</t>
  </si>
  <si>
    <t>清关方式</t>
  </si>
  <si>
    <t>SKU状态</t>
  </si>
  <si>
    <t>交期时长/天</t>
  </si>
  <si>
    <t>是否超期</t>
  </si>
  <si>
    <t>新款年月</t>
  </si>
  <si>
    <t>是否新品</t>
  </si>
  <si>
    <t>库存深度</t>
  </si>
  <si>
    <t>毛重</t>
  </si>
  <si>
    <t>体积重</t>
  </si>
  <si>
    <t>6月成本</t>
  </si>
  <si>
    <t>6月控价</t>
  </si>
  <si>
    <t>提价25%
（折扣价）</t>
  </si>
  <si>
    <t>降价20%
(到手价）</t>
  </si>
  <si>
    <t>实际优惠卷</t>
  </si>
  <si>
    <t>标价利润</t>
  </si>
  <si>
    <t>到账利润</t>
  </si>
  <si>
    <t>交易费
抽点</t>
  </si>
  <si>
    <t>手续费
抽点</t>
  </si>
  <si>
    <t>返现服务费
抽点</t>
  </si>
  <si>
    <t>订单处理费</t>
  </si>
  <si>
    <t>达人佣金
抽点</t>
  </si>
  <si>
    <t>公开佣金</t>
  </si>
  <si>
    <t>广告佣金</t>
  </si>
  <si>
    <t>活动期间优惠卷</t>
  </si>
  <si>
    <t>需要承担的金额</t>
  </si>
  <si>
    <t>办公安防</t>
  </si>
  <si>
    <t>智能安防</t>
  </si>
  <si>
    <t>3B-四功能智能门锁</t>
  </si>
  <si>
    <t>T4CC2120433</t>
  </si>
  <si>
    <t>平销款</t>
  </si>
  <si>
    <t>ZQ</t>
  </si>
  <si>
    <t>不进</t>
  </si>
  <si>
    <t>储能设备</t>
  </si>
  <si>
    <t>3B-JY004便携式储能电源8KG</t>
  </si>
  <si>
    <t>M4CC3300655</t>
  </si>
  <si>
    <t>利润款</t>
  </si>
  <si>
    <t>MD</t>
  </si>
  <si>
    <t>3C数码</t>
  </si>
  <si>
    <t>电脑周边</t>
  </si>
  <si>
    <t>3C-15.6寸60Hz直面1K便携式显示器黑色</t>
  </si>
  <si>
    <t>T3CC1910583</t>
  </si>
  <si>
    <t>平销</t>
  </si>
  <si>
    <t>3B-便携式储能电源</t>
  </si>
  <si>
    <t>原价进</t>
  </si>
  <si>
    <t>办公周边</t>
  </si>
  <si>
    <t>3B-快递面单打印机白色</t>
  </si>
  <si>
    <t>M4CC0200477</t>
  </si>
  <si>
    <t>M4CC2500477</t>
  </si>
  <si>
    <t>3C-15.6寸60Hz直面1K便携式触摸显示器黑色</t>
  </si>
  <si>
    <t>T3CC1910582</t>
  </si>
  <si>
    <t>3B-球型门锁Q7豪华款</t>
  </si>
  <si>
    <t>T4CC2120715</t>
  </si>
  <si>
    <t>T4CC2310722</t>
  </si>
  <si>
    <t>3B-宽57cm热敏打印纸5卷</t>
  </si>
  <si>
    <t>T4CC0200377</t>
  </si>
  <si>
    <t>引流款</t>
  </si>
  <si>
    <t>安防存储</t>
  </si>
  <si>
    <t>3B-保险箱黑50*35*30</t>
  </si>
  <si>
    <t>T4CC1200282</t>
  </si>
  <si>
    <t>3C-11.6寸60Hz直面1K便携式显示器无触摸黑色</t>
  </si>
  <si>
    <t>T3CC1910678</t>
  </si>
  <si>
    <t>3B-JY004便携式储能电源5KG</t>
  </si>
  <si>
    <t>M4CC3300654</t>
  </si>
  <si>
    <t>T4CC2610282</t>
  </si>
  <si>
    <t>T3CC2160282</t>
  </si>
  <si>
    <t>3B-X1指纹考勤机</t>
  </si>
  <si>
    <t>M2CC1530462</t>
  </si>
  <si>
    <t>T4CC2320725</t>
  </si>
  <si>
    <t>3C-显示器支架单臂铁塑款</t>
  </si>
  <si>
    <t>T4CC1270889</t>
  </si>
  <si>
    <t>3C-显示器支架双臂铁塑款</t>
  </si>
  <si>
    <t>T4CC1270890</t>
  </si>
  <si>
    <t>3C-桌面显示器支架钢化玻璃底座</t>
  </si>
  <si>
    <t>T3CC1270279</t>
  </si>
  <si>
    <t>T4CC1120279</t>
  </si>
  <si>
    <t>音响乐器</t>
  </si>
  <si>
    <t>3C-无弦吉他</t>
  </si>
  <si>
    <t>T4CC2420764</t>
  </si>
  <si>
    <t>新品</t>
  </si>
  <si>
    <t>3B-点钞机灰色</t>
  </si>
  <si>
    <t>M4CC2580711</t>
  </si>
  <si>
    <t>3B-户外太阳能单板摄像头WiFi版</t>
  </si>
  <si>
    <t>T3CC1950595</t>
  </si>
  <si>
    <t>灭款</t>
  </si>
  <si>
    <t>老品</t>
  </si>
  <si>
    <t>3B-路由器P6000白色</t>
  </si>
  <si>
    <t>M2CC0180514</t>
  </si>
  <si>
    <t>3B-液晶面板保险柜45cm*38cm*30cm</t>
  </si>
  <si>
    <t>T4CC2610739</t>
  </si>
  <si>
    <t>3C-立式显示器支架不带托盘</t>
  </si>
  <si>
    <t>T3CC1270257</t>
  </si>
  <si>
    <t>3C-电脑显示器支架</t>
  </si>
  <si>
    <t>T3CC1270169</t>
  </si>
  <si>
    <t>3C-电脑机箱T6款白色3风扇</t>
  </si>
  <si>
    <t>T4CC2351009</t>
  </si>
  <si>
    <t>3C-双臂带托盘显示器支架</t>
  </si>
  <si>
    <t>T2CC1270162</t>
  </si>
  <si>
    <t>电视设备</t>
  </si>
  <si>
    <t>3B-XT保险箱45*38*32cm灰白色密码款</t>
  </si>
  <si>
    <t>T4CC2610979</t>
  </si>
  <si>
    <t>3B-R4A房间门锁单锁舌五功能带APP</t>
  </si>
  <si>
    <t>T4CC2530877</t>
  </si>
  <si>
    <t>3C-电脑机箱T6款白色</t>
  </si>
  <si>
    <t>T4CC2351007</t>
  </si>
  <si>
    <t>3B-液晶面板保险柜密码A15款</t>
  </si>
  <si>
    <t>T4CC2610898</t>
  </si>
  <si>
    <t>3B-XT保险箱45*38*32cm灰白色指纹款</t>
  </si>
  <si>
    <t>T4CC2610980</t>
  </si>
  <si>
    <t>3B-300CWiFi路由器</t>
  </si>
  <si>
    <t>M3CC2210177</t>
  </si>
  <si>
    <t>3C-电脑机箱T6款黑色</t>
  </si>
  <si>
    <t>T4CC2351006</t>
  </si>
  <si>
    <t>3C-电子琴61健黑色</t>
  </si>
  <si>
    <t>T3CC1920634</t>
  </si>
  <si>
    <t>T5CC1121046</t>
  </si>
  <si>
    <t>教学周边</t>
  </si>
  <si>
    <t>3B-磁吸白板密度板夹层90cm*150cm</t>
  </si>
  <si>
    <t>T4CC2340906</t>
  </si>
  <si>
    <t>T5CC2830906</t>
  </si>
  <si>
    <t>3B-双目灯泡摄像头</t>
  </si>
  <si>
    <t>T3CC1950642</t>
  </si>
  <si>
    <t>3B-手持一维无线影像扫描枪</t>
  </si>
  <si>
    <t>T3CC2040171</t>
  </si>
  <si>
    <t>3B-玻璃门框指纹密码锁A16</t>
  </si>
  <si>
    <t>T4CC2120721</t>
  </si>
  <si>
    <t>3B-全塑料密码盒</t>
  </si>
  <si>
    <t>T3CC2100264</t>
  </si>
  <si>
    <t>3C-折叠带蓝牙带琴谱架电子琴88键</t>
  </si>
  <si>
    <t>M4CC2450781</t>
  </si>
  <si>
    <t>3B-保险柜100cm*51cm*45cm</t>
  </si>
  <si>
    <t>T4CC1200342</t>
  </si>
  <si>
    <t>3B-橡胶磁白板背胶90cm*180cm</t>
  </si>
  <si>
    <t>T4CC2340732</t>
  </si>
  <si>
    <t>3B-智能指纹门锁X7</t>
  </si>
  <si>
    <t>T3CC2120278</t>
  </si>
  <si>
    <t>数码配件</t>
  </si>
  <si>
    <t>3C-辉光管</t>
  </si>
  <si>
    <t>T4CC2200860</t>
  </si>
  <si>
    <t>3B-有线二维扫描平台</t>
  </si>
  <si>
    <t>T4CC2040418</t>
  </si>
  <si>
    <t>3B-8360款台式票据打印机80mm黑橘</t>
  </si>
  <si>
    <t>M4CC2500939</t>
  </si>
  <si>
    <t>3B-磁吸白板密度板夹层70cm*100cm</t>
  </si>
  <si>
    <t>T4CC2340904</t>
  </si>
  <si>
    <t>T5CC2830904</t>
  </si>
  <si>
    <t>3B-道路警示折叠锥桶70cm</t>
  </si>
  <si>
    <t>T4CC2330752</t>
  </si>
  <si>
    <t>3C-手卷电子7垫鼓</t>
  </si>
  <si>
    <t>T3CC2050176</t>
  </si>
  <si>
    <t>T5CC2790176</t>
  </si>
  <si>
    <t>3B-重型订书机</t>
  </si>
  <si>
    <t>T4CC2400762</t>
  </si>
  <si>
    <t>3B-手提收银箱双层黑色</t>
  </si>
  <si>
    <t>T4CC2150142</t>
  </si>
  <si>
    <t>T5CC2720142</t>
  </si>
  <si>
    <t>T5CC2660142</t>
  </si>
  <si>
    <t>3B-可充电不锈钢球形锁K06</t>
  </si>
  <si>
    <t>T5CC2701044</t>
  </si>
  <si>
    <t>3B-磁吸白板密度板夹层60cm*90cm</t>
  </si>
  <si>
    <t>T4CC2340903</t>
  </si>
  <si>
    <t>3B-橡胶磁白板背胶60cm*90cm</t>
  </si>
  <si>
    <t>T4CC2340730</t>
  </si>
  <si>
    <t>T5CC2830903</t>
  </si>
  <si>
    <t>3B-玻璃门U型密码锁</t>
  </si>
  <si>
    <t>T4CC2550847</t>
  </si>
  <si>
    <t>3B-启动电源N20</t>
  </si>
  <si>
    <t>T4CC2250852</t>
  </si>
  <si>
    <t>3B-B1A五功能断桥铝锁带APP</t>
  </si>
  <si>
    <t>T4CC2530876</t>
  </si>
  <si>
    <t>3B-碎纸机7L</t>
  </si>
  <si>
    <t>M4CC2410758</t>
  </si>
  <si>
    <t>3C-显示器桌面支架3屏</t>
  </si>
  <si>
    <t>T4CC1120807</t>
  </si>
  <si>
    <t>T5CC1121057</t>
  </si>
  <si>
    <t>3B-广告架kt板斜面3.5kg</t>
  </si>
  <si>
    <t>T4CC1120859</t>
  </si>
  <si>
    <t>3C-半透明蓝牙RGB背光鼠标黑色</t>
  </si>
  <si>
    <t>T3CC2070276</t>
  </si>
  <si>
    <t>3B-密码保险箱黑</t>
  </si>
  <si>
    <t>T2CC1200315</t>
  </si>
  <si>
    <t>T3CC2160315</t>
  </si>
  <si>
    <t>3B-磁吸白板密度板夹层90cm*120cm</t>
  </si>
  <si>
    <t>T4CC2340905</t>
  </si>
  <si>
    <t>T4CC2320726</t>
  </si>
  <si>
    <t>T5CC2830905</t>
  </si>
  <si>
    <t>3B-双面涂鸦板45cm*30cm</t>
  </si>
  <si>
    <t>T4CC2340736</t>
  </si>
  <si>
    <t>3B-储能电源光伏充电板</t>
  </si>
  <si>
    <t>T4CC3300691</t>
  </si>
  <si>
    <t>3C-专业播客动圈麦克风</t>
  </si>
  <si>
    <t>T4CC2670996</t>
  </si>
  <si>
    <t>引流款/新品</t>
  </si>
  <si>
    <t>3C-声霸蓝牙音箱</t>
  </si>
  <si>
    <t>T4CC2230295</t>
  </si>
  <si>
    <t>3B-智能指纹门锁M20</t>
  </si>
  <si>
    <t>T3CC2120277</t>
  </si>
  <si>
    <t>3B-碎纸机10L</t>
  </si>
  <si>
    <t>M3CC2030181</t>
  </si>
  <si>
    <t>T4CC2000352</t>
  </si>
  <si>
    <t>3B-广告架kt板斜面1.3kg</t>
  </si>
  <si>
    <t>T4CC1120858</t>
  </si>
  <si>
    <t>3B-橡胶磁白板背胶45cm*100cm</t>
  </si>
  <si>
    <t>T4CC2340729</t>
  </si>
  <si>
    <t>3B-交换机机柜60cm</t>
  </si>
  <si>
    <t>T4CC2360756</t>
  </si>
  <si>
    <t>3C-30*80*2cm鼠标垫RGB</t>
  </si>
  <si>
    <t>T4CC2230007</t>
  </si>
  <si>
    <t>游戏娱乐</t>
  </si>
  <si>
    <t>3C-X3游戏手柄带手机支架</t>
  </si>
  <si>
    <t>T3CC1800666</t>
  </si>
  <si>
    <t>3C-显示器桌面支架4屏</t>
  </si>
  <si>
    <t>T4CC1120830</t>
  </si>
  <si>
    <t>3B-道路减速带100cm*35cm*3cm</t>
  </si>
  <si>
    <t>T4CC2330743</t>
  </si>
  <si>
    <t>3C-电脑机箱T8款风扇款白色</t>
  </si>
  <si>
    <t>T4CC2351010</t>
  </si>
  <si>
    <t>3B-保险柜80cm*44cm*40cm</t>
  </si>
  <si>
    <t>T4CC1200339</t>
  </si>
  <si>
    <t>M4CC1720789</t>
  </si>
  <si>
    <t>3C-跟拍自动支撑自拍杆Q625</t>
  </si>
  <si>
    <t>T5CC2691000</t>
  </si>
  <si>
    <t>3B-小票快递单打印机黑色</t>
  </si>
  <si>
    <t>M4CC2500022</t>
  </si>
  <si>
    <t>3C-32至70寸电视移动支架的单支架</t>
  </si>
  <si>
    <t>3B-997型号外币点钞机</t>
  </si>
  <si>
    <t>M4CC2580960</t>
  </si>
  <si>
    <t>3B-U9五功能玻璃门智能锁带TUYAAPP</t>
  </si>
  <si>
    <t>T4CC2530887</t>
  </si>
  <si>
    <t>3B-JY004便携式储能电源4KG</t>
  </si>
  <si>
    <t>3B-58mm手持蓝牙标签打印机</t>
  </si>
  <si>
    <t>T1CC0200144</t>
  </si>
  <si>
    <t>T3CC1880611</t>
  </si>
  <si>
    <t>T2CC0590108</t>
  </si>
  <si>
    <t>3B-手提收银箱双层粉色</t>
  </si>
  <si>
    <t>T2CC1220194</t>
  </si>
  <si>
    <t>T4CC1120162</t>
  </si>
  <si>
    <t>T4CC0590611</t>
  </si>
  <si>
    <t>3C-组合双臂显示器支架</t>
  </si>
  <si>
    <t>T3CC1270045</t>
  </si>
  <si>
    <t>3C-带杆可升降可倒挂气弹簧双臂支架</t>
  </si>
  <si>
    <t>T4CC1270814</t>
  </si>
  <si>
    <t>3C-单臂显示器支架</t>
  </si>
  <si>
    <t>T2CC1270160</t>
  </si>
  <si>
    <t>T4CC1120160</t>
  </si>
  <si>
    <t>T3CC1880108</t>
  </si>
  <si>
    <t>T3CC1880608</t>
  </si>
  <si>
    <t>3B-306CWiFi路由器</t>
  </si>
  <si>
    <t>M3CC2210235</t>
  </si>
  <si>
    <t>3C-插电式分体电动旋转盘白色20cm</t>
  </si>
  <si>
    <t>T3CC2010101</t>
  </si>
  <si>
    <t>3C-PRO蓝牙RGB无线拉伸手机游戏手柄STK7011</t>
  </si>
  <si>
    <t>T4CC2440851</t>
  </si>
  <si>
    <t>3C-插电式分体电动旋转盘黑色20cm</t>
  </si>
  <si>
    <t>T3CC2010111</t>
  </si>
  <si>
    <t>3C-插电式分体电动旋转盘白色13cm</t>
  </si>
  <si>
    <t>T3CC2010227</t>
  </si>
  <si>
    <t>T5CC2780851</t>
  </si>
  <si>
    <t>3B-手持二维有线影像扫描枪</t>
  </si>
  <si>
    <t>T3CC2040172</t>
  </si>
  <si>
    <t>3B-手持二维无线影像扫描枪</t>
  </si>
  <si>
    <t>T3CC2040173</t>
  </si>
  <si>
    <t>3B-手持二维无线蓝牙影像扫描枪</t>
  </si>
  <si>
    <t>T3CC2040174</t>
  </si>
  <si>
    <t>3C-RGB全透明动圈降噪桌面麦克风</t>
  </si>
  <si>
    <t>T4CC2670998</t>
  </si>
  <si>
    <t>3B-R5A房间门锁单锁舌四功能不带APP</t>
  </si>
  <si>
    <t>T4CC2530878</t>
  </si>
  <si>
    <t>M3CC1720621</t>
  </si>
  <si>
    <t>3C-头戴式无线三模耳机K90W</t>
  </si>
  <si>
    <t>T4CC2440777</t>
  </si>
  <si>
    <t>3B-收银箱335金属黑色固定版</t>
  </si>
  <si>
    <t>T3CC2150516</t>
  </si>
  <si>
    <t>3B-收银箱405金属黑色固定版</t>
  </si>
  <si>
    <t>T3CC2150517</t>
  </si>
  <si>
    <t>T4CC1880790</t>
  </si>
  <si>
    <t>T4CC0590608</t>
  </si>
  <si>
    <t>3C-电视壁挂架小一体</t>
  </si>
  <si>
    <t>T2CC1120079</t>
  </si>
  <si>
    <t>3C-双臂显示器支架</t>
  </si>
  <si>
    <t>T2CC1270161</t>
  </si>
  <si>
    <t>T4CC1120161</t>
  </si>
  <si>
    <t>3C-电脑显示器支架单臂白色</t>
  </si>
  <si>
    <t>T4CC1270888</t>
  </si>
  <si>
    <t>3C-RGB气弹簧单臂支架</t>
  </si>
  <si>
    <t>T4CC1270816</t>
  </si>
  <si>
    <t>3C-显示器支架立管ZTT003B</t>
  </si>
  <si>
    <t>T2CC1270559</t>
  </si>
  <si>
    <t>3B-手提款单面广告展示架口字结构</t>
  </si>
  <si>
    <t>T4CC1120700</t>
  </si>
  <si>
    <t>3B-小票快递单打印机黑蓝色</t>
  </si>
  <si>
    <t>M3CC0200589</t>
  </si>
  <si>
    <t>T4CC1120559</t>
  </si>
  <si>
    <t>3C-显示器支架立管带抽屉ZTT003DB</t>
  </si>
  <si>
    <t>T2CC1270560</t>
  </si>
  <si>
    <t>M4CC2500589</t>
  </si>
  <si>
    <t>T4CC1120560</t>
  </si>
  <si>
    <t>3C-显示器桌面支架2屏</t>
  </si>
  <si>
    <t>T4CC1120808</t>
  </si>
  <si>
    <t>3C-上下双屏显示器支架</t>
  </si>
  <si>
    <t>T4CC1120809</t>
  </si>
  <si>
    <t>T4CC1720301</t>
  </si>
  <si>
    <t>T4CC1720302</t>
  </si>
  <si>
    <t>T4CC1720303</t>
  </si>
  <si>
    <t>3C-插电电池两用电动旋转盘12cm</t>
  </si>
  <si>
    <t>T4CC2010430</t>
  </si>
  <si>
    <t>3C-双风扇RGB带海绵散热支架7档调节</t>
  </si>
  <si>
    <t>T4CC2110826</t>
  </si>
  <si>
    <t>3C-6风扇RGB散热支架7档调节带手机支架</t>
  </si>
  <si>
    <t>T4CC2110828</t>
  </si>
  <si>
    <t>M5CC2031061</t>
  </si>
  <si>
    <t>T4CC2150194</t>
  </si>
  <si>
    <t>3B-手提收银箱双层黑色密码款</t>
  </si>
  <si>
    <t>T4CC2150345</t>
  </si>
  <si>
    <t>3B-迷你标签打印机白色</t>
  </si>
  <si>
    <t>T4CC2290713</t>
  </si>
  <si>
    <t>3B-道路广角镜100cm</t>
  </si>
  <si>
    <t>T4CC2330734</t>
  </si>
  <si>
    <t>3B-道路广角镜45cm</t>
  </si>
  <si>
    <t>T4CC2330740</t>
  </si>
  <si>
    <t>3B-道路广角镜60cm</t>
  </si>
  <si>
    <t>T4CC2330741</t>
  </si>
  <si>
    <t>3B-道路广角镜80cm</t>
  </si>
  <si>
    <t>T4CC2330742</t>
  </si>
  <si>
    <t>3B-斜坡垫50*22*5cm</t>
  </si>
  <si>
    <t>T4CC2330744</t>
  </si>
  <si>
    <t>3B-白板通用支架60cm*100cm</t>
  </si>
  <si>
    <t>T4CC2340686</t>
  </si>
  <si>
    <t>3B-白板双杠可伸缩通用支架</t>
  </si>
  <si>
    <t>T4CC2340695</t>
  </si>
  <si>
    <t>3B-橡胶磁白板背胶45cm*75cm</t>
  </si>
  <si>
    <t>T4CC2340728</t>
  </si>
  <si>
    <t>3B-橡胶磁白板背胶90cm*120cm</t>
  </si>
  <si>
    <t>T4CC2340731</t>
  </si>
  <si>
    <t>T5CC2351053</t>
  </si>
  <si>
    <t>3B-橡胶磁白板背胶120cm*150cm</t>
  </si>
  <si>
    <t>T4CC2340733</t>
  </si>
  <si>
    <t>3B-双面涂鸦板30cm*21cm</t>
  </si>
  <si>
    <t>T4CC2340735</t>
  </si>
  <si>
    <t>3B-白板画板60*90</t>
  </si>
  <si>
    <t>T4CC2340766</t>
  </si>
  <si>
    <t>3B-可翻转白板50*70</t>
  </si>
  <si>
    <t>T4CC2340768</t>
  </si>
  <si>
    <t>T5CC2711066</t>
  </si>
  <si>
    <t>3B-交换机机柜30cm</t>
  </si>
  <si>
    <t>T4CC2360754</t>
  </si>
  <si>
    <t>3B-交换机机柜45cm</t>
  </si>
  <si>
    <t>T4CC2360755</t>
  </si>
  <si>
    <t>3C-X400电视壁挂架送膨胀丝等安装螺丝</t>
  </si>
  <si>
    <t>T2CC1120040</t>
  </si>
  <si>
    <t>3B-交换机立式机柜18U</t>
  </si>
  <si>
    <t>T4CC2360873</t>
  </si>
  <si>
    <t>3B-断桥铝门弯舌锁体2.2*27</t>
  </si>
  <si>
    <t>T4CC2530882</t>
  </si>
  <si>
    <t>3C-头戴式RGB光电竞无线三模耳机K91W</t>
  </si>
  <si>
    <t>T4CC2440778</t>
  </si>
  <si>
    <t>T4CC2500144</t>
  </si>
  <si>
    <t>3B-9260B标签打印机4寸黑色USB蓝牙</t>
  </si>
  <si>
    <t>M4CC2500942</t>
  </si>
  <si>
    <t>3B-R2A房间门锁五功能带APP</t>
  </si>
  <si>
    <t>T4CC2530875</t>
  </si>
  <si>
    <t>3B-大号仿真书银钱盒钥匙款黑色</t>
  </si>
  <si>
    <t>T4CC2660967</t>
  </si>
  <si>
    <t>T5CC2711067</t>
  </si>
  <si>
    <t>3B-大号仿真书银钱盒密码款蓝色</t>
  </si>
  <si>
    <t>T4CC2660338</t>
  </si>
  <si>
    <t>3B-6088型号外币点钞机</t>
  </si>
  <si>
    <t>M4CC2580963</t>
  </si>
  <si>
    <t>T3CC0960516</t>
  </si>
  <si>
    <t>T3CC0960517</t>
  </si>
  <si>
    <t>T5CC2441081</t>
  </si>
  <si>
    <t>T4CC0590943</t>
  </si>
  <si>
    <t>3C-15.6寸60Hz直面1K便携式显示器黑色配皮套</t>
  </si>
  <si>
    <t>T4CC1910973</t>
  </si>
  <si>
    <t>3B-可翻转白板60*90</t>
  </si>
  <si>
    <t>T4CC2340769</t>
  </si>
  <si>
    <t>T5CC2711068</t>
  </si>
  <si>
    <t>3C-黑色吉他包装升级款</t>
  </si>
  <si>
    <t>T4CC1500865</t>
  </si>
  <si>
    <t>3C-翻页笔</t>
  </si>
  <si>
    <t>T3CC2200297</t>
  </si>
  <si>
    <t>3C-原木色吉他套装包装升级款</t>
  </si>
  <si>
    <t>T4CC1500868</t>
  </si>
  <si>
    <t>3B-广告架kt板直面3.7kg</t>
  </si>
  <si>
    <t>T4CC1120857</t>
  </si>
  <si>
    <t>3C-RGB电容悬臂支架降噪麦克风</t>
  </si>
  <si>
    <t>T4CC2670994</t>
  </si>
  <si>
    <t>3B-指纹挂锁</t>
  </si>
  <si>
    <t>T4CC2530823</t>
  </si>
  <si>
    <t>3B-捆钞机8011A型</t>
  </si>
  <si>
    <t>M4CC2580976</t>
  </si>
  <si>
    <t>3B-碎纸机头不带桶WS0106</t>
  </si>
  <si>
    <t>M4CC2410987</t>
  </si>
  <si>
    <t>T5CC2711064</t>
  </si>
  <si>
    <t>3C-原木色民谣吉他包装升级款</t>
  </si>
  <si>
    <t>T4CC1500866</t>
  </si>
  <si>
    <t>3B-A3简易过胶机</t>
  </si>
  <si>
    <t>M4CC2410983</t>
  </si>
  <si>
    <t>3B-点钞机灰色含外接显示器</t>
  </si>
  <si>
    <t>M5CC2581042</t>
  </si>
  <si>
    <t>3B-便携式储能电源ESP100</t>
  </si>
  <si>
    <t>M5CC2731055</t>
  </si>
  <si>
    <t>3B-A4重型裁纸机STC440</t>
  </si>
  <si>
    <t>T4CC2410992</t>
  </si>
  <si>
    <t>3B-A3重型裁纸机STC430</t>
  </si>
  <si>
    <t>T4CC2410993</t>
  </si>
  <si>
    <t>3C-平板旋转支架</t>
  </si>
  <si>
    <t>T3CC2110298</t>
  </si>
  <si>
    <t>3B-毛毡照片公告墙浅驼色120*180CM</t>
  </si>
  <si>
    <t>T5CC2341032</t>
  </si>
  <si>
    <t>T1CC0590138</t>
  </si>
  <si>
    <t>T3CC2000072</t>
  </si>
  <si>
    <t>T4CC2320727</t>
  </si>
  <si>
    <t>3B-可翻转白板70*100</t>
  </si>
  <si>
    <t>T4CC2340770</t>
  </si>
  <si>
    <t>3B-多功能简易支架14.5cm*19cm</t>
  </si>
  <si>
    <t>T4CC2340737</t>
  </si>
  <si>
    <t>3B-广告架A4款</t>
  </si>
  <si>
    <t>T4CC1120855</t>
  </si>
  <si>
    <t>3B-小号仿真书银钱盒钥匙款黄色</t>
  </si>
  <si>
    <t>T4CC2660972</t>
  </si>
  <si>
    <t>3B-现金盒钥匙款粉色150A</t>
  </si>
  <si>
    <t>T5CC2661014</t>
  </si>
  <si>
    <t>3B-现金盒钥匙款白色150A</t>
  </si>
  <si>
    <t>T5CC2661016</t>
  </si>
  <si>
    <t>3B-现金盒钥匙款白色200A</t>
  </si>
  <si>
    <t>T5CC2661019</t>
  </si>
  <si>
    <t>3B-现金盒钥匙款粉色200A</t>
  </si>
  <si>
    <t>T5CC2661020</t>
  </si>
  <si>
    <t>3B-现金盒钥匙款黑色200A</t>
  </si>
  <si>
    <t>T5CC2661021</t>
  </si>
  <si>
    <t>3B-现金盒钥匙款粉色250A</t>
  </si>
  <si>
    <t>T5CC2661022</t>
  </si>
  <si>
    <t>3B-现金盒钥匙款黑色250A</t>
  </si>
  <si>
    <t>T5CC2661023</t>
  </si>
  <si>
    <t>3B-现金盒钥匙款白色250A</t>
  </si>
  <si>
    <t>T5CC2661026</t>
  </si>
  <si>
    <t>3B-毛毡照片公告墙咖啡色60*120CM</t>
  </si>
  <si>
    <t>T5CC2341039</t>
  </si>
  <si>
    <t>3B-现金盒钥匙款粉色300A</t>
  </si>
  <si>
    <t>T5CC2661029</t>
  </si>
  <si>
    <t>3B-不干胶标签打印纸单卷150*100mm</t>
  </si>
  <si>
    <t>T4CC0200490</t>
  </si>
  <si>
    <t>T5CC2711069</t>
  </si>
  <si>
    <t>3B-手提款双面广告展示架口字结构</t>
  </si>
  <si>
    <t>T4CC1120701</t>
  </si>
  <si>
    <t>T5CC2720194</t>
  </si>
  <si>
    <t>T5CC2720345</t>
  </si>
  <si>
    <t>3B-家用储能电源HeroEE1</t>
  </si>
  <si>
    <t>M5CC2601138</t>
  </si>
  <si>
    <t>3B-家用储能电源HeroEE2</t>
  </si>
  <si>
    <t>M5CC2601139</t>
  </si>
  <si>
    <t>3B-储能电源G120</t>
  </si>
  <si>
    <t>M5CC2801130</t>
  </si>
  <si>
    <t>3B-储能电源G300</t>
  </si>
  <si>
    <t>M5CC2801134</t>
  </si>
  <si>
    <t>3B-储能电源R300</t>
  </si>
  <si>
    <t>M5CC2801135</t>
  </si>
  <si>
    <t>3B-储能电源R350</t>
  </si>
  <si>
    <t>M5CC2801136</t>
  </si>
  <si>
    <t>3B-储能电源R600</t>
  </si>
  <si>
    <t>M5CC2801137</t>
  </si>
  <si>
    <t>3B-家用储能电源S167型</t>
  </si>
  <si>
    <t>M5CC2811140</t>
  </si>
  <si>
    <t>3B-家用储能电源S192型</t>
  </si>
  <si>
    <t>M5CC2811141</t>
  </si>
  <si>
    <t>3B-家用储能电源S75型</t>
  </si>
  <si>
    <t>M5CC2811142</t>
  </si>
  <si>
    <t>T5CC2730691</t>
  </si>
  <si>
    <t>3B-光伏板一体层压2折10W</t>
  </si>
  <si>
    <t>T5CC2771119</t>
  </si>
  <si>
    <t>3B-光伏板一体层压3折30W</t>
  </si>
  <si>
    <t>T5CC2771120</t>
  </si>
  <si>
    <t>3B-光伏板车缝3折21W</t>
  </si>
  <si>
    <t>T5CC2771122</t>
  </si>
  <si>
    <t>3B-光伏板一体层压8折25W</t>
  </si>
  <si>
    <t>T5CC2771123</t>
  </si>
  <si>
    <t>3B-光伏板太阳能单面发电板12W</t>
  </si>
  <si>
    <t>T5CC2771124</t>
  </si>
  <si>
    <t>3B-光伏板轻量化车缝2折100W</t>
  </si>
  <si>
    <t>T5CC2771125</t>
  </si>
  <si>
    <t>3B-光伏板轻量化车缝4折200W</t>
  </si>
  <si>
    <t>T5CC2771126</t>
  </si>
  <si>
    <t>3B-锂离子蓄电池12V30AH</t>
  </si>
  <si>
    <t>T5CC2801127</t>
  </si>
  <si>
    <t>3B-锂离子蓄电池12V100AH</t>
  </si>
  <si>
    <t>T5CC2801128</t>
  </si>
  <si>
    <t>3B-A4简易过胶机</t>
  </si>
  <si>
    <t>M4CC2410982</t>
  </si>
  <si>
    <t>3B-H1AP五功能防盗门锁带APP</t>
  </si>
  <si>
    <t>T4CC2530822</t>
  </si>
  <si>
    <t>M5CC2571096</t>
  </si>
  <si>
    <t>M5CC2571097</t>
  </si>
  <si>
    <t>M5CC2571098</t>
  </si>
  <si>
    <t>M5CC2571099</t>
  </si>
  <si>
    <t>M5CC2571100</t>
  </si>
  <si>
    <t>M5CC2571101</t>
  </si>
  <si>
    <t>M5CC2571102</t>
  </si>
  <si>
    <t>M5CC2571103</t>
  </si>
  <si>
    <t>M5CC2581088</t>
  </si>
  <si>
    <t>M5CC2581089</t>
  </si>
  <si>
    <t>M5CC2581090</t>
  </si>
  <si>
    <t>M5CC3300284</t>
  </si>
  <si>
    <t>T1CZ0590235</t>
  </si>
  <si>
    <t>3B-保险箱黑小</t>
  </si>
  <si>
    <t>T2CC1200005</t>
  </si>
  <si>
    <t>T3CC2160005</t>
  </si>
  <si>
    <t>3B-投币款保险箱23*17*17cm</t>
  </si>
  <si>
    <t>T4CC1200464</t>
  </si>
  <si>
    <t>3B-钥匙款保险箱黑小23*17*17cm</t>
  </si>
  <si>
    <t>T4CC2160386</t>
  </si>
  <si>
    <t>3B-保险箱黑</t>
  </si>
  <si>
    <t>T3CC2160316</t>
  </si>
  <si>
    <t>T2CC1200316</t>
  </si>
  <si>
    <t>3C-RGB蓝牙无线拉伸手机游戏手柄STK7009</t>
  </si>
  <si>
    <t>T4CC2440850</t>
  </si>
  <si>
    <t>T5CC2780850</t>
  </si>
  <si>
    <t>3B-断桥铝门方舌锁体2.2*24</t>
  </si>
  <si>
    <t>T4CC2530881</t>
  </si>
  <si>
    <t>3B-折叠安全护栏2.5m</t>
  </si>
  <si>
    <t>T4CC2330747</t>
  </si>
  <si>
    <t>3C-播客级专业游戏单人混音器</t>
  </si>
  <si>
    <t>T4CC2670999</t>
  </si>
  <si>
    <t>3C-电脑机箱T6款黑色3风扇</t>
  </si>
  <si>
    <t>T4CC2351008</t>
  </si>
  <si>
    <t>3B-智能门锁IC卡</t>
  </si>
  <si>
    <t>T4CC2530886</t>
  </si>
  <si>
    <t>3B-48位密码盒密码款</t>
  </si>
  <si>
    <t>T3CC2150294</t>
  </si>
  <si>
    <t>3B-2门文件保险箱</t>
  </si>
  <si>
    <t>T4CC2490818</t>
  </si>
  <si>
    <t>3B-宽57cm不干胶标签打印纸5卷</t>
  </si>
  <si>
    <t>T4CC0200376</t>
  </si>
  <si>
    <t>3C-RGB动圈降噪桌面麦克风</t>
  </si>
  <si>
    <t>T4CC2670997</t>
  </si>
  <si>
    <t>3B-扎钞纸</t>
  </si>
  <si>
    <t>T4CC2580975</t>
  </si>
  <si>
    <t>T5CC1101169</t>
  </si>
  <si>
    <t>T5CC1101170</t>
  </si>
  <si>
    <t>3B-功勋仓保险箱45*38*32cm红色密码款</t>
  </si>
  <si>
    <t>T4CC2610977</t>
  </si>
  <si>
    <t>T5CC1101167</t>
  </si>
  <si>
    <t>T5CC1101168</t>
  </si>
  <si>
    <t>3B-功勋仓保险箱45*38*32cm红色指纹款</t>
  </si>
  <si>
    <t>T4CC2610978</t>
  </si>
  <si>
    <t>3C-直播自动支撑自拍杆P510</t>
  </si>
  <si>
    <t>T5CC2691003</t>
  </si>
  <si>
    <t>T5CC1101164</t>
  </si>
  <si>
    <t>T5CC1101165</t>
  </si>
  <si>
    <t>T5CC1101166</t>
  </si>
  <si>
    <t>T5CC1101171</t>
  </si>
  <si>
    <t>T5CC1101172</t>
  </si>
  <si>
    <t>3B-新A6保险箱密码款35cm*26cm*25cm</t>
  </si>
  <si>
    <t>T5CC2611012</t>
  </si>
  <si>
    <t>3B-斜坡垫50*22*11cm</t>
  </si>
  <si>
    <t>T4CC2330746</t>
  </si>
  <si>
    <t>3C-32至70寸电视移动支架的中托盘</t>
  </si>
  <si>
    <t>T3CC1120604</t>
  </si>
  <si>
    <t>T5CC1121112</t>
  </si>
  <si>
    <t>T5CC1911078</t>
  </si>
  <si>
    <t>T5CC2341094</t>
  </si>
  <si>
    <t>T5CC2341095</t>
  </si>
  <si>
    <t>T5CC2351108</t>
  </si>
  <si>
    <t>T5CC2351109</t>
  </si>
  <si>
    <t>3B-小号仿真书银钱盒密码款蓝色</t>
  </si>
  <si>
    <t>T4CC1220336</t>
  </si>
  <si>
    <t>T5CC2820691</t>
  </si>
  <si>
    <t>T5CC2821143</t>
  </si>
  <si>
    <t>T5CC2841147</t>
  </si>
  <si>
    <t>T5CC2851149</t>
  </si>
  <si>
    <t>T5CC2851150</t>
  </si>
  <si>
    <t>T5CC2851151</t>
  </si>
  <si>
    <t>T5CC2851152</t>
  </si>
  <si>
    <t>T5CC2851153</t>
  </si>
  <si>
    <t>3C-M98型机顶盒</t>
  </si>
  <si>
    <t>T3CC1970380</t>
  </si>
  <si>
    <t>T4CC2560380</t>
  </si>
  <si>
    <t>T4CC2660336</t>
  </si>
  <si>
    <t>3C-铝合金支架N3</t>
  </si>
  <si>
    <t>T3CC2110270</t>
  </si>
  <si>
    <t>3C-26至63寸电视支架</t>
  </si>
  <si>
    <t>T3CC1120404</t>
  </si>
  <si>
    <t>3C-H型32至70寸电视壁架</t>
  </si>
  <si>
    <t>T2CC1120036</t>
  </si>
  <si>
    <t>3B-小号仿真书银钱盒钥匙款红色</t>
  </si>
  <si>
    <t>T4CC2660966</t>
  </si>
  <si>
    <t>3C-V8H型电视机支架</t>
  </si>
  <si>
    <t>T4CC1120720</t>
  </si>
  <si>
    <t>3B-新A6保险箱指纹款35cm*26cm*25cm</t>
  </si>
  <si>
    <t>T5CC2611013</t>
  </si>
  <si>
    <t>3B-对开门矮保险箱</t>
  </si>
  <si>
    <t>T4CC2490821</t>
  </si>
  <si>
    <t>T5CC1121058</t>
  </si>
  <si>
    <t>3B-点钞机外接显示器白色</t>
  </si>
  <si>
    <t>T4CC2580712</t>
  </si>
  <si>
    <t>3B-房间门单舌锁体2.7*6.8</t>
  </si>
  <si>
    <t>T4CC2530880</t>
  </si>
  <si>
    <t>3B-大号仿真书银钱盒钥匙款蓝色</t>
  </si>
  <si>
    <t>T4CC1220333</t>
  </si>
  <si>
    <t>3B-磁吸白板20cm*30cm</t>
  </si>
  <si>
    <t>T4CC2340682</t>
  </si>
  <si>
    <t>3B-磁吸白板20cm*30cm+气泡柱</t>
  </si>
  <si>
    <t>T4CC2660333</t>
  </si>
  <si>
    <t>3B-磁吸白板30cm*45cm+气泡柱</t>
  </si>
  <si>
    <t>T4CC2340683</t>
  </si>
  <si>
    <t>3B-磁吸白板45cm*60cm</t>
  </si>
  <si>
    <t>T4CC2340684</t>
  </si>
  <si>
    <t>3B-磁吸白板45cm*60cm+气泡柱</t>
  </si>
  <si>
    <t>3B-9260A标签打印机4寸黑色USB</t>
  </si>
  <si>
    <t>M4CC2500941</t>
  </si>
  <si>
    <t>3B-磁吸白板密度板夹层60cm*90cm+气泡柱</t>
  </si>
  <si>
    <t>3B-道路警示柱75cm</t>
  </si>
  <si>
    <t>T4CC2330749</t>
  </si>
  <si>
    <t>3B-8008便携式不干胶标签打印机80mm黑色</t>
  </si>
  <si>
    <t>T4CC2500940</t>
  </si>
  <si>
    <t>3B-磁吸白板密度板夹层70cm*100cm+气泡柱</t>
  </si>
  <si>
    <t>3C-插电式分体电动旋转盘黑色13cm</t>
  </si>
  <si>
    <t>T3CC2010102</t>
  </si>
  <si>
    <t>3B-黄黑伸缩连接杆1至2m</t>
  </si>
  <si>
    <t>T4CC2330748</t>
  </si>
  <si>
    <t>3B-磁吸白板密度板夹层90cm*120cm+气泡柱</t>
  </si>
  <si>
    <t>3B-广告架kt板直面1.3kg</t>
  </si>
  <si>
    <t>T4CC1120856</t>
  </si>
  <si>
    <t>3C-黑色民谣吉他包装升级款</t>
  </si>
  <si>
    <t>T4CC1500867</t>
  </si>
  <si>
    <t>3B-磁吸白板密度板夹层90cm*150cm+气泡柱</t>
  </si>
  <si>
    <t>3B-毛毡照片公告墙咖啡色60*80CM</t>
  </si>
  <si>
    <t>T5CC2341040</t>
  </si>
  <si>
    <t>3B-磁吸白板密度板夹层90cm*180cm</t>
  </si>
  <si>
    <t>T4CC2340907</t>
  </si>
  <si>
    <t>3B-磁吸白板密度板夹层90cm*180cm+气泡柱</t>
  </si>
  <si>
    <t>T5CC2830907</t>
  </si>
  <si>
    <t>3B-磁吸白板密度板夹层90cm*180cm++气泡柱</t>
  </si>
  <si>
    <t>3B-小号仿真书银钱盒钥匙款蓝色</t>
  </si>
  <si>
    <t>T4CC2660332</t>
  </si>
  <si>
    <t>T4CC1220332</t>
  </si>
  <si>
    <t>3B-小号仿真书银钱盒钥匙款黑色</t>
  </si>
  <si>
    <t>T4CC2660969</t>
  </si>
  <si>
    <t>3B-A3金属外壳过胶机STL316A</t>
  </si>
  <si>
    <t>M4CC2410985</t>
  </si>
  <si>
    <t>3B-毛毡照片公告墙浅驼色60*120CM</t>
  </si>
  <si>
    <t>T5CC2341034</t>
  </si>
  <si>
    <t>3C-双扇散热支架5档调节</t>
  </si>
  <si>
    <t>T3CC2110273</t>
  </si>
  <si>
    <t>3C-电子琴带琴谱架61键</t>
  </si>
  <si>
    <t>M4CC2450779</t>
  </si>
  <si>
    <t>3B-挂绳款半合金密码盒</t>
  </si>
  <si>
    <t>T3CC2100265</t>
  </si>
  <si>
    <t>3B-交换机机柜24cm</t>
  </si>
  <si>
    <t>T4CC2360753</t>
  </si>
  <si>
    <t>3B-打孔机</t>
  </si>
  <si>
    <t>T4CC2410763</t>
  </si>
  <si>
    <t>3C-电视机上方支架</t>
  </si>
  <si>
    <t>T4CC1120806</t>
  </si>
  <si>
    <t>3B-5门文件保险箱</t>
  </si>
  <si>
    <t>T4CC2490819</t>
  </si>
  <si>
    <t>3B-仿真书银钱盒钥匙款黄色</t>
  </si>
  <si>
    <t>T4CC2660971</t>
  </si>
  <si>
    <t>3B-仿真书银钱盒钥匙款黑色</t>
  </si>
  <si>
    <t>T4CC2660968</t>
  </si>
  <si>
    <t>3C-原木色吉他包装升级款</t>
  </si>
  <si>
    <t>T4CC1500864</t>
  </si>
  <si>
    <t>3B-道路警示折叠锥桶30cm</t>
  </si>
  <si>
    <t>T4CC2330750</t>
  </si>
  <si>
    <t>3B-毛毡照片公告墙咖啡色80*120CM</t>
  </si>
  <si>
    <t>T5CC2341038</t>
  </si>
  <si>
    <t>3C-电脑机箱T8款黑色</t>
  </si>
  <si>
    <t>T4CC2350800</t>
  </si>
  <si>
    <t>3B-插销密码锁</t>
  </si>
  <si>
    <t>T4CC2550846</t>
  </si>
  <si>
    <t>3B-专业快速过胶机A3</t>
  </si>
  <si>
    <t>M4CC2410984</t>
  </si>
  <si>
    <t>3B-大号仿真书银钱盒钥匙款黄色</t>
  </si>
  <si>
    <t>T4CC2660970</t>
  </si>
  <si>
    <t>3C-原木色吉他</t>
  </si>
  <si>
    <t>T3CC1500064</t>
  </si>
  <si>
    <t>3B-毛毡照片公告墙浅驼色80*120CM</t>
  </si>
  <si>
    <t>T5CC2341033</t>
  </si>
  <si>
    <t>3C-原木色吉他套装</t>
  </si>
  <si>
    <t>T3CC1500688</t>
  </si>
  <si>
    <t>3B-房间门锁体2.2*16</t>
  </si>
  <si>
    <t>T4CC2530879</t>
  </si>
  <si>
    <t>3C-黑色吉他</t>
  </si>
  <si>
    <t>T3CC1500210</t>
  </si>
  <si>
    <t>3B-防盗门锁体2.4*24</t>
  </si>
  <si>
    <t>T4CC2530883</t>
  </si>
  <si>
    <t>3C-黑色吉他套装</t>
  </si>
  <si>
    <t>T3CC1500228</t>
  </si>
  <si>
    <t>3C-黑色吉他套装包装升级款</t>
  </si>
  <si>
    <t>T4CC1500869</t>
  </si>
  <si>
    <t>3C-原木色民谣吉他</t>
  </si>
  <si>
    <t>T3CC1500261</t>
  </si>
  <si>
    <t>3C-黑色民谣吉他</t>
  </si>
  <si>
    <t>T3CC1500280</t>
  </si>
  <si>
    <t>3C-电脑机箱T8款白色</t>
  </si>
  <si>
    <t>T4CC2350801</t>
  </si>
  <si>
    <t>T5CC1501116</t>
  </si>
  <si>
    <t>T5CC1501115</t>
  </si>
  <si>
    <t>T5CC2751156</t>
  </si>
  <si>
    <t>T5CC2751157</t>
  </si>
  <si>
    <t>T5CC2751158</t>
  </si>
  <si>
    <t>T5CC2861162</t>
  </si>
  <si>
    <t>T4CC2000355</t>
  </si>
  <si>
    <t>3B-磁吸白板30cm*45cm</t>
  </si>
  <si>
    <t>3B-热敏标签打印机H11</t>
  </si>
  <si>
    <t>M3CC1760562</t>
  </si>
  <si>
    <t>M5CC2451079</t>
  </si>
  <si>
    <t>M5CC2451080</t>
  </si>
  <si>
    <t>3C-电脑组合小音响</t>
  </si>
  <si>
    <t>T4CC2230256</t>
  </si>
  <si>
    <t>3B-可翻转白板100*80</t>
  </si>
  <si>
    <t>T4CC2340771</t>
  </si>
  <si>
    <t>3C-小蜜蜂黑色有线升级版</t>
  </si>
  <si>
    <t>T4CC2230179</t>
  </si>
  <si>
    <t>3C-21寸尤克里里</t>
  </si>
  <si>
    <t>T3CC1500689</t>
  </si>
  <si>
    <t>T5CC1501114</t>
  </si>
  <si>
    <t>T5CC2451111</t>
  </si>
  <si>
    <t>3C-电子琴37健黑色</t>
  </si>
  <si>
    <t>T3CC1920633</t>
  </si>
  <si>
    <t>3B-智能门锁配件包</t>
  </si>
  <si>
    <t>T4CC2530885</t>
  </si>
  <si>
    <t>3B-毛毡照片公告墙浅驼色60*80CM</t>
  </si>
  <si>
    <t>T5CC2341035</t>
  </si>
  <si>
    <t>3C-单扇散热支架无调节</t>
  </si>
  <si>
    <t>T3CC2110272</t>
  </si>
  <si>
    <t>3B-5890A台式票据打印机58mm白色</t>
  </si>
  <si>
    <t>M4CC2500938</t>
  </si>
  <si>
    <t>3B-现金盒钥匙款白色300A</t>
  </si>
  <si>
    <t>T5CC2661031</t>
  </si>
  <si>
    <t>3B-大号仿真书银钱盒钥匙款红色</t>
  </si>
  <si>
    <t>T4CC2660964</t>
  </si>
  <si>
    <t>3B-2.4寸带屏双向可视摄像头</t>
  </si>
  <si>
    <t>M3CC1950638</t>
  </si>
  <si>
    <t>3B-毛毡照片公告墙咖啡色120*180CM</t>
  </si>
  <si>
    <t>T5CC2341037</t>
  </si>
  <si>
    <t>3B-旅行AC插头充电宝10000毫安白色</t>
  </si>
  <si>
    <t>M3CC1030157</t>
  </si>
  <si>
    <t>3C-电子架子鼓</t>
  </si>
  <si>
    <t>M4CC2480817</t>
  </si>
  <si>
    <t>3C-便携九打手卷电子鼓橙色</t>
  </si>
  <si>
    <t>T5CC2751105</t>
  </si>
  <si>
    <t>等待开发</t>
  </si>
  <si>
    <t>否</t>
  </si>
  <si>
    <t>M5CC2481082</t>
  </si>
  <si>
    <t>T5CC2751104</t>
  </si>
  <si>
    <t>3B-道路警示折叠锥桶45cm</t>
  </si>
  <si>
    <t>T4CC2330751</t>
  </si>
  <si>
    <t>T5CC1801106</t>
  </si>
  <si>
    <t>3C-360有线游戏手柄不带耳麦白色</t>
  </si>
  <si>
    <t>T3CC1800622</t>
  </si>
  <si>
    <t>3C-360有线游戏手柄不带耳麦黑色</t>
  </si>
  <si>
    <t>T3CC1800572</t>
  </si>
  <si>
    <t>3C-有线多功能游戏透明手柄STK2039XRG</t>
  </si>
  <si>
    <t>T5CC2781117</t>
  </si>
  <si>
    <t>3C-透明RGB无线蓝牙游戏手柄STK7040</t>
  </si>
  <si>
    <t>T4CC2440849</t>
  </si>
  <si>
    <t>T5CC2780849</t>
  </si>
  <si>
    <t>3B-三天线摇头机摄像头</t>
  </si>
  <si>
    <t>M3CC1830620</t>
  </si>
  <si>
    <t>3B-碎纸机6张段状S0206L</t>
  </si>
  <si>
    <t>M4CC2410989</t>
  </si>
  <si>
    <t>3B-碎纸机4张段状S0204B</t>
  </si>
  <si>
    <t>M4CC2410988</t>
  </si>
  <si>
    <t>3C-RGB蓝牙音箱</t>
  </si>
  <si>
    <t>T4CC2440844</t>
  </si>
  <si>
    <t>T5CC2711063</t>
  </si>
  <si>
    <t>3B-斜坡垫50*22*9cm</t>
  </si>
  <si>
    <t>T4CC2330745</t>
  </si>
  <si>
    <t>T1CZ0590139</t>
  </si>
  <si>
    <t>T5CC2711183</t>
  </si>
  <si>
    <t>T5CC2711184</t>
  </si>
  <si>
    <t>T4CZ2340009</t>
  </si>
  <si>
    <t>T5CC1911076</t>
  </si>
  <si>
    <t>3B-便携式路由器R5款黑色</t>
  </si>
  <si>
    <t>M2CC0180540</t>
  </si>
  <si>
    <t>T5CC2611173</t>
  </si>
  <si>
    <t>T5CC2611174</t>
  </si>
  <si>
    <t>3B-手持一维有线影像扫描枪</t>
  </si>
  <si>
    <t>T3CC2040167</t>
  </si>
  <si>
    <t>T5CC2660194</t>
  </si>
  <si>
    <t>T5CC2660345</t>
  </si>
  <si>
    <t>T5CC2671159</t>
  </si>
  <si>
    <t>3B-现金盒钥匙款黑色300A</t>
  </si>
  <si>
    <t>T5CC2661027</t>
  </si>
  <si>
    <t>3C-半透明蓝牙RGB背光鼠标橙色</t>
  </si>
  <si>
    <t>T3CC2070275</t>
  </si>
  <si>
    <t>3B-胶囊充电宝5000毫安苹果接口白色</t>
  </si>
  <si>
    <t>T3CC1030155</t>
  </si>
  <si>
    <t>T5CC2781160</t>
  </si>
  <si>
    <t>T5CC2791161</t>
  </si>
  <si>
    <t>T5CC2841145</t>
  </si>
  <si>
    <t>T5CC2841146</t>
  </si>
  <si>
    <t>T5CC2841148</t>
  </si>
  <si>
    <t>T5CC2851154</t>
  </si>
  <si>
    <t>T5CC2851155</t>
  </si>
  <si>
    <t>M3CC1970671</t>
  </si>
  <si>
    <t>M5CC1721185</t>
  </si>
  <si>
    <t>M5CC1721186</t>
  </si>
  <si>
    <t>周期</t>
  </si>
  <si>
    <t>主SKU</t>
  </si>
  <si>
    <t>国家</t>
  </si>
  <si>
    <t>三级类目</t>
  </si>
  <si>
    <t>创建日期</t>
  </si>
  <si>
    <t>新款月龄</t>
  </si>
  <si>
    <t>赠品</t>
  </si>
  <si>
    <t>款号</t>
  </si>
  <si>
    <t>销售规格</t>
  </si>
  <si>
    <t>单品尺寸</t>
  </si>
  <si>
    <t>单品净重g</t>
  </si>
  <si>
    <t>单品毛重g</t>
  </si>
  <si>
    <t>外箱长cm</t>
  </si>
  <si>
    <t>外箱宽cm</t>
  </si>
  <si>
    <t>外箱高cm</t>
  </si>
  <si>
    <t>每箱数量</t>
  </si>
  <si>
    <t>出货方式</t>
  </si>
  <si>
    <t>仓库</t>
  </si>
  <si>
    <t>仓存</t>
  </si>
  <si>
    <t>规划仓</t>
  </si>
  <si>
    <t>销售成本人民币</t>
  </si>
  <si>
    <t>国家汇率</t>
  </si>
  <si>
    <t>销售成本国家币</t>
  </si>
  <si>
    <t>1档价(20%)</t>
  </si>
  <si>
    <t>2档价(25%)</t>
  </si>
  <si>
    <t>3档价(35%)</t>
  </si>
  <si>
    <t>4档价(45%)</t>
  </si>
  <si>
    <t>连带率</t>
  </si>
  <si>
    <t>202606</t>
  </si>
  <si>
    <t>CC0514</t>
  </si>
  <si>
    <t>马来</t>
  </si>
  <si>
    <t>路由器</t>
  </si>
  <si>
    <t>2023-07-25</t>
  </si>
  <si>
    <t>清仓商品</t>
  </si>
  <si>
    <t>3B0015</t>
  </si>
  <si>
    <t>P6000路由器</t>
  </si>
  <si>
    <t>英规、支持马来波段、外贸定制版</t>
  </si>
  <si>
    <t>14.5cm*21cm*4.05cm</t>
  </si>
  <si>
    <t>中转</t>
  </si>
  <si>
    <t>马来易企通-D仓-1308</t>
  </si>
  <si>
    <t>是</t>
  </si>
  <si>
    <t>CC0540</t>
  </si>
  <si>
    <t>2023-08-17</t>
  </si>
  <si>
    <t>3B0016</t>
  </si>
  <si>
    <t>R5路由器</t>
  </si>
  <si>
    <t>支持马来波段、所有无限4G卡,外贸定制版</t>
  </si>
  <si>
    <t>9.9cm*5.85cm*1.484cm</t>
  </si>
  <si>
    <t>CC0462</t>
  </si>
  <si>
    <t>考勤机</t>
  </si>
  <si>
    <t>2023-09-11</t>
  </si>
  <si>
    <t>正常销售</t>
  </si>
  <si>
    <t>3B0013</t>
  </si>
  <si>
    <t>指纹考勤机</t>
  </si>
  <si>
    <t>英规插头，220V，2.4'TFT彩屏，16键实体键盘，T9英文输入及显示）横挂式；指纹+密码；指纹数量1000枚；考勤记录60000条；                                                                        支持U盘数据下载</t>
  </si>
  <si>
    <t>17cm*12cm*4cm</t>
  </si>
  <si>
    <t>M2CC1720531</t>
  </si>
  <si>
    <t>3C-X81海外智能版投影仪</t>
  </si>
  <si>
    <t>CC0531</t>
  </si>
  <si>
    <t>影像摄影</t>
  </si>
  <si>
    <t>投影仪</t>
  </si>
  <si>
    <t>2023-08-15</t>
  </si>
  <si>
    <t>3C0000</t>
  </si>
  <si>
    <t>投影仪X款</t>
  </si>
  <si>
    <t>英规插头，亮度160ANSI，9000流明，内存2+16G（实际（1+8），最高1080p（实际720p），安卓 10.0，蓝牙4.0</t>
  </si>
  <si>
    <t>16cm*17cm*20cm</t>
  </si>
  <si>
    <t>CC0589</t>
  </si>
  <si>
    <t>打印机</t>
  </si>
  <si>
    <t>2024-08-02</t>
  </si>
  <si>
    <t>3B0004</t>
  </si>
  <si>
    <t>小票打印机</t>
  </si>
  <si>
    <t>英规插头，JK5802H蓝牙款，接口USB+BT，打印速度40-70mm/秒，支持ios，Android，Windows</t>
  </si>
  <si>
    <t>15.8cm*11.5cm*9.4cm</t>
  </si>
  <si>
    <t>CC0157</t>
  </si>
  <si>
    <t>充电宝</t>
  </si>
  <si>
    <t>2024-08-13</t>
  </si>
  <si>
    <t>3B0000</t>
  </si>
  <si>
    <t>普通款充电宝</t>
  </si>
  <si>
    <t>配英规转接头；型号HT-DX348；配欧规转接头；电芯型号:105568*2；电池实际容量：10000mAh；保护电路:是；type-c输出:5V/3A，9V2.2A，12V1.6A；USB输出:4.5V/5A，5V3A，9V2A，12V1.5A；Lightning输出:5V/2.1A；type-c输入:5V3A，9V2A，12V1.5A；AC输入:5V2A;材质：PC+ABS</t>
  </si>
  <si>
    <t>8.8cm*8.8cm*3.3cm</t>
  </si>
  <si>
    <t>散货</t>
  </si>
  <si>
    <t>3C-圆筒投影仪白色</t>
  </si>
  <si>
    <t>CC0621</t>
  </si>
  <si>
    <t>2024-02-27</t>
  </si>
  <si>
    <t>投影仪圆筒款</t>
  </si>
  <si>
    <t>英规，型号HY-300；安卓11.0；主板方案RK3326；分辨率1024*600；160ANSI流明（光源8000流明）；光源寿命&gt;30000H；内存大小1+8GB(8+64Gb)；投射比1.31；电动调焦；上下自动梯形校正；采用XDR色彩调校技术、九点对焦技术（压模菲镜+进口光锥+绿膜镜头+镀膜物镜）；5G双频WiFi；解码4K/H.264/H.265/VP9视频，支持HDR10.超清画质；内置蓝牙模块；输入端口USB2.0+HDMI；电源插口AC8字尾；输出端口3.5mm耳机接口；扬声器3W；电源输入AC 100V～240V，50/60Hz支持视频格式AVI,TS,TP, MOV, DAT, MPG ,MPEG，MKV,3GP,MP4,VOB,M2TS,XVID、3GP2、MPEG1、MPEG2、MPEG3、MPEG4、H263,H264, H265,VP8,RV30,RV40，最高支持8K 。（不支持RM/RMVB/FLV格式的视频编码；不支持杜比、AC3/DTS格式的音频编码）。</t>
  </si>
  <si>
    <t>21.9cm*13.4cm*11.9cm</t>
  </si>
  <si>
    <t>CC0562</t>
  </si>
  <si>
    <t>热敏打印机</t>
  </si>
  <si>
    <t>标签打印机</t>
  </si>
  <si>
    <t>电池容量：2000mAh，充满电可连续打印300米，打印速度为30mm/s，内带一卷纸</t>
  </si>
  <si>
    <t>7.6cm*7.6cm*4cm</t>
  </si>
  <si>
    <t>CC0620</t>
  </si>
  <si>
    <t>摄像头</t>
  </si>
  <si>
    <t>2024-02-01</t>
  </si>
  <si>
    <t>桌面摄像头</t>
  </si>
  <si>
    <t>软件ZIICAM；英规插头，不带网口，200万像素；1080P高清像素；上下90度，左右355度旋转（画面视野360度）；红外夜视功能；；图像质量1920*1080/1280*720；支持移动跟踪；支持图像移动侦测；支持抓图功能和视频翻转；支持远程回放；报警触发视频推送、扬声器报警、报警录像；录像文件大小2.5-4.5GB/天 (16GB TF卡可录大约5天)；无线网络2.4GHz、802.11b/g/n；支持IR-CUT；电源DC5V1.5A；灯板11颗红外灯。</t>
  </si>
  <si>
    <t>14cm*13cm*10cm</t>
  </si>
  <si>
    <t>CC0638</t>
  </si>
  <si>
    <t>2024-03-26</t>
  </si>
  <si>
    <t>看护摄像头</t>
  </si>
  <si>
    <t>英规插头，V360系统，200W像素；分辨率1920*1080；电压AC110V-220V。焦距4mm；红外夜视距离5-8米。联网方式WIFI-2.4GHz。设备扫码添加，WiFi连接；垂直旋转90°，水平转速355°/S。支持语音监听，对讲，移动侦测、声音侦测报警；云存视频支持报警分类查询回放功能；支持各类手机远程监控（IOS,Android）；支持8-128GTF卡存储；工作温度：-10℃－＋55℃；双向语音对讲。英文包装、英文说明书。</t>
  </si>
  <si>
    <t>15.3cm*92.1cm*79.1cm</t>
  </si>
  <si>
    <t>3C-蓝牙语音机顶盒</t>
  </si>
  <si>
    <t>CC0671</t>
  </si>
  <si>
    <t>机顶盒</t>
  </si>
  <si>
    <t>2024-05-23</t>
  </si>
  <si>
    <t>3C0008</t>
  </si>
  <si>
    <t>9.5cm*9.5cm*1cm</t>
  </si>
  <si>
    <t>CC0181</t>
  </si>
  <si>
    <t>碎纸机</t>
  </si>
  <si>
    <t>2024-09-03</t>
  </si>
  <si>
    <t>3B0026</t>
  </si>
  <si>
    <t>电动碎纸机</t>
  </si>
  <si>
    <t>型号:S606B，英规插头，最多切碎5张A4纸，切割尺寸6.8mm，工作宽度220mm，仓体积10L，碎纸速度3.8m/min</t>
  </si>
  <si>
    <t>30cm28cm*16.2cm</t>
  </si>
  <si>
    <t>CC0177</t>
  </si>
  <si>
    <t>2024-12-26</t>
  </si>
  <si>
    <t>3B0034</t>
  </si>
  <si>
    <t>300C路由器</t>
  </si>
  <si>
    <t>29cm*18cm*13.2cm</t>
  </si>
  <si>
    <t>CC0235</t>
  </si>
  <si>
    <t>3B0035</t>
  </si>
  <si>
    <t>306C路由器</t>
  </si>
  <si>
    <t>16.5cm*12cm*4.2cm</t>
  </si>
  <si>
    <t>CC0477</t>
  </si>
  <si>
    <t>2025-03-29</t>
  </si>
  <si>
    <t>3B0014</t>
  </si>
  <si>
    <t>面单打印机</t>
  </si>
  <si>
    <t>英规插头，打印幅面：30-108mm ，放纸宽度：110mm，撕纸方式：手动撕纸，容量：＜100mm，电源：外置24v2A【110-220v支持】，配件：电源适配件，电源线，USB线，用户手册</t>
  </si>
  <si>
    <t>22.4cm*18cm*15.2cm</t>
  </si>
  <si>
    <t>3C-84寸16比9电子限位白塑电动幕布</t>
  </si>
  <si>
    <t>CC0789</t>
  </si>
  <si>
    <t>投影幕布</t>
  </si>
  <si>
    <t>2025-08-21</t>
  </si>
  <si>
    <t>3C0087</t>
  </si>
  <si>
    <t>16:09电动幕布</t>
  </si>
  <si>
    <t>英规插头，外壳尺寸199.5cm，总高度尺寸124cm，下杆尺寸190cm,上黑边尺寸20至25cm,显示画面180cm*102cm，含遥控器</t>
  </si>
  <si>
    <t>202cm*13cm*12cm</t>
  </si>
  <si>
    <t>CC0758</t>
  </si>
  <si>
    <t>2025-07-29</t>
  </si>
  <si>
    <t>3B0063</t>
  </si>
  <si>
    <t>碎纸机7L</t>
  </si>
  <si>
    <t>插头（英标三脚插),进纸口宽度：220mm，碎纸类型：条状；最大碎纸量：6张；碎纸尺寸：6mm；欧盟保密等级：P-2；碎纸速度：2.2m/minute；噪音值：约72dB；连续工作时间：2分钟；休息时间：30分钟。</t>
  </si>
  <si>
    <t>30.8cm*11.4cm*29.6cm</t>
  </si>
  <si>
    <t>CC0982</t>
  </si>
  <si>
    <t>过胶机</t>
  </si>
  <si>
    <t>2025-12-02</t>
  </si>
  <si>
    <t>3B0115</t>
  </si>
  <si>
    <t>A4简易过胶机</t>
  </si>
  <si>
    <t>英规插头；过胶尺寸A4；塑胶外壳；胶辊数量 2；云母片发热片；温控器；预热时间 2.5 - 3分钟；过胶速度 280 mm/分钟；过胶范围 80-125mic；最大过胶厚度0.5mm；手动退胶按钮；开关档位设置 on/off （一键启动)；指示灯设置电源-红灯；预热-绿灯</t>
  </si>
  <si>
    <t>37cm*13cm*7.6cm</t>
  </si>
  <si>
    <t>走柜</t>
  </si>
  <si>
    <t>CC0983</t>
  </si>
  <si>
    <t>3B0116</t>
  </si>
  <si>
    <t>A3简易过胶机</t>
  </si>
  <si>
    <t>英规插头；过胶尺寸A3；塑胶外壳；胶辊数量2；云母片发热片；；温控器预热时间2.5至3分钟；过胶速度250mm/分钟；过胶范围80-125；最大过胶厚度0.5mm退胶方式；手动退胶；按钮开关档位设置on/off（一键启动)；指示灯设置电源-红灯，预热-绿灯</t>
  </si>
  <si>
    <t>47cm*13cm*7.6cm</t>
  </si>
  <si>
    <t>CC0984</t>
  </si>
  <si>
    <t>3B0117</t>
  </si>
  <si>
    <t>专业快速过胶机A3</t>
  </si>
  <si>
    <t>英规插头；过胶尺寸A3；塑胶外壳胶辊数量 4发热方式 石英管温控方式 NTC + MCU预热时间 1 分钟过胶速度 500 mm/分钟过胶范围 "冷裱, 80mic, 125mic, 175mic(Japan version: 冷裱, 80mic, 100mic,150mic)"最大过胶厚度 0.6 mm退胶方式 马达自动反转(按一下REV按键，机器自动退胶膜)开关档位设置 on/off, 触摸按键调整档位指示灯设置 电源-红灯，预热-绿灯</t>
  </si>
  <si>
    <t>49.5cm*16.7cm*8.7cm</t>
  </si>
  <si>
    <t>CC0985</t>
  </si>
  <si>
    <t>3B0118</t>
  </si>
  <si>
    <t>A3金属外壳过胶机</t>
  </si>
  <si>
    <t>英规插头；过胶尺寸 A3外壳材质 金属外壳胶辊数量 2发热方式 发热片温控方式 NTC + MCU预热时间 3 - 5 分钟过胶速度 400 mm /分钟过胶范围 80 - 175 mic最大过胶厚度 0.8 mm退胶方式 手动退胶按钮开关档位设置 "on/off, 旋钮开关调节档位 (60, 80, 100, 125, 150, 175 mic)"指示灯设置 电源-红灯，预热-绿灯</t>
  </si>
  <si>
    <t>50cm*20.3cm*14.8cm</t>
  </si>
  <si>
    <t>CC0987</t>
  </si>
  <si>
    <t>待开发</t>
  </si>
  <si>
    <t>3B0119</t>
  </si>
  <si>
    <t>碎纸机头</t>
  </si>
  <si>
    <t>英规插头；条状碎纸机；进纸口宽度：220 mm碎纸类型：条状最大碎纸量；6张碎纸尺寸6mm欧盟保密等级：P-2碎纸速度2.2米/分钟噪音值：70 dB连续工作时间2 分钟休息时间30分钟</t>
  </si>
  <si>
    <t>34.5cm*14cm*7.5cm</t>
  </si>
  <si>
    <t>CC0988</t>
  </si>
  <si>
    <t>3B0120</t>
  </si>
  <si>
    <t>碎纸机4张段状</t>
  </si>
  <si>
    <t>英规插头；段状碎纸机；进纸口宽度220 mm碎纸类型：段状最大碎纸量4张；碎纸尺寸4 x 38 mm；欧盟保密等级P-4；碎纸速度2.5米/分钟；噪音值60dB；连续工作时间3分钟；休息时间30分钟</t>
  </si>
  <si>
    <t>31cm*27.5cm*17cm</t>
  </si>
  <si>
    <t>CC0989</t>
  </si>
  <si>
    <t>3B0121</t>
  </si>
  <si>
    <t>碎纸机6张段状</t>
  </si>
  <si>
    <t>英规插头；段状碎纸机；进纸口宽度220 mm碎纸类型段状；最大碎纸量6张；碎纸尺寸4x38mm；欧盟保密等级P-4；碎纸速度2米/分钟；噪音值62dB；连续工作时间5分钟；休息时间30分钟</t>
  </si>
  <si>
    <t>36.8cm*31cm*18cm</t>
  </si>
  <si>
    <t>CC0779</t>
  </si>
  <si>
    <t>电子琴</t>
  </si>
  <si>
    <t>2025-10-09</t>
  </si>
  <si>
    <t>3C0091</t>
  </si>
  <si>
    <t>电子琴61键</t>
  </si>
  <si>
    <t>英规插头（英标三脚插)61键儿童电子琴，适合儿童学习弹奏钢琴用的。配件：琴谱架+话筒+英文说明书+电源+中性包装</t>
  </si>
  <si>
    <t>70cm*20cm*6cm</t>
  </si>
  <si>
    <t>CC0780</t>
  </si>
  <si>
    <t>3C0092</t>
  </si>
  <si>
    <t>折叠电子琴61键</t>
  </si>
  <si>
    <t>英规插头（英标三脚插)，61键电子琴，适合儿童学习弹奏钢琴用的。配件：踏板+琴谱架+电源+小卡扣+英文说明书+中性包装。内置锂电池型号:18650，容量:1200MA。</t>
  </si>
  <si>
    <t>47.5cm*23cm*11cm</t>
  </si>
  <si>
    <t>CC0781</t>
  </si>
  <si>
    <t>3C0093</t>
  </si>
  <si>
    <t>折叠电子琴88键</t>
  </si>
  <si>
    <t>英规插头（英标三脚插)，88键电子琴，适合初学者学习弹奏钢琴用的。配件：电源+踏板，英文说明书+小卡扣+琴谱架+，中性包装。内置锂电池型号:18650，容量:1200MA。</t>
  </si>
  <si>
    <t>64cm*23cm*11cm</t>
  </si>
  <si>
    <t>CC0817</t>
  </si>
  <si>
    <t>电子鼓</t>
  </si>
  <si>
    <t>3C0115</t>
  </si>
  <si>
    <t>电子架子鼓</t>
  </si>
  <si>
    <t>英规插头（英标三脚插)，6.5寸硅胶鼓盘*4，10寸镲片*3，踩镲踏板*1，地鼓踏板*1</t>
  </si>
  <si>
    <t>90cm*70cm*110cm</t>
  </si>
  <si>
    <t>CC0022</t>
  </si>
  <si>
    <t>2025-11-04</t>
  </si>
  <si>
    <t>5890U型号；英规插头，USB（电脑）+蓝牙；打印速度70mm/秒，驱动程序：Win 9X ,Win 2000 ,Win 2003,Win XP,Win Vista,Win 7,Win8,Win10,Win11，Linux，支持安卓、IOS（部分收银软件不兼容）、MAC、OPOS系统， 兼容 ESPON,SAMSUNG；628全新打印机芯；384点/行</t>
  </si>
  <si>
    <t>16.8cm*12cm*11.7cm</t>
  </si>
  <si>
    <t>2025-09-27</t>
  </si>
  <si>
    <t>英规插头，打印速度160mm/s，分辨率203dpi，支持USB，蓝牙，有效打印宽度25-100mm，最大纸张宽度104mm，电源适配件，电源线，USB线，用户手册，DC24V/2.5A</t>
  </si>
  <si>
    <t>21.5cm*18cm*12cm</t>
  </si>
  <si>
    <t>CC0938</t>
  </si>
  <si>
    <t>2025-11-13</t>
  </si>
  <si>
    <t>3B0099</t>
  </si>
  <si>
    <t>58mm小票打印机</t>
  </si>
  <si>
    <t>5890U型号；英规插头，USB（电脑）+蓝牙；打印速度70mm/秒，驱动程序：Win 9X ,Win 2000 ,Win 2003,Win XP,Win Vista,Win 7,Win8,Win10,Win11，Linux，支持安卓、IOS（部分收银软件不兼容）、MAC、OPOS系统，兼容 ESPON,SAMSUNG；628全新打印机芯；384点/行；</t>
  </si>
  <si>
    <t>12cm*10.5cm*10cm</t>
  </si>
  <si>
    <t>CC0939</t>
  </si>
  <si>
    <t>3B0100</t>
  </si>
  <si>
    <t>80mm小票打印机</t>
  </si>
  <si>
    <t>8360型号；英规插头；打印方式：直接行式热敏；字符大小：576点/行；打印参数：支持下载Logo商标打印 打印方式：直接行式热敏字符大小：576点/行；驱动程序：Win 9X ，Win 2000 ，Win 2003，Win XP，Win Vista，Win 7,Win8,win10,win11， Linux，支持安卓、iOS系统，兼容EPSON/SAMSUNG；打印速度：220毫米/秒；接口类型：USB/USB+网口/USB+蓝牙(可选）；打印命令：兼容ESC/POS命令；打印纸宽：79.5±0.5毫米(打印宽度72毫米)；打印纸外径：80毫米；打印纸厚：0.06-0.08毫米；电源：DC 24V/1.5A；自动切刀：全切或半切；可靠性：100公里；适应于各类商业零售POS系统，餐饮系统，工控系统等领域</t>
  </si>
  <si>
    <t>12cm*13.5cm*12.1cm</t>
  </si>
  <si>
    <t>CC0941</t>
  </si>
  <si>
    <t>3B0102</t>
  </si>
  <si>
    <t>4寸标签打印机</t>
  </si>
  <si>
    <t>9260A型号；英规插头;纯USB无蓝牙打印方式:直接行式热敏打印;打印速度:160mm/s (MAX);打印机械寿命:50km或1亿个脉冲;分辨率: 203dpi (8dot/mm);内部字库:可支持11种字体大小;打印LOGO:支持下载Logo商标打印(ESC/POS);打印命令:TSPL命令/(可选CPCL命令或ESC/POS命令);介质传感器:穿透式和反射式;通信接口: USB;热敏纸类型:连续纸、标签纸、折叠纸、吊牌纸;有效打印宽度:104mm (MAX 832点);支持纸张宽度:30-110mm;打印纸厚:0.06-0.30mm;电源:DC24V/2.5A；一维码:UPC-A /UPC-E / JAN13(EAN13) / JAN8(EAN8) / CODE39 / ITF /CODABAR/ CODE93 /CODE128；二维码:QR CODE、PDF417</t>
  </si>
  <si>
    <t>12.5cm*7.8cm*7.5cm</t>
  </si>
  <si>
    <t>CC0942</t>
  </si>
  <si>
    <t>9260B型号，英规插头；USB+；蓝牙打印方式:直接行式热敏打印;打印速度:160mm/s (MAX);打印机械寿命:50km或1亿个脉冲;分辨率: 203dpi (8dot/mm);内部字库:可支持11种字体大小;打印LOGO:支持下载Logo商标打印(ESC/POS);打印命令:TSPL命令/(可选CPCL命令或ESC/POS命令);介质传感器:穿透式和反射式;通信接口: USB+(蓝牙);热敏纸类型:连续纸、标签纸、折叠纸、吊牌纸;有效打印宽度:104mm (MAX 832点);支持纸张宽度:30-110mm;打印纸厚:0.06-0.30mm;电源:DC24V/2.5A；一维码:UPC-A /UPC-E / JAN13(EAN13) / JAN8(EAN8) / CODE39 / ITF /CODABAR/ CODE93 /CODE128；二维码:QR CODE、PDF417</t>
  </si>
  <si>
    <t>CC0711</t>
  </si>
  <si>
    <t>点钞机</t>
  </si>
  <si>
    <t>2025-10-16</t>
  </si>
  <si>
    <t>3B0042</t>
  </si>
  <si>
    <t>无磁带紫光（不带外显示），带欧规插头</t>
  </si>
  <si>
    <t>31cm*24.7cm*19cm</t>
  </si>
  <si>
    <t>CC0960</t>
  </si>
  <si>
    <t>2025-11-18</t>
  </si>
  <si>
    <t>3B0104</t>
  </si>
  <si>
    <t>997型外币点钞机</t>
  </si>
  <si>
    <t>英规插头；含外接计数器；电源：AC220V(1±10%)；50~60Hz；进钞容量：500张；出钞容量：200张；检测功能:UV,MG,IR；计数速度：800/1000/1200张/分钟；预置范围:1~999PCS</t>
  </si>
  <si>
    <t>25cm*24cm*22cm</t>
  </si>
  <si>
    <t>CC0963</t>
  </si>
  <si>
    <t>3B0107</t>
  </si>
  <si>
    <t>6088型外币点钞机</t>
  </si>
  <si>
    <t>英规插头；含外接计数器；钞速度≤1200 张/分钟；点钞尺寸范围：长度&lt;165 mm宽度&lt;85 mm；进钞容量：200 张；接钞容量：200 张；功耗：&gt;8Ow；电源：AC220V (50-60Hz)；工作环境：0°C-40°C</t>
  </si>
  <si>
    <t>30cm*27.5cm*19.8cm</t>
  </si>
  <si>
    <t>CC0976</t>
  </si>
  <si>
    <t>捆钞机</t>
  </si>
  <si>
    <t>3B0109</t>
  </si>
  <si>
    <t>英规插头；捆扎方式:热压粘接，可十字或双十字捆扎、全开放式扎把。；出带长度:实时调节；捆扎时间:&lt;2秒/把。；粘接温度:多级可调。；捆扎收紧力:可调。；电源电压:220V+10%，50Hz.；待机功率:&lt;7W。最大功率:45W。</t>
  </si>
  <si>
    <t>26cm*21cm*18cm</t>
  </si>
  <si>
    <t>CC0283</t>
  </si>
  <si>
    <t>便携储能电源</t>
  </si>
  <si>
    <t>2025-06-03</t>
  </si>
  <si>
    <t>3B0031</t>
  </si>
  <si>
    <t>便携电源</t>
  </si>
  <si>
    <t>英规插头，磷酸铁锂电池，电池容量12.8V、76.8WH，额定功率100W，交流输出电压220V/110V，交流输出频率50Hz/60Hz，直流输出电压DC5V、2.4A；2个USB；DC12V3A，2个DC5521，交流输出万能插座，带LED灯，LED显示屏，内置太阳能智能控制器，自动散热。充电线*1，说明书*1</t>
  </si>
  <si>
    <t>25cm*15cm*20cm</t>
  </si>
  <si>
    <t>CC0653</t>
  </si>
  <si>
    <t>2025-09-11</t>
  </si>
  <si>
    <t>3B0038</t>
  </si>
  <si>
    <t>JY004电源</t>
  </si>
  <si>
    <t>英规插头，交流输出电压220V/110V，交流输出频率50Hz/60Hz，直流输出电压DC5V、LED显示屏、两个交流输出万能插座，带照明灯，LED显示屏，内置太阳能智能控制器，自动散热、充电线*1，说明书*1</t>
  </si>
  <si>
    <t>28cm*18.5cm*16cm</t>
  </si>
  <si>
    <t>CC0655</t>
  </si>
  <si>
    <t>英规插头，修正弦波1000W、实际3.7v180000mAh，11.1v60AH；666WH、磷酸铁锂、交流输出电压220V/110V，交流输出频率50Hz/60Hz，直流输出电压DC5V、LED显示屏、两个交流输出万能插座，带照明灯，LED显示屏，内置太阳能智能控制器，自动散热、充电线*1，说明书*1书</t>
  </si>
  <si>
    <t>33.7cm*23.5cm*19.3cm</t>
  </si>
  <si>
    <t>CC1048</t>
  </si>
  <si>
    <t>家用音视频设备*投影仪</t>
  </si>
  <si>
    <t>2026-04-13</t>
  </si>
  <si>
    <t>3C0167</t>
  </si>
  <si>
    <t>投影仪Z300</t>
  </si>
  <si>
    <t>英标三脚插，3.0寸半密闭直投全自动对焦智能投影仪，物理分辨率1920*1080，亮度375ansi，Allwinner H713,1GB+8GB,安卓13，双频WiFi6，蓝牙5.4；带支架，带氛围灯（多色可随画面实时律动）整机功率72W，喇叭5W*2；自动对焦，支持无线同屏，支持上下自动梯形校正，支持多国语言：德语、英语、西班牙语、法语、意大利语、日语、韩语、葡萄牙语、俄语、简体中文、繁体中文；5W*2双声道喇叭。多色氛围灯，APP：color appstore-应用商店，Google play store，奈非-影音；油管-影音；white noise；transcreen-同屏软件；imirror-安卓同屏</t>
  </si>
  <si>
    <t>24cm*24cm*7.2cm</t>
  </si>
  <si>
    <t>3C-高亮直投自动对焦灯带投影仪N21米白色</t>
  </si>
  <si>
    <t>CC1185</t>
  </si>
  <si>
    <t>2026-05-19</t>
  </si>
  <si>
    <t>3C0133</t>
  </si>
  <si>
    <t>投影仪N21</t>
  </si>
  <si>
    <t>英标三脚插，高亮直投自动对焦灯带投影仪，物理分辨率1280*720，亮度200ansi，Allwinner H723,1GB+8GB,安卓14，WiFi6，蓝牙5.4；带支架，带氛围灯（功能：1.多色可随画面实时律动.2.缓升音量闹钟，模拟自然灯光渐变模式；山野晨光/迷雾森林/海滨日出/草原破晓。3.温柔助眠白噪音：篝火/海浪/鸟鸣/雨声）整机功率48W，喇叭5W*1；自动对焦，支持无线同屏，支持上下自动梯形校正，支持多国语言：德语、英语、西班牙语、法语、意大利语、日语、韩语、葡萄牙语、俄语、简体中文、繁体中文；5W*2双声道喇叭。多色氛围灯，APP：color appstore-应用商店，Google play store，奈非-影音；油管-影音；white noise；transcreen-同屏软件；imirror-安卓同屏</t>
  </si>
  <si>
    <t>20.7cm*21cm*6.8cm</t>
  </si>
  <si>
    <t>3C-高亮手动对焦投影仪V8白色</t>
  </si>
  <si>
    <t>CC1186</t>
  </si>
  <si>
    <t>3C0134</t>
  </si>
  <si>
    <t>投影仪V8</t>
  </si>
  <si>
    <t>英标三脚插，V8-高亮手动对焦投影仪，物理分辨率1280*720，亮度200ansi，Allwinner H726,1GB+8GB,安卓14，WiFi6，蓝牙4.0；整机功率60W，喇叭3W*1；支持无线同屏，支持上下自动梯形校正，支持多国语言：德语、英语、西班牙语、法语、意大利语、日语、韩语、葡萄牙语、俄语、简体中文、繁体中文；APP：color appstore-应用商店，Google play store，奈非-影音；油管-影音；white noise；transcreen-同屏软件；imirror-安卓同屏</t>
  </si>
  <si>
    <t>18.5cm*6cm*15.1cm</t>
  </si>
  <si>
    <t>3B-桌面碎纸机4L桶CS201C</t>
  </si>
  <si>
    <t>CC1061</t>
  </si>
  <si>
    <t>2026-02-04</t>
  </si>
  <si>
    <t>3B0136</t>
  </si>
  <si>
    <t>桌面粒状碎纸机</t>
  </si>
  <si>
    <t>英规插头；塑料外壳2张P5等级粒装碎纸机 ，4L桶</t>
  </si>
  <si>
    <t>35.5cm*18cm*9.5cm</t>
  </si>
  <si>
    <t>3C-触摸钢琴带琴谱架88键力度键LM600</t>
  </si>
  <si>
    <t>CC1079</t>
  </si>
  <si>
    <t>电钢琴</t>
  </si>
  <si>
    <t>2026-02-26</t>
  </si>
  <si>
    <t>3C0183</t>
  </si>
  <si>
    <t>触摸钢琴88键力度键LM600</t>
  </si>
  <si>
    <t>插头（英标三脚插)，多功能触摸功能面板黑色单琴力度键台湾芯片，适合初学者学习弹奏钢琴用，音色/节奏:128。耳机插口/MIDI接口/音频输入输出，金属单踏板，英文版说明书，电源，英文版外箱</t>
  </si>
  <si>
    <t>125.5cm*27cm*9.5cm</t>
  </si>
  <si>
    <t>3C-数码钢琴带琴谱架88键力度键LM200</t>
  </si>
  <si>
    <t>CC1080</t>
  </si>
  <si>
    <t>3C0184</t>
  </si>
  <si>
    <t>数码钢琴带琴谱架LM200</t>
  </si>
  <si>
    <t>插头（英标三脚插)，88键力度键键盘台湾芯片,单音色面板,木纹黑色,音色/节奏:128。耳机插口/MIDI接口/音频输入输出。适合初学者学习弹奏钢琴用，金属单踏板，英文版说明书，电源，英文版外箱</t>
  </si>
  <si>
    <t>125cm*27cm*9.5cm</t>
  </si>
  <si>
    <t>3C-电子架子鼓两鼓两镲MT10L</t>
  </si>
  <si>
    <t>CC1082</t>
  </si>
  <si>
    <t>3C0186</t>
  </si>
  <si>
    <t>电子架子鼓MT10L</t>
  </si>
  <si>
    <t>插头（英标三脚插)，6.5寸鼓盘*2、10寸镲片*2、踩镲踏板*1、地鼓踏板*1、插头、塑料鼓棒</t>
  </si>
  <si>
    <t>65cm*60cm*113cm</t>
  </si>
  <si>
    <t>CC1042</t>
  </si>
  <si>
    <t>2026-01-22</t>
  </si>
  <si>
    <t>无磁带紫光（不带外显示），带英规插头</t>
  </si>
  <si>
    <t>3B-硬币清分机5188</t>
  </si>
  <si>
    <t>CC1088</t>
  </si>
  <si>
    <t>硬币清分机</t>
  </si>
  <si>
    <t>3B0149</t>
  </si>
  <si>
    <t>硬币清分机5188</t>
  </si>
  <si>
    <t>英规插头；币斗容量500枚；点币速度200枚/分钟；硬币厚度1.0～3.4mm；硬币直径15.5～34mm；计数显示4位LCD；预置范围1-999；电源220V/50Hz；110V/60Hz；功率&lt;45W</t>
  </si>
  <si>
    <t>34cm*30cm*26.5cm</t>
  </si>
  <si>
    <t>3B-便携式点钞机V30</t>
  </si>
  <si>
    <t>CC1089</t>
  </si>
  <si>
    <t>3B0150</t>
  </si>
  <si>
    <t>便携式点钞机V30</t>
  </si>
  <si>
    <t>英规插头；速度600/分钟；电池100–240V 50/60HZ AC/DC或4节AA型电池；功能；计数功能；可计数钞票的尺寸130mm*50mm*180mm*100mm；显示屏幕3位数字最大999；机器、皮套、说明书、支架 *2、电源线</t>
  </si>
  <si>
    <t>21cm*12cm*9.5cm</t>
  </si>
  <si>
    <t>3B-微型电脑纸卡考勤机</t>
  </si>
  <si>
    <t>CC1090</t>
  </si>
  <si>
    <t>针式纸片打卡机</t>
  </si>
  <si>
    <t>3B0151</t>
  </si>
  <si>
    <t>微型考勤机</t>
  </si>
  <si>
    <t>英规插头；针式打印方式；正反识别；跨日设置；支持3组班次；自动位移；自动吸卡；音乐响铃；适配输出12v1.5a；插电款</t>
  </si>
  <si>
    <t>22cm*19cm*12cm</t>
  </si>
  <si>
    <t>CC1138</t>
  </si>
  <si>
    <t>家用储能电源</t>
  </si>
  <si>
    <t>2026-03-30</t>
  </si>
  <si>
    <t>3B0176</t>
  </si>
  <si>
    <t>家用储能电源HeroEE1</t>
  </si>
  <si>
    <t>英规插头；HeroEE 1（200W/1kWh)1.品牌：HITHIUM；2.用途家庭储能用；3.材质锂离子；4.型号HeroEE 1；5.电压/容量：3.2V/1kWh;6.不含汞；7.比能量:122.4Wh/kg</t>
  </si>
  <si>
    <t>32.5cm*27cm*172cm</t>
  </si>
  <si>
    <t>CC1139</t>
  </si>
  <si>
    <t>3B0177</t>
  </si>
  <si>
    <t>家用储能电源HeroEE2</t>
  </si>
  <si>
    <t>英规插头；HeroEE 2（1000W/2kWh)1. 品牌：HITHIUM；2.用途：家庭储能用；3.材质：锂离子；4.型号HeroEE 2；5.电压/容量：6.4V/2009.6Wh；6.不含汞；7.比能量122.4Wh/kg</t>
  </si>
  <si>
    <t>31.1cm*28.5cm*21cm</t>
  </si>
  <si>
    <t>CC1055</t>
  </si>
  <si>
    <t>2026-01-26</t>
  </si>
  <si>
    <t>3B0133</t>
  </si>
  <si>
    <t>储能电源ESP100</t>
  </si>
  <si>
    <t>英规插头；电池容量12.8V，76.8WH；9节18650锂电池单颗电芯容量2400mAh；额定功率100W，交流输出电压220V/110V，交流输出频率50Hz/60Hz，直流输出电压DC5V、2.4A；1个USB，1个C口支持平果手机充电；DC12V3A，2个DC5521，交流输出万能插座，带LED灯，LED显示屏，自动散热。充电线*1，说明书*1</t>
  </si>
  <si>
    <t>19cm*15cm*11cm</t>
  </si>
  <si>
    <t>CC1130</t>
  </si>
  <si>
    <t>储能电源</t>
  </si>
  <si>
    <t>3B0168</t>
  </si>
  <si>
    <t>储能电源G120</t>
  </si>
  <si>
    <t>英规插头；容量26400毫安时/97.68Wh；AC交流120w；电池高容量、高速率、可充电/放电锂离子电池；Type-C输入：5V/9V 3A；USB1/5V/2A；USB2/5V/3A；9V/2A，12V/1.5A；USB-C/5V/3A，9V/2A，12V/1.5A；DC;12V/6A</t>
  </si>
  <si>
    <t>22.3cm*15cm*15cm</t>
  </si>
  <si>
    <t>CC1134</t>
  </si>
  <si>
    <t>3B0172</t>
  </si>
  <si>
    <t>储能电源G300</t>
  </si>
  <si>
    <t>英规插头；容量70400mah/260wh；交流额定功率300w；无线充电5V/2A；10w；电池类型锂离子；Input：19V/3.42A；Output：USB1+USB2/5V3.1A；USB-C/5V3A/9V2A、12V1.5A；Max PowerDC12V8A、DC24V3A</t>
  </si>
  <si>
    <t>25.8cm*25cm*19cm</t>
  </si>
  <si>
    <t>CC1135</t>
  </si>
  <si>
    <t>3B0173</t>
  </si>
  <si>
    <t>储能电源R300</t>
  </si>
  <si>
    <t>英规插头；容量：80000mah，296wh；交流额定功率300w；电池：高容量、高放电率、充电/放电型锂离子电池；Input19V/3.42A；Output：USB1+USB2/5V3.1A；Type-c 5V3A/9V2A/12V1.5A；Max PowerDC12V8A、DC24V3A</t>
  </si>
  <si>
    <t>30cm*23cm*16cm</t>
  </si>
  <si>
    <t>CC1136</t>
  </si>
  <si>
    <t>3B0174</t>
  </si>
  <si>
    <t>储能电源R350</t>
  </si>
  <si>
    <t>英规插头；容量：70400mah/260wh；交流额定功率300w；无线充电 5V 2A，10 瓦；电池类型：锂离子；输入：19V/3.42A；输出：USB1 + USB2/5V/3.1A；USB-C/5V/3A/9V 2A/12V/1.5A；最大功率DC12V/8A、DC24V/3A</t>
  </si>
  <si>
    <t>31.8cm*19cm*18.2cm</t>
  </si>
  <si>
    <t>CC1137</t>
  </si>
  <si>
    <t>3B0175</t>
  </si>
  <si>
    <t>储能电源R600</t>
  </si>
  <si>
    <t>英规插头；容量：80000mah/296wh；交流额定功率600w；无线充电5V/2A，10w；电池类型：锂离子；输入19V/4.74A + PD100w；输出USB1/5V2.4A；USB2/5V3A/9V2A/12V1.5A；Type-c*2/5V3A/9V2A/12V1.5A，PD100w双向：5V9V12V15V3A、20V5A；灯泡类型：带3种模式的LED手电筒照明、闪光、紧急求救模式</t>
  </si>
  <si>
    <t>32cm*25.7cm*24.6cm</t>
  </si>
  <si>
    <t>CC1140</t>
  </si>
  <si>
    <t>便携式户外电源</t>
  </si>
  <si>
    <t>3B0178</t>
  </si>
  <si>
    <t>家用储能电源S167型</t>
  </si>
  <si>
    <t>电池:12.8V 167WH 磷酸铁锂，配：14.6V充电器1个，可光伏板充电，配：USB2.0 2个 ，220V插座1个，集成照明1个，额定功率:300W,类型：交流稳压电源,功率精度：&lt;10%泡灯,电动螺丝刀，小型电钻 小型电动工具 笔记本电脑   电风扇   电视机，手机，充电器充电时长：300W 以内小电器3A充电器 ，充电8小时左右，光伏板充电时长：功率：18V 30W，电流：1.6A，充电：8小时左右（阳光足的情况下），英插充电器3A1米长度</t>
  </si>
  <si>
    <t>41cm*25cm*11cm</t>
  </si>
  <si>
    <t>CC1141</t>
  </si>
  <si>
    <t>3B0179</t>
  </si>
  <si>
    <t>家用储能电源S192型</t>
  </si>
  <si>
    <t>电池:12.8V 192WH 磷酸铁锂，配:14.6VC充电器1个，可光伏充电，配：USB2.0 3个， 12V DC 5521插孔3个，220v 插座1个，集成照明1个，额定功率:300W，类型：交流稳压电源，功率精度：&lt;10%球泡灯，电动螺丝刀，小型电钻 小型电动工具，笔记本电脑   电风扇   电视机，手机，充电器充电时长：300W 以内小电器3A充电器 ，充电8小时左右，光伏板充电时长：功率：18V 35W，电流：1.9A，充电：8小时左右（阳光足的情况下），英插充电器3A1米长度</t>
  </si>
  <si>
    <t>29.5cm*19cm*17.5cm</t>
  </si>
  <si>
    <t>CC1142</t>
  </si>
  <si>
    <t>工具电源系统</t>
  </si>
  <si>
    <t>3B0180</t>
  </si>
  <si>
    <t>家用储能电源S75型</t>
  </si>
  <si>
    <t>电池：12.8V 76.8WH 磷酸铁锂，配：14.6V充电器1个，可光伏板充电，配：USB2.0 2个 DC5521插头2个，220V插座1个，集成照明1个，额定功率:100W，类型：交流稳压电源，功率精度：&lt;10%球泡灯，电动螺丝刀，小型电钻 小型电动工具，笔记本电脑   电风扇 ，手机，充电器充电时长：100W 以内小电器2A充电器 ，充电5-6小时左右，光伏板充电时长：功率：18V 15W，电流：0.8A，充电：8小时左右（阳光足的情况下），英插充电器2A1米长度</t>
  </si>
  <si>
    <t>21.5cm*19cm*15.5cm</t>
  </si>
  <si>
    <t>M5CC2861163</t>
  </si>
  <si>
    <t>3C-10W吉他电音箱</t>
  </si>
  <si>
    <t>CC1163</t>
  </si>
  <si>
    <t>音箱</t>
  </si>
  <si>
    <t>2026-05-07</t>
  </si>
  <si>
    <t>3C0212</t>
  </si>
  <si>
    <t>10W吉他电音箱</t>
  </si>
  <si>
    <t>英标三脚插，参数：10W 0.5A 50HZ；材质：密度板+皮革；功能：高低音、过载、音量。10W电音箱</t>
  </si>
  <si>
    <t>25.5cm*8.5cm*27cm</t>
  </si>
  <si>
    <t>3B-便携式太阳能一体储能电源</t>
  </si>
  <si>
    <t>CC0284</t>
  </si>
  <si>
    <t>英规插头，磷酸铁锂电池，电池容量12.8V,76.8WH；自带太阳能板规格16v12w，内置太阳能智能控制器，自动散热，额定功率100W，交流输出电压220V/110V，交流输出频率50Hz/60Hz，交流输出万能插座，直流输出电压USB*1输出QC18W；PD*1输出最大20W，带LED灯。AV充电器*1</t>
  </si>
  <si>
    <t>25.3cm*21.4cm*8.4cm</t>
  </si>
  <si>
    <t>CC0144</t>
  </si>
  <si>
    <t>2022-04-29</t>
  </si>
  <si>
    <t>2025-03-01</t>
  </si>
  <si>
    <t>10.5cm*7.8cm*4.7cm</t>
  </si>
  <si>
    <t>3C-投影仪支架</t>
  </si>
  <si>
    <t>CC0138</t>
  </si>
  <si>
    <t>投影仪支架-2</t>
  </si>
  <si>
    <t>2022-04-22</t>
  </si>
  <si>
    <t>2024-01-01</t>
  </si>
  <si>
    <t>3C0002</t>
  </si>
  <si>
    <t>投影仪支架系列</t>
  </si>
  <si>
    <t>金属材质、支架、最大可调节 1.2 米M、最大承重60公斤</t>
  </si>
  <si>
    <t>60cm*12cm</t>
  </si>
  <si>
    <t>3C-投影仪支架托盘</t>
  </si>
  <si>
    <t>CZ0139</t>
  </si>
  <si>
    <t>3C9999</t>
  </si>
  <si>
    <t>金属材质、加厚型托盘</t>
  </si>
  <si>
    <t>26cm*36cm*1.5cm</t>
  </si>
  <si>
    <t>3C-投影仪支架螺丝</t>
  </si>
  <si>
    <t/>
  </si>
  <si>
    <t>螺丝配件</t>
  </si>
  <si>
    <t>2022-07-14</t>
  </si>
  <si>
    <t>投影仪支架螺丝</t>
  </si>
  <si>
    <t>3C-加粗2.1米三角支架</t>
  </si>
  <si>
    <t>CC0108</t>
  </si>
  <si>
    <t>摄影器材支架</t>
  </si>
  <si>
    <t>2023-12-16</t>
  </si>
  <si>
    <t>2.1米（0.25厚钢管）</t>
  </si>
  <si>
    <t>68cm*6.5cm*6.5cm</t>
  </si>
  <si>
    <t>T2CC1060466</t>
  </si>
  <si>
    <t>3C-32寸电视气泡柱加厚款</t>
  </si>
  <si>
    <t>气泡柱</t>
  </si>
  <si>
    <t>2023-05-30</t>
  </si>
  <si>
    <t>3C0016</t>
  </si>
  <si>
    <t>电视气泡柱</t>
  </si>
  <si>
    <t>板尺寸：105*138cm，每套2个</t>
  </si>
  <si>
    <t>105cm*138cm</t>
  </si>
  <si>
    <t>T2CC1060467</t>
  </si>
  <si>
    <t>3C-43寸电视气泡柱加厚款</t>
  </si>
  <si>
    <t>板尺寸：110*177cm，每套2个</t>
  </si>
  <si>
    <t>110cm*177cm</t>
  </si>
  <si>
    <t>T2CC1060478</t>
  </si>
  <si>
    <t>3C-50寸电视气泡柱加厚款</t>
  </si>
  <si>
    <t>2023-06-09</t>
  </si>
  <si>
    <t>板尺寸：110*195cm，每套2个</t>
  </si>
  <si>
    <t>110cm*195cm</t>
  </si>
  <si>
    <t>CC0036</t>
  </si>
  <si>
    <t>电视支架</t>
  </si>
  <si>
    <t>2023-01-31</t>
  </si>
  <si>
    <t>2024-04-01</t>
  </si>
  <si>
    <t>壁挂电视支架</t>
  </si>
  <si>
    <t>升级款双臂适用32-70寸</t>
  </si>
  <si>
    <t>67.5cm*39cm*24cm</t>
  </si>
  <si>
    <t>CC0040</t>
  </si>
  <si>
    <t>3C0007</t>
  </si>
  <si>
    <t>英文说明书英文包装、X400适用32-55寸</t>
  </si>
  <si>
    <t>44cm*32.5cm*24.5cm</t>
  </si>
  <si>
    <t>CC0079</t>
  </si>
  <si>
    <t>适用于：14-42寸、最大承重量25KG、英文说明书，中性包装</t>
  </si>
  <si>
    <t>30cm*20cm*2.5cm</t>
  </si>
  <si>
    <t>T2CC1120081</t>
  </si>
  <si>
    <t>3C-H型14至55寸电视壁架</t>
  </si>
  <si>
    <t>CC0081</t>
  </si>
  <si>
    <t>2026-04-28</t>
  </si>
  <si>
    <t>402、承重50kg、适用于26寸-55寸、冷轧板、含膨胀丝等安装螺丝</t>
  </si>
  <si>
    <t>57cm*40cm*24cm</t>
  </si>
  <si>
    <t>CC0005</t>
  </si>
  <si>
    <t>保险箱</t>
  </si>
  <si>
    <t>2023-02-14</t>
  </si>
  <si>
    <t>2024-11-01</t>
  </si>
  <si>
    <t>3B0001</t>
  </si>
  <si>
    <t>小尺寸保险箱</t>
  </si>
  <si>
    <t>23*17*17密码+钥匙</t>
  </si>
  <si>
    <t>23cm*17cm*17cm</t>
  </si>
  <si>
    <t>CC0315</t>
  </si>
  <si>
    <t>35*25*25cm、支持密码、机械解锁</t>
  </si>
  <si>
    <t>35cm*25cm*25cm</t>
  </si>
  <si>
    <t>CC0316</t>
  </si>
  <si>
    <t>2023-03-11</t>
  </si>
  <si>
    <t>2024-05-01</t>
  </si>
  <si>
    <t>31*20*20cm、支持密码、机械解锁</t>
  </si>
  <si>
    <t>31cm*20cm*20cm</t>
  </si>
  <si>
    <t>CC0194</t>
  </si>
  <si>
    <t>收银箱</t>
  </si>
  <si>
    <t>3B0009</t>
  </si>
  <si>
    <t>手提收银箱</t>
  </si>
  <si>
    <t>钱盒、四格五档双层钥匙款、</t>
  </si>
  <si>
    <t>30cm*24cm*9cm</t>
  </si>
  <si>
    <t>CC0160</t>
  </si>
  <si>
    <t>显示器支架</t>
  </si>
  <si>
    <t>2023-03-01</t>
  </si>
  <si>
    <t>3C0009</t>
  </si>
  <si>
    <t>单臂显示器支架</t>
  </si>
  <si>
    <t>适用于13寸-27寸显示器的单臂支架，180°旋转，360°旋转，倾斜度：-45~+45°</t>
  </si>
  <si>
    <t>44cm*19.5cm*6.6cm</t>
  </si>
  <si>
    <t>CC0161</t>
  </si>
  <si>
    <t>3C0004</t>
  </si>
  <si>
    <t>双臂显示器支架</t>
  </si>
  <si>
    <t>适用于13寸-27寸显示器的双臂支架，180°旋转，360°旋转，倾斜度：-45~+45°</t>
  </si>
  <si>
    <t>44.2cm*21cm*6.6cm</t>
  </si>
  <si>
    <t>CC0162</t>
  </si>
  <si>
    <t>通用双屏液晶显示器支架，带笔记本电脑托盘</t>
  </si>
  <si>
    <t>42cm*33cm*8cm</t>
  </si>
  <si>
    <t>CC0559</t>
  </si>
  <si>
    <t>2023-09-05</t>
  </si>
  <si>
    <t>3C0027</t>
  </si>
  <si>
    <t>增高显示器支架</t>
  </si>
  <si>
    <t>耐用金属搁板适合平板显示器、笔记本电脑和打印机，承重：20kg，高度可调节</t>
  </si>
  <si>
    <t>39.2cm*24.6cm*3cm</t>
  </si>
  <si>
    <t>CC0560</t>
  </si>
  <si>
    <t>带抽屉，耐用金属搁板适合平板显示器、笔记本电脑和打印机，承重：20kg，高度可调节</t>
  </si>
  <si>
    <t>37cm*23cm*14.5cm</t>
  </si>
  <si>
    <t>T2CZ0590356</t>
  </si>
  <si>
    <t>3C-投影仪支架云台</t>
  </si>
  <si>
    <t>投影仪支架</t>
  </si>
  <si>
    <t>2023-02-07</t>
  </si>
  <si>
    <t>售后支架云台</t>
  </si>
  <si>
    <t>T2CZ1480155</t>
  </si>
  <si>
    <t>3C-安卓电视机遥控器</t>
  </si>
  <si>
    <t>遥控器</t>
  </si>
  <si>
    <t>电视机遥控器</t>
  </si>
  <si>
    <t>安卓电视机遥控器</t>
  </si>
  <si>
    <t>T2CZ1480156</t>
  </si>
  <si>
    <t>3C-数字电视机遥控器</t>
  </si>
  <si>
    <t>数字电视机遥控器</t>
  </si>
  <si>
    <t>CC0516</t>
  </si>
  <si>
    <t>2024-01-27</t>
  </si>
  <si>
    <t>3B0007</t>
  </si>
  <si>
    <t>商超收银箱</t>
  </si>
  <si>
    <t>335钱箱固定款、定制不含箱内数字、ABS材质、纸币格4格，硬币格3格。三档锁</t>
  </si>
  <si>
    <t>33.5cm*36.8cm*8cm</t>
  </si>
  <si>
    <t>CC0517</t>
  </si>
  <si>
    <t>405钱箱五档六格固定款、三档锁</t>
  </si>
  <si>
    <t>40.5cm*42cm*10cm</t>
  </si>
  <si>
    <t>T3CC1030076</t>
  </si>
  <si>
    <t>3B-磁吸数显快充充电宝10000mAh</t>
  </si>
  <si>
    <t>CC0076</t>
  </si>
  <si>
    <t>2024-06-27</t>
  </si>
  <si>
    <t>磁吸充电宝</t>
  </si>
  <si>
    <t>型号:W017快充实标10000毫安，电池:136074*1片，材质:PC+ABS，USB1-2输出:4.5V5A5V3A9V2A12V1.6A；Type-C输出:5V3A9V2.2A12V1.6A；Type-C输入:5V3A9V2A12V1.5A；无线充输出;15W；配件：充电宝*1、数据线*1、说明书*1</t>
  </si>
  <si>
    <t>10.3cm*6.8cm*2cm</t>
  </si>
  <si>
    <t>CC0155</t>
  </si>
  <si>
    <t>胶囊充电宝</t>
  </si>
  <si>
    <t>型号:T186真显；电池:21700*1；电池容量：3000mAh；带真实电量数显；内含type-c数据线*1；配材质:PC+ABS；尺寸:81*28.5*49mm；输入:5V/2A输出:5V/2A；材质：PC+ABS</t>
  </si>
  <si>
    <t>8.1cm*4.9cm*2.8cm</t>
  </si>
  <si>
    <t>T3CC1060601</t>
  </si>
  <si>
    <t>3C-55寸电视气泡柱加厚款</t>
  </si>
  <si>
    <t>2023-11-30</t>
  </si>
  <si>
    <t>2023-12-01</t>
  </si>
  <si>
    <t>板尺寸：100cm*195cm，加厚，每套2个，用于55寸电视机包装</t>
  </si>
  <si>
    <t>100cm*195cm</t>
  </si>
  <si>
    <t>T3CC1060652</t>
  </si>
  <si>
    <t>3C-气泡柱卷L150米</t>
  </si>
  <si>
    <t>2024-04-09</t>
  </si>
  <si>
    <t>3C0041</t>
  </si>
  <si>
    <t>气泡柱卷</t>
  </si>
  <si>
    <t>一卷长度150米，直径0.2米，宽度1米，充气后宽度0.96米。</t>
  </si>
  <si>
    <t>100cm*20cm*20cm</t>
  </si>
  <si>
    <t>CC0404</t>
  </si>
  <si>
    <t>2024-03-01</t>
  </si>
  <si>
    <t>型号：HD602B、适用于：23*55寸、冷轧板材质、英文说明书</t>
  </si>
  <si>
    <t>53cm*49cm*22cm</t>
  </si>
  <si>
    <t>CC0604</t>
  </si>
  <si>
    <t>电视支架托盘</t>
  </si>
  <si>
    <t>3C0038</t>
  </si>
  <si>
    <t>移动电视支架</t>
  </si>
  <si>
    <t>适用于：32-70寸电视移动支架专用中托盘。材质：冷轧板</t>
  </si>
  <si>
    <t>48cm*29.5cm*0.5cm</t>
  </si>
  <si>
    <t>CC0605</t>
  </si>
  <si>
    <t>适用于：32-70寸、材质：冷轧板；无上托盘和中托盘。</t>
  </si>
  <si>
    <t>90cm*66cm*165cm至200cm</t>
  </si>
  <si>
    <t>CC0672</t>
  </si>
  <si>
    <t>银钱盒</t>
  </si>
  <si>
    <t>3B0022</t>
  </si>
  <si>
    <t>迷你收银箱</t>
  </si>
  <si>
    <t>钥匙款，中号，高度24cm</t>
  </si>
  <si>
    <t>24cm*15.5cm*5.5cm</t>
  </si>
  <si>
    <t>CC0673</t>
  </si>
  <si>
    <t>密码款，中号，高度24cm</t>
  </si>
  <si>
    <t>CC0045</t>
  </si>
  <si>
    <t>2024-10-10</t>
  </si>
  <si>
    <t>3C0005</t>
  </si>
  <si>
    <t>气钢双臂显示器支架</t>
  </si>
  <si>
    <t>双臂支架适合屏幕13-34寸，气压调节，倾斜角度+70°至-45°，旋转范围+90°至-90°，适合桌面厚度10-70mm。</t>
  </si>
  <si>
    <t>39.5cm*25.5cm*9.5cm</t>
  </si>
  <si>
    <t>CC0169</t>
  </si>
  <si>
    <t>3C0003</t>
  </si>
  <si>
    <t>气钢单臂显示器支架</t>
  </si>
  <si>
    <t>单臂支架适合屏幕13-34寸，气压调节，倾斜角度+70°至-45°，旋转范围+90°至-90°，适合桌面厚度10-70mm。</t>
  </si>
  <si>
    <t>39cm*20cm*9cm</t>
  </si>
  <si>
    <t>CC0257</t>
  </si>
  <si>
    <t>2024-11-12</t>
  </si>
  <si>
    <t>3C0054</t>
  </si>
  <si>
    <t>立式显示器支架</t>
  </si>
  <si>
    <t>显示器尺寸: 32"-55"
VESA:100x100,200x100,200x200,300x200,400x200,300x300,400x300,400x400，最大承重（屏幕）25kg，屏幕倾斜（前后）+5°~-0°</t>
  </si>
  <si>
    <t>154.5cm*40.3cm*35.2cm</t>
  </si>
  <si>
    <t>CC0279</t>
  </si>
  <si>
    <t>3C0061</t>
  </si>
  <si>
    <t>桌面显示器支架</t>
  </si>
  <si>
    <t>适配：32-55寸，最大承重40KG，VESA最大400*400；产品尺寸：400*260*660.5；钢化玻璃尺寸：400*260*8mm;挂钩2档高度调节，每当45mm调节，产品高度2档调节最高660.5mm.最小430.5mm</t>
  </si>
  <si>
    <t>66cm*40cm*26cm</t>
  </si>
  <si>
    <t>CC0064</t>
  </si>
  <si>
    <t>吉他套装</t>
  </si>
  <si>
    <t>3C0047</t>
  </si>
  <si>
    <t>吉他</t>
  </si>
  <si>
    <t>38寸圆角吉他*1、拨片*2、琴弦*1</t>
  </si>
  <si>
    <t>96.5cm*42cm*10.5cm</t>
  </si>
  <si>
    <t>CC0210</t>
  </si>
  <si>
    <t>38寸圆角，亮面：吉他*1、拨片*2、琴弦*1</t>
  </si>
  <si>
    <t>CC0228</t>
  </si>
  <si>
    <t>2024-09-14</t>
  </si>
  <si>
    <t>38寸圆角吉他，拨片*2+琴弦*1+琴包*1+调音笛*1</t>
  </si>
  <si>
    <t>CC0261</t>
  </si>
  <si>
    <t>38寸缺角吉他、包、原木色</t>
  </si>
  <si>
    <t>CC0280</t>
  </si>
  <si>
    <t>38寸缺角吉他、包、黑色</t>
  </si>
  <si>
    <t>CC0688</t>
  </si>
  <si>
    <t>CC0689</t>
  </si>
  <si>
    <t>21寸尤克里里*1、拨片*2、琴弦*1</t>
  </si>
  <si>
    <t>53.5cm*20cm*6.7cm</t>
  </si>
  <si>
    <t>CC0572</t>
  </si>
  <si>
    <t>游戏手柄</t>
  </si>
  <si>
    <t>2023-10-07</t>
  </si>
  <si>
    <t>3C0030</t>
  </si>
  <si>
    <t>360游戏手柄</t>
  </si>
  <si>
    <t>型号NJP301B，USB有线连接，数字模拟，非对称双震动，连接线2米，适用设备：PC电脑、PC360、PS3主机、安卓系统。</t>
  </si>
  <si>
    <t>15.2cm*10.5cm*5.8cm</t>
  </si>
  <si>
    <t>CC0622</t>
  </si>
  <si>
    <t>2024-09-01</t>
  </si>
  <si>
    <t>T3CC1800664</t>
  </si>
  <si>
    <t>3C-铜纤维游戏指套</t>
  </si>
  <si>
    <t>CC0664</t>
  </si>
  <si>
    <t>游戏指套</t>
  </si>
  <si>
    <t>2024-05-06</t>
  </si>
  <si>
    <t>2024-06-01</t>
  </si>
  <si>
    <t>3C0046</t>
  </si>
  <si>
    <t>铜纤维手指套一对装，24针工艺</t>
  </si>
  <si>
    <t>7cm*7cm*6.5cm</t>
  </si>
  <si>
    <t>CC0666</t>
  </si>
  <si>
    <t>3C0044</t>
  </si>
  <si>
    <t>X3游戏手柄</t>
  </si>
  <si>
    <t>ABS材质壳料，手柄有配充电线，手柄内置聚合物电池350毫安，手柄不带震动，手柄配手机支架，充电线0.5M（或另购数据线），说明书，支持安卓系统，苹果手机，电脑，PS3主机，PS4主机，SWITCH主机</t>
  </si>
  <si>
    <t>17cm*11cm*6.5cm</t>
  </si>
  <si>
    <t>2024-01-02</t>
  </si>
  <si>
    <t>3C-投影仪支架云台32cm*25cm</t>
  </si>
  <si>
    <t>CC0608</t>
  </si>
  <si>
    <t>2023-12-28</t>
  </si>
  <si>
    <t>金属，尺寸32cm*25cm，厚度0.8mm，海绵垫*1，绑带*2，  底盘螺丝接口是3/8的</t>
  </si>
  <si>
    <t>32cm*25cm*1.5cm</t>
  </si>
  <si>
    <t>3C-投影仪支架1.2米</t>
  </si>
  <si>
    <t>CC0611</t>
  </si>
  <si>
    <t>2024-01-09</t>
  </si>
  <si>
    <t>支架长度78.5cm-120cm*7.5cm-42cm，金属材质、支架、最大可调节 1.2 米，最大承重20公斤</t>
  </si>
  <si>
    <t>78.5cm*8cm*8cm</t>
  </si>
  <si>
    <t>CC0582</t>
  </si>
  <si>
    <t>显示器</t>
  </si>
  <si>
    <t>2024-03-19</t>
  </si>
  <si>
    <t>3C0033</t>
  </si>
  <si>
    <t>15.6寸便携显示器触摸款</t>
  </si>
  <si>
    <t>触摸版，不配皮套，15.6英寸，分辨率1920*1080P，IPS面板，显示比例16：9，刷新率60Hz，最大亮度240cd/㎡，全塑胶+小支架，电源输入5V-20V，功耗≤15W，内置音箱，HDR功能，USB供电；产品接口：TYPE-C信号输入 *1，迷你HDMI信号输入 *1，Type-C电源输入 *1，3.5mm音频输出 * 1；包装清单：显示器主机 *1，HDMI线 *1，TYPE-C to TYPE-C线 *1，USB 供电线 *2，说明书 *1</t>
  </si>
  <si>
    <t>35.5cm*22.2cm*1.3cm</t>
  </si>
  <si>
    <t>CC0583</t>
  </si>
  <si>
    <t>3C0080</t>
  </si>
  <si>
    <t>15.6寸便携显示器非触摸款</t>
  </si>
  <si>
    <t>无触摸版，不配皮套，15.6英寸，分辨率1920*1080P，IPS面板，显示比例16：9，刷新率60Hz，最大亮度240cd/㎡，全塑胶+小支架，电源输入5V-20V，功耗≤15W，内置音箱，HDR功能，USB供电；产品接口：TYPE-C信号输入 *1，迷你HDMI信号输入 *1，Type-C电源输入 *1，3.5mm音频输出 * 1；包装清单：显示器主机 *1，HDMI线 *1，TYPE-C to TYPE-C线 *1，USB 供电线 *1，说明书 *1</t>
  </si>
  <si>
    <t>CC0678</t>
  </si>
  <si>
    <t>2024-06-04</t>
  </si>
  <si>
    <t>3C0081</t>
  </si>
  <si>
    <t>11.6寸便携显示器非触摸款</t>
  </si>
  <si>
    <t>无触摸版，配皮套，11.6英寸，分辨率1366*768P，显示比例16：9，刷新率60Hz，最大亮度240cd/㎡，全塑胶，电源输入5V-20V，功耗≤15W，内置音箱，USB供电；产品接口：TYPE-C信号输入 *1，迷你HDMI信号输入 *1，Type-C电源输入 *1，3.5mm音频输出 * 1；包装清单：显示器主机 *1，HDMI线 *1，TYPE-C to TYPE-C线 *1，USB 供电线 *1，说明书 *1，皮套*1</t>
  </si>
  <si>
    <t>28cm*18cm*1.5cm</t>
  </si>
  <si>
    <t>CC0633</t>
  </si>
  <si>
    <t>3C0040</t>
  </si>
  <si>
    <t>型号1427B，37个黑白琴键，不带插头，电池款（3个五号电池插槽），英文版包装</t>
  </si>
  <si>
    <t>35cm*13cm*4cm</t>
  </si>
  <si>
    <t>CC0634</t>
  </si>
  <si>
    <t>型号6106，61个黑白琴键，不带插头，配USB线*1，话筒*1，英文包装、英文说明书</t>
  </si>
  <si>
    <t>51cm*16.5cm*5cm</t>
  </si>
  <si>
    <t>CC0595</t>
  </si>
  <si>
    <t>3B0020</t>
  </si>
  <si>
    <t>太阳能摄像头</t>
  </si>
  <si>
    <t>V360系统，WIFI版，联网方式WIFI-2.4GHz，300W像素，数字变焦，4倍变焦，垂直旋转90°，水平旋转角度355°；分辨率1920*1080；电压5V2A，太阳能供电，焦距4mm；红外夜视距离8-15米。设备扫码添加，WiFi连接；防水防雷，语音对讲，人形追踪，手机报警。支持各类手机远程监控（IOS,Android）；支持8-128GTF卡存储；太阳能整套含5节电池（10000mah)含7W光伏板。英文包装、英文说明书。</t>
  </si>
  <si>
    <t>37.4cm*27cm*21cm</t>
  </si>
  <si>
    <t>CC0642</t>
  </si>
  <si>
    <t>户外摄像头</t>
  </si>
  <si>
    <t>8灯双目，联网方式WIFI-2.4GHz，200万像素，分辨率1920*1080；垂直旋转20°，水平转速350°，垂直转速30°/S；室内款不防水；电压AC110V-220V；红外夜视距离20米；自动光圈，电源供电；镜头3.6mm，焦距4mm；支持语音监听，对讲，移动侦测、声音侦测报警；无线网络802.11b/g/n；支持云存储/TF卡存储；支持各类手机远程监控（IOS,Android）；英文包装、英文说明书。英文包装、英文说明书。</t>
  </si>
  <si>
    <t>17cm*9.5cm*8cm</t>
  </si>
  <si>
    <t>CC0380</t>
  </si>
  <si>
    <t>配遥控器、出4+64G，双wifi
google ATV 版本，无蓝牙</t>
  </si>
  <si>
    <t>8.9cm*3.5cm*1.5cm</t>
  </si>
  <si>
    <t>T3CC1980683</t>
  </si>
  <si>
    <t>CC0683</t>
  </si>
  <si>
    <t>教具白板</t>
  </si>
  <si>
    <t>2024-06-24</t>
  </si>
  <si>
    <t>3B0024</t>
  </si>
  <si>
    <t>磁吸白板</t>
  </si>
  <si>
    <t>30*45CM,镀锌背板，铝合金边框，蜂窝板，哑光高分子树脂烤漆涂层面板。一支红笔，一支黑笔，一块黑板擦。</t>
  </si>
  <si>
    <t>45cm*30cm*2cm</t>
  </si>
  <si>
    <t>T3CC1980686</t>
  </si>
  <si>
    <t>CC0686</t>
  </si>
  <si>
    <t>支架</t>
  </si>
  <si>
    <t>3B0023</t>
  </si>
  <si>
    <t>白板支架</t>
  </si>
  <si>
    <t>60-100CM白板通用支架，铁质，八个螺丝，四个轮子。</t>
  </si>
  <si>
    <t>100cm*60cm*2cm</t>
  </si>
  <si>
    <t>3C-数码相机银色6400万像素</t>
  </si>
  <si>
    <t>CC0072</t>
  </si>
  <si>
    <t>数码相机</t>
  </si>
  <si>
    <t>银色，6400万像素，2.8"高清显示屏，英语、简体中文、繁体中文、日本语、德语、法语、意大利语、西班牙语、葡萄牙语、俄语、韩语、泰语，锂离子电池(BL-5B)，usb、擦镜布、说明书、挂绳。</t>
  </si>
  <si>
    <t>15cm*15cm*7cm</t>
  </si>
  <si>
    <t>CC0101</t>
  </si>
  <si>
    <t>展示台</t>
  </si>
  <si>
    <t>2024-07-18</t>
  </si>
  <si>
    <t>3C0050</t>
  </si>
  <si>
    <t>插电式展示台</t>
  </si>
  <si>
    <t>直径:20cm，高度:5.5cm，最大承重:约3kg，方向:顺逆可调，转速:25秒每圈，电源:插电5V，13cm底座*1、20cm托盘*1、说明书*1、合格证*1、type-c数据线*1</t>
  </si>
  <si>
    <t>20cm*13cm*5.5cm</t>
  </si>
  <si>
    <t>CC0102</t>
  </si>
  <si>
    <t>直径:13cm，高度:4.5cm，最大承重:约3kg，方向:顺逆可调，转速:25秒每圈，电源:插电5V，13cm底座*1、说明书*1、合格证*1、type-c数据线*1</t>
  </si>
  <si>
    <t>13cm*10cm*4.5cm</t>
  </si>
  <si>
    <t>CC0111</t>
  </si>
  <si>
    <t>CC0227</t>
  </si>
  <si>
    <t>2024-09-12</t>
  </si>
  <si>
    <t>CC0167</t>
  </si>
  <si>
    <t>扫码枪</t>
  </si>
  <si>
    <t>3B0011</t>
  </si>
  <si>
    <t>一维扫描枪</t>
  </si>
  <si>
    <t>材质：ABS;参数：CCD,扫描一维码。它是用于读取条码所包含信息的阅读设备，利用光学原理，把条形码的内容解码后通过数据线或者无线的方式传输到电脑或者别的设备。</t>
  </si>
  <si>
    <t>150cm*70cm*95cm</t>
  </si>
  <si>
    <t>CC0171</t>
  </si>
  <si>
    <t>材质：ABS;参数：CCD,扫描一维码，电池容量：1200mah。它是用于读取条码所包含信息的阅读设备，利用光学原理，把条形码的内容解码后通过数据线或者无线的方式传输到电脑或者别的设备。</t>
  </si>
  <si>
    <t>CC0172</t>
  </si>
  <si>
    <t>3B0010</t>
  </si>
  <si>
    <t>二维扫描枪</t>
  </si>
  <si>
    <t>材质：ABS;参数：CMOS,扫描一维码,二维码。它是用于读取条码所包含信息的阅读设备，利用光学原理，把条形码的内容解码后通过数据线或者无线的方式传输到电脑或者别的设备。</t>
  </si>
  <si>
    <t>CC0173</t>
  </si>
  <si>
    <t>材质：ABS;参数：CMOS,扫描一维码，二维码;电池容量：1200mah。它是用于读取条码所包含信息的阅读设备，利用光学原理，把条形码的内容解码后通过数据线或者无线的方式传输到电脑或者别的设备。</t>
  </si>
  <si>
    <t>CC0174</t>
  </si>
  <si>
    <t>CC0176</t>
  </si>
  <si>
    <t>3C0052</t>
  </si>
  <si>
    <t>手卷鼓</t>
  </si>
  <si>
    <t>型号G3002，硅胶鼓垫，可折叠，无内置扬声器，带耳机/扬声器插座，插电款或安装电池供电（出货不含电池），8个示范曲，5个音色，3个节拍器，USB MIDI、AUX功能（连接手机音乐），配一对木棒</t>
  </si>
  <si>
    <t>43cm*26cm*0.3cm</t>
  </si>
  <si>
    <t>CC0275</t>
  </si>
  <si>
    <t>无线蓝牙鼠标</t>
  </si>
  <si>
    <t>2024-10-29</t>
  </si>
  <si>
    <t>蓝牙鼠标</t>
  </si>
  <si>
    <t>蓝牙匹配名BT5.2 Mouse，Type-C充电接口，内置锂电池 400mAh，工作电压3.1-4.2V，RGB背光，最长持续工作约49小时。</t>
  </si>
  <si>
    <t>11cm*5.6cm*1.5cm</t>
  </si>
  <si>
    <t>CC0276</t>
  </si>
  <si>
    <t>CC0264</t>
  </si>
  <si>
    <t>密码盒</t>
  </si>
  <si>
    <t>3B0027</t>
  </si>
  <si>
    <t>ABS塑料盒子、带密码锁</t>
  </si>
  <si>
    <t>10.5cm*8.55cm*5cm</t>
  </si>
  <si>
    <t>CC0265</t>
  </si>
  <si>
    <t>一半半锌合金、一半半塑料、带密码锁、软钢丝绳</t>
  </si>
  <si>
    <t>13cm*10cm*5cm</t>
  </si>
  <si>
    <t>CC0270</t>
  </si>
  <si>
    <t>电脑支架</t>
  </si>
  <si>
    <t>3C0058</t>
  </si>
  <si>
    <t>金属笔记本支架</t>
  </si>
  <si>
    <t>产品材质：铝合金、可调高度：6档高度调节</t>
  </si>
  <si>
    <t>26.8cm*5cm*2.2cm</t>
  </si>
  <si>
    <t>CC0272</t>
  </si>
  <si>
    <t>电脑散热器</t>
  </si>
  <si>
    <t>3C0056</t>
  </si>
  <si>
    <t>单扇电脑散热器</t>
  </si>
  <si>
    <t>电压：5V、电流：350mA、功率：1.7W、风扇数量：1PCS、风扇转速：1200±10%RPM</t>
  </si>
  <si>
    <t>33.5cm*25.5cm*2.9cm</t>
  </si>
  <si>
    <t>CC0273</t>
  </si>
  <si>
    <t>3C0060</t>
  </si>
  <si>
    <t>双扇电脑散热器</t>
  </si>
  <si>
    <t>电压：5V、电流：430mA、功率： 3.4W、风扇数量：2PCS、风扇转速：1200±10%RPM</t>
  </si>
  <si>
    <t>37.4cm*27.1cm*3.7cm</t>
  </si>
  <si>
    <t>CC0298</t>
  </si>
  <si>
    <t>2024-11-28</t>
  </si>
  <si>
    <t>平板720度旋转平板支架、彩盒包装、材质、碳素钢、硅胶垫、阻尼感、螺丝调节配件</t>
  </si>
  <si>
    <t>15cm*12.5cm*3cm</t>
  </si>
  <si>
    <t>CC0277</t>
  </si>
  <si>
    <t>指纹锁</t>
  </si>
  <si>
    <t>3B0029</t>
  </si>
  <si>
    <t>手柄门锁</t>
  </si>
  <si>
    <t>铝合金前后面板、铝合金前后互锁器、磁卡2个、安装工具、机械钥匙、锁芯、同时支持中文、英语、越南语、泰国语、印尼语、印度语</t>
  </si>
  <si>
    <t>27cm*15cm*10cm</t>
  </si>
  <si>
    <t>CC0278</t>
  </si>
  <si>
    <t>铝合金前后面板、铝合金前后互锁器、磁卡2个、安装工具、机械钥匙、C级锁芯、不锈钢锁体、同时支持中文、英语、越南语、泰国语、印尼语、印度语</t>
  </si>
  <si>
    <t>22cm*16cm*8.7cm</t>
  </si>
  <si>
    <t>CC0294</t>
  </si>
  <si>
    <t>钥匙密码盒</t>
  </si>
  <si>
    <t>钥匙盒</t>
  </si>
  <si>
    <t>密码、碳钢、48位钥匙、不含钥匙扣</t>
  </si>
  <si>
    <t>25cm*20cm*7.5cm</t>
  </si>
  <si>
    <t>2024-11-21</t>
  </si>
  <si>
    <t>335固定硬币盒钱箱、HIPS塑料内衬、金属外壳、电压12/24V、三挡、纸币4格、硬币5格</t>
  </si>
  <si>
    <t>36.5cm*33.2cm*9.7cm</t>
  </si>
  <si>
    <t>405A 5格硬币钱箱、固定硬币盒钱箱、HIPS塑料内衬、金属外壳、电压12/24V、三挡、纸币5格、硬币5格</t>
  </si>
  <si>
    <t>42cm*40.5cm*10.7cm</t>
  </si>
  <si>
    <t>冷轧钢、不含电池、23*17*17cm、非投币式、碳钢材</t>
  </si>
  <si>
    <t>CC0282</t>
  </si>
  <si>
    <t>3B0032</t>
  </si>
  <si>
    <t>大尺寸保险箱</t>
  </si>
  <si>
    <t>冷轧钢、不含电池、50cm*35cm*30cm、支持密码、机械解锁</t>
  </si>
  <si>
    <t>50cm*35cm*30cm</t>
  </si>
  <si>
    <t>冷轧钢、不含电池、内含隔板、35*25*25cm、支持密码、机械解锁</t>
  </si>
  <si>
    <t>冷轧钢、不含电池、31*20*20cm、支持密码、机械解锁</t>
  </si>
  <si>
    <t>CC0297</t>
  </si>
  <si>
    <t>翻页笔</t>
  </si>
  <si>
    <t>3C0062</t>
  </si>
  <si>
    <t>兼容接口USB3点0、USB2点0、USB1点0、操作系统windows、mac、不含电池、控制距离100米、遥控技术RF2点4GHz</t>
  </si>
  <si>
    <t>12.8cm*6.3cm*3.2cm</t>
  </si>
  <si>
    <t>T3CZ1620406</t>
  </si>
  <si>
    <t>3C-YT300迷你同屏投影仪遥控器</t>
  </si>
  <si>
    <t>投影仪遥控器</t>
  </si>
  <si>
    <t>YT300投影仪专用遥控器</t>
  </si>
  <si>
    <t>T3CZ1720403</t>
  </si>
  <si>
    <t>3C-投影仪遥控器X8系列通用</t>
  </si>
  <si>
    <t>2024-03-14</t>
  </si>
  <si>
    <t>适用于X81型号和X82型号投影仪遥控器</t>
  </si>
  <si>
    <t>T3CZ1860156</t>
  </si>
  <si>
    <t>T3CZ1970002</t>
  </si>
  <si>
    <t>3C-机顶盒遥控器</t>
  </si>
  <si>
    <t>2024-08-15</t>
  </si>
  <si>
    <t>机顶盒遥控器</t>
  </si>
  <si>
    <t>M98、MTQ、G96专用遥控器</t>
  </si>
  <si>
    <t>CC0376</t>
  </si>
  <si>
    <t>标签打印纸</t>
  </si>
  <si>
    <t>2025-02-11</t>
  </si>
  <si>
    <t>3B0017</t>
  </si>
  <si>
    <t>不干胶打印纸</t>
  </si>
  <si>
    <t>一箱80包，一包5卷，一箱400卷，按5卷/包销售，每卷3米</t>
  </si>
  <si>
    <t>300cm*57cm*25cm</t>
  </si>
  <si>
    <t>CC0377</t>
  </si>
  <si>
    <t>3B0018</t>
  </si>
  <si>
    <t>热敏打印纸</t>
  </si>
  <si>
    <t>一箱80包，一包5卷，一箱400卷，按5卷/包销售，每卷4米</t>
  </si>
  <si>
    <t>400cm*57cm*25cm</t>
  </si>
  <si>
    <t>CC0490</t>
  </si>
  <si>
    <t>2025-04-08</t>
  </si>
  <si>
    <t>不干胶标签纸尺寸100mm*150mm ，每卷张数500pcs, 管芯直经40mm。</t>
  </si>
  <si>
    <t>15cm*10cm</t>
  </si>
  <si>
    <t>2025-03-15</t>
  </si>
  <si>
    <t>金属，尺寸32cm*25cm，厚度0.8mm，海绵垫*1，绑带*2，  底盘螺丝接口是3/8的</t>
  </si>
  <si>
    <t>49cm*9cm*8.5cm</t>
  </si>
  <si>
    <t>3C-投影仪支架系列托盘</t>
  </si>
  <si>
    <t>CC0943</t>
  </si>
  <si>
    <t>3C0002Z</t>
  </si>
  <si>
    <t>投影仪支架托盘</t>
  </si>
  <si>
    <t>2025-04-26</t>
  </si>
  <si>
    <t>2025-05-15</t>
  </si>
  <si>
    <t>2025-05-27</t>
  </si>
  <si>
    <t>44.5cm*14cm*11.2cm</t>
  </si>
  <si>
    <t>2025-04-29</t>
  </si>
  <si>
    <t>46.5cm*30.5cm*11cm</t>
  </si>
  <si>
    <t>40cm*24.8cm*3cm</t>
  </si>
  <si>
    <t>40cm*25cm*4.6cm</t>
  </si>
  <si>
    <t>CC0700</t>
  </si>
  <si>
    <t>广告支架</t>
  </si>
  <si>
    <t>2025-09-18</t>
  </si>
  <si>
    <t>3B0041</t>
  </si>
  <si>
    <t>手提款展示架</t>
  </si>
  <si>
    <t>铁管、单面展示口字结构、海报尺寸60cm*90cm</t>
  </si>
  <si>
    <t>103cm*90cm*60cm</t>
  </si>
  <si>
    <t>CC0701</t>
  </si>
  <si>
    <t>铁管、双面展示口字结构、海报尺寸60cm*90cm</t>
  </si>
  <si>
    <t>CC0706</t>
  </si>
  <si>
    <t>2025-04-24</t>
  </si>
  <si>
    <t>最大承重为60KG、最高可承受75英寸电视、带中托、具体尺寸如主图</t>
  </si>
  <si>
    <t>142cm*53cm*6cm</t>
  </si>
  <si>
    <t>CC0720</t>
  </si>
  <si>
    <t>2025-06-10</t>
  </si>
  <si>
    <t>铁、适用55-80英寸、黑色、承重65公斤</t>
  </si>
  <si>
    <t>76cm*33cm*7.5cm</t>
  </si>
  <si>
    <t>CC0806</t>
  </si>
  <si>
    <t>3C0102</t>
  </si>
  <si>
    <t>电视机上方支架</t>
  </si>
  <si>
    <t>ABS高强度塑料，安装简单；中性英文包装，最大承重5公斤；机顶盒遥控器置物架；中性英文包装；最大承重5公斤 ，</t>
  </si>
  <si>
    <t>33cm*15cm*16.2cm</t>
  </si>
  <si>
    <t>CC0807</t>
  </si>
  <si>
    <t>3C0103</t>
  </si>
  <si>
    <t>显示器桌面支架</t>
  </si>
  <si>
    <t>3臂支架适合屏幕10-34寸，倾斜角度+45°至-45°旋转范围+90°至-90°桌面支架；适用于10-34寸3屏显示器支架；中性英文包装；最大承重30公斤；支持孔距100*100MM.</t>
  </si>
  <si>
    <t>84cm*82cm*49cm</t>
  </si>
  <si>
    <t>CC0808</t>
  </si>
  <si>
    <t>双臂支架适合屏幕10-34寸，倾斜角度+45°至-45°，旋转范围+90°至-90°，双屏桌面支架，适用于10-34寸双屏显示器支架,中性英文包装,最大承重30公斤,支持孔距100*100MM.</t>
  </si>
  <si>
    <t>94.6cm*40cm*28cm</t>
  </si>
  <si>
    <t>CC0809</t>
  </si>
  <si>
    <t>3C0104</t>
  </si>
  <si>
    <t>双屏显示器支架</t>
  </si>
  <si>
    <t>上下双屏显示器支架适合屏幕10-34寸；倾斜角度+45°至-45°；旋转范围+90°至-90；适用于10-34寸、上下双屏显示器支架；中性英文包装；最大承重30公斤；支持孔距100*100MM.</t>
  </si>
  <si>
    <t>80cm*12cm*12cm</t>
  </si>
  <si>
    <t>CC0830</t>
  </si>
  <si>
    <t>双臂支架适合屏幕10-34寸，倾斜角度+45°至-45°;旋转范围+90°至-90°;4屏显示器支架;适用于10-34寸双屏显示器支架;中性英文包装;最大承重30公斤;支持孔距100*100MM.</t>
  </si>
  <si>
    <t>44.5cm*35cm*10.5cm</t>
  </si>
  <si>
    <t>CC0855</t>
  </si>
  <si>
    <t>广告架</t>
  </si>
  <si>
    <t>3B0080</t>
  </si>
  <si>
    <t>广告架A4款</t>
  </si>
  <si>
    <t>框架是铝，杆子铁质，底座不锈钢；可调，画面尺寸210mm*297mm</t>
  </si>
  <si>
    <t>120cm*32.7cm*24cm</t>
  </si>
  <si>
    <t>CC0856</t>
  </si>
  <si>
    <t>3B0081</t>
  </si>
  <si>
    <t>广告架kt板</t>
  </si>
  <si>
    <t>直面高度可调，画面高度为100-180，宽度不限；</t>
  </si>
  <si>
    <t>115cm*30cm*5cm</t>
  </si>
  <si>
    <t>CC0857</t>
  </si>
  <si>
    <t>CC0858</t>
  </si>
  <si>
    <t>斜面高度不可以调，画面高度60-100，宽度不限</t>
  </si>
  <si>
    <t>105cm*30cm*5cm</t>
  </si>
  <si>
    <t>CC0859</t>
  </si>
  <si>
    <t>105cm*36cm*5cm</t>
  </si>
  <si>
    <t>2025-09-01</t>
  </si>
  <si>
    <t>CC0339</t>
  </si>
  <si>
    <t>双层隔板、冷轧钢、不含电池、机械锁、密码锁，尺寸80cm*44cm*40cm</t>
  </si>
  <si>
    <t>80cm*44cm*40cm</t>
  </si>
  <si>
    <t>CC0342</t>
  </si>
  <si>
    <t>双层隔板、冷轧钢、不含电池、机械锁、密码锁，尺寸100cm*51cm*45cm</t>
  </si>
  <si>
    <t>100cm*51cm*45cm</t>
  </si>
  <si>
    <t>CC0464</t>
  </si>
  <si>
    <t>2025-03-18</t>
  </si>
  <si>
    <t>3B0062</t>
  </si>
  <si>
    <t>投币款保险箱</t>
  </si>
  <si>
    <t>型号17ET-DT，23*17*17密码+钥匙，可投币款</t>
  </si>
  <si>
    <t>CC0332</t>
  </si>
  <si>
    <t>钥匙款，小号、高度18cm</t>
  </si>
  <si>
    <t>18cm*11.5cm*4.5cm</t>
  </si>
  <si>
    <t>CC0333</t>
  </si>
  <si>
    <t>钥匙款，大号、高度26.5cm</t>
  </si>
  <si>
    <t>26.5cm*20.6cm*6.5cm</t>
  </si>
  <si>
    <t>CC0336</t>
  </si>
  <si>
    <t>密码款，小号、高度18cm</t>
  </si>
  <si>
    <t>T4CC1220338</t>
  </si>
  <si>
    <t>CC0338</t>
  </si>
  <si>
    <t>密码款，大号、高度26.5cm</t>
  </si>
  <si>
    <t>CC0814</t>
  </si>
  <si>
    <t>3C0108</t>
  </si>
  <si>
    <t>气弹簧支架</t>
  </si>
  <si>
    <t>适配显示器17"-34"；气压弹簧结构；承重2-10kg；显示器360°调节；屏幕上下调节+70~-90°；屏幕左右±90°；手臂旋转±90°；夹桌尺寸10-70mm，可穿孔60mm；材料：铁/塑料/铝；高度410mm可调节</t>
  </si>
  <si>
    <t>90cm*87cm*9cm</t>
  </si>
  <si>
    <t>CC0816</t>
  </si>
  <si>
    <t>3C0109</t>
  </si>
  <si>
    <t>弹簧单臂支架</t>
  </si>
  <si>
    <t>带灯款，4色可调/跑马灯，带USB转换接口；适配显示器17"-34"；气压弹簧结构；承重2-10kg；显示器360°调节；屏幕上下调节+70~-90°；屏幕左右±90°；手臂旋转±90°；夹桌尺寸10-70mm，可穿孔70mm；材料：铁/塑料</t>
  </si>
  <si>
    <t>54.5cm*53.5cm*11.5cm</t>
  </si>
  <si>
    <t>CC0888</t>
  </si>
  <si>
    <t>2025-10-27</t>
  </si>
  <si>
    <t>3C0125</t>
  </si>
  <si>
    <t>电脑显示器支架单臂</t>
  </si>
  <si>
    <t>白色，单臂支架适合屏幕13-34寸，气压调节，倾斜角度+70°至-45°，旋转范围+90°至-90°，适合桌面厚度10-70mm。</t>
  </si>
  <si>
    <t>53.5cm*53cm*9cm</t>
  </si>
  <si>
    <t>CC0889</t>
  </si>
  <si>
    <t>3C0126</t>
  </si>
  <si>
    <t>显示器支架单臂铁塑款</t>
  </si>
  <si>
    <t>材料：铁和塑料；适配显示器17"-34"气压弹簧结构承重2-10kg显示器360°调节屏幕上下调节+70~-90°屏幕左右±90°手臂旋转±90°夹桌尺寸10-70mm，可穿孔60mm</t>
  </si>
  <si>
    <t>CC0890</t>
  </si>
  <si>
    <t>3C0127</t>
  </si>
  <si>
    <t>显示器支架双臂铁塑款</t>
  </si>
  <si>
    <t>材料：铁和塑料和铝底座；适配显示器17"-34"气压弹簧结构承重2-10kgx2显示器360°调节屏幕上下调节+70~-90°屏幕左右±90°手臂旋转±90°夹桌尺寸10-70mm，可穿孔60mm</t>
  </si>
  <si>
    <t>92cm*52cm*14.2cm</t>
  </si>
  <si>
    <t>CC0864</t>
  </si>
  <si>
    <t>5层牛皮纸纸箱，BC厚度≥6.0，耐破强度/Kpa520/530/516；边压强度(N/M)2695/2712/2581，内部气泡柱包装，38寸圆角吉他*1、拨片*2、琴弦*1</t>
  </si>
  <si>
    <t>CC0865</t>
  </si>
  <si>
    <t>5层牛皮纸纸箱，BC厚度≥6.0，耐破强度/Kpa520/530/516；边压强度(N/M)2695/2712/2581，内部气泡柱包装，38寸圆角，亮面：吉他*1、拨片*2、琴弦*1</t>
  </si>
  <si>
    <t>CC0866</t>
  </si>
  <si>
    <t>5层牛皮纸纸箱，BC厚度≥6.0，耐破强度/Kpa520/530/516；边压强度(N/M)2695/2712/2581，内部气泡柱包装，38寸缺角吉他、包、原木色</t>
  </si>
  <si>
    <t>CC0867</t>
  </si>
  <si>
    <t>5层牛皮纸纸箱，BC厚度≥6.0，耐破强度/Kpa520/530/516；边压强度(N/M)2695/2712/2581，内部气泡柱包装，38寸缺角吉他、包、黑色</t>
  </si>
  <si>
    <t>CC0868</t>
  </si>
  <si>
    <t>5层牛皮纸纸箱，BC厚度≥6.0，耐破强度/Kpa520/530/516；边压强度(N/M)2695/2712/2581，内部气泡柱包装，38寸圆角吉他，拨片*2+琴弦*1+琴包*1+调音笛*1</t>
  </si>
  <si>
    <t>CC0869</t>
  </si>
  <si>
    <t>3C-84英寸投影仪屏幕</t>
  </si>
  <si>
    <t>CC0301</t>
  </si>
  <si>
    <t>抗光幕布</t>
  </si>
  <si>
    <t>2025-02-25</t>
  </si>
  <si>
    <t>3C0026</t>
  </si>
  <si>
    <t>投影仪屏幕</t>
  </si>
  <si>
    <t>折叠坑光幕（配8个魔术贴）尺寸84寸16:9</t>
  </si>
  <si>
    <t>186cm*105cm</t>
  </si>
  <si>
    <t>3C-100英寸投影仪屏幕</t>
  </si>
  <si>
    <t>CC0302</t>
  </si>
  <si>
    <t>折叠坑光幕（配10个魔术贴）尺寸100寸16:9</t>
  </si>
  <si>
    <t>220cm*124cm</t>
  </si>
  <si>
    <t>3C-120英寸投影仪屏幕</t>
  </si>
  <si>
    <t>CC0303</t>
  </si>
  <si>
    <t>折叠坑光幕（配18个魔术贴）尺寸120寸16:9</t>
  </si>
  <si>
    <t>265cm*149cm</t>
  </si>
  <si>
    <t>3C-相机三脚架160cm</t>
  </si>
  <si>
    <t>CC0790</t>
  </si>
  <si>
    <t>三脚架</t>
  </si>
  <si>
    <t>2025-08-26</t>
  </si>
  <si>
    <t>3C0089</t>
  </si>
  <si>
    <t>相机三脚架160cm</t>
  </si>
  <si>
    <t>金属，最高高度：1600mm，折叠高度：330mm螺丝接口是1/4的；铝，塑料ABS，电子元器件，内置纽扣电池</t>
  </si>
  <si>
    <t>6cm*7cm*33cm</t>
  </si>
  <si>
    <t>CC0973</t>
  </si>
  <si>
    <t>2025-11-27</t>
  </si>
  <si>
    <t>无触摸版，配皮套，15.6英寸，分辨率1920*1080P，IPS面板，显示比例16：9，刷新率60Hz，全塑胶，4mm边框，电源输入5V-20V，内置音箱，HDR功能，USB供电；产品接口：TYPE-C信号输入 *1，迷你HDMI信号输入 *1，Type-C电源输入 *1，3.5mm音频输出 * 1；包装清单：显示器主机 *1，HDMI线 *1，TYPE-CtoTYPE-C线 *1，TYPE-C 供电线 *1，说明书 *1，皮套*1.用途，输出设备。显示原理，通过因为电压的更改产生电场而使液晶分子排列产生变化来显示图像。接口类型，type-c。构成，铝合金，没有解码板和高频头</t>
  </si>
  <si>
    <t>35.5cm*22cm*1cm</t>
  </si>
  <si>
    <t>T4CC1980695</t>
  </si>
  <si>
    <t>CC0695</t>
  </si>
  <si>
    <t>白板通用支架</t>
  </si>
  <si>
    <t>2025-04-17</t>
  </si>
  <si>
    <t>白板可伸缩支架，铁质，八个螺丝，四个轮子。120cm到200cm可伸缩</t>
  </si>
  <si>
    <t>123cm*11cm*7.5cm</t>
  </si>
  <si>
    <t>3C-W1白色数码相机包含32gTF卡</t>
  </si>
  <si>
    <t>CC0352</t>
  </si>
  <si>
    <t>3C0071</t>
  </si>
  <si>
    <t>翻屏数码相机</t>
  </si>
  <si>
    <t>白色、5K、光学防抖、旋转屏、3.0英寸、最大分辨率5520×3680、传感器类型 CMOS、锂电池包、3.7v1150mah  4.255wh，包含32G的TF卡</t>
  </si>
  <si>
    <t>15cm*13cm*6.5cm</t>
  </si>
  <si>
    <t>3C-W1白色数码相机包含64gTF卡</t>
  </si>
  <si>
    <t>CC0355</t>
  </si>
  <si>
    <t>白色、5K、光学防抖、旋转屏、3.0英寸、最大分辨率5520×3680、传感器类型 CMOS、锂电池包、3.7v1150mah  4.255wh，包含64G的TF卡</t>
  </si>
  <si>
    <t>CC0430</t>
  </si>
  <si>
    <t>3C0069</t>
  </si>
  <si>
    <t>插电电池两用展示台</t>
  </si>
  <si>
    <t>插电和电池款两用，USB线通电无插头，可安装五号电池，出货不配电池，直径12cm，15秒旋转一圈</t>
  </si>
  <si>
    <t>12cm*12cm*4.3cm</t>
  </si>
  <si>
    <t>CC0418</t>
  </si>
  <si>
    <t>2025-02-24</t>
  </si>
  <si>
    <t>3B0036</t>
  </si>
  <si>
    <t>二维扫描墩</t>
  </si>
  <si>
    <t>标准USB接头，一维二维均可扫描，传感器640×480CMOS，白光LED照明，识读精度≥4mil，感应模式、连续模式、手动模式，扫描角度倾斜±60°，偏转±60°，旋转 360°；LED 提示和喇叭音提示（提供对外接口），工作电压5V DC±10%(预留3.3—16V宽电压输入)，定额电流小于500mA。</t>
  </si>
  <si>
    <t>12cm*8cm*8cm</t>
  </si>
  <si>
    <t>CC0826</t>
  </si>
  <si>
    <t>2025-09-16</t>
  </si>
  <si>
    <t>2025-09-25</t>
  </si>
  <si>
    <t>3C0110</t>
  </si>
  <si>
    <t>双风扇RGB带海绵散热支架</t>
  </si>
  <si>
    <t>ABS塑料，产品型号：S700（RGB)，电压：5V，电流：310mA，功率：3.4W ，风扇数量：2PCS，风扇尺寸：14CM(2pcs) ，风扇转速：1400±10%RPM。</t>
  </si>
  <si>
    <t>40cm*29cm*6cm</t>
  </si>
  <si>
    <t>CC0828</t>
  </si>
  <si>
    <t>3C0112</t>
  </si>
  <si>
    <t>6风扇RGB散热支架带手机支架</t>
  </si>
  <si>
    <t>ABS塑料+金属铁网，产品型号：X8，电压：5V，电流：146mA，功率：5.0W，风扇数量：6PCS，风扇尺寸：7CM，风扇转速：2800±10%RPM</t>
  </si>
  <si>
    <t>36.5cm*25.5cm*3cm</t>
  </si>
  <si>
    <t>CC0433</t>
  </si>
  <si>
    <t>智能锁</t>
  </si>
  <si>
    <t>精品款X10，指纹解锁，密码解锁，刷卡解锁，钥匙解锁，配锁体，八国语言（中文，英文，西班牙，葡萄牙，印尼语，越语，泰语，俄罗斯语），出产默认设置英文。</t>
  </si>
  <si>
    <t>29cm*17cm*10cm</t>
  </si>
  <si>
    <t>CC0715</t>
  </si>
  <si>
    <t>2025-05-24</t>
  </si>
  <si>
    <t>3B0044</t>
  </si>
  <si>
    <t>球型门锁</t>
  </si>
  <si>
    <t>Q7款，配涂鸦蓝牙app、、钥匙、反锁、铝合金前后面板、铝合金前后互锁器、磁卡2个、安装工具、机械钥匙、C级锁芯、不锈钢锁体、同时支持中文、英语、越南语、泰国语、印尼语、印度语、不含电池</t>
  </si>
  <si>
    <t>21.5cm*16cm*8.5cm</t>
  </si>
  <si>
    <t>CC0721</t>
  </si>
  <si>
    <t>3B0045</t>
  </si>
  <si>
    <t>面板门锁</t>
  </si>
  <si>
    <t>中英印泰越等9国语言、密码刷卡容量1000个、指纹100个，材质ABS塑料+金属、显示面板、不含电池、支持指纹、密码刷卡、蓝牙解锁</t>
  </si>
  <si>
    <t>21.5cm*17.5cm*10.5cm</t>
  </si>
  <si>
    <t>CC0142</t>
  </si>
  <si>
    <t>钱盒、四格五档双层钥匙款</t>
  </si>
  <si>
    <t>CC0345</t>
  </si>
  <si>
    <t>2025-07-15</t>
  </si>
  <si>
    <t>钱盒、四格五档双层黑色密码款</t>
  </si>
  <si>
    <t>CC0386</t>
  </si>
  <si>
    <t>机械式钥匙款保险柜，非投币式，配三把钥匙，尺寸23cm*17cm*17cm</t>
  </si>
  <si>
    <t>CC0860</t>
  </si>
  <si>
    <t>辉光管</t>
  </si>
  <si>
    <t>3C0122</t>
  </si>
  <si>
    <t>IPS屏幕分辨率:135×240像素；时钟+温度+图片；铝合金玻璃；一条1.5米数据线；鹿绒布</t>
  </si>
  <si>
    <t>25cm*9.5cm*7cm</t>
  </si>
  <si>
    <t>CC0007</t>
  </si>
  <si>
    <t>鼠标垫</t>
  </si>
  <si>
    <t>2025-01-07</t>
  </si>
  <si>
    <t>3C0001</t>
  </si>
  <si>
    <t>RGB鼠标垫</t>
  </si>
  <si>
    <t>RGB充电发亮款，7灯，12种变幻模式，OPP包装。</t>
  </si>
  <si>
    <t>30cm*80cm*1cm</t>
  </si>
  <si>
    <t>CC0179</t>
  </si>
  <si>
    <t>扩音器</t>
  </si>
  <si>
    <t>3C0021</t>
  </si>
  <si>
    <t>小蜜蜂扩音器</t>
  </si>
  <si>
    <t>型号3080，带振膜/蓝牙/配有线耳唛；3寸喇叭，锂电池1200毫安，电源输入DC5V，功率3W，频响60Hz-16KHz，配线 L=30CM，TYPEC充电线，背带。</t>
  </si>
  <si>
    <t>9cm*9cm*4cm</t>
  </si>
  <si>
    <t>CC0256</t>
  </si>
  <si>
    <t>3C0043</t>
  </si>
  <si>
    <t>电脑组合小音响</t>
  </si>
  <si>
    <t>型号E-1018，不带蓝牙功能，USB+3.5MM接口，功率1.5W*2，泡边喇叭，供电方式USB5V。</t>
  </si>
  <si>
    <t>12.6cm*8cm*6.8cm</t>
  </si>
  <si>
    <t>CC0295</t>
  </si>
  <si>
    <t>3C0022</t>
  </si>
  <si>
    <t>长条桌面音箱</t>
  </si>
  <si>
    <t>长度80cm；功率10W；方案：杰里；喇叭2寸45磁高端喇叭*2+重低音振膜*2；电池1200MA；配线1.5米长、3.5mm双头音频线、1米TYPR-C充电线。功能：蓝牙链接，TF/USB/AUX，同轴。</t>
  </si>
  <si>
    <t>80cm*7.6cm*6cm</t>
  </si>
  <si>
    <t>CC0852</t>
  </si>
  <si>
    <t>启动电源</t>
  </si>
  <si>
    <t>3B0078</t>
  </si>
  <si>
    <t>启动电源N20</t>
  </si>
  <si>
    <t>应急启动，轮胎打气，户外照明，手机充电，便携手提，时尚高档，SOS信号灯。电池容量：3.7V10000mAh；14.8V,汽车启动端口：12V、USB端口：5V/2.4A，DC端口：12V/16V/20V充电、车载物：12V；充电电压/电流：9/2A；启动电流：&lt;400A；峰值电流：600A（&lt;3S） 使用温度：-40℃至80℃；完全充电时间：约4小时 循环寿命：10000次以上；支持启动：3.0以下柴油/6.0以下汽油车；保护功能：防电流反充、磁场、短路、恒流、稳压、过放、过充；缸体：22缸，打气7-8分钟需要停下，防止过热。一体机灯珠是50lm，共5个并联，大约是80lm</t>
  </si>
  <si>
    <t>22cm*18.5cm*12.5cm</t>
  </si>
  <si>
    <t>CC0713</t>
  </si>
  <si>
    <t>2025-05-13</t>
  </si>
  <si>
    <t>3B0006</t>
  </si>
  <si>
    <t>支持ios、安卓手机，自行设计、创建自己的标签、无线蓝牙连接</t>
  </si>
  <si>
    <t>9.2cm*7.4cm*3.8cm</t>
  </si>
  <si>
    <t>3C-口袋运动相机11.7cm*3.4cm</t>
  </si>
  <si>
    <t>CC0722</t>
  </si>
  <si>
    <t>口袋运动相机</t>
  </si>
  <si>
    <t>2025-07-10</t>
  </si>
  <si>
    <t>3C0084</t>
  </si>
  <si>
    <t>运动相机</t>
  </si>
  <si>
    <t>主要参数：液晶屏：1.3英寸IPS高清屏；处理器：V3；图像传感器：800万像素CMOS传感器（型号179；视角：90；视频分辨率4K (3840*2160) 30FPS；2.7K(2688*1520)30FPS；1080P(1920*1080)60FPS；1080P(1920*1080)30FPS；720P(1280*720)90FPS；720P(1280*720)60FPS；720P(1280*720)30FP；图片分辨率：16M/12M/8M/5M/2M；电池：内置1000mAh锂离子电池；接口：TYPE-C充电/数据传输；扩展存储：支持最大64GB外置存储卡</t>
  </si>
  <si>
    <t>11.7cm*3.4cm*2.6cm</t>
  </si>
  <si>
    <t>3C-led智能互动屏17.3cm*7cm</t>
  </si>
  <si>
    <t>CC0725</t>
  </si>
  <si>
    <t>LED像素屏</t>
  </si>
  <si>
    <t>3C0083</t>
  </si>
  <si>
    <t>互动屏</t>
  </si>
  <si>
    <t>16*32单片装</t>
  </si>
  <si>
    <t>17.3cm*7cm*0.3cm</t>
  </si>
  <si>
    <t>3C-led智能互动屏34.8cm*10.2cm</t>
  </si>
  <si>
    <t>CC0726</t>
  </si>
  <si>
    <t>20*64单片装</t>
  </si>
  <si>
    <t>34.8cm*10.2cm*0.3cm</t>
  </si>
  <si>
    <t>3C-led智能互动屏59.5cm*12cm</t>
  </si>
  <si>
    <t>CC0727</t>
  </si>
  <si>
    <t>16*96俩片装</t>
  </si>
  <si>
    <t>59.5cm*12cm*0.3cm</t>
  </si>
  <si>
    <t>CC0734</t>
  </si>
  <si>
    <t>道路反光镜</t>
  </si>
  <si>
    <t>2025-07-03</t>
  </si>
  <si>
    <t>3B0052</t>
  </si>
  <si>
    <t>道路广角镜</t>
  </si>
  <si>
    <t>直径80cm，pp材质，红色，30个一组编织袋包装</t>
  </si>
  <si>
    <t>100cm*100cm*12cm</t>
  </si>
  <si>
    <t>CC0740</t>
  </si>
  <si>
    <t>直径45cm，pp材质，红色，30个一组编织袋包装</t>
  </si>
  <si>
    <t>45cm*45cm*9cm</t>
  </si>
  <si>
    <t>CC0741</t>
  </si>
  <si>
    <t>直径60cm，pp材质，红色，30个一组编织袋包装</t>
  </si>
  <si>
    <t>60cm*60cm*10cm</t>
  </si>
  <si>
    <t>CC0742</t>
  </si>
  <si>
    <t>直径75cm，pp材质，红色，30个一组编织袋包装</t>
  </si>
  <si>
    <t>80cm*80cm*11cm</t>
  </si>
  <si>
    <t>CC0743</t>
  </si>
  <si>
    <t>橡胶减速带</t>
  </si>
  <si>
    <t>3B0053</t>
  </si>
  <si>
    <t>道路减速带</t>
  </si>
  <si>
    <t>黑黄间隔色、一片一米长、橡胶材质，2片装一编织袋、3cm厚、5kg</t>
  </si>
  <si>
    <t>100cm*35cm*3cm</t>
  </si>
  <si>
    <t>CC0744</t>
  </si>
  <si>
    <t>减速带</t>
  </si>
  <si>
    <t>3B0054</t>
  </si>
  <si>
    <t>斜坡垫</t>
  </si>
  <si>
    <t>塑料材质，预留两个螺丝孔位、配螺丝包</t>
  </si>
  <si>
    <t>50cm*22cm*5cm</t>
  </si>
  <si>
    <t>CC0745</t>
  </si>
  <si>
    <t>50cm*22cm*9cm</t>
  </si>
  <si>
    <t>CC0746</t>
  </si>
  <si>
    <t>50cm*27cm*11cm</t>
  </si>
  <si>
    <t>CC0747</t>
  </si>
  <si>
    <t>伸缩护栏</t>
  </si>
  <si>
    <t>3B0055</t>
  </si>
  <si>
    <t>折叠安全护栏</t>
  </si>
  <si>
    <t>黄色，折叠张开2.5m长</t>
  </si>
  <si>
    <t>99cm*53cm*26cm</t>
  </si>
  <si>
    <t>CC0748</t>
  </si>
  <si>
    <t>路障链接棍</t>
  </si>
  <si>
    <t>3B0056</t>
  </si>
  <si>
    <t>伸缩连接杆</t>
  </si>
  <si>
    <t>可伸缩1至2m长，黑黄间隔色，贴反光条</t>
  </si>
  <si>
    <t>100cm*50cm*1cm</t>
  </si>
  <si>
    <t>CC0749</t>
  </si>
  <si>
    <t>警示柱</t>
  </si>
  <si>
    <t>3B0057</t>
  </si>
  <si>
    <t>PE材质，75cm高，400g，贴反光条、含螺丝包</t>
  </si>
  <si>
    <t>75cm*20cm*10cm</t>
  </si>
  <si>
    <t>CC0750</t>
  </si>
  <si>
    <t>折叠锥桶</t>
  </si>
  <si>
    <t>3B0058</t>
  </si>
  <si>
    <t>塑料底座、牛津布折叠部分，贴反光材料、含警示灯、不含电池</t>
  </si>
  <si>
    <t>35cm*19cm*19cm</t>
  </si>
  <si>
    <t>CC0751</t>
  </si>
  <si>
    <t>45cm*24.5cm*24.5cm</t>
  </si>
  <si>
    <t>CC0752</t>
  </si>
  <si>
    <t>75cm*30.5cm*30.5cm</t>
  </si>
  <si>
    <t>T4CC2340222</t>
  </si>
  <si>
    <t>3B-磁吸白板70cm*100cm</t>
  </si>
  <si>
    <t>CC0222</t>
  </si>
  <si>
    <t>2025-07-01</t>
  </si>
  <si>
    <t>单包+外箱,70*100CM,镀锌背板，铝合金边框，蜂窝板，哑光高分子树脂烤漆涂层面板。一支红笔，一支黑笔，一块黑板擦。</t>
  </si>
  <si>
    <t>100cm*70cm*2.1cm</t>
  </si>
  <si>
    <t>CC0682</t>
  </si>
  <si>
    <t>吸塑+外箱包装,20*30CM，镀锌背板，铝合金边框，蜂窝板，哑光高分子树脂烤漆涂层面板。一支红笔，一支黑笔，一块黑板擦。</t>
  </si>
  <si>
    <t>30cm*25cm*2cm</t>
  </si>
  <si>
    <t>吸塑+外箱包装,30*45CM,镀锌背板，铝合金边框，蜂窝板，哑光高分子树脂烤漆涂层面板。一支红笔，一支黑笔，一块黑板擦。</t>
  </si>
  <si>
    <t>CC0684</t>
  </si>
  <si>
    <t>单包+外箱,45*60CM,镀锌背板，铝合金边框，蜂窝板，哑光高分子树脂烤漆涂层面板。一支红笔，一支黑笔，一块黑板擦。</t>
  </si>
  <si>
    <t>60cm*45cm*2cm</t>
  </si>
  <si>
    <t>T4CC2340685</t>
  </si>
  <si>
    <t>3B-磁吸白板60cm*90cm</t>
  </si>
  <si>
    <t>CC0685</t>
  </si>
  <si>
    <t>单包+外箱,60*90CM,镀锌背板，铝合金边框，蜂窝板，哑光高分子树脂烤漆涂层面板。一支红笔，一支黑笔，一块黑板擦。</t>
  </si>
  <si>
    <t>90cm*60cm*2cm</t>
  </si>
  <si>
    <t>T4CC2340694</t>
  </si>
  <si>
    <t>3B-磁吸白板90cm*120cm</t>
  </si>
  <si>
    <t>CC0694</t>
  </si>
  <si>
    <t>单包+外箱,90cm*120cm,镀锌背板、单面白板，铝合金边框，蜂窝板，哑光高分子树脂烤漆涂层面板。一支红笔，一支黑笔，一块黑板擦。</t>
  </si>
  <si>
    <t>120cm*90cm*4cm</t>
  </si>
  <si>
    <t>T4CC2340717</t>
  </si>
  <si>
    <t>3B-磁吸白板90cm*150cm</t>
  </si>
  <si>
    <t>CC0717</t>
  </si>
  <si>
    <t>单包+外箱,90cm*150cm,镀锌背板、单面白板，铝合金边框，蜂窝板，哑光高分子树脂烤漆涂层面板。一支红笔，一支黑笔，一块黑板擦。</t>
  </si>
  <si>
    <t>150cm*90cm*4cm</t>
  </si>
  <si>
    <t>T4CC2340718</t>
  </si>
  <si>
    <t>3B-磁吸白板90cm*180cm</t>
  </si>
  <si>
    <t>CC0718</t>
  </si>
  <si>
    <t>单包+外箱,90cm*180cm,镀锌背板、单面白板，铝合金边框，蜂窝板，哑光高分子树脂烤漆涂层面板。一支红笔，一支黑笔，一块黑板擦。</t>
  </si>
  <si>
    <t>180cm*90cm*4cm</t>
  </si>
  <si>
    <t>CC0728</t>
  </si>
  <si>
    <t>白板</t>
  </si>
  <si>
    <t>3B0048</t>
  </si>
  <si>
    <t>橡胶白板</t>
  </si>
  <si>
    <t>吸塑+外箱包装，45cm*75cm，背胶，橡胶磁材质</t>
  </si>
  <si>
    <t>75cm*45cm*0.05cm</t>
  </si>
  <si>
    <t>CC0729</t>
  </si>
  <si>
    <t>吸塑+外箱包装，45cm*100cm，背胶，橡胶磁材质</t>
  </si>
  <si>
    <t>100cm*45cm*0.05cm</t>
  </si>
  <si>
    <t>CC0730</t>
  </si>
  <si>
    <t>吸塑+外箱包装，60cm*90cm，背胶，橡胶磁材质</t>
  </si>
  <si>
    <t>90cm*60cm*0.05cm</t>
  </si>
  <si>
    <t>CC0731</t>
  </si>
  <si>
    <t>吸塑+外箱包装，90cm*120cm，背胶，橡胶磁材质</t>
  </si>
  <si>
    <t>120cm*90cm*0.05cm</t>
  </si>
  <si>
    <t>CC0732</t>
  </si>
  <si>
    <t>吸塑+外箱包装，90cm*180cm，背胶，橡胶磁材质</t>
  </si>
  <si>
    <t>180cm*90cm*0.05cm</t>
  </si>
  <si>
    <t>CC0733</t>
  </si>
  <si>
    <t>吸塑+外箱包装，120cm*150cm，背胶，橡胶磁材质</t>
  </si>
  <si>
    <t>150cm*120cm*0.05cm</t>
  </si>
  <si>
    <t>CC0735</t>
  </si>
  <si>
    <t>3B0049</t>
  </si>
  <si>
    <t>涂鸦板</t>
  </si>
  <si>
    <t>吸塑+外箱包装，30cm*21cm，橡胶条包边，密度板</t>
  </si>
  <si>
    <t>30cm*21cm*0.3cm</t>
  </si>
  <si>
    <t>CC0736</t>
  </si>
  <si>
    <t>3B0050</t>
  </si>
  <si>
    <t>吸塑+外箱包装，45cm*30cm，橡胶条包边，密度板</t>
  </si>
  <si>
    <t>45cm*30cm*0.3cm</t>
  </si>
  <si>
    <t>CC0737</t>
  </si>
  <si>
    <t>简易支架</t>
  </si>
  <si>
    <t>3B0051</t>
  </si>
  <si>
    <t>画板支架</t>
  </si>
  <si>
    <t>两个螺纹旋钮，可上下折叠，平板或小白板简易支架、带opp袋包装</t>
  </si>
  <si>
    <t>30*cm14.5cm*1cm</t>
  </si>
  <si>
    <t>CC0766</t>
  </si>
  <si>
    <t>2025-08-11</t>
  </si>
  <si>
    <t>3B0064</t>
  </si>
  <si>
    <t>白板画板</t>
  </si>
  <si>
    <t>铝合金边框，单面白板，镀锌背板，铝合金边框，蜂窝板，哑光高分子树脂烤漆涂层面板</t>
  </si>
  <si>
    <t>60cm*90cm*2cm</t>
  </si>
  <si>
    <t>CC0768</t>
  </si>
  <si>
    <t>3B0065</t>
  </si>
  <si>
    <t>可翻转白板</t>
  </si>
  <si>
    <t>铝合金边框，双面白板，镀锌背板，铝合金边框，蜂窝板，哑光高分子树脂烤漆涂层面板</t>
  </si>
  <si>
    <t>50cm*70cm*2cm</t>
  </si>
  <si>
    <t>CC0769</t>
  </si>
  <si>
    <t>铝合金边框 ，双面白板，镀锌背板，铝合金边框，蜂窝板，哑光高分子树脂烤漆涂层面板</t>
  </si>
  <si>
    <t>CC0770</t>
  </si>
  <si>
    <t>70cm*100cm*2cm</t>
  </si>
  <si>
    <t>CC0771</t>
  </si>
  <si>
    <t>100cm*80cm*2cm</t>
  </si>
  <si>
    <t>CC0903</t>
  </si>
  <si>
    <t>3B0089</t>
  </si>
  <si>
    <t>磁吸白板密度板夹层</t>
  </si>
  <si>
    <t>单包+外箱,60*90CM,镀锌背板，铝合金边框，密度板结构，哑光高分子树脂烤漆涂层面板。包含配件价格</t>
  </si>
  <si>
    <t>CC0904</t>
  </si>
  <si>
    <t>单包+外箱,70*100CM,镀锌背板，铝合金边框，密度板结构，哑光高分子树脂烤漆涂层面板。包含配件价格</t>
  </si>
  <si>
    <t>CC0905</t>
  </si>
  <si>
    <t>单包+外箱,90cm*120cm,镀锌背板、双面白板，铝合金边框，密度板结构，哑光高分子树脂烤漆涂层面板。包含配件价格；四个边角可钉墙，边条加强版。</t>
  </si>
  <si>
    <t>CC0906</t>
  </si>
  <si>
    <t>单包+外箱,90cm*150cm,镀锌背板、单面白板，铝合金边框，密度板结构，哑光高分子树脂烤漆涂层面板。包含配件价格，四个边角可钉墙，边条加强版</t>
  </si>
  <si>
    <t>CC0907</t>
  </si>
  <si>
    <t>单包+外箱,90cm*180cm,镀锌背板、单面白板，铝合金边框，密度板结构，哑光高分子树脂烤漆涂层面板。包含配件价格，四个边角可钉墙，边条加强版。</t>
  </si>
  <si>
    <t>CC0800</t>
  </si>
  <si>
    <t>电脑机箱</t>
  </si>
  <si>
    <t>3C0099</t>
  </si>
  <si>
    <t>电脑机箱T8</t>
  </si>
  <si>
    <t>铁壳;玻璃框厚度3mm;散热顶部240水冷120*2;后板120*1;电源仓120*2;显卡限制长280;拓展PCI插口*4;硬盘位主板背面SSD*1+底板HDD*1;风扇后置12cm*1;顶置12cm*2;下置12cm*2</t>
  </si>
  <si>
    <t>38.6cm*29.5cm*19.5cm</t>
  </si>
  <si>
    <t>CC0801</t>
  </si>
  <si>
    <t>铁壳、玻璃框厚度3mm、散热顶部240水冷/120*2，后板120*1，电源仓120*2，显卡限制长280，拓展PCI插口*4，硬盘位主板背面SSD*1+底板HDD*1，风扇后置12cm*1，顶置12cm*2，下置12cm*2</t>
  </si>
  <si>
    <t>CC1006</t>
  </si>
  <si>
    <t>2025-12-23</t>
  </si>
  <si>
    <t>3C0154</t>
  </si>
  <si>
    <t>电脑机箱T6款</t>
  </si>
  <si>
    <t>兼容主板尺寸：MATX/ITX主板，兼，显卡尺寸：限长420mm，兼容CPU散热器：限高160mm。兼容水冷：支持360/240水冷。兼容硬盘位：2.5SSD*1/3.5HDD*1兼容电源：标准ATX电源，纸箱+两侧泡沫+PE袋。内置线路板。配置：单机箱+开关跳线+USB线材</t>
  </si>
  <si>
    <t>42cm*27.8cm*33cm</t>
  </si>
  <si>
    <t>CC1007</t>
  </si>
  <si>
    <t>兼容主板尺寸：MATX/ITX主板，兼，显卡尺寸：限长420mm，兼容CPU散热器：限高160mm。兼容水冷：支持360/240水冷。兼容硬盘位：2.5SSD*1/3.5HDD*1兼容电源：标准ATX电源，纸箱+两侧泡沫+PE袋。配置：单机箱+开关跳线+USB线材</t>
  </si>
  <si>
    <t>CC1008</t>
  </si>
  <si>
    <t>3C0155</t>
  </si>
  <si>
    <t>电脑机箱T6风扇款</t>
  </si>
  <si>
    <t>兼容主板尺寸：MATX/ITX主板，兼容显卡尺寸：限长420mm。兼容CPU散热器：限高160mm，兼容水冷：支持360/240水冷，兼容硬盘位：2.5SSD*1/3.5HDD*1兼容电源：标准ATX电源，纸箱+两侧泡沫+PE袋。配置：机箱+开关跳线+USB线材+3个12厘米棱镜4代PRO风扇（黑色）+1个10口小4Pin风扇集线器</t>
  </si>
  <si>
    <t>CC1009</t>
  </si>
  <si>
    <t>兼容主板尺寸：MATX/ITX主板，兼容显卡尺寸：限长420mm。兼容CPU散热器：限高160mm，兼容水冷：支持360/240水冷，兼容硬盘位：2.5SSD*1/3.5HDD*1兼容电源：标准ATX电源，纸箱+两侧泡沫+PE袋。配置：机箱+开关跳线+USB线材+3个12厘米棱镜4代PRO风扇（白色）+1个10口小4Pin风扇集线器</t>
  </si>
  <si>
    <t>CC1010</t>
  </si>
  <si>
    <t>3C0100</t>
  </si>
  <si>
    <t>电脑机箱T8风扇款</t>
  </si>
  <si>
    <t>兼容主板尺寸：MATX/ITX主板，兼容显卡尺寸：限长280mm兼容CPU散热器：限高165mm，兼容水冷：240水冷兼容硬盘位：2.5SSD*1/3.5HDD*1，兼容电源：标准ATX电源，纸箱+两侧泡沫+PE袋。配置：机箱+开关跳线+USB线材+3个12厘定光风扇（白色）。冷轧钢板，钢化玻璃，塑料</t>
  </si>
  <si>
    <t>29.5cm*19.5cm*37.5cm</t>
  </si>
  <si>
    <t>CC0753</t>
  </si>
  <si>
    <t>金属制品机柜</t>
  </si>
  <si>
    <t>2025-07-26</t>
  </si>
  <si>
    <t>3B0061</t>
  </si>
  <si>
    <t>交换机机柜</t>
  </si>
  <si>
    <t>一. 尺寸与结构：1. 外形尺寸：①高度：4U（240mm），宽度：530mm（标准19英寸机柜宽度），深度：400mm。②结构设计：拼装式框架（冷轧钢板，0.5-1.1mm厚），螺栓/卡扣连接，可拆卸组装，前门透明钢化玻璃。2. 材质与工艺：①主体：冷轧钢板（SPCC），表面静电喷塑（黑色，60-80μm厚）。3. 配件：①U柱（镀锌处理，9.5*9.5方孔，19英寸设备安装位）、层板（0.5mm冷轧钢板，承重10kg，高度可调）。②锁具（锌合金，亮铬/镍表面，带2把钥匙）。4.功能与防护：①散热：顶部/底部散热孔。②线缆管理：顶部、后背、底部进线孔（40*180mm敲落孔）。5.性能参数：①重量：最大承重20kg（均匀分布）。6.包装：①包装：牛卡纸箱+珍珠棉缓冲，单台包装。7.备注：①顶盖×1、底盖×1、边框×2、侧门×2、背板×1、前门×1、U柱×4、门锁×1、安装螺丝×1包、提供安装说明书。</t>
  </si>
  <si>
    <t>53cm*40cm*24cm</t>
  </si>
  <si>
    <t>CC0754</t>
  </si>
  <si>
    <t>一. 尺寸与结构：1. 外形尺寸：①高度：6U（300mm），宽度：530mm（标准19英寸机柜宽度），深度：400mm。②结构设计：拼装式框架（冷轧钢板，0.5-1.1mm厚），螺栓/卡扣连接，可拆卸组装，前门透明钢化玻璃。2. 材质与工艺：①主体：冷轧钢板（SPCC），表面静电喷塑（黑色，60-80μm厚）。3. 配件：①U柱（镀锌处理，9.5*9.5方孔，19英寸设备安装位）、层板（0.5mm冷轧钢板，承重10kg，高度可调）。②锁具（锌合金，亮铬/镍表面，带2把钥匙）。4.功能与防护：①散热：顶部/底部散热孔。②线缆管理：顶部、后背、底部进线孔（40*180mm敲落孔）。5.性能参数：①重量：最大承重20kg（均匀分布）。6.包装：①包装：牛卡纸箱+珍珠棉缓冲，单台包装。7.备注：①顶盖×1、底盖×1、边框×2、侧门×2、背板×1、前门×1、U柱×4、门锁×1、托盘×1、安装螺丝×1包、提供安装说明书。</t>
  </si>
  <si>
    <t>53cm*40cm*30cm</t>
  </si>
  <si>
    <t>CC0755</t>
  </si>
  <si>
    <t>一. 尺寸与结构：1. 外形尺寸：①高度：9U（450mm），宽度：530mm（标准19英寸机柜宽度），深度：400mm。②结构设计：拼装式框架（冷轧钢板，0.5-1.1mm厚），螺栓/卡扣连接，可拆卸组装，前门透明钢化玻璃。2. 材质与工艺：①主体：冷轧钢板（SPCC），表面静电喷塑（黑色，60-80μm厚）。3. 配件：①U柱（镀锌处理，9.5*9.5方孔，19英寸设备安装位）、层板（0.5mm冷轧钢板，承重10kg，高度可调）。②锁具（锌合金，亮铬/镍表面，带2把钥匙）。4.功能与防护：①散热：顶部/底部散热孔。②线缆管理：顶部、后背、底部进线孔（40*180mm敲落孔）。5.性能参数：①重量：最大承重20kg（均匀分布）。6.包装：①包装：牛卡纸箱+珍珠棉缓冲，单台包装。7.备注：①顶盖×1、底盖×1、边框×2、侧门×2、背板×1、前门×1、U柱×4、门锁×1、托盘×1、安装螺丝×1包、提供安装说明书。</t>
  </si>
  <si>
    <t>53cm*40cm*45cm</t>
  </si>
  <si>
    <t>CC0756</t>
  </si>
  <si>
    <t>一. 尺寸与结构：1. 外形尺寸：①高度：12U（600mm），宽度：530mm（标准19英寸机柜宽度），深度：400mm。②结构设计：拼装式框架（冷轧钢板，0.5-1.1mm厚），螺栓/卡扣连接，可拆卸组装，前门透明钢化玻璃。2. 材质与工艺：①主体：冷轧钢板（SPCC），表面静电喷塑（黑色，60-80μm厚）。3. 配件：①U柱（镀锌处理，9.5*9.5方孔，19英寸设备安装位）、层板（0.5mm冷轧钢板，承重10kg，高度可调）。②锁具（锌合金，亮铬/镍表面，带2把一. 尺寸与结构：1. 外形尺寸：①高度：12U（600mm），宽度：530mm（标准19英寸机柜宽度），深度：400mm。②结构设计：拼装式框架（冷轧钢板，0.5-1.1mm厚），螺栓/卡扣连接，可拆卸组装，前门透明钢化玻璃。2. 材质与工艺：①主体：冷轧钢板（SPCC），表面静电喷塑（黑色，60-80μm厚）。3. 配件：①U柱（镀锌处理，9.5*9.5方孔，19英寸设备安装位）、层板（0.5mm冷轧钢板，承重10kg，高度可调）。②锁具（锌合金，亮铬/镍表面，带2把钥匙）。4.功能与防护：①散热：顶部/</t>
  </si>
  <si>
    <t>53cm*40cm*60cm</t>
  </si>
  <si>
    <t>CC0873</t>
  </si>
  <si>
    <t>2025-10-30</t>
  </si>
  <si>
    <t>3B0098</t>
  </si>
  <si>
    <t>交换机立式机柜18U</t>
  </si>
  <si>
    <t>一. 尺寸与结构：1. 外形尺寸：①高度：18U（1000mm），宽度：600mm（标准19英寸机柜宽度），深度：600mm。②结构设计：拼装式框架（冷轧钢板，0.5-1.1mm厚），螺栓/卡扣连接，可拆卸组装，前门透明钢化玻璃。2. 材质与工艺：①主体：冷轧钢板（SPCC），表面静电喷塑（黑色，60-80μm厚）。3. 配件：①U柱（镀锌处理，9.5*9.5方孔，19英寸设备安装位）、层板（0.8mm冷轧钢板，承重10kg，高度可调）。②锁具（锌合金，亮铬/镍表面，带2把钥匙）。4.功能与防护：①散热：顶部/底部散热孔。②线缆管理：顶部、后背、底部进线孔（40*180mm敲落孔）。5.性能参数：①重量：最大承重20kg（均匀分布）。6.包装：①包装：牛卡纸箱+珍珠棉缓冲，单台包装。7.备注：①顶盖×1、底盖×1、边框×2、侧门×2、背板×1、前门×1、U柱×4、门锁×1、安装螺丝×1包、提供安装说明书。</t>
  </si>
  <si>
    <t>100cm*60cm*60cm</t>
  </si>
  <si>
    <t>CC0762</t>
  </si>
  <si>
    <t>订书机</t>
  </si>
  <si>
    <t>3B0059</t>
  </si>
  <si>
    <t>重型订书机</t>
  </si>
  <si>
    <t>1. 基本参数;装订页数：最大容量 70-100（70g A4纸，实际容量因纸张厚度而异）针通用 23/6、23/8、23/10 或 23/613订书针2. 材质与结构外壳：ABS工程塑料或金属材质3. 适用场景,日常办公、学校作业、小型报告装订。</t>
  </si>
  <si>
    <t>28cm*7cm*16.3cm</t>
  </si>
  <si>
    <t>CC0763</t>
  </si>
  <si>
    <t>装订机</t>
  </si>
  <si>
    <t>3B0060</t>
  </si>
  <si>
    <t>打孔机</t>
  </si>
  <si>
    <t>打孔能/次：12张（A4 80gsm)；装订能力/次：450张（A4）/φ51mm；孔边距3,4,5mm（可调）；孔间距14.3mm,孔数：21孔；孔尺3x8mm,打纸幅宽：A4纸以下；用在标书、文件、等纸张装订.</t>
  </si>
  <si>
    <t>37.5cm*26.5cm*35.5cm</t>
  </si>
  <si>
    <t>CC0992</t>
  </si>
  <si>
    <t>裁纸机</t>
  </si>
  <si>
    <t>3B0124</t>
  </si>
  <si>
    <t>A4重型裁纸机</t>
  </si>
  <si>
    <t>切纸类型：条状切纸尺寸：A4-12英寸及以下最大切纸量：400张A4（70gsm),切纸厚度:4CM</t>
  </si>
  <si>
    <t>52cm*38cm*24cm</t>
  </si>
  <si>
    <t>CC0993</t>
  </si>
  <si>
    <t>3B0125</t>
  </si>
  <si>
    <t>A3重型裁纸机</t>
  </si>
  <si>
    <t>切纸类型：条状切纸尺寸：A3-17英寸及以下最大切纸量：500张A4（70gsm),切纸厚度:4CM</t>
  </si>
  <si>
    <t>63.5cm*50.5cm*26cm</t>
  </si>
  <si>
    <t>CC0764</t>
  </si>
  <si>
    <t>未来吉他</t>
  </si>
  <si>
    <t>3C0082</t>
  </si>
  <si>
    <t>无弦吉他</t>
  </si>
  <si>
    <t>琴颈可折叠，边框可拆卸，配备84个备选和弦，12个调式可调，100+节奏型，自带鼓机，配套APP</t>
  </si>
  <si>
    <t>77.5cm*26.4cm*7.8cm</t>
  </si>
  <si>
    <t>CC0777</t>
  </si>
  <si>
    <t>耳机</t>
  </si>
  <si>
    <t>2025-08-28</t>
  </si>
  <si>
    <t>3C0096</t>
  </si>
  <si>
    <t>无线三模耳机K90W</t>
  </si>
  <si>
    <t>无线三模游戏耳机（k90w）</t>
  </si>
  <si>
    <t>19cm*7.3cm*19.3cm</t>
  </si>
  <si>
    <t>CC0778</t>
  </si>
  <si>
    <t>3C0097</t>
  </si>
  <si>
    <t>无线三模耳机K91W</t>
  </si>
  <si>
    <t>无线三模游戏耳机（k91w）</t>
  </si>
  <si>
    <t>18.3cm*7.95cm*19.6cm</t>
  </si>
  <si>
    <t>CC0844</t>
  </si>
  <si>
    <t>3C0116</t>
  </si>
  <si>
    <t>RGB蓝牙音箱</t>
  </si>
  <si>
    <t>功率/RMS：5W*2；带RGB灯，喇叭尺寸Drive Unit：2inch*2；频响/frequency：100Hz-20KHz；分离separation：&gt;85dB；输入灵敏度input sensibility：700mv±50mv；电源输入power input：DC 5V ；产品尺寸product siz：412*72*56mm 蓝牙版本：5.3；充电时长：6小时 ；灯效：6种灯效流光/频谱/渐变/红/绿/蓝；线材长度：USB与信号线外露1.5米.；线材颜色：黑色</t>
  </si>
  <si>
    <t>41.2cm*7.2cm*5.6cm</t>
  </si>
  <si>
    <t>CC0849</t>
  </si>
  <si>
    <t>3C0119</t>
  </si>
  <si>
    <t>透明RGB无线蓝牙游戏手柄</t>
  </si>
  <si>
    <t>充电功率:2.5W;电源输入:DC 5V ;电池800mA ；蓝牙版本:5.0；充电时长：≤3小时 ;线材长度:USB与信号线外露1米;线材颜色：黑色。灯效:单色常亮、呼吸、快闪、慢闪、渐变、</t>
  </si>
  <si>
    <t>15.6cm*10.9cm*6.93cm</t>
  </si>
  <si>
    <t>CC0850</t>
  </si>
  <si>
    <t>3C0120</t>
  </si>
  <si>
    <t>RGB蓝牙无线拉伸手机游戏手柄</t>
  </si>
  <si>
    <t>充电功率:2W;电源输入:DC 5V ;电池600mA ;蓝牙版本：5.0;充电时长：≤3小时 ;线材长度：USB与信号线外露1米;线材颜色：黑色;灯效：呼吸、单色常亮</t>
  </si>
  <si>
    <t>18.8cm*10.9cm*4.8cm</t>
  </si>
  <si>
    <t>CC0851</t>
  </si>
  <si>
    <t>3C0121</t>
  </si>
  <si>
    <t>PRO蓝牙RGB无线拉伸手机游戏手柄</t>
  </si>
  <si>
    <t>充电功率:2.5W;电源输入:DC 5V ;电池800mA ；蓝牙版本：5.0；充电时长：≤3小时 ;线材长度：USB与信号线外露1米;线材颜色：黑色。灯效：跑马、流水、慢闪、渐变、单色常亮</t>
  </si>
  <si>
    <t>24.72cm*11.42cm*6.42cm</t>
  </si>
  <si>
    <t>CC0818</t>
  </si>
  <si>
    <t>文件柜</t>
  </si>
  <si>
    <t>3B0074</t>
  </si>
  <si>
    <t>文件保险箱</t>
  </si>
  <si>
    <t>二门, 内部两根挂杆 两块层板</t>
  </si>
  <si>
    <t>38cm*42cm*180cm</t>
  </si>
  <si>
    <t>CC0819</t>
  </si>
  <si>
    <t>五门, 内部两根挂杆 两块层板</t>
  </si>
  <si>
    <t>CC0821</t>
  </si>
  <si>
    <t>3B0075</t>
  </si>
  <si>
    <t>对开门矮保险箱</t>
  </si>
  <si>
    <t>对开矮保险箱 内两块层板</t>
  </si>
  <si>
    <t>90cm*40cm*109cm</t>
  </si>
  <si>
    <t>5810型号；USB（电脑）+蓝牙；电池1500mAh/7.4V可充电锂离子电池；配Tpye-C数据线充电；分辨率：203dpi（8dot/mm）；兼容ESC/P0S 指令集；支持下载Logo商标打印；打印速度:70mm/s；有效打印宽度48mm（384点）；可用纸张宽度；57.5±0.5mm；驱动程序，Win9X；Win2000；Win2003；WinXP；WinVista；Win7,Win8,win10,win11；Linux；支持安卓、iOS系统（部分收银软件不兼容）；兼容EPSON/SAMSUNG；628全新打印机芯；</t>
  </si>
  <si>
    <t>10.7cm*7.5cm*5.2cm</t>
  </si>
  <si>
    <t>CC0940</t>
  </si>
  <si>
    <t>3B0101</t>
  </si>
  <si>
    <t>80mm便携式标签打印机</t>
  </si>
  <si>
    <t>8008型号；USB（电脑）+蓝牙；电池2000mAh/7.4V可充电锂离子电池；配Tpye-C数据线充电；兼容ESC/P0S 指令集；支持下载Logo商标打印；打印速度:70mm/s；有效打印宽度48mm（384点）；可用纸张宽度；80±0.5mm；驱动程序，Win9X；Win2000；Win2003；WinXP；WinVista；Win7,Win8,win10,win11；Linux；支持安卓、iOS系统（部分收银软件不兼容）；兼容EPSON/SAMSUNG；628全新打印机芯；</t>
  </si>
  <si>
    <t>12.5cm*10.9cm*6.5cm</t>
  </si>
  <si>
    <t>CC0822</t>
  </si>
  <si>
    <t>密码锁</t>
  </si>
  <si>
    <t>3B0076</t>
  </si>
  <si>
    <t>开锁方式：指纹、密码、卡、手机APP（可以通过手机蓝牙连接锁）、机械钥匙；标配：TTLOCK系统,指纹头；选配：wifi联网模组（可以连接2.4G wifi实现远程开锁）；核心优势：铝合金一体压铸成型外壳，钢化玻璃面板，防盗报警。在不联网的情况下，手机APP可以远程发密码给门锁旁边的人开锁；标配8颗5号电池，可以实现2年超长待机。配件：IC卡2张、锁芯、方钢、弹簧、螺丝、螺杆、钥匙。不带锁体；支持锁体2.4*24cm（60*68）、3*24cm（60*68）</t>
  </si>
  <si>
    <t>36.8cm*6.8cm*2.4cm</t>
  </si>
  <si>
    <t>CC0823</t>
  </si>
  <si>
    <t>3B0077</t>
  </si>
  <si>
    <t>指纹挂锁</t>
  </si>
  <si>
    <t>开锁方式：指纹（20组） 摩斯密码，应用场景：大门锁、自行车锁、柜子锁，核心优势：IP65级防水，待机时间5个月，内置电池150ma</t>
  </si>
  <si>
    <t>4.9cm*1.38cm*7.95cm</t>
  </si>
  <si>
    <t>CC0875</t>
  </si>
  <si>
    <t>3B0092</t>
  </si>
  <si>
    <t>R2A房间门锁五功能带APP</t>
  </si>
  <si>
    <t>开锁方式：指纹、密码、卡、手机APP（可以通过手机蓝牙连接锁）、机械钥匙；标配：指纹头；核心优势：铝合金一体压铸成型外壳，钢化玻璃面板，自带TTLOCK系统，防盗报警；配件：IC卡2张、锁芯、方钢、弹簧、螺丝、螺杆、钥匙。不带锁体；支持锁体2.2*16cm（规格50*50）、2.2*17cm（规格50*50）、2.2*12.5cm（规格50*50）、2.2*14.7cm（规格50*50）、2.2*18cm（规格50*50）</t>
  </si>
  <si>
    <t>28.2cm*6.5cm*2.3cm</t>
  </si>
  <si>
    <t>CC0876</t>
  </si>
  <si>
    <t>3B0093</t>
  </si>
  <si>
    <t>B1A五功能断桥铝锁带APP</t>
  </si>
  <si>
    <t>开锁方式：指纹、密码、卡、手机APP（可以通过手机蓝牙连接锁）、机械钥匙；标配：TTLOCK系统,指纹头；核心优势：IP65级防水，铝合金一体压铸成型外壳，钢化玻璃面板，防盗报警。在不联网的情况下，手机APP可以远程发密码给门锁旁边的人开锁；配件：IC卡2张、锁芯、方钢、弹簧、螺丝、螺杆、钥匙。不带锁体；适用断桥铝门锁体2.2*24（30*85）；适用断桥铝门锁体2.2*27（28*85）；适用断桥铝门锁体2.2*24（25*85）；适用断桥铝门锁体2.2*24（35*85）</t>
  </si>
  <si>
    <t>32cm*3.5cm*2.2cm</t>
  </si>
  <si>
    <t>CC0877</t>
  </si>
  <si>
    <t>3B0094</t>
  </si>
  <si>
    <t>R4A房间门锁单锁舌五功能带APP</t>
  </si>
  <si>
    <t>开锁方式：指纹、密码、卡、手机APP（可以通过手机蓝牙连接锁）、机械钥匙；标配：指纹头；核心优势：铝合金一体压铸成型外壳，钢化玻璃面板，自带TTLOCK系统，防盗报警；配件：IC卡2张、锁芯、方钢、弹簧、螺丝、螺杆、钥匙。不带锁体；支持房间门单舌锁体2.7*6.8；支持房间门单舌锁体2.7*5.7；</t>
  </si>
  <si>
    <t>CC0878</t>
  </si>
  <si>
    <t>3B0095</t>
  </si>
  <si>
    <t>R5A房间门锁单锁舌四功能不带APP</t>
  </si>
  <si>
    <t>开锁方式：指纹、密码、卡、机械钥匙；标配：指纹头；核心优势：铝合金一体压铸成型外壳，钢化玻璃面板，防盗报警；配件：IC卡2张、锁芯、方钢、弹簧、螺丝、螺杆、钥匙。不带锁体；支持房间门单舌锁体2.7*6.8；支持房间门单舌锁体2.7*5.7；</t>
  </si>
  <si>
    <t>CC0879</t>
  </si>
  <si>
    <t>锁体</t>
  </si>
  <si>
    <t>3B0092Z</t>
  </si>
  <si>
    <t>房间门锁体</t>
  </si>
  <si>
    <t>挡板尺寸2.2*16（规格50*50），用于房间门锁；支持R2A房间门锁五功能带APP；R3A房间门锁四功能不带APP</t>
  </si>
  <si>
    <t>2.2cm*7cm*16cm</t>
  </si>
  <si>
    <t>CC0880</t>
  </si>
  <si>
    <t>3B0094Z</t>
  </si>
  <si>
    <t>房间门单舌锁体</t>
  </si>
  <si>
    <t>挡板外形尺寸2.7*6.8mm，适用于房间门锁R4A房间门锁单锁舌五功能带APP；适用于房间门锁R5A房间门锁单锁舌四功能不带APP</t>
  </si>
  <si>
    <t>6.8cm*8.3cm*2.7cm</t>
  </si>
  <si>
    <t>CC0881</t>
  </si>
  <si>
    <t>3B0093Z</t>
  </si>
  <si>
    <t>断桥铝门方舌锁体</t>
  </si>
  <si>
    <t>2.2*24（规格30*85），适用于断桥铝门锁B1A五功能断桥铝锁带APP；适用于断桥铝门锁B2A四功能断桥铝锁不带APP</t>
  </si>
  <si>
    <t>2.2cm*4.4cm*24cm</t>
  </si>
  <si>
    <t>CC0882</t>
  </si>
  <si>
    <t>断桥铝门弯舌锁体</t>
  </si>
  <si>
    <t>2.2*27（规格28*85），适用于断桥铝门锁B1A五功能断桥铝锁带APP；适用于断桥铝门锁B2A四功能断桥铝锁不带APP</t>
  </si>
  <si>
    <t>2.2cm*5cm*27cm</t>
  </si>
  <si>
    <t>CC0883</t>
  </si>
  <si>
    <t>3B0076Z</t>
  </si>
  <si>
    <t>防盗门锁体</t>
  </si>
  <si>
    <t>2.4*24标准锁体，用于入户防盗门锁；适用H1AP五功能防盗门锁带APP</t>
  </si>
  <si>
    <t>2.4cm*9cm*24cm</t>
  </si>
  <si>
    <t>CC0885</t>
  </si>
  <si>
    <t>五金件</t>
  </si>
  <si>
    <t>3B0096</t>
  </si>
  <si>
    <t>智能门锁配件包</t>
  </si>
  <si>
    <t>配件包含方钢、螺柱、螺丝、弹簧等，主要用门锁安装</t>
  </si>
  <si>
    <t>7cm*13cm*0.8cm</t>
  </si>
  <si>
    <t>CC0886</t>
  </si>
  <si>
    <t>门锁IC卡</t>
  </si>
  <si>
    <t>3B0103</t>
  </si>
  <si>
    <t>智能门锁IC卡</t>
  </si>
  <si>
    <t>开锁用IC卡， 内置芯片，主要用于智能锁开锁，一包5张。一箱200张</t>
  </si>
  <si>
    <t>7.5cm*3.5cm*0.8cm</t>
  </si>
  <si>
    <t>CC0887</t>
  </si>
  <si>
    <t>3B0097</t>
  </si>
  <si>
    <t>U9五功能玻璃门智能锁带TUYAAPP</t>
  </si>
  <si>
    <t>内置电池500MA；开锁方式：指纹、密码、卡、手机、机械钥匙；标配：指纹头、TUYA智能APP；应用场景:玻璃门、仓库门、楼道门等</t>
  </si>
  <si>
    <t>42.5cm*11cm*3cm</t>
  </si>
  <si>
    <t>T4CC2540824</t>
  </si>
  <si>
    <t>3B-指纹密码刷卡手机App美标锁</t>
  </si>
  <si>
    <t>CC0824</t>
  </si>
  <si>
    <t>智能门锁</t>
  </si>
  <si>
    <t>2025-10-21</t>
  </si>
  <si>
    <t>3B0083</t>
  </si>
  <si>
    <t>指纹密码刷卡手机App美标锁</t>
  </si>
  <si>
    <t>核心卖点：半导体指纹识别、WI-FI 连接、自动上锁等开启方式：指纹、密码、卡片、机械钥匙、临时密码、手机APP开锁，电源供应： 8节5号干电池，典型静态电流： &lt;500μA，指纹开门数量：≤100组，片机开门数量：≤50组，密码开门数量：≤50组（含1组管理员），工作温度： -20℃～60℃，相对湿度： 0% ～ 93%，适用门型：入户门、车库门、厨房门、室内门，适用门厚：木门：门厚35-55mm；基本孔径：38/54mm；锁舌边心距：60/70mm，应急供电口：Type-C，锁芯级别 :三级美标</t>
  </si>
  <si>
    <t>17.2cm*7.3cm*4cm</t>
  </si>
  <si>
    <t>CC0846</t>
  </si>
  <si>
    <t>3B0084</t>
  </si>
  <si>
    <t>插销密码锁</t>
  </si>
  <si>
    <t>插销密码锁，广泛应用于:木门，栅栏门</t>
  </si>
  <si>
    <t>12.2cm*4.8cm*4cm</t>
  </si>
  <si>
    <t>CC0847</t>
  </si>
  <si>
    <t>3B0085</t>
  </si>
  <si>
    <t>玻璃门U型密码锁</t>
  </si>
  <si>
    <t>玻璃密码门锁，可锁距离19-35cm；四位密码，无需钥匙，密码组合多。</t>
  </si>
  <si>
    <t>43cm*12.5cm*3cm</t>
  </si>
  <si>
    <t>配遥控器、处理器：H313、出4+64G，实际1+8G，双wifi，google，ATV版本，无蓝牙</t>
  </si>
  <si>
    <t>CC0712</t>
  </si>
  <si>
    <t>点钞机外接显示器</t>
  </si>
  <si>
    <t>3B0043</t>
  </si>
  <si>
    <t>点钞机显示器</t>
  </si>
  <si>
    <t>外接屏</t>
  </si>
  <si>
    <t>9cm*8cm*5cm</t>
  </si>
  <si>
    <t>CC0975</t>
  </si>
  <si>
    <t>扎钞纸</t>
  </si>
  <si>
    <t>3B0108</t>
  </si>
  <si>
    <t>牛皮纸材质，塑料滚轴，内径80mm；外径145mm；带宽19mm，带长60m/卷；每箱数量20卷</t>
  </si>
  <si>
    <t>32.5cm*19.7cm*17.2cm</t>
  </si>
  <si>
    <t>CC0739</t>
  </si>
  <si>
    <t>3B0047</t>
  </si>
  <si>
    <t>液晶保险箱</t>
  </si>
  <si>
    <t>指纹密码款、不含电池、单独电池、三层、液晶面板、单独钥匙</t>
  </si>
  <si>
    <t>45cm*38cm*30cm</t>
  </si>
  <si>
    <t>CC0898</t>
  </si>
  <si>
    <t>3B0087</t>
  </si>
  <si>
    <t>液晶面板保险柜密码A15款</t>
  </si>
  <si>
    <t>绒布垫层，密码款、不含电池、单独电池、三层、液晶面板、单独钥匙</t>
  </si>
  <si>
    <t>CC0977</t>
  </si>
  <si>
    <t>保险柜</t>
  </si>
  <si>
    <t>3B0110</t>
  </si>
  <si>
    <t>功勋仓保险箱密码款</t>
  </si>
  <si>
    <t>1.工艺箱体钢板厚度：1.1mm；复合门板：10mm；2.面板：2502D密码款；钥匙盖子红色3.栓头：4个圆栓头带栓圈4.内饰：底部、里门、隔板全包皮革；银欧有字钥匙挂钩5.隔板：双隔板，支片巾，前后包边，6.安装孔：背部2个7.配件包：USB数据线，不含电池。新型膨胀丝2条；说明书和钥匙放在自封袋里，说明书英文的8.商标：不贴logo和商标、合格证、换码键9.包装：防尘袋+泡沫+中性纸箱纸箱10.备注：箱体底部三角底角片上线前直接粘上,左侧门框上需要贴一小块绒布，在锁栓对面的位置。严格按要求重量做，喷粉厚度要求90丝以内，表面光滑，无颗粒，门与门框间隙匀称，底部沾布平整无褶皱。</t>
  </si>
  <si>
    <t>45cm*38cm*32cm</t>
  </si>
  <si>
    <t>CC0978</t>
  </si>
  <si>
    <t>3B0111</t>
  </si>
  <si>
    <t>功勋仓保险箱指纹款</t>
  </si>
  <si>
    <t>1.工艺箱体钢板厚度：1.1mm；复合门板：10mm；2.面板：2502D指纹款；钥匙盖子分颜色黑/白/红3.栓头：4个圆栓头带栓圈4.内饰：底部、里门、隔板全包皮革；银欧有字钥匙挂钩5.隔板：双隔板，支片巾.前后包边，6.安装孔：背部2个7.配件包：银方脚垫4个；USB数据线，不含电池。新型膨胀丝2条；说明书和钥匙放在自封袋里，说明书英文的8.商标：不贴logo和商标、合格证、换码键9.包装：防尘袋+泡沫+中性纸箱纸箱10.备注：箱体底部三角底角片上线前直接粘上,左侧门框上需要贴一小块绒布，在锁栓对面的位置。严格按要求重量做，喷粉厚度要求90丝以内，表面光滑，无颗粒，门与门框间隙匀称，底部沾布平整无褶皱。</t>
  </si>
  <si>
    <t>CC0979</t>
  </si>
  <si>
    <t>3B0112</t>
  </si>
  <si>
    <t>XT保险箱密码款</t>
  </si>
  <si>
    <t>1.门板：1.2+10MM  工艺：箱体1.2 两侧圆弧2.面板：密码款3.内饰：白色柜子橙色、里门同箱体。凳巾 木隔板2块，银色隔板条。4.里门：银挂钩，银色螺丝盖5.栓头八角银栓头3个+栓套+黑栓凹6.配件包：银方脚垫4个、膨胀丝2套、数据线，不含电池7.包装顺序：防尘袋-泡沫-XT外箱8.标签：无需logo标签，贴我方sku码</t>
  </si>
  <si>
    <t>CC0980</t>
  </si>
  <si>
    <t>3B0113</t>
  </si>
  <si>
    <t>XT保险箱指纹款</t>
  </si>
  <si>
    <t>1.门板：1.2+10MM  工艺：箱体1.2 两侧圆弧2.面板：指纹款3.内饰：白色柜子橙色、里门同箱体。凳巾 木隔板2块，银色隔板条。4.里门：银挂钩，银色螺丝盖5.栓头八角银栓头3个+栓套+黑栓凹6.配件包：银方脚垫4个、膨胀丝2套、数据线，不含电池7.包装顺序：防尘袋-泡沫-XT外箱8.标签：无需logo标签，贴我方sku码</t>
  </si>
  <si>
    <t>CC0964</t>
  </si>
  <si>
    <t>CC0965</t>
  </si>
  <si>
    <t>CC0966</t>
  </si>
  <si>
    <t>CC0967</t>
  </si>
  <si>
    <t>CC0968</t>
  </si>
  <si>
    <t>CC0969</t>
  </si>
  <si>
    <t>CC0970</t>
  </si>
  <si>
    <t>CC0971</t>
  </si>
  <si>
    <t>CC0972</t>
  </si>
  <si>
    <t>CC0994</t>
  </si>
  <si>
    <t>有线麦克风</t>
  </si>
  <si>
    <t>2025-12-08</t>
  </si>
  <si>
    <t>3C0143</t>
  </si>
  <si>
    <t>RGB电容悬臂支架降噪麦克风</t>
  </si>
  <si>
    <t>指向性：心形,振膜：14mm,灵敏度：-45±3dB（0dB=1V/Pa，1kHz）,最大声压级：130dB,频率响应：20Hz-20kHz,信噪比：71dB,最大采样率：192kHz/24bit,功能: 一键静音/降噪/麦克风音量调整/RGB灯光模式调整,用途: 用在电脑/手机上进行收音，配件：1 x 麦克风带悬臂支架,1 x USB 线材,4 x 魔术贴,1 x 说明书</t>
  </si>
  <si>
    <t>39cm*15cm*15cm</t>
  </si>
  <si>
    <t>CC0996</t>
  </si>
  <si>
    <t>3C0145</t>
  </si>
  <si>
    <t>动圈麦克风</t>
  </si>
  <si>
    <t>指向性：心形,频率响应：频率响应：40Hz-16kHz,灵敏度：-55dB±3dB（0dB=1V/ubar，1kHz）,是否需要外接电源：否,最大采样率：96kHz/24位,信噪比：95dB,最大声压级：130dB,输出阻抗：350Ω,功能: 一键静音/麦克风音量调整/XLR USB双输出用途:用在电脑/手机上进行收音。配件：1 x 麦克风带底座,1 x 2m XLR 线材,1 x  2m USB线材,1 x OTG转接头,1 x 麦克风海绵头,1 x 说明书</t>
  </si>
  <si>
    <t>20cm*12.5cm*12.5cm</t>
  </si>
  <si>
    <t>CC0997</t>
  </si>
  <si>
    <t>3C0146</t>
  </si>
  <si>
    <t>RGB动圈降噪桌面麦克风</t>
  </si>
  <si>
    <t>指向性：心形,频率响应：20Hz-20kHz,灵敏度：-45dB±3dB（0dB=1V/ubar，1kHz）,不需要外接电源,最大采样率：192kHz/24位,信噪比：72dB,最大声压级：130dB,输出阻抗：2.2kΩ,功能: 一键静音/降噪/耳机音量调节/麦克风音量调整/RGB灯光模式调整,用途:用在电脑/手机上进行收音，配件：1 x 麦克风带底座,1 x USB 线材,1 x OTG转接头,1 x 说明书</t>
  </si>
  <si>
    <t>23cm*10cm*10cm</t>
  </si>
  <si>
    <t>CC0998</t>
  </si>
  <si>
    <t>3C0147</t>
  </si>
  <si>
    <t>RGB全透明动圈降噪桌面麦克风</t>
  </si>
  <si>
    <t>指向性：心形,频率响应频率响应：50Hz-20kHz,灵敏度：-45dB±2dB（0dB=1V/μbar，1kHz）,不需要外接电源,最大采样率：192kHz/24位,信噪比：95dB,最大声压级：132dB,输出阻抗：2.2KΩ,功能: 一键静音/降噪/耳机音量调节/麦克风音量调整/RGB灯光模式调整,用途:用在电脑/手机上进行收音。配件：1 x 麦克风带底座,1 x USB 线材,1 x OTG转接头,1 x 说明书</t>
  </si>
  <si>
    <t>24cm*10cm*10cm</t>
  </si>
  <si>
    <t>CC0999</t>
  </si>
  <si>
    <t>混音器</t>
  </si>
  <si>
    <t>3C0148</t>
  </si>
  <si>
    <t>数据传输：USB 2.0,采样率：48kHz/44.1kHz,电压/功耗：DC5V/500mA,频率响应：20Hz-20kHz,动态范围：75dB,信噪比：&gt;75dB,总谐波失真+噪声：0.1%,增益范围：50dB,功能: XLR输入/乐器输入/变音/混响/耳机监听/3.5mm麦克风输入/耳麦输入,用途:用在电脑手机上进行调音混音。配件：1 x  混音器,1 x USB 线材,1 x 3.5mm 线材,1 x 说明书</t>
  </si>
  <si>
    <t>18.5cm*15cm*5cm</t>
  </si>
  <si>
    <t>CC0691</t>
  </si>
  <si>
    <t>太阳能充电板</t>
  </si>
  <si>
    <t>3B0040</t>
  </si>
  <si>
    <t>电源充电板</t>
  </si>
  <si>
    <t>虚标20w、实际18V12W、带4.5米线、、含支架和螺丝包</t>
  </si>
  <si>
    <t>35cm*23.5cm*1.5cm</t>
  </si>
  <si>
    <t>T4CZ2130155</t>
  </si>
  <si>
    <t>2025-02-27</t>
  </si>
  <si>
    <t>33键智能款电视遥控器，适用于32寸、43寸安卓智能款电视适用</t>
  </si>
  <si>
    <t>T4CZ2130156</t>
  </si>
  <si>
    <t>44键普通款电视遥控器，适用于32寸、43寸普通款电视适用</t>
  </si>
  <si>
    <t>3B-白板笔配件包</t>
  </si>
  <si>
    <t>白板配件</t>
  </si>
  <si>
    <t>2025-07-22</t>
  </si>
  <si>
    <t>3B0130</t>
  </si>
  <si>
    <t>白板笔配件包</t>
  </si>
  <si>
    <t>一根黑笔、一根红笔、一个板擦EVA材质</t>
  </si>
  <si>
    <t>3B-液晶面板黑色保险箱密码45S2款</t>
  </si>
  <si>
    <t>CC1164</t>
  </si>
  <si>
    <t>3B0181</t>
  </si>
  <si>
    <t>保险箱密码45S2款</t>
  </si>
  <si>
    <t>箱体厚度1.2mm，门板3mm，密码钥匙款，黑色，加厚纸箱，加厚泡沫，说明书，膨胀率螺丝，脚垫</t>
  </si>
  <si>
    <t>45cm*38cm*31cm</t>
  </si>
  <si>
    <t>3B-液晶面板黑色保险箱内柜指纹45FS款</t>
  </si>
  <si>
    <t>CC1165</t>
  </si>
  <si>
    <t>3B0182</t>
  </si>
  <si>
    <t>保险箱内柜指纹45FS款</t>
  </si>
  <si>
    <t>箱体厚度1.2mm，门板3mm，指纹密码钥匙款，黑色，加厚纸箱，加厚泡沫，说明书，膨胀率螺丝，脚垫，内柜</t>
  </si>
  <si>
    <t>3B-液晶面板黑色保险箱指纹45FS2款</t>
  </si>
  <si>
    <t>CC1166</t>
  </si>
  <si>
    <t>3B0183</t>
  </si>
  <si>
    <t>保险箱指纹45FS2款</t>
  </si>
  <si>
    <t>箱体厚度1.2mm，门板3mm，指纹密码钥匙款，黑色，加厚纸箱，加厚泡沫，说明书，膨胀率螺丝，脚垫</t>
  </si>
  <si>
    <t>3B-功勋仓咖啡金保险箱密码45S2款</t>
  </si>
  <si>
    <t>CC1167</t>
  </si>
  <si>
    <t>3B0184</t>
  </si>
  <si>
    <t>功勋仓保险箱密码45S2款</t>
  </si>
  <si>
    <t>箱体厚度1.2mm，门板3mm，密码钥匙款，咖啡金色，加厚纸箱，加厚泡沫，说明书，膨胀率螺丝，脚垫</t>
  </si>
  <si>
    <t>3B-功勋仓咖啡金保险箱内柜指纹45FS款</t>
  </si>
  <si>
    <t>CC1168</t>
  </si>
  <si>
    <t>3B0185</t>
  </si>
  <si>
    <t>功勋仓保险箱密码45FS款</t>
  </si>
  <si>
    <t>箱体厚度1.2mm，门板3mm，指纹密码钥匙款，咖啡金色，加厚纸箱，加厚泡沫，说明书，膨胀率螺丝，脚垫，内柜</t>
  </si>
  <si>
    <t>3B-XT香槟金保险箱内柜密码45S款</t>
  </si>
  <si>
    <t>CC1169</t>
  </si>
  <si>
    <t>3B0186</t>
  </si>
  <si>
    <t>XT保险箱内柜密码45S款</t>
  </si>
  <si>
    <t>箱体厚度1.2mm，门板3mm，密码钥匙款，香槟金，加厚纸箱，加厚泡沫，说明书，膨胀率螺丝，脚垫，内柜</t>
  </si>
  <si>
    <t>3B-XT香槟金保险箱内柜指纹45FS款</t>
  </si>
  <si>
    <t>CC1170</t>
  </si>
  <si>
    <t>3B0187</t>
  </si>
  <si>
    <t>XT保险箱内柜指纹45FS款</t>
  </si>
  <si>
    <t>箱体厚度1.2mm，门板3mm，指纹密码钥匙款，香槟金，加厚纸箱，加厚泡沫，说明书，膨胀率螺丝，脚垫，内柜</t>
  </si>
  <si>
    <t>3B-新A6黑色保险箱密码25H9款</t>
  </si>
  <si>
    <t>CC1171</t>
  </si>
  <si>
    <t>3B0188</t>
  </si>
  <si>
    <t>新A6保险箱密码25H9款</t>
  </si>
  <si>
    <t>25cm*35cm*25cm</t>
  </si>
  <si>
    <t>3B-新A6黑色保险箱指纹25FH9款</t>
  </si>
  <si>
    <t>CC1172</t>
  </si>
  <si>
    <t>3B0189</t>
  </si>
  <si>
    <t>新A6保险箱指纹25FH9款</t>
  </si>
  <si>
    <t>箱体厚度1.2mm，门板3mm，指纹密码钥匙，黑色，加厚纸箱，加厚泡沫，说明书，膨胀率螺丝，脚垫</t>
  </si>
  <si>
    <t>3C-电视移动推车支架TG11</t>
  </si>
  <si>
    <t>CC1046</t>
  </si>
  <si>
    <t>2026-01-29</t>
  </si>
  <si>
    <t>2026-02-05</t>
  </si>
  <si>
    <t>3C0164</t>
  </si>
  <si>
    <t>电视移动推车支架TG11</t>
  </si>
  <si>
    <t>电视安装支架，移动型支架，适用32-80寸电视机，承重50KG，应用更多场景，方便移动，更多观看角度。密度板尺寸：80cm*19.8cm*1.8cm</t>
  </si>
  <si>
    <t>123cm*86cm*53cm</t>
  </si>
  <si>
    <t>3C-单柱旋转移动推车MY01</t>
  </si>
  <si>
    <t>CC1057</t>
  </si>
  <si>
    <t>2026-04-07</t>
  </si>
  <si>
    <t>3C0175</t>
  </si>
  <si>
    <t>移动推车MY01</t>
  </si>
  <si>
    <t>钢管，高强度冷轧板，VESA:100*100-400*400，承重：75KG，黑色烤漆，安装配件齐全，组装快捷，静谧脚轮，万向脚轮，带刹车。电视、显示器安装支架，移动型支架，横竖屏旋转，适用32-65寸电视机，承重75KG，应用更多场景，方便移动，更多观看角度</t>
  </si>
  <si>
    <t>150cm*70cm*43.5cm</t>
  </si>
  <si>
    <t>3C-双层移动推车MY1700PJ</t>
  </si>
  <si>
    <t>CC1058</t>
  </si>
  <si>
    <t>3C0176</t>
  </si>
  <si>
    <t>双层移动推车MY1700PJ</t>
  </si>
  <si>
    <t>钢管，冷轧板，VESA:100*100-400*600，承重：75KG，黑色烤漆，安装配件齐全，组装快捷，静谧脚轮，万向脚轮，带刹车。。电视安装支架，移动型支架，适用32-80寸电视机，承重75KG，应用更多场景，方便移动，更多观看角度</t>
  </si>
  <si>
    <t>190cm*70cm*43cm</t>
  </si>
  <si>
    <t>3C-显示器桌面支架T001</t>
  </si>
  <si>
    <t>CC1112</t>
  </si>
  <si>
    <t>3C0195</t>
  </si>
  <si>
    <t>显示器桌面支架T001</t>
  </si>
  <si>
    <t>VESA:50*50MM,75*75MM,100*100MM。承重：25KG，黑色烤漆，安装配件齐全显示器、电视桌面安装支架，适用10-32寸显示器或电视机，承重25KG，应用更多场景，高低尺寸调节，左右调节角度，更多观看视角，轻松办公。</t>
  </si>
  <si>
    <t>420cm*390cm*281cm</t>
  </si>
  <si>
    <t>3C-21寸初学者入门侧旋款尤克里里</t>
  </si>
  <si>
    <t>CC1114</t>
  </si>
  <si>
    <t>尤克里里</t>
  </si>
  <si>
    <t>3C0198</t>
  </si>
  <si>
    <t>尤克里里侧旋款21寸</t>
  </si>
  <si>
    <t>5层牛皮纸纸箱，BE厚度≥4.0，耐破强度/Kpa520/530/516；边压强度(N/M)2695/2712/2581，内部泡沫袋包装，21英寸，磨砂面：尤克里里*1、拨片*2、琴弦*1，琴头：ABS，旋钮：ABS，镀铬不锈钢，指板：ABS，琴身：椴木，琴码：ABS，琴弦：尼龙</t>
  </si>
  <si>
    <t>54cm*20.5cm*8cm</t>
  </si>
  <si>
    <t>3C-38寸初学者民谣入门练习吉他套装</t>
  </si>
  <si>
    <t>CC1115</t>
  </si>
  <si>
    <t>3C0199</t>
  </si>
  <si>
    <t>民谣吉他套装38寸</t>
  </si>
  <si>
    <t>5层牛皮纸纸箱，BE厚度≥6.0，耐破强度/Kpa520/530/516；边压强度(N/M)2695/2712/2581，内部泡沫袋防尘包装，38英寸，磨砂面：吉他*1、配件包*1。配件包内含：琴包*1、电子调音笛*1，英文琴谱*1、变调夹*1，擦琴布*1、备用琴弦*6（1#-6#）、吉他背带*1、弹片*5。琴头：实木，旋钮：ABS、镀铬不锈钢，指板：黄铜，椴木，琴身：椴木，琴码：ABS，琴弦：不锈钢、铜</t>
  </si>
  <si>
    <t>100.5cm*48cm*13.5cm</t>
  </si>
  <si>
    <t>3C-38寸手工进阶款民谣吉他</t>
  </si>
  <si>
    <t>CC1116</t>
  </si>
  <si>
    <t>3C0200</t>
  </si>
  <si>
    <t>手工进阶款民谣吉他</t>
  </si>
  <si>
    <t>5层牛皮纸纸箱，BE厚度≥6.0，耐破强度/Kpa520/530/516；边压强度(N/M)2695/2712/2581，内部泡沫袋防尘包装，38英寸，磨砂面：吉他*1、弹片*5。琴头：实木，旋钮：ABS、镀铬不锈钢，指板：黄铜，椴木，琴身：椴木，琴码：ABS，琴弦：不锈钢、铜</t>
  </si>
  <si>
    <t>3C-X3S游戏手柄带手机支架</t>
  </si>
  <si>
    <t>CC1106</t>
  </si>
  <si>
    <t>3C0190</t>
  </si>
  <si>
    <t>X3S游戏手柄</t>
  </si>
  <si>
    <t>ABS材质壳料，Type-C接口，手柄有配充电线，手柄内置电池350毫安，手柄不带震动，手柄配手机支架，说明书，支持安卓系统，苹果手机，电脑，PS3主机，PS4主机，SWITCH主机</t>
  </si>
  <si>
    <t>15cm*10.5cm*5.8cm</t>
  </si>
  <si>
    <t>3C-14寸60Hz直面1K便携式显示器触摸黑色</t>
  </si>
  <si>
    <t>CC1076</t>
  </si>
  <si>
    <t>2026-03-07</t>
  </si>
  <si>
    <t>3C0180</t>
  </si>
  <si>
    <t>14寸便携显示器触摸款</t>
  </si>
  <si>
    <t>触摸版，不配皮套，小支架款，14英寸，分辨率1920*1200P，显示比例16：10，刷新率60Hz，最大亮度240cd/㎡，全塑胶，电源输入5V-20V，功耗≤15W，内置音箱，USB供电；产品接口：TYPE-C信号输入 *1，迷你HDMI信号输入 *1，Type-C电源输入 *1，3.5mm音频输出 * 1；包装清单：显示器主机 *1，HDMI线 *1，TYPE-C to TYPE-C线 *1，USB 供电线 *2，说明书 *1</t>
  </si>
  <si>
    <t>31.1cm*21.1cm*1.3cm</t>
  </si>
  <si>
    <t>3C-15.6寸60Hz直面1K便携式无线投屏显示器黑色</t>
  </si>
  <si>
    <t>CC1078</t>
  </si>
  <si>
    <t>3C0182</t>
  </si>
  <si>
    <t>15.6寸无线投屏便携显示器非触摸款</t>
  </si>
  <si>
    <t>无线投屏，无触摸版，不配皮套，15.6英寸，分辨率1920*1080P，IPS面板，显示比例16：9，刷新率60Hz，全塑胶+单杆支架，4mm边框，电源输入5V-20V，内置音箱，HDR功能，USB供电；产品接口：TYPE-C信号输入 *1，迷你HDMI信号输入 *1，Type-C电源输入 *1，3.5mm音频输出 * 1；包装清单：显示器主机 *1，HDMI线 *1，USB 供电线 *1，说明书 *1</t>
  </si>
  <si>
    <t>35.5cm*22cm*1.3cm</t>
  </si>
  <si>
    <t>CC1032</t>
  </si>
  <si>
    <t>毛毡照片墙</t>
  </si>
  <si>
    <t>2026-01-06</t>
  </si>
  <si>
    <t>3B0129</t>
  </si>
  <si>
    <t>毛毡照片公告墙</t>
  </si>
  <si>
    <t>聚酯纤维，照片墙;魔术贴足量；工字钉一盒；opp袋，箱子</t>
  </si>
  <si>
    <t>120cm*90cm*2.2cm</t>
  </si>
  <si>
    <t>CC1033</t>
  </si>
  <si>
    <t>120cm*80cm*1.1cm</t>
  </si>
  <si>
    <t>CC1034</t>
  </si>
  <si>
    <t>120cm*60cm*1.1cm</t>
  </si>
  <si>
    <t>CC1035</t>
  </si>
  <si>
    <t>80cm*60cm*1.1cm</t>
  </si>
  <si>
    <t>CC1037</t>
  </si>
  <si>
    <t>CC1038</t>
  </si>
  <si>
    <t>CC1039</t>
  </si>
  <si>
    <t>CC1040</t>
  </si>
  <si>
    <t>3B-木框白板60cm*90cm</t>
  </si>
  <si>
    <t>CC1094</t>
  </si>
  <si>
    <t>3B0155</t>
  </si>
  <si>
    <t>木框白板</t>
  </si>
  <si>
    <t>纸箱+外箱,60*90CM,纸板背板，松木条边框，蜂窝板，哑光高分子树脂烤漆涂层面板。价格配件</t>
  </si>
  <si>
    <t>3B-木框留言板60cm*90cm</t>
  </si>
  <si>
    <t>CC1095</t>
  </si>
  <si>
    <t>3B0156</t>
  </si>
  <si>
    <t>木框留言板</t>
  </si>
  <si>
    <t>3C-电脑机箱34014款风扇款黑色</t>
  </si>
  <si>
    <t>CC1053</t>
  </si>
  <si>
    <t>3C0172</t>
  </si>
  <si>
    <t>电脑机箱34014款风扇款</t>
  </si>
  <si>
    <t>兼容主板尺寸：ATX/MATX/ITX主板。兼容显卡尺寸：限长330mm.兼容CPU散热器：限高160mm。兼容硬盘位：2.5SSD*2/3.5HDD*2。兼容电源：标准ATX电源。包装清单：纸箱+两侧泡沫+PE袋+机箱+3个12厘米定光风扇（黑色）</t>
  </si>
  <si>
    <t>37cm*17cm*41cm</t>
  </si>
  <si>
    <t>3C-电脑机箱异形01机箱黑色灯板款</t>
  </si>
  <si>
    <t>CC1108</t>
  </si>
  <si>
    <t>3C0192</t>
  </si>
  <si>
    <t>电脑机箱异形01灯板款</t>
  </si>
  <si>
    <t>兼容主板尺寸：MATX/ITX主板，兼容显卡尺寸：限长285-345mm，兼容CPU散热器：限高165mm，兼容硬盘位：2.5SSD*2/3.5HDD*1，兼容电源：标准ATX电源，灯板3件套：前板灯板，侧板灯板，电源位灯板，包装清单：纸箱+两侧泡沫+PE袋+机箱</t>
  </si>
  <si>
    <t>50.5cm*23cm*43.8cm</t>
  </si>
  <si>
    <t>3C-电脑机箱异形01机箱黑色风扇款</t>
  </si>
  <si>
    <t>CC1109</t>
  </si>
  <si>
    <t>3C0193</t>
  </si>
  <si>
    <t>电脑机箱异形01风扇款</t>
  </si>
  <si>
    <t>兼容主板尺寸：MATX/ITX主板，兼容显卡尺寸：限长285-345mm，兼容CPU散热器：限高165mm，兼容硬盘位：2.5SSD*2/3.5HDD*1，兼容电源：标准ATX电源，包装清单：纸箱+两侧泡沫+PE袋+机箱</t>
  </si>
  <si>
    <t>3C-无线四模头戴耳机黑白色K80</t>
  </si>
  <si>
    <t>CC1081</t>
  </si>
  <si>
    <t>3C0185</t>
  </si>
  <si>
    <t>无线四模头戴耳机K80</t>
  </si>
  <si>
    <t>喇叭型号：K200；灵敏度 106±3DB； 尺寸： 40MM；额定功率 ：20mW ；动态阻抗： 32Ω±15%；最大功率： 30mW； 频率响应： 20~20KHZ；麦克风型号：驻极体电容麦克风；灵敏度： -42±3DB ；尺寸： Φ6.0*5.0； 信噪比 ：58DB； 指向性： 全指向；输出阻抗： ≤2.2KΩ； 电压工作范围 2V；芯片：BH881；工作电压：3.7V；工作最大电流：20-25mA；持续工作时间：≈20Hour；有效工作距离：10m；待机状态：2uA；TH+D： -77dB；延迟：20ms；电池容量：1*1000毫安电池</t>
  </si>
  <si>
    <t>19cm*73cm*19.3cm</t>
  </si>
  <si>
    <t>3C-儿童电子琴套装带琴谱架37键LM970黑色</t>
  </si>
  <si>
    <t>CC1111</t>
  </si>
  <si>
    <t>3C0194</t>
  </si>
  <si>
    <t>电子琴带琴谱架37键LM970</t>
  </si>
  <si>
    <t>37键电子琴基础款套装带小琴凳，皆可调节音量，供电方式：USB线与干电池仓口，具备基础音频弹奏功能适合儿童启蒙，激起儿童对乐器的兴趣。USB线，螺丝刀，螺丝包，英文说明书，英文版外箱，简谱</t>
  </si>
  <si>
    <t>50.5cm*26cm*47.5cm</t>
  </si>
  <si>
    <t>T5CC2531059</t>
  </si>
  <si>
    <t>3B-指纹柜锁K16款</t>
  </si>
  <si>
    <t>CC1059</t>
  </si>
  <si>
    <t>3B0134</t>
  </si>
  <si>
    <t>指纹柜锁K16</t>
  </si>
  <si>
    <t>K16单功能指纹柜锁;指纹、摩斯密码开锁；不带APP；不锈钢、塑胶ABS、电子元器件；不含电池</t>
  </si>
  <si>
    <t>8.7cm*6cm*5cm</t>
  </si>
  <si>
    <t>T5CC2531060</t>
  </si>
  <si>
    <t>3B-指纹柜锁CTS10款</t>
  </si>
  <si>
    <t>CC1060</t>
  </si>
  <si>
    <t>3B0135</t>
  </si>
  <si>
    <t>指纹柜锁CTS10</t>
  </si>
  <si>
    <t>CTS10四功能指纹柜锁；带tuyaAPP；指纹、密码、1个卡、手机APP；不锈钢、塑胶ABS、电子元器件；不含电池</t>
  </si>
  <si>
    <t>CC1012</t>
  </si>
  <si>
    <t>3B0126</t>
  </si>
  <si>
    <t>新A6保险箱密码款</t>
  </si>
  <si>
    <t>1.上圆下圆退边工艺，箱体钢板厚度：1.2mm，门板：2.5mm 点焊工艺2.面板：晟弘家横款按键电子面板/安规家横款触屏指纹面板（9033按键电子/1918触屏指纹/1918触屏指纹wifi）3.栓头：银色20mm圆栓头3个4.内饰：底部和隔板贴米色绒布，两侧和背面、立门不贴。中文设置键签5.隔板：可拆卸木隔板1块，银色隔板条。6.安装孔：背2个中文安装孔签。7.配件包：4个三角垫脚、2个膨胀丝、；（电子面板已换成type-C孔）8.包装：防尘袋-泡沫-纸箱；、二维码说明书、对应纸箱、合格证9、不含电池、不需要标签，说明书英文，外包装中性</t>
  </si>
  <si>
    <t>35cm*26cm*25cm</t>
  </si>
  <si>
    <t>CC1013</t>
  </si>
  <si>
    <t>3B0127</t>
  </si>
  <si>
    <t>新A6保险箱指纹款</t>
  </si>
  <si>
    <t>3B-保险箱密码款F640黑色</t>
  </si>
  <si>
    <t>CC1173</t>
  </si>
  <si>
    <t>2026-05-12</t>
  </si>
  <si>
    <t>3B0086</t>
  </si>
  <si>
    <t>保险箱密码款F640</t>
  </si>
  <si>
    <t>1.工艺上圆下圆退边工艺，箱体钢板厚度1.2mm2.面板：铂尔电子面板/指纹面板,金色圆手柄。3.栓头：金色28mm圆栓头3个，带栓圈4.内饰：柜内全贴皮革。立门上常规金色挂钩。英文设置键签5.隔板：可拆卸木隔板1块，金色隔板条。6.安装孔：背2个、英文安装孔签。7.配件包：4个圆垫脚已贴好、2个膨胀丝8.包装：防尘袋-泡沫-纸箱9.中性包装、对应纸箱</t>
  </si>
  <si>
    <t>40cm*36cm*30cm</t>
  </si>
  <si>
    <t>3B-保险箱密码款内柜F645金色</t>
  </si>
  <si>
    <t>CC1174</t>
  </si>
  <si>
    <t>3B0090</t>
  </si>
  <si>
    <t>保险箱密码款F645</t>
  </si>
  <si>
    <t>1.工艺上圆下圆退边工艺，箱体钢板厚度：1.2mm2.面板：铂尔电子面板/指纹面板,金色圆手柄。3.栓头：金色28mm圆栓头3个，带栓圈4.内饰：含内柜，内柜锁是密码锁，柜内全贴皮革。立门上常规金色挂钩。英文设置键签5.隔板：可拆卸木隔板1块，金色隔板条。6.安装孔：背2个、英文安装孔签。7.配件包：4个圆垫脚已贴好、2个膨胀丝8.包装：防尘袋-泡沫-纸箱9.中性包装、对应纸箱</t>
  </si>
  <si>
    <t>2026-05-05</t>
  </si>
  <si>
    <t>钱盒、四格五档双层钥匙款；铁；塑封包装10个一箱</t>
  </si>
  <si>
    <t>CC1014</t>
  </si>
  <si>
    <t>3B0128</t>
  </si>
  <si>
    <t>现金盒钥匙款</t>
  </si>
  <si>
    <t>铁质；上下双层，6格；塑封包装；</t>
  </si>
  <si>
    <t>15cm*12cm*8.5cm</t>
  </si>
  <si>
    <t>CC1016</t>
  </si>
  <si>
    <t>CC1019</t>
  </si>
  <si>
    <t>20cm*16cm*9cm</t>
  </si>
  <si>
    <t>CC1020</t>
  </si>
  <si>
    <t>CC1021</t>
  </si>
  <si>
    <t>CC1022</t>
  </si>
  <si>
    <t>25cm*20cm*9cm</t>
  </si>
  <si>
    <t>CC1023</t>
  </si>
  <si>
    <t>CC1026</t>
  </si>
  <si>
    <t>CC1027</t>
  </si>
  <si>
    <t>CC1029</t>
  </si>
  <si>
    <t>CC1031</t>
  </si>
  <si>
    <t>3C-马歇尔风格复古音箱</t>
  </si>
  <si>
    <t>CC1159</t>
  </si>
  <si>
    <t>3C0216</t>
  </si>
  <si>
    <t>马歇尔风格复古音箱</t>
  </si>
  <si>
    <t>喇叭功率：20W,2*10W；频率响应：90HZ-20KHZ；产品材质：木箱架构裹皮面；蓝牙版本：5.3；蓝牙距离：10米；产品尺寸：27*14.9*19CM；扬声器电池规格：2000mAh；续航时间：3H-5H(中音量)；充电接口：TYPE-C接口；主要功能：蓝牙、TF卡、AUX、U盘，单机净重：2.128KG；产品颜色：黑色</t>
  </si>
  <si>
    <t>27cm*14.9cm*19cm</t>
  </si>
  <si>
    <t>CC1000</t>
  </si>
  <si>
    <t>自拍杆</t>
  </si>
  <si>
    <t>2026-01-10</t>
  </si>
  <si>
    <t>3C0158</t>
  </si>
  <si>
    <t>跟拍自动支撑自拍杆Q625</t>
  </si>
  <si>
    <t>Q625多功能支架，360度旋转，落地自动弹开，四脚龙骨底座，长度34cm-1.83m，遥控器电池402025聚合物150mAh，云台电池102550聚合物1500mAh，ABS铝合金</t>
  </si>
  <si>
    <t>4.5cm*11.5cm*34cm</t>
  </si>
  <si>
    <t>CC1003</t>
  </si>
  <si>
    <t>3C0161</t>
  </si>
  <si>
    <t>直播自动支撑自拍杆P510</t>
  </si>
  <si>
    <t>P510自拍杆，快速打开按键，四脚龙骨底座，长度29.5cm-1.8m，遥控器电池401020聚合物55mAh，ABS不锈钢</t>
  </si>
  <si>
    <t>29.5cm*7.5cm*4cm</t>
  </si>
  <si>
    <t>CC1044</t>
  </si>
  <si>
    <t>球型智能门锁</t>
  </si>
  <si>
    <t>3B0132</t>
  </si>
  <si>
    <t>可充电球形锁K06</t>
  </si>
  <si>
    <t>铝合金；涂鸦APP；指纹；钥匙 ；黑色铝合金，喷粉工艺；银色不锈钢色</t>
  </si>
  <si>
    <t>23cm*9.8cm*8.4cm</t>
  </si>
  <si>
    <t>3B-WIFI漏电多功能导轨表彩屏款2P63A</t>
  </si>
  <si>
    <t>CC1063</t>
  </si>
  <si>
    <t>应急安防</t>
  </si>
  <si>
    <t>单相电子式电度表</t>
  </si>
  <si>
    <t>3B0138</t>
  </si>
  <si>
    <t>彩色屏多功能导轨表2P63A</t>
  </si>
  <si>
    <t>ZZ-LAVP-63A/2P；通过tuyaAPP预设电流，电压阈值，一旦实时当前/电压达到阈值，所连接的电器将自动关闭。具备能耗分析，远程控制，故障预警，高效，节能，精准，低碳计量统计，过载保护，过欠压保护，WF控制远程分合闸，手自一体重合闸；适用于交流50/60Hz,额定工作电压230V；额定工作电流63A及以下负载中,当线路中出现过欠压时对用电设备进行保护;同时具有过载、漏电保护功能,外形美观、性能优良可靠, 可实现远程控制，产品模数化导轨式安装。外壳塑料；内部含PCB线路板、铜铝材料等，彩屏，含app，说明书。</t>
  </si>
  <si>
    <t>8.5cm*6.5cm*3.7cm</t>
  </si>
  <si>
    <t>3B-WIFI漏电多功能导轨表彩屏款2P100A</t>
  </si>
  <si>
    <t>CC1064</t>
  </si>
  <si>
    <t>3B0139</t>
  </si>
  <si>
    <t>彩色屏多功能导轨表2P100A</t>
  </si>
  <si>
    <t>ZZ-LAVP-100A/2P；通过tuyaAPP预设电流，电压阈值，一旦实时当前/电压达到阈值，所连接的电器将自动关闭。具备能耗分析，远程控制，故障预警，高效，节能，精准，低碳计量统计，过载保护，过欠压保护，WF控制远程分合闸，手自一体重合闸；适用于交流50/60Hz,额定工作电压230V；额定工作电流100A及以下负载中,当线路中出现过欠压时对用电设备进行保护;同时具有过载、漏电保护功能,外形美观、性能优良可靠, 可实现远程控制，产品模数化导轨式安装。外壳塑料；内部含PCB线路板、铜铝材料等，采屏幕，含app，说明书。</t>
  </si>
  <si>
    <t>9cm*7.7cm*7.5cm</t>
  </si>
  <si>
    <t>3B-WIFI漏电多功能导轨表彩屏6显款2P63A</t>
  </si>
  <si>
    <t>CC1066</t>
  </si>
  <si>
    <t>3B0140</t>
  </si>
  <si>
    <t>彩色屏6显款多功能导轨表2P63A</t>
  </si>
  <si>
    <t>ZWS-303WF液晶计量式；通过tuyaAPP预设电流，电压阈值，一旦实时当前/电压达到阈值，所连接的电器将自动关闭。具备能耗分析，远程控制，故障预警，高效，节能，精准，低碳计量统计，过载保护，过欠压保护，WF控制远程分合闸，手自一体重合闸；适用于交流50/60Hz,额定工作电压230V；额定工作电流63A及以下负载中,当线路中出现过欠压时对用电设备进行保护;同时具有过载、高温保护功能,外形美观、性能优良可靠, 可实现远程控制，产品模数化导轨式安装。外壳塑料；内部含PCB线路板、铜铝材料等，彩屏，含app，一屏六显；说明书。</t>
  </si>
  <si>
    <t>8.4cm*6.8cm*2.4cm</t>
  </si>
  <si>
    <t>3B-导轨单相计量电能表1P机械计量款</t>
  </si>
  <si>
    <t>CC1067</t>
  </si>
  <si>
    <t>3B0141</t>
  </si>
  <si>
    <t>机械计量电表1P</t>
  </si>
  <si>
    <t>机械计量式ZDS-101；导轨单相计量电能表1P机械；微型家用智能电表，出租房单相机械导轨220v电能表</t>
  </si>
  <si>
    <t>8cm*6.5cm*1.8cm</t>
  </si>
  <si>
    <t>3B-导轨单相多功能电能表1P液晶计量款</t>
  </si>
  <si>
    <t>CC1068</t>
  </si>
  <si>
    <t>3B0142</t>
  </si>
  <si>
    <t>液晶计量电表1P</t>
  </si>
  <si>
    <t>液晶计量式ZDS-102；1P液晶；微型家用智能电表，出租房单相电子液晶数显导轨220v 电能表</t>
  </si>
  <si>
    <t>10cm*6.5cm*1.8cm</t>
  </si>
  <si>
    <t>3B-导轨单相电能表2P液晶计量款</t>
  </si>
  <si>
    <t>CC1069</t>
  </si>
  <si>
    <t>3B0143</t>
  </si>
  <si>
    <t>液晶计量电表2P</t>
  </si>
  <si>
    <t>液晶计量式ZDS-201；2P计量；微型家用智能电表，出租房单相电子液晶数显导轨220v 电能表</t>
  </si>
  <si>
    <t>8.8cm*7.6cm*3.6cm</t>
  </si>
  <si>
    <t>3B-WIFI断路器涂鸦单继电器ZWF63T2P</t>
  </si>
  <si>
    <t>CC1183</t>
  </si>
  <si>
    <t>WiFi断路器</t>
  </si>
  <si>
    <t>3B0194</t>
  </si>
  <si>
    <t>WIFI断路器单继电器ZWF63T2P</t>
  </si>
  <si>
    <r>
      <rPr>
        <sz val="8"/>
        <rFont val="等线 Light"/>
        <charset val="134"/>
      </rPr>
      <t>通断和定时功能；1通过手机APP，可以在任何有WiFi信号的地方远程控制家中的开关，查看运行状态数据；2智能联动</t>
    </r>
    <r>
      <rPr>
        <sz val="8"/>
        <rFont val="Times New Roman"/>
        <charset val="134"/>
      </rPr>
      <t>‌</t>
    </r>
    <r>
      <rPr>
        <sz val="8"/>
        <rFont val="等线 Light"/>
        <charset val="134"/>
      </rPr>
      <t>：可以与其他智能设备联动，实现更加智能的家居环境</t>
    </r>
    <r>
      <rPr>
        <sz val="8"/>
        <rFont val="Times New Roman"/>
        <charset val="134"/>
      </rPr>
      <t>‌</t>
    </r>
    <r>
      <rPr>
        <sz val="8"/>
        <rFont val="等线 Light"/>
        <charset val="134"/>
      </rPr>
      <t>。3可以设置多种定时开关，如定时开启或关闭电路，适合需要定时开关的场景</t>
    </r>
    <r>
      <rPr>
        <sz val="8"/>
        <rFont val="Times New Roman"/>
        <charset val="134"/>
      </rPr>
      <t>‌</t>
    </r>
    <r>
      <rPr>
        <sz val="8"/>
        <rFont val="等线 Light"/>
        <charset val="134"/>
      </rPr>
      <t>.4支持多种智能语音系统，如米家，小度等，</t>
    </r>
  </si>
  <si>
    <t>8.4cm*6.8cm*3.6cm</t>
  </si>
  <si>
    <t>3B-WIFI断路器涂鸦双继电器ZWF63AVP2P</t>
  </si>
  <si>
    <t>CC1184</t>
  </si>
  <si>
    <t>3B0195</t>
  </si>
  <si>
    <t>WIFI断路器双继电器ZWF63AVP2P</t>
  </si>
  <si>
    <r>
      <rPr>
        <sz val="8"/>
        <rFont val="等线 Light"/>
        <charset val="134"/>
      </rPr>
      <t>通断；定时；计量；过欠压；断电；过流保护；1通过手机APP，可以在任何有WiFi信号的地方远程控制家中的开关，查看运行状态数据；2智能联动</t>
    </r>
    <r>
      <rPr>
        <sz val="8"/>
        <rFont val="Times New Roman"/>
        <charset val="134"/>
      </rPr>
      <t>‌</t>
    </r>
    <r>
      <rPr>
        <sz val="8"/>
        <rFont val="等线 Light"/>
        <charset val="134"/>
      </rPr>
      <t>：可以与其他智能设备联动，实现更加智能的家居环境</t>
    </r>
    <r>
      <rPr>
        <sz val="8"/>
        <rFont val="Times New Roman"/>
        <charset val="134"/>
      </rPr>
      <t>‌</t>
    </r>
    <r>
      <rPr>
        <sz val="8"/>
        <rFont val="等线 Light"/>
        <charset val="134"/>
      </rPr>
      <t>。3可以设置多种定时开关，如定时开启或关闭电路，适合需要定时开关的场景</t>
    </r>
    <r>
      <rPr>
        <sz val="8"/>
        <rFont val="Times New Roman"/>
        <charset val="134"/>
      </rPr>
      <t>‌</t>
    </r>
    <r>
      <rPr>
        <sz val="8"/>
        <rFont val="等线 Light"/>
        <charset val="134"/>
      </rPr>
      <t>.4支持多种智能语音系统，如米家，小度等，</t>
    </r>
  </si>
  <si>
    <t>3C-乐器机械节拍器</t>
  </si>
  <si>
    <t>CC1104</t>
  </si>
  <si>
    <t>节拍器</t>
  </si>
  <si>
    <t>2026-03-26</t>
  </si>
  <si>
    <t>3C0188</t>
  </si>
  <si>
    <t>机械节拍器</t>
  </si>
  <si>
    <t>节拍器是用于乐器稳定节奏，练习速度，明确节拍和细分节拍，统一速度。节拍器适用于钢琴，吉他，古筝，二胡，打击鼓吹走类等乐器</t>
  </si>
  <si>
    <t>20.3cm*12.1cm*9.5cm</t>
  </si>
  <si>
    <t>CC1105</t>
  </si>
  <si>
    <t>3C0189</t>
  </si>
  <si>
    <t>手卷电子鼓</t>
  </si>
  <si>
    <t>内置电池1200mAh，3.7v；配有双脚踏板，鼓棒，双喇叭也可插耳机，采用9打击垫，供电是Type-c。</t>
  </si>
  <si>
    <t>49cm*42cm*3.4cm</t>
  </si>
  <si>
    <t>3C-吉他变调夹</t>
  </si>
  <si>
    <t>CC1156</t>
  </si>
  <si>
    <t>变调夹</t>
  </si>
  <si>
    <t>3C0213</t>
  </si>
  <si>
    <t>吉他变调夹</t>
  </si>
  <si>
    <t>适合民谣吉他,夹在吉他品丝上，升高整体音高，简化和弦指法，改变音色，增加空弦音</t>
  </si>
  <si>
    <t>8.6cm*7.8cm*1cm</t>
  </si>
  <si>
    <t>3C-吉他助弹器</t>
  </si>
  <si>
    <t>CC1157</t>
  </si>
  <si>
    <t>吉他助弹器</t>
  </si>
  <si>
    <t>3C0214</t>
  </si>
  <si>
    <t>适合民谣吉他，夹在吉他和弦上，帮新手减轻左手负担，快速入门，一键按和弦，提速入门，教学辅助</t>
  </si>
  <si>
    <t>9cm*8cm*4cm</t>
  </si>
  <si>
    <t>3C-吉他立稳支架</t>
  </si>
  <si>
    <t>CC1158</t>
  </si>
  <si>
    <t>吉他支架</t>
  </si>
  <si>
    <t>3C0215</t>
  </si>
  <si>
    <t>吉他立稳支架</t>
  </si>
  <si>
    <t>适用各种类型的吉他,夹在吉他底部，一对装做支撑吉他立稳作用，便携式小巧支架，方便携带，不占空间，方便外出演出，使用吉他可以不用取下来，吉他放包里面支架也可以不用取下来</t>
  </si>
  <si>
    <t>10.2cm*2.93cm*4.0cm</t>
  </si>
  <si>
    <t>CC1119</t>
  </si>
  <si>
    <t>3B0157</t>
  </si>
  <si>
    <t>光伏板一体层压2折10W</t>
  </si>
  <si>
    <t>一体层压2折10W-6V；单晶硅电池片转换率22.5%～24.5%(光伏板和外包装不印品牌、瓦数)；1个三合一转接头；2个4号登山扣；1条2米长20#DC转DC线</t>
  </si>
  <si>
    <t>27.2cm*21cm*3.5cm</t>
  </si>
  <si>
    <t>CC1120</t>
  </si>
  <si>
    <t>3B0158</t>
  </si>
  <si>
    <t>光伏板一体层压3折30W</t>
  </si>
  <si>
    <t>一体层压3折30W-18V；单晶硅电池片转换率22.5%～24.5%(光伏板和外包装不印品牌、瓦数)；1个三合一转接头，2个4号登山扣，1条2米长20#DC转DC线</t>
  </si>
  <si>
    <t>63cm*32cm*3.5cm</t>
  </si>
  <si>
    <t>CC1122</t>
  </si>
  <si>
    <t>3B0160</t>
  </si>
  <si>
    <t>光伏板车缝3折21W</t>
  </si>
  <si>
    <t>车缝3折21W-18V；单晶硅电池片转换率22.5%～24.5%(光伏板和外包装不印品牌、瓦数)；1个十合一转接头，2个4号登山扣，1条2米长20#DC转DC线</t>
  </si>
  <si>
    <t>68cm*29cm*3.5cm</t>
  </si>
  <si>
    <t>CC1123</t>
  </si>
  <si>
    <t>3B0161</t>
  </si>
  <si>
    <t>光伏板一体层压8折25W</t>
  </si>
  <si>
    <t>一体层压8折25W-18V；单晶硅电池片转换率22.5%～24.5%(光伏板和外包装不印品牌、瓦数)；主打可折叠成巴掌大小，便携。</t>
  </si>
  <si>
    <t>50.5cm*33cm*2cm</t>
  </si>
  <si>
    <t>CC1124</t>
  </si>
  <si>
    <t>3B0162</t>
  </si>
  <si>
    <t>光伏板太阳能单面发电板12W</t>
  </si>
  <si>
    <t>太阳能双面发电单板12W-6V；单晶硅电池片转换率22.5%～24.5%(光伏板和外包装不印品牌、瓦数) 2个4号登山扣</t>
  </si>
  <si>
    <t>32cm*20cm*3.5cm</t>
  </si>
  <si>
    <t>CC1125</t>
  </si>
  <si>
    <t>3B0163</t>
  </si>
  <si>
    <t>光伏板轻量化车缝2折100W</t>
  </si>
  <si>
    <t>轻量化车缝2折100W-18V；单晶硅电池片转换率22.5%～24.5%(光伏板和外包装不印品牌、瓦数) /18#1.5米长直出MC4接头</t>
  </si>
  <si>
    <t>100.8cm*61.2cm*3.5cm</t>
  </si>
  <si>
    <t>CC1126</t>
  </si>
  <si>
    <t>3B0164</t>
  </si>
  <si>
    <t>光伏板轻量化车缝4折200W</t>
  </si>
  <si>
    <t>轻量化车缝4折200W-20V；单晶硅电池片转换率22.5%～24.5%(光伏板和外包装不印品牌、瓦数) /18#1.5米长直出MC4接头</t>
  </si>
  <si>
    <t>185.3cm*61.2cm*3.5cm</t>
  </si>
  <si>
    <t>2026-04-14</t>
  </si>
  <si>
    <t>充电功率:2.5W;电源输入:DC 5V;电池800mA；蓝牙版本:5.0；充电时长：≤3小时;线材长度:USB与信号线外露1米;线材颜色：黑色。灯效:单色常亮、呼吸、快闪、慢闪、渐变；左右非对称转子马达；支持TURBO、MACRO按键功能；支持switch、安卓、IOS、PC有线；左右线性扳机，</t>
  </si>
  <si>
    <t>2026-04-18</t>
  </si>
  <si>
    <t>充电功率:2W;电源输入:DC 5V ;电池600mA;蓝牙版本：5.0;充电时长：≤3小时;线材长度：USB与信号线外露1米;线材颜色：黑色;灯效：呼吸、单色常亮；左右1027扁平马达；支持TURBO、MACRO按键功能；支持安卓、IOS、switch；</t>
  </si>
  <si>
    <t>充电功率:2.5W;电源输入:DC 5V;电池800mA；蓝牙版本：5.0；充电时长：≤3小时;线材长度：USB与信号线外露1米;线材颜色：黑色。灯效：跑马、流水、慢闪、渐变、单色常亮；左右非对称转子马达；支持TURBO、MACRO按键功能；支持安卓、IOS、switch；左右霍尔线性扳机、左右霍尔3D</t>
  </si>
  <si>
    <t>CC1117</t>
  </si>
  <si>
    <t>3C0201</t>
  </si>
  <si>
    <t>有线游戏透明手柄2039XRG</t>
  </si>
  <si>
    <t>输入DC 5V 0.5A；线材长度：外露1.8米、黑色PVC；灯效:呼吸、渐变，单色常亮；左右非对称转子马达；支持TURBO、MACRO按键功能；支持PC、安卓、switch、PS3平台有线连接</t>
  </si>
  <si>
    <t>15.5cm*11cm*6cm</t>
  </si>
  <si>
    <t>3C-PS4无线游戏手柄STK4006L</t>
  </si>
  <si>
    <t>CC1160</t>
  </si>
  <si>
    <t>3C0217</t>
  </si>
  <si>
    <t>PS4无线游戏手柄STK4006L</t>
  </si>
  <si>
    <t>充电功率:2W;电源输入:DC 5V ;电池600mA ；2充电时长：≤3.5小时 ;线材长度:USB与信号线外露1米;线材颜色：黑色。左右非对称转子马达；支持PS4、安卓、PC；左右线性扳机</t>
  </si>
  <si>
    <t>16.5cm*11cm*6.3cm</t>
  </si>
  <si>
    <t>型号G3002，硅胶鼓垫，可折叠，无内置扬声器，耳机/喇叭插孔输出，USB插电款或安装电池供电2节AAA干电池（出货不含电池），8个示范曲，5个音色，3个节拍器，AUX功能（连接手机音乐），配一对木棒，配有2个鼓踏板（踩镲和底鼓），配有2个鼓棒，踩镲、吊镲、叮叮镲、3x嗵鼓、军鼓，踩镲和军鼓的位置可以改变，8首Demo，5种音色，3个节奏</t>
  </si>
  <si>
    <t>43cm*31cm*3cm</t>
  </si>
  <si>
    <t>3C-彩色电子7垫鼓</t>
  </si>
  <si>
    <t>CC1161</t>
  </si>
  <si>
    <t>3C0218</t>
  </si>
  <si>
    <t>彩色电子7垫鼓</t>
  </si>
  <si>
    <t>型号：G2002-3,内置喇叭，内置650mAh锂电池(电压3.7V,DC5V),模拟真实的鼓组,鼓盘采用硅胶材质，柔软、有弹性,可折叠，方便携带和存放,,耳机/喇叭插孔输出,配有2个鼓踏板（踩镲和底鼓,配有2个鼓棒,踩镲、吊镲、叮叮镲、3x嗵鼓、军鼓*踩镲和军鼓的位置可以改变,8首Demo，5种音色，3个节奏,AUX功能（连接手机播放音乐)</t>
  </si>
  <si>
    <t>43cm*32cm*3cm</t>
  </si>
  <si>
    <t>CC1127</t>
  </si>
  <si>
    <t>锂离子蓄电池</t>
  </si>
  <si>
    <t>3B0165</t>
  </si>
  <si>
    <t>锂离子蓄电池12V30AH</t>
  </si>
  <si>
    <t>锂离子蓄电池12V/30AH；额定电压：12.8v；额定容量：30ah；额定电池能量：384wh；电池类型：磷酸铁锂电池；重量3.2kg；循环寿命：≥3000 次（在80%放电深度下）</t>
  </si>
  <si>
    <t>18.8cm*18.6cm*8.2cm</t>
  </si>
  <si>
    <t>CC1128</t>
  </si>
  <si>
    <t>3B0166</t>
  </si>
  <si>
    <t>锂离子蓄电池12V100AH</t>
  </si>
  <si>
    <t>锂离子蓄电池12V/100AH；额定电压12.8v；额定电池能量1280wh；电池类型：磷酸铁锂电池；输入：TYPE-C/5V3A/9V3A；12V3A；15V3A；20V5A；最大100w；输出 1：USB-A/USB-A/5V3A 9V2A 12V1.5A 最大 18 瓦；输出 2：TYPE-C/5V3A 9V3A 12V3A 15V3A 20V5A 最大 100 瓦；输出3：DC5521，12V10A；重量8kg循环寿命：≥3000 次（在 80% 放电深度下）</t>
  </si>
  <si>
    <t>33.8cm*33.5cm*25.5cm</t>
  </si>
  <si>
    <t>光伏板功率:18V 12W，虚标20W,光伏板尺寸:235*350mm；最大输出电流:2.8A,输出线:0.123平方，（厂家虚标.15平方）线芯 4.5m长,输出线材质:PVC+紫铜,带加厚支架，螺丝配件包</t>
  </si>
  <si>
    <t>36.5cm*2.6cm*24.6cm</t>
  </si>
  <si>
    <t>3B-储能电源光伏充电板16V</t>
  </si>
  <si>
    <t>CC1143</t>
  </si>
  <si>
    <t>光伏板功率:16V 12W，虚标20W ,光伏板尺寸:235*350mm；最大输出电流:2.8A,输出线:0.123平方，（厂家虚标.15平方）线芯 4.5m长,输出线材质:PVC+紫铜,带加厚支架，螺丝配件包</t>
  </si>
  <si>
    <t>2026-04-23</t>
  </si>
  <si>
    <t>2026-04-16</t>
  </si>
  <si>
    <t>3C-单臂显示器支架灯效银白色MS001</t>
  </si>
  <si>
    <t>CC1145</t>
  </si>
  <si>
    <t>3C0203</t>
  </si>
  <si>
    <t>单臂显示器支架MS001</t>
  </si>
  <si>
    <t>适用范围:17~32寸,产品臂长拉伸距离:632.0mm(MAX),最大承重:荧幕2~9KG, Lift-上下升降行程:320mm,Tilt-前后俯仰角度:前倾-10°,后仰90°,Pivot-屏幕横竖旋转角度:360°,Swivel-左右旋屏调节角度:左/右各90°,支架上臂可旋转:294°,支架下臂可旋转:360°,可调节灯光颜色和律动模式.配件:USB数据线,底座灯效组件,L型底座,内六角扳手,塑胶垫片,M4-L7球头机械牙螺丝,内六角双用扳手,M4*L12黑色T头机械牙螺丝,M6_L14内六角沉头螺丝,M6_L12内六角T头螺丝,说明书</t>
  </si>
  <si>
    <t>72cm*34cm*12cm</t>
  </si>
  <si>
    <t>3C-单臂显示器支架基础灯效款白色MS011D</t>
  </si>
  <si>
    <t>CC1146</t>
  </si>
  <si>
    <t>3C0204</t>
  </si>
  <si>
    <t>单臂显示器支架MS011D</t>
  </si>
  <si>
    <t>适用范围:17~32寸,产品臂长拉伸距离:516.0mm（MAX）,最大承重:荧幕2~9KG,Lift-上下升降行程:235mm,Tilt-前后俯仰角度:前倾-89°,后仰105°, Pivot-屏幕横竖旋转角度:360°,Swivel-左右旋屏调节角度:左/右各87°,支架上臂可旋转:360°,支架下臂可旋转:294°,可调节灯光颜色和律动模式。配件:USB数据线,内六角双用扳手,L型底座灯效组件,锁付支撑片,带塑胶手旋螺丝,Vesa板,M5_L7 T头螺丝,M6-L14内六角沉头螺丝,M6_L12内六角T头螺丝,M4-L6T头耐落螺丝,M4*L12黑色T头机械牙螺丝,塑胶垫片,说明书</t>
  </si>
  <si>
    <t>11cm*48cm*61cm</t>
  </si>
  <si>
    <t>3C-单臂显示器支架基础款MS007</t>
  </si>
  <si>
    <t>CC1147</t>
  </si>
  <si>
    <t>3C0205</t>
  </si>
  <si>
    <t>单臂显示器支架基础款MS007</t>
  </si>
  <si>
    <t>适用范围:17~32寸,产品臂长拉伸距离:570.0mm(MAX), 最大承重:荧幕2~9KG,Lift-上下升降行程:235mm,Tilt-前后俯仰角度:前倾-89°,后仰105°,Pivot-屏幕横竖旋转角度:360°, Swivel-左右旋屏调节角度:左/右各87°,支架上臂可旋转:360°,支架下臂可旋转:360°,配件:M5_L7内六角T头螺丝,M4*L12黑色T头机械牙螺丝,M4-L6T头耐落螺丝,塑胶垫片,锁付铁,长锁付支撑片,Vesa板,带塑胶手旋螺丝,内六角双用扳手,说明书</t>
  </si>
  <si>
    <t>52cm*45cm*11cm</t>
  </si>
  <si>
    <t>3C-双臂显示器支架银色MS012</t>
  </si>
  <si>
    <t>CC1148</t>
  </si>
  <si>
    <t>3C0206</t>
  </si>
  <si>
    <t>双臂显示器支架MS012</t>
  </si>
  <si>
    <t>适用范围:17~32寸,产品臂长拉伸距离:516.0mm(MAX),最大承重:荧幕2~9KG,Lift-上下升降行程:235mm,Tilt-前后俯仰角度:前倾-89°,后仰105°,Pivot-屏幕横竖旋转角度:360°,Swivel-左右旋屏调节角度:左/右各87°,支架上臂可旋转:360°,支架下臂可旋转:360°,可同时装两个显示器使用,节省桌面空间.配件:双臂底座,M5_L7 T头螺丝,M8-L20内六角T头螺丝,M6_L12内六角T头螺丝,M4-L6T头耐落螺丝,M4*L12黑色T头机械牙螺丝,塑胶垫片,锁付支撑片,带塑胶手旋螺丝,锁付铁,内六角双用扳手,套筒,说明书</t>
  </si>
  <si>
    <t>18cm*48cm*51cm</t>
  </si>
  <si>
    <t>3C-72英寸16比9户外便携双支架幕</t>
  </si>
  <si>
    <t>CC1149</t>
  </si>
  <si>
    <t>3C0207</t>
  </si>
  <si>
    <t>户外便携双支架幕</t>
  </si>
  <si>
    <t>72寸户外双支架幕，幕面材质牛奶丝，幕面尺寸1.59*0.9米，支架高度0.4-2.3米，外包装尺寸0.9*0.18*0.12米，连接杆A 6根+连接杆B6根，支架腿2个，连接器塑料件10个，地插4个，拉线绳2根</t>
  </si>
  <si>
    <t>185cm*65cm*105cm</t>
  </si>
  <si>
    <t>3C-60英寸16比9便携式简易壁挂幕</t>
  </si>
  <si>
    <t>CC1150</t>
  </si>
  <si>
    <t>3C0208</t>
  </si>
  <si>
    <t>便携式简易壁挂幕</t>
  </si>
  <si>
    <t>60寸便携式简易壁挂幕，幕面材质经编白塑，幕面尺寸1.24*0.7米，外包装尺寸1.35*0.09*0.06米，粘钩2个+无痕钉2个+挂环2个</t>
  </si>
  <si>
    <t>124cm*5cm*70cm</t>
  </si>
  <si>
    <t>3C-72英寸16比9便携式简易壁挂幕</t>
  </si>
  <si>
    <t>CC1151</t>
  </si>
  <si>
    <t>72寸便携式简易壁挂幕，幕面材质经编白塑，幕面尺寸1.59*0.9米，外包装尺寸1.73*0.09*0.06米，粘钩2个+无痕钉2个+挂环2个</t>
  </si>
  <si>
    <t>159cm*5cm*90cm</t>
  </si>
  <si>
    <t>3C-60英寸16比9手拉自锁幕</t>
  </si>
  <si>
    <t>CC1152</t>
  </si>
  <si>
    <t>3C0209</t>
  </si>
  <si>
    <t>手拉自锁幕</t>
  </si>
  <si>
    <t>60寸手拉壁挂自锁幕，幕面材质经编白塑，幕面尺寸1.33*0.75米</t>
  </si>
  <si>
    <t>133cm*6.3cm*75cm</t>
  </si>
  <si>
    <t>3C-70英寸16比9手拉自锁幕</t>
  </si>
  <si>
    <t>CC1153</t>
  </si>
  <si>
    <t>70寸手拉壁挂自锁幕，幕面材质经编白塑，幕面尺寸1.55*0.87米</t>
  </si>
  <si>
    <t>155cm*6.3cm*87cm</t>
  </si>
  <si>
    <t>3C-60英寸16比9便携式壁挂支架幕布</t>
  </si>
  <si>
    <t>CC1154</t>
  </si>
  <si>
    <t>3C0210</t>
  </si>
  <si>
    <t>便携式壁挂支架幕布</t>
  </si>
  <si>
    <t>60寸便捷式壁挂支架幕，幕面材质经编白塑，幕面尺寸1.33*0.75米</t>
  </si>
  <si>
    <t>133cm*100cm*75cm</t>
  </si>
  <si>
    <t>3C-72英寸16比9便携式壁挂支架幕布</t>
  </si>
  <si>
    <t>CC1155</t>
  </si>
  <si>
    <t>72寸便捷式壁挂支架幕，幕面材质经编白塑，幕面尺寸1.59*0.9米</t>
  </si>
  <si>
    <t>159cm*100cm*90cm</t>
  </si>
  <si>
    <t>3C-39寸ST电吉他</t>
  </si>
  <si>
    <t>CC1162</t>
  </si>
  <si>
    <t>电吉他</t>
  </si>
  <si>
    <t>3C0211</t>
  </si>
  <si>
    <t>39寸ST电吉他</t>
  </si>
  <si>
    <t>电吉他；桐木琴体 ；枫木琴颈；枫木琴头；科技木指板；22品；单单单拾音器；旋钮：1V，2T；琴体颜色黑咖色；钢线+不锈钢琴弦；电源线、大扳手、小扳手、摇把</t>
  </si>
  <si>
    <t>98.5cm*32cm*4.5cm</t>
  </si>
  <si>
    <t>T5CZ2830009</t>
  </si>
  <si>
    <t>0</t>
  </si>
  <si>
    <t>马来腾展-D仓-1308</t>
  </si>
  <si>
    <t>库存SKU编号</t>
  </si>
  <si>
    <t>商品状态</t>
  </si>
  <si>
    <t>活跃度</t>
  </si>
  <si>
    <t>是否新款</t>
  </si>
  <si>
    <t>一级目录</t>
  </si>
  <si>
    <t>二级目录</t>
  </si>
  <si>
    <t>三级目录</t>
  </si>
  <si>
    <t>一级品牌</t>
  </si>
  <si>
    <t>二级品牌</t>
  </si>
  <si>
    <t>采购员</t>
  </si>
  <si>
    <t>中文名称</t>
  </si>
  <si>
    <t>英文名称</t>
  </si>
  <si>
    <t>父级仓库</t>
  </si>
  <si>
    <t>仓位</t>
  </si>
  <si>
    <t>销量(7/28/42)</t>
  </si>
  <si>
    <t>预测日销量(个)</t>
  </si>
  <si>
    <t>仓位库存</t>
  </si>
  <si>
    <t>当前可售天数</t>
  </si>
  <si>
    <t>在途量</t>
  </si>
  <si>
    <t>海外仓预调入量</t>
  </si>
  <si>
    <t>分仓调拨预调入量</t>
  </si>
  <si>
    <t>警戒量</t>
  </si>
  <si>
    <t>警戒天数</t>
  </si>
  <si>
    <t>未发货量</t>
  </si>
  <si>
    <t>分仓调拨未发货</t>
  </si>
  <si>
    <t>可用库存量</t>
  </si>
  <si>
    <t>最后出库时间</t>
  </si>
  <si>
    <t>最后入库时间</t>
  </si>
  <si>
    <t>商品备注</t>
  </si>
  <si>
    <t>MYQTD001</t>
  </si>
  <si>
    <t>商品清仓</t>
  </si>
  <si>
    <t>补单</t>
  </si>
  <si>
    <t>其他</t>
  </si>
  <si>
    <t>KB-马来易企通-D仓空包</t>
  </si>
  <si>
    <t>--</t>
  </si>
  <si>
    <t>AAA</t>
  </si>
  <si>
    <t>0/0/531</t>
  </si>
  <si>
    <t>2026-05-06</t>
  </si>
  <si>
    <t>2025-09-22</t>
  </si>
  <si>
    <t>平款</t>
  </si>
  <si>
    <t>3C</t>
  </si>
  <si>
    <t>3C-The 32 inch TV bubble column is thickened</t>
  </si>
  <si>
    <t>0/0/0</t>
  </si>
  <si>
    <t>2026-02-01</t>
  </si>
  <si>
    <t>2026-02-14</t>
  </si>
  <si>
    <t>105cm*138cm-350</t>
  </si>
  <si>
    <t>3C-The 43 inch TV bubble column is thickened</t>
  </si>
  <si>
    <t>2026-01-28</t>
  </si>
  <si>
    <t>110cm*177cm-400</t>
  </si>
  <si>
    <t>MYQTD7777</t>
  </si>
  <si>
    <t>特殊</t>
  </si>
  <si>
    <t>KB-马来易企通-D仓拆单</t>
  </si>
  <si>
    <t>30/151/180</t>
  </si>
  <si>
    <t>2026-06-02</t>
  </si>
  <si>
    <t>2026-03-10</t>
  </si>
  <si>
    <t>3B-wide 57cm thermal printing paper 5 rolls</t>
  </si>
  <si>
    <t>581/2,512/3,581</t>
  </si>
  <si>
    <t>2026-06-03</t>
  </si>
  <si>
    <t>400cm*57cm*25cm-85</t>
  </si>
  <si>
    <t>3C-The M98 model set top box</t>
  </si>
  <si>
    <t>906/3,810/5,942</t>
  </si>
  <si>
    <t>8.9cm*3.5cm*1.5cm-155</t>
  </si>
  <si>
    <t>3B-Whiteboard Marker Accessory Kit</t>
  </si>
  <si>
    <t>592/3,076/3,949</t>
  </si>
  <si>
    <t>旺款</t>
  </si>
  <si>
    <t>3B-X1 fingerprint attendance machine</t>
  </si>
  <si>
    <t>71/378/534</t>
  </si>
  <si>
    <t>17cm*12cm*4cm-207</t>
  </si>
  <si>
    <t>爆款</t>
  </si>
  <si>
    <t>3B-Hand cash cashier double black</t>
  </si>
  <si>
    <t>171/808/964</t>
  </si>
  <si>
    <t>2026-06-01</t>
  </si>
  <si>
    <t>30cm*24cm*9cm-1700</t>
  </si>
  <si>
    <t>3B-Magnetic white board density board interlayer 70cm*100cm</t>
  </si>
  <si>
    <t>102/723/1,177</t>
  </si>
  <si>
    <t>2026-05-26</t>
  </si>
  <si>
    <t>100cm*70cm*2.1cm-4240</t>
  </si>
  <si>
    <t>3B-Magnetic white board density board interlayer 60cm*90cm</t>
  </si>
  <si>
    <t>128/687/1,210</t>
  </si>
  <si>
    <t>90cm*60cm*2cm-3360</t>
  </si>
  <si>
    <t>3B-Portable Energy Storage Power Supply</t>
  </si>
  <si>
    <t>108/393/502</t>
  </si>
  <si>
    <t>25cm*15cm*20cm-1450</t>
  </si>
  <si>
    <t>滞销款</t>
  </si>
  <si>
    <t>3C-The 50 inch TV bubble column is added thick</t>
  </si>
  <si>
    <t>2025-09-26</t>
  </si>
  <si>
    <t>2025-12-19</t>
  </si>
  <si>
    <t>110cm*195cm-500</t>
  </si>
  <si>
    <t>3C-Voice bully Bluetooth speaker</t>
  </si>
  <si>
    <t>163/688/1,320</t>
  </si>
  <si>
    <t>80cm*7.6cm*6cm-1005</t>
  </si>
  <si>
    <t>3C-Computer monitor holder</t>
  </si>
  <si>
    <t>302/1,165/1,804</t>
  </si>
  <si>
    <t>39cm*20cm*9cm-1941</t>
  </si>
  <si>
    <t>3B-Blue simulation book, silver, money box, key style</t>
  </si>
  <si>
    <t>37/196/380</t>
  </si>
  <si>
    <t>24cm*15.5cm*5.5cm-760</t>
  </si>
  <si>
    <t>3C-The TV wall hanging rack is small in one</t>
  </si>
  <si>
    <t>68/304/472</t>
  </si>
  <si>
    <t>30cm*20cm*2.5cm-350</t>
  </si>
  <si>
    <t>3B-58mm handheld Bluetooth tag printer</t>
  </si>
  <si>
    <t>201/820/1,052</t>
  </si>
  <si>
    <t>10.7cm*7.5cm*5.2cm-400</t>
  </si>
  <si>
    <t>3C-H type 32 to 70 inch TV wall frame</t>
  </si>
  <si>
    <t>166/741/1,232</t>
  </si>
  <si>
    <t>67.5cm*39cm*24cm-5000</t>
  </si>
  <si>
    <t>3C-X400 TV wall hanger to send expansion wire and other installation screws</t>
  </si>
  <si>
    <t>112/451/684</t>
  </si>
  <si>
    <t>44cm*32.5cm*24.5cm-1548</t>
  </si>
  <si>
    <t>3B-Money counting machine gray</t>
  </si>
  <si>
    <t>87/354/619</t>
  </si>
  <si>
    <t>31cm*24.7cm*19cm-4600</t>
  </si>
  <si>
    <t>3B-Simulation Book Silver Coin Box Password Payment, blue</t>
  </si>
  <si>
    <t>40/162/241</t>
  </si>
  <si>
    <t>2026-05-27</t>
  </si>
  <si>
    <t>3C-X3 game controller with phone holder</t>
  </si>
  <si>
    <t>114/358/544</t>
  </si>
  <si>
    <t>17cm*11cm*6.5cm-220</t>
  </si>
  <si>
    <t>3C-Bubble column roll L150 meters</t>
  </si>
  <si>
    <t>100cm*20cm*20cm-17300</t>
  </si>
  <si>
    <t>3B-Safe black 50*35*30</t>
  </si>
  <si>
    <t>31/112/114</t>
  </si>
  <si>
    <t>50cm*35cm*30cm-12000</t>
  </si>
  <si>
    <t>3B-Small ticket express single printer black and blue</t>
  </si>
  <si>
    <t>2026-03-23</t>
  </si>
  <si>
    <t>2026-05-04</t>
  </si>
  <si>
    <t>15.8cm*11.5cm*9.4cm-325</t>
  </si>
  <si>
    <t>3C-The 55 inch TV bubble column is added thick</t>
  </si>
  <si>
    <t>2025-11-15</t>
  </si>
  <si>
    <t>100cm*195cm-240</t>
  </si>
  <si>
    <t>3B-Magnetic white board density board interlayer 90cm*120cm</t>
  </si>
  <si>
    <t>62/338/545</t>
  </si>
  <si>
    <t>120cm*90cm*4cm-6560</t>
  </si>
  <si>
    <t>3C-Electronic keyboard 61 key black</t>
  </si>
  <si>
    <t>48/175/291</t>
  </si>
  <si>
    <t>51cm*16.5cm*5cm-657</t>
  </si>
  <si>
    <t>3C-Copper Fiber Gaming Finger Set</t>
  </si>
  <si>
    <t>52/350/775</t>
  </si>
  <si>
    <t>7cm*7cm*6.5cm-2</t>
  </si>
  <si>
    <t>3B-Intelligent Fingerprint Door Lock X7</t>
  </si>
  <si>
    <t>73/256/438</t>
  </si>
  <si>
    <t>22cm*16cm*8.7cm-800</t>
  </si>
  <si>
    <t>3C-21 inch ukulele</t>
  </si>
  <si>
    <t>155/708/980</t>
  </si>
  <si>
    <t>53.5cm*20cm*6.7cm-400</t>
  </si>
  <si>
    <t>3C-Projector holder: cradle head</t>
  </si>
  <si>
    <t>3B-Hand cash box double pink</t>
  </si>
  <si>
    <t>67/304/340</t>
  </si>
  <si>
    <t>3B-Large Imitation Book and Coin Box with Code, blue</t>
  </si>
  <si>
    <t>39/202/217</t>
  </si>
  <si>
    <t>26.5cm*20.6cm*6.5cm-1000</t>
  </si>
  <si>
    <t>3B-Payout Box 335 Metal Black Fixed Edition</t>
  </si>
  <si>
    <t>110/476/735</t>
  </si>
  <si>
    <t>36.5cm*33.2cm*9.7cm-3500</t>
  </si>
  <si>
    <t>168/740/959</t>
  </si>
  <si>
    <t>16.8cm*12cm*11.7cm-520</t>
  </si>
  <si>
    <t>3C-Little bee black wired upgraded version</t>
  </si>
  <si>
    <t>65/537/914</t>
  </si>
  <si>
    <t>9cm*9cm*4cm-230</t>
  </si>
  <si>
    <t>3B-whiteboard universal bracket 60cm*100cm</t>
  </si>
  <si>
    <t>97/668/1,065</t>
  </si>
  <si>
    <t>100cm*60cm*2cm-2350</t>
  </si>
  <si>
    <t>3B-Magnetic white board density board interlayer 90cm*150cm</t>
  </si>
  <si>
    <t>38/152/267</t>
  </si>
  <si>
    <t>150cm*90cm*4cm-8220</t>
  </si>
  <si>
    <t>3B-Whiteboard double bar retractable universal stand</t>
  </si>
  <si>
    <t>74/366/584</t>
  </si>
  <si>
    <t>123cm*11cm*7.5cm-1400</t>
  </si>
  <si>
    <t>3B-wide 57cm self adhesive printing paper 5 rolls</t>
  </si>
  <si>
    <t>23/100/139</t>
  </si>
  <si>
    <t>300cm*57cm*25cm-105</t>
  </si>
  <si>
    <t>3B-Cash Box 405 Metal Black Fixed Edition</t>
  </si>
  <si>
    <t>118/423/492</t>
  </si>
  <si>
    <t>40.5cm*42cm*10cm-4500</t>
  </si>
  <si>
    <t>3B-Large Imitation Book, Silver Coin box, Key style, blue</t>
  </si>
  <si>
    <t>32/173/416</t>
  </si>
  <si>
    <t>26.5cm*20.6cm*6.5cm-460</t>
  </si>
  <si>
    <t>3C-32-inch to 55-inch Removable TV Stand with Center Bracket</t>
  </si>
  <si>
    <t>25/106/206</t>
  </si>
  <si>
    <t>2026-05-29</t>
  </si>
  <si>
    <t>142cm*53cm*6cm-9000</t>
  </si>
  <si>
    <t>3B-The external display of the cash counting machine is white</t>
  </si>
  <si>
    <t>32/112/197</t>
  </si>
  <si>
    <t>9cm*8cm*5cm-136</t>
  </si>
  <si>
    <t>3C-hand rolled electronic 7pad drum</t>
  </si>
  <si>
    <t>A001</t>
  </si>
  <si>
    <t>84/158/168</t>
  </si>
  <si>
    <t>43cm*31cm*3cm-942</t>
  </si>
  <si>
    <t>33/134/404</t>
  </si>
  <si>
    <t>42cm*40.5cm*10.7cm-4500</t>
  </si>
  <si>
    <t>3C-plug in split electric rotating disc black 13cm</t>
  </si>
  <si>
    <t>44/177/244</t>
  </si>
  <si>
    <t>2026-05-30</t>
  </si>
  <si>
    <t>13cm*10cm*4.5cm-240</t>
  </si>
  <si>
    <t>3C-11.6 inch 60Hz straight facing 1K portable monitor black</t>
  </si>
  <si>
    <t>107/528/876</t>
  </si>
  <si>
    <t>28cm*18cm*1.5cm-722</t>
  </si>
  <si>
    <t>3B-shredder 10L</t>
  </si>
  <si>
    <t>38/139/253</t>
  </si>
  <si>
    <t>30cm28cm*16.2cm-1600</t>
  </si>
  <si>
    <t>3C-Digital TV remote control</t>
  </si>
  <si>
    <t>1/1/1</t>
  </si>
  <si>
    <t>3B-Smart Door Lock IC Card</t>
  </si>
  <si>
    <t>1/8/9</t>
  </si>
  <si>
    <t>2026-02-02</t>
  </si>
  <si>
    <t>7.5cm*3.5cm*0.8cm-11</t>
  </si>
  <si>
    <t>3B-Shredder 7L</t>
  </si>
  <si>
    <t>33/99/184</t>
  </si>
  <si>
    <t>30.8cm*11.4cm*29.6cm-1510</t>
  </si>
  <si>
    <t>3C-Single stand for the 32 to 70 inch TV mobile stand</t>
  </si>
  <si>
    <t>23/150/253</t>
  </si>
  <si>
    <t>90cm*66cm*165cm至200cm-8050</t>
  </si>
  <si>
    <t>3B-Handcash cashier double black password</t>
  </si>
  <si>
    <t>41/227/420</t>
  </si>
  <si>
    <t>3C-Electronic keyboard 37 key black</t>
  </si>
  <si>
    <t>77/258/412</t>
  </si>
  <si>
    <t>35cm*13cm*4cm-253</t>
  </si>
  <si>
    <t>3B-Router P6000 white</t>
  </si>
  <si>
    <t>1/12/18</t>
  </si>
  <si>
    <t>14.5cm*21cm*4.05cm-250</t>
  </si>
  <si>
    <t>3B-magnetic suction whiteboard 30cm*45cm</t>
  </si>
  <si>
    <t>55/213/213</t>
  </si>
  <si>
    <t>45cm*30cm*2cm-400</t>
  </si>
  <si>
    <t>3C-The 360 wired game controller comes without a headset in black</t>
  </si>
  <si>
    <t>116/394/544</t>
  </si>
  <si>
    <t>15.2cm*10.5cm*5.8cm-250</t>
  </si>
  <si>
    <t>3B-Road Speed Reducer 100cm*35cm*3cm</t>
  </si>
  <si>
    <t>2/46/97</t>
  </si>
  <si>
    <t>2026-05-31</t>
  </si>
  <si>
    <t>2026-05-13</t>
  </si>
  <si>
    <t>100cm*35cm*3cm-5000</t>
  </si>
  <si>
    <t>3C-32 to 70 inch TV mobile bracket with tray</t>
  </si>
  <si>
    <t>16/111/181</t>
  </si>
  <si>
    <t>48cm*29.5cm*0.5cm-1250</t>
  </si>
  <si>
    <t>3B-Rubber Magnetic Whiteboard Adhesive Backing 90cm*180cm</t>
  </si>
  <si>
    <t>9/60/83</t>
  </si>
  <si>
    <t>180cm*90cm*0.05cm-2950</t>
  </si>
  <si>
    <t>3B-Password safe black</t>
  </si>
  <si>
    <t>26/133/226</t>
  </si>
  <si>
    <t>2026-05-21</t>
  </si>
  <si>
    <t>35cm*25cm*25cm-6250</t>
  </si>
  <si>
    <t>3C-Combined two arm display holder</t>
  </si>
  <si>
    <t>132/399/615</t>
  </si>
  <si>
    <t>39.5cm*25.5cm*9.5cm-3119</t>
  </si>
  <si>
    <t>3C-Projector stand at 1.2 meters</t>
  </si>
  <si>
    <t>15/60/89</t>
  </si>
  <si>
    <t>2026-04-25</t>
  </si>
  <si>
    <t>78.5cm*8cm*8cm-530</t>
  </si>
  <si>
    <t>3C-Wood Color Guitar Set</t>
  </si>
  <si>
    <t>71/247/380</t>
  </si>
  <si>
    <t>96.5cm*42cm*10.5cm-1600</t>
  </si>
  <si>
    <t>3B-Intelligent Fingerprint Door Lock M20</t>
  </si>
  <si>
    <t>24/98/147</t>
  </si>
  <si>
    <t>27cm*15cm*10cm-1000</t>
  </si>
  <si>
    <t>3B-Small size Simulation Book, Silver box, key style, blue</t>
  </si>
  <si>
    <t>45/283/491</t>
  </si>
  <si>
    <t>2026-05-16</t>
  </si>
  <si>
    <t>18cm*11.5cm*4.5cm-460</t>
  </si>
  <si>
    <t>3C-Plug in Split Electric Rotating Disc White 20cm</t>
  </si>
  <si>
    <t>69/293/448</t>
  </si>
  <si>
    <t>20cm*13cm*5.5cm-410</t>
  </si>
  <si>
    <t>3B-Small imitation book and coin box with code, blue</t>
  </si>
  <si>
    <t>23/107/108</t>
  </si>
  <si>
    <t>18cm*11.5cm*4.5cm-1000</t>
  </si>
  <si>
    <t>3B-Multi functional Easy Stand 14.5cm*19cm</t>
  </si>
  <si>
    <t>2/6/6</t>
  </si>
  <si>
    <t>2025-11-08</t>
  </si>
  <si>
    <t>30*cm14.5cm*1cm-117</t>
  </si>
  <si>
    <t>3C-Black Guitar Set</t>
  </si>
  <si>
    <t>82/321/429</t>
  </si>
  <si>
    <t>3C-Flip Pen</t>
  </si>
  <si>
    <t>11/65/92</t>
  </si>
  <si>
    <t>2026-01-03</t>
  </si>
  <si>
    <t>12.8cm*6.3cm*3.2cm-55</t>
  </si>
  <si>
    <t>3C-The 84 inch projector screen</t>
  </si>
  <si>
    <t>69/331/489</t>
  </si>
  <si>
    <t>186cm*105cm-105</t>
  </si>
  <si>
    <t>3C-Projector bracket</t>
  </si>
  <si>
    <t>27/114/158</t>
  </si>
  <si>
    <t>2026-05-20</t>
  </si>
  <si>
    <t>60cm*12cm-1000</t>
  </si>
  <si>
    <t>3C-Double with tray display holder</t>
  </si>
  <si>
    <t>66/232/385</t>
  </si>
  <si>
    <t>42cm*33cm*8cm-3900</t>
  </si>
  <si>
    <t>3B-Hand withdrawal double-sided advertising display rack mouth word structure</t>
  </si>
  <si>
    <t>52/135/138</t>
  </si>
  <si>
    <t>39.2cm*24.6cm*3cm-1930</t>
  </si>
  <si>
    <t>3C-folding with Bluetooth with piano score holder electronic organ 61 keys</t>
  </si>
  <si>
    <t>15/34/62</t>
  </si>
  <si>
    <t>2026-05-28</t>
  </si>
  <si>
    <t>47.5cm*23cm*11cm-2300</t>
  </si>
  <si>
    <t>3B-Four function intelligent door lock</t>
  </si>
  <si>
    <t>63/270/447</t>
  </si>
  <si>
    <t>29cm*17cm*10cm-1800</t>
  </si>
  <si>
    <t>3B-Magnetic white board density board interlayer 90cm*180cm</t>
  </si>
  <si>
    <t>37/200/320</t>
  </si>
  <si>
    <t>180cm*90cm*4cm-9740</t>
  </si>
  <si>
    <t>3C-Single Arm Monitor Stand Metal Plastic Edition</t>
  </si>
  <si>
    <t>152/575/900</t>
  </si>
  <si>
    <t>53.5cm*53cm*9cm-2200</t>
  </si>
  <si>
    <t>3B-The safe black</t>
  </si>
  <si>
    <t>26/145/221</t>
  </si>
  <si>
    <t>31cm*20cm*20cm-4250</t>
  </si>
  <si>
    <t>3B-self adhesive label printing paper single roll 150*100mm</t>
  </si>
  <si>
    <t>32/77/136</t>
  </si>
  <si>
    <t>2026-05-09</t>
  </si>
  <si>
    <t>15cm*10cm-980</t>
  </si>
  <si>
    <t>3C-folding with Bluetooth with piano score holder electronic piano 88 keys</t>
  </si>
  <si>
    <t>26/88/135</t>
  </si>
  <si>
    <t>2026-05-25</t>
  </si>
  <si>
    <t>64cm*23cm*11cm-3400</t>
  </si>
  <si>
    <t>3C-Wood color guitar set packaging upgrade</t>
  </si>
  <si>
    <t>25/116/150</t>
  </si>
  <si>
    <t>96.5cm*42cm*10.5cm-1400</t>
  </si>
  <si>
    <t>3C-Plug in Split Electric Rotary Disc White 13cm</t>
  </si>
  <si>
    <t>20/153/235</t>
  </si>
  <si>
    <t>3C-A 120 inch projector screen</t>
  </si>
  <si>
    <t>56/231/317</t>
  </si>
  <si>
    <t>2026-05-18</t>
  </si>
  <si>
    <t>265cm*149cm-500</t>
  </si>
  <si>
    <t>3C-Projector holder tray</t>
  </si>
  <si>
    <t>26cm*36cm*1.5cm-666</t>
  </si>
  <si>
    <t>3C-Tablet Swivel Stand</t>
  </si>
  <si>
    <t>8/33/47</t>
  </si>
  <si>
    <t>15cm*12.5cm*3cm-442</t>
  </si>
  <si>
    <t>3C-The 360 wired game controller is white without a headset</t>
  </si>
  <si>
    <t>58/191/249</t>
  </si>
  <si>
    <t>3B-kt board inclined surface of advertising stand 3.5kg</t>
  </si>
  <si>
    <t>0/5/6</t>
  </si>
  <si>
    <t>2026-04-29</t>
  </si>
  <si>
    <t>105cm*36cm*5cm-1300</t>
  </si>
  <si>
    <t>3B-Rubber Magnetic Whiteboard Backing 45cm*75cm</t>
  </si>
  <si>
    <t>46/255/377</t>
  </si>
  <si>
    <t>75cm*45cm*0.05cm-700</t>
  </si>
  <si>
    <t>3B-LCD Panel Safe Password A15 model</t>
  </si>
  <si>
    <t>24/56/60</t>
  </si>
  <si>
    <t>45cm*38cm*30cm-13600</t>
  </si>
  <si>
    <t>3B-LCD Panel Safe 45cm*38cm*30cm</t>
  </si>
  <si>
    <t>25/44/52</t>
  </si>
  <si>
    <t>45cm*38cm*30cm-12000</t>
  </si>
  <si>
    <t>3B-Flip Flop Whiteboard 50*70</t>
  </si>
  <si>
    <t>27/112/158</t>
  </si>
  <si>
    <t>2026-05-23</t>
  </si>
  <si>
    <t>50cm*70cm*2cm-3300</t>
  </si>
  <si>
    <t>3C-Black guitar set packaging upgrade</t>
  </si>
  <si>
    <t>28/137/206</t>
  </si>
  <si>
    <t>3C-15.6-inch 60Hz straight 1K portable monitor black with leather case</t>
  </si>
  <si>
    <t>38/143/267</t>
  </si>
  <si>
    <t>35.5cm*22cm*1cm-1030</t>
  </si>
  <si>
    <t>3C-Stringless Guitar77.5cm*26.4cm*7.8cm</t>
  </si>
  <si>
    <t>9/30/47</t>
  </si>
  <si>
    <t>77.5cm*26.4cm*7.8cm-1500</t>
  </si>
  <si>
    <t>3B-Room door single tongue lock 2.7*6.8</t>
  </si>
  <si>
    <t>6/31/41</t>
  </si>
  <si>
    <t>6.8cm*8.3cm*2.7cm-65</t>
  </si>
  <si>
    <t>3B-Lanyard type semi-alloy combination box</t>
  </si>
  <si>
    <t>14/52/87</t>
  </si>
  <si>
    <t>13cm*10cm*5cm-293</t>
  </si>
  <si>
    <t>3B-Small size Simulation Book, Silver box, key style, red</t>
  </si>
  <si>
    <t>9/36/36</t>
  </si>
  <si>
    <t>3C-led intelligent interactive screen 17.3cm*7cm</t>
  </si>
  <si>
    <t>30/107/178</t>
  </si>
  <si>
    <t>17.3cm*7cm*0.3cm-199</t>
  </si>
  <si>
    <t>3B-Rubber Magnetic Whiteboard Adhesive Backing 60cm*90cm</t>
  </si>
  <si>
    <t>53/269/391</t>
  </si>
  <si>
    <t>90cm*60cm*0.05cm-1050</t>
  </si>
  <si>
    <t>3B-Fingerprint Padlock</t>
  </si>
  <si>
    <t>10/39/79</t>
  </si>
  <si>
    <t>4.9cm*1.38cm*7.95cm-160</t>
  </si>
  <si>
    <t>3C-Computer monitor stand single arm white</t>
  </si>
  <si>
    <t>48/160/239</t>
  </si>
  <si>
    <t>53.5cm*53cm*9cm-1950</t>
  </si>
  <si>
    <t>3B-Large Imitation Book, Silver Coin box, Key style, Black</t>
  </si>
  <si>
    <t>0/4/4</t>
  </si>
  <si>
    <t>3B-Small size simulation book, silver box, key style, yellow</t>
  </si>
  <si>
    <t>0/13/14</t>
  </si>
  <si>
    <t>2026-05-24</t>
  </si>
  <si>
    <t>3C-plug-in battery dual use electric rotating disc 12cm</t>
  </si>
  <si>
    <t>34/121/167</t>
  </si>
  <si>
    <t>12cm*12cm*4.3cm-298</t>
  </si>
  <si>
    <t>3B-Flip-Flop Whiteboard 100*80</t>
  </si>
  <si>
    <t>11/88/96</t>
  </si>
  <si>
    <t>100cm*80cm*2cm-5500</t>
  </si>
  <si>
    <t>3C-Monitor Desktop Stand 3 screens</t>
  </si>
  <si>
    <t>1/14/17</t>
  </si>
  <si>
    <t>2026-01-12</t>
  </si>
  <si>
    <t>84cm*82cm*49cm-4690</t>
  </si>
  <si>
    <t>3C-Projector remote control X8 series universal</t>
  </si>
  <si>
    <t>0/3/3</t>
  </si>
  <si>
    <t>3C-Double Fan Cooling Bracket 5 speed Adjustment</t>
  </si>
  <si>
    <t>15/52/61</t>
  </si>
  <si>
    <t>37.4cm*27.1cm*3.7cm-880</t>
  </si>
  <si>
    <t>3B-300CWiFi Router</t>
  </si>
  <si>
    <t>2026-03-25</t>
  </si>
  <si>
    <t>2026-04-15</t>
  </si>
  <si>
    <t>29cm*18cm*13.2cm-590</t>
  </si>
  <si>
    <t>3C-Aluminum Bracket N3</t>
  </si>
  <si>
    <t>2/19/37</t>
  </si>
  <si>
    <t>26.8cm*5cm*2.2cm-250</t>
  </si>
  <si>
    <t>3B-Fur felt photo announcement wall, coffee color, 60*80CM</t>
  </si>
  <si>
    <t>8/34/48</t>
  </si>
  <si>
    <t>2026-03-14</t>
  </si>
  <si>
    <t>120cm*60cm*1.1cm-550</t>
  </si>
  <si>
    <t>3B-Rechargeable stainless steel spherical lock K06</t>
  </si>
  <si>
    <t>2026-01-27</t>
  </si>
  <si>
    <t>2026-04-30</t>
  </si>
  <si>
    <t>23cm*9.8cm*8.4cm-840</t>
  </si>
  <si>
    <t>3B-All Plastic Combination Box</t>
  </si>
  <si>
    <t>32/107/156</t>
  </si>
  <si>
    <t>10.5cm*8.55cm*5cm-140</t>
  </si>
  <si>
    <t>3C-Display bracket riser ZTT003B</t>
  </si>
  <si>
    <t>69/394/597</t>
  </si>
  <si>
    <t>39.2cm*24.6cm*3cm-850</t>
  </si>
  <si>
    <t>3C-TV Mobile Trot Holder TG11</t>
  </si>
  <si>
    <t>3/4/4</t>
  </si>
  <si>
    <t>123cm*86cm*53cm-5692</t>
  </si>
  <si>
    <t>3B-key type safe black small 23*17*17cm</t>
  </si>
  <si>
    <t>35/107/157</t>
  </si>
  <si>
    <t>23cm*17cm*17cm-2100</t>
  </si>
  <si>
    <t>0/6/8</t>
  </si>
  <si>
    <t>2026-05-22</t>
  </si>
  <si>
    <t>2026-02-25</t>
  </si>
  <si>
    <t>49cm*9cm*8.5cm-680</t>
  </si>
  <si>
    <t>3B-broken bridge aluminum door curved tongue lock body 2.2*27</t>
  </si>
  <si>
    <t>0/1/5</t>
  </si>
  <si>
    <t>2026-04-06</t>
  </si>
  <si>
    <t>2.2cm*5cm*27cm-407</t>
  </si>
  <si>
    <t>3C-Single column Rotating Mobile Cart MY01</t>
  </si>
  <si>
    <t>2/16/16</t>
  </si>
  <si>
    <t>150cm*70cm*43.5cm-10400</t>
  </si>
  <si>
    <t>3C-Camera tripod 160cm</t>
  </si>
  <si>
    <t>1/3/4</t>
  </si>
  <si>
    <t>6cm*7cm*33cm-423</t>
  </si>
  <si>
    <t>3C-PRO Bluetooth RGB Wireless Stretch Mobile Game Controller STK 7011</t>
  </si>
  <si>
    <t>33/33/33</t>
  </si>
  <si>
    <t>24.72cm*11.42cm*6.42cm-320</t>
  </si>
  <si>
    <t>3C-A 100inch projector screen</t>
  </si>
  <si>
    <t>28/135/197</t>
  </si>
  <si>
    <t>220cm*124cm-498</t>
  </si>
  <si>
    <t>3C-Log color guitar packaging upgrade</t>
  </si>
  <si>
    <t>17/53/81</t>
  </si>
  <si>
    <t>96.5cm*42cm*10.5cm-1100</t>
  </si>
  <si>
    <t>3C-RGB Bluetooth Wireless Stretch Mobile Phone Game Controller STK 7009</t>
  </si>
  <si>
    <t>9/39/54</t>
  </si>
  <si>
    <t>18.8cm*10.9cm*4.8cm-232</t>
  </si>
  <si>
    <t>3B-Single phase Multi function Electric Meter with 1P LCD Display</t>
  </si>
  <si>
    <t>2026-02-08</t>
  </si>
  <si>
    <t>10cm*6.5cm*1.8cm-45</t>
  </si>
  <si>
    <t>3C-Single Fan Cooling Bracket without Adjustment</t>
  </si>
  <si>
    <t>18/47/60</t>
  </si>
  <si>
    <t>33.5cm*25.5cm*2.9cm-400</t>
  </si>
  <si>
    <t>3B-Track Single phase Electrical Energy Meter 2P LCD Measurement Model</t>
  </si>
  <si>
    <t>0/1/1</t>
  </si>
  <si>
    <t>8cm*6.5cm*1.8cm-45</t>
  </si>
  <si>
    <t>3B-Dual phase Electric Meter with 1P LCD Display</t>
  </si>
  <si>
    <t>8.8cm*7.6cm*3.6cm-100</t>
  </si>
  <si>
    <t>3C-Black guitar packaging upgrade</t>
  </si>
  <si>
    <t>8/26/45</t>
  </si>
  <si>
    <t>3B-Yellow and black telescopic connecting rod 1 to 2m</t>
  </si>
  <si>
    <t>0/0/4</t>
  </si>
  <si>
    <t>2026-03-03</t>
  </si>
  <si>
    <t>100cm*50cm*1cm-350</t>
  </si>
  <si>
    <t>3B-Punching machine37.5cm*26.5cm</t>
  </si>
  <si>
    <t>5/40/70</t>
  </si>
  <si>
    <t>37.5cm*26.5cm*35.5cm-3220</t>
  </si>
  <si>
    <t>3C-Black folk guitar packaging upgrade</t>
  </si>
  <si>
    <t>24/51/51</t>
  </si>
  <si>
    <t>3B-XT safe, 45*38*32cm, grayish white password version</t>
  </si>
  <si>
    <t>2/3/5</t>
  </si>
  <si>
    <t>45cm*38cm*32cm-13600</t>
  </si>
  <si>
    <t>3B-Cushion Photo Bulletin Wall in Light Beige 60*80CM</t>
  </si>
  <si>
    <t>7/42/67</t>
  </si>
  <si>
    <t>2026-04-21</t>
  </si>
  <si>
    <t>80cm*60cm*1.1cm-550</t>
  </si>
  <si>
    <t>3C-Acoustic color folk guitar set packaging upgrade</t>
  </si>
  <si>
    <t>14/36/36</t>
  </si>
  <si>
    <t>3C-Computer case T8 fan model, white</t>
  </si>
  <si>
    <t>3/11/12</t>
  </si>
  <si>
    <t>29.5cm*19.5cm*37.5cm-2850</t>
  </si>
  <si>
    <t>3C-The upper bracket of the TV</t>
  </si>
  <si>
    <t>2025-11-14</t>
  </si>
  <si>
    <t>33cm*15cm*16.2cm-234</t>
  </si>
  <si>
    <t>3B-Track Single phase Multi functional Electrical Energy Meter 1P LCD Measurement Model</t>
  </si>
  <si>
    <t>0/11/11</t>
  </si>
  <si>
    <t>8.4cm*6.8cm*2.4cm-105</t>
  </si>
  <si>
    <t>3B-Small size Simulation Book, Silver box, Key style, Black</t>
  </si>
  <si>
    <t>1/7/12</t>
  </si>
  <si>
    <t>3C-YT300 Mini Same Screen Projector Remote Control</t>
  </si>
  <si>
    <t>3B-B1A five function broken bridge aluminum lock belt APP</t>
  </si>
  <si>
    <t>2/11/25</t>
  </si>
  <si>
    <t>2026-04-20</t>
  </si>
  <si>
    <t>32cm*3.5cm*2.2cm-1033</t>
  </si>
  <si>
    <t>3B-Switch cabinet53cm*40cm*60cm</t>
  </si>
  <si>
    <t>4/15/15</t>
  </si>
  <si>
    <t>53cm*40cm*60cm-11200</t>
  </si>
  <si>
    <t>3C-Electronic organ with piano score holder 61 keys</t>
  </si>
  <si>
    <t>9/37/64</t>
  </si>
  <si>
    <t>70cm*20cm*6cm-1100</t>
  </si>
  <si>
    <t>3B-Rubber Magnetic Whiteboard Adhesive Backing 120cm*150cm</t>
  </si>
  <si>
    <t>17/96/170</t>
  </si>
  <si>
    <t>150cm*120cm*0.05cm-3200</t>
  </si>
  <si>
    <t>3B-XT safe, 45*38*32cm, grayish white fingerprint model</t>
  </si>
  <si>
    <t>6/13/18</t>
  </si>
  <si>
    <t>3B-Brout bridge aluminum door square tongue lock body 2.2*24</t>
  </si>
  <si>
    <t>1/8/17</t>
  </si>
  <si>
    <t>2.2cm*4.4cm*24cm-340</t>
  </si>
  <si>
    <t>3C-Q625 face and live broadcast pop-up tripod</t>
  </si>
  <si>
    <t>2/2/2</t>
  </si>
  <si>
    <t>4.5cm*11.5cm*34cm-580</t>
  </si>
  <si>
    <t>3C-desktop monitor stand tempered glass base</t>
  </si>
  <si>
    <t>23/41/41</t>
  </si>
  <si>
    <t>66cm*40cm*26cm-4540</t>
  </si>
  <si>
    <t>3B-Room door lock 2.2*16</t>
  </si>
  <si>
    <t>0/11/13</t>
  </si>
  <si>
    <t>2.2cm*7cm*16cm-317</t>
  </si>
  <si>
    <t>3B-Fur felt photo announcement wall, coffee color, 60*120CM</t>
  </si>
  <si>
    <t>2/8/14</t>
  </si>
  <si>
    <t>120cm*60cm*1.1cm-750</t>
  </si>
  <si>
    <t>3B-Road Warning Post 75cm</t>
  </si>
  <si>
    <t>1/1/2</t>
  </si>
  <si>
    <t>75cm*20cm*10cm-400</t>
  </si>
  <si>
    <t>3B-Switch cabinet53cm*40cm*24cm</t>
  </si>
  <si>
    <t>5/35/53</t>
  </si>
  <si>
    <t>53cm*40cm*24cm-6200</t>
  </si>
  <si>
    <t>2026-04-03</t>
  </si>
  <si>
    <t>3C-Highlight Auto Focus Light with Projector Z300</t>
  </si>
  <si>
    <t>5/6/6</t>
  </si>
  <si>
    <t>24cm*24cm*7.2cm-1450</t>
  </si>
  <si>
    <t>3C-Glow Tube</t>
  </si>
  <si>
    <t>0/3/4</t>
  </si>
  <si>
    <t>2026-04-24</t>
  </si>
  <si>
    <t>25cm*9.5cm*7cm-500</t>
  </si>
  <si>
    <t>3C-head wireless three-mode headphones K90W</t>
  </si>
  <si>
    <t>3/6/11</t>
  </si>
  <si>
    <t>2026-05-11</t>
  </si>
  <si>
    <t>19cm*7.3cm*19.3cm-170</t>
  </si>
  <si>
    <t>3B-Flip Flop Whiteboard 60*90</t>
  </si>
  <si>
    <t>11/45/76</t>
  </si>
  <si>
    <t>60cm*90cm*2cm-4300</t>
  </si>
  <si>
    <t>3B-Red simulation Book, Silver, money box, Key style</t>
  </si>
  <si>
    <t>1/20/20</t>
  </si>
  <si>
    <t>3C-RGB fully transparent dynamic coil noise reduction desktop microphone</t>
  </si>
  <si>
    <t>0/2/3</t>
  </si>
  <si>
    <t>2026-02-12</t>
  </si>
  <si>
    <t>24cm*10cm*10cm-370</t>
  </si>
  <si>
    <t>3B-Slope Pad 50*22*11cm</t>
  </si>
  <si>
    <t>0/0/1</t>
  </si>
  <si>
    <t>50cm*27cm*11cm-1450</t>
  </si>
  <si>
    <t>3C-Professional Podcast Dynamic Microphone</t>
  </si>
  <si>
    <t>2/3/6</t>
  </si>
  <si>
    <t>2026-04-02</t>
  </si>
  <si>
    <t>20cm*12.5cm*12.5cm-1170</t>
  </si>
  <si>
    <t>3C-Computer case, Model T8, black</t>
  </si>
  <si>
    <t>7/28/40</t>
  </si>
  <si>
    <t>38.6cm*29.5cm*19.5cm-2550</t>
  </si>
  <si>
    <t>3B-Large Simulation book, silver coin box, Key style, yellow</t>
  </si>
  <si>
    <t>2/17/18</t>
  </si>
  <si>
    <t>3B-Ball door lock Q7 Deluxe model</t>
  </si>
  <si>
    <t>14/61/95</t>
  </si>
  <si>
    <t>21.5cm*16cm*8.5cm-700</t>
  </si>
  <si>
    <t>3B-Merit Vault Safe, 45*38*32cm, Red password type</t>
  </si>
  <si>
    <t>23/59/59</t>
  </si>
  <si>
    <t>3B-Cash Box with Key in White 300A</t>
  </si>
  <si>
    <t>5/29/36</t>
  </si>
  <si>
    <t>30cm*24cm*9cm-1500</t>
  </si>
  <si>
    <t>3B-U9 five function glass door smart lock with TUYAAPP</t>
  </si>
  <si>
    <t>0/2/2</t>
  </si>
  <si>
    <t>42.5cm*11cm*3cm-1260</t>
  </si>
  <si>
    <t>3B-Cash Box with Key in White 200A</t>
  </si>
  <si>
    <t>19/83/115</t>
  </si>
  <si>
    <t>20cm*16cm*9cm-800</t>
  </si>
  <si>
    <t>3B-Fur felt photo announcement wall, coffee color, 80*120CM</t>
  </si>
  <si>
    <t>5/24/30</t>
  </si>
  <si>
    <t>120cm*80cm*1.1cm-1000</t>
  </si>
  <si>
    <t>3C-A 26 to 63 inch TV bracket</t>
  </si>
  <si>
    <t>17/91/135</t>
  </si>
  <si>
    <t>2026-05-02</t>
  </si>
  <si>
    <t>53cm*49cm*22cm-520</t>
  </si>
  <si>
    <t>3B-kt board for advertising stand,3.7kg flat surface</t>
  </si>
  <si>
    <t>115cm*30cm*5cm-1300</t>
  </si>
  <si>
    <t>3B-Cash Box with Key in White 150A</t>
  </si>
  <si>
    <t>27/107/136</t>
  </si>
  <si>
    <t>15cm*12cm*8.5cm-500</t>
  </si>
  <si>
    <t>3B-Road Wide Angle Mirror 60cm</t>
  </si>
  <si>
    <t>12/63/101</t>
  </si>
  <si>
    <t>60cm*60cm*10cm-1800</t>
  </si>
  <si>
    <t>3B-R5A room door lock single lock tongue four functions without APP</t>
  </si>
  <si>
    <t>1/6/9</t>
  </si>
  <si>
    <t>28.2cm*6.5cm*2.3cm-1120</t>
  </si>
  <si>
    <t>3B-Rubber Magnetic Whiteboard Adhesive Backing 90cm*120cm</t>
  </si>
  <si>
    <t>30/162/260</t>
  </si>
  <si>
    <t>120cm*90cm*0.05cm-1900</t>
  </si>
  <si>
    <t>3C-Monitor desktop Stand 4 screen</t>
  </si>
  <si>
    <t>2026-05-08</t>
  </si>
  <si>
    <t>2026-03-09</t>
  </si>
  <si>
    <t>44.5cm*35cm*10.5cm-6350</t>
  </si>
  <si>
    <t>3C-led intelligent interactive screen 59.5cm*12cm</t>
  </si>
  <si>
    <t>7/18/33</t>
  </si>
  <si>
    <t>59.5cm*12cm*0.3cm-692</t>
  </si>
  <si>
    <t>3B-Cushion Photo Bulletin Wall in Light Beige 60*120CM</t>
  </si>
  <si>
    <t>3/13/24</t>
  </si>
  <si>
    <t>3C-Computer case T8 model, white</t>
  </si>
  <si>
    <t>9/23/35</t>
  </si>
  <si>
    <t>3B-Start the power supply N20</t>
  </si>
  <si>
    <t>2026-05-10</t>
  </si>
  <si>
    <t>22cm*18.5cm*12.5cm-1500</t>
  </si>
  <si>
    <t>3C-Computer Case 34014 Fan Black</t>
  </si>
  <si>
    <t>37cm*17cm*41cm-2760</t>
  </si>
  <si>
    <t>3B-Road Warning Folding Cones 30cm</t>
  </si>
  <si>
    <t>35cm*19cm*19cm-300</t>
  </si>
  <si>
    <t>3B-Flip-Flop Whiteboard 70*100</t>
  </si>
  <si>
    <t>8/11/51</t>
  </si>
  <si>
    <t>70cm*100cm*2cm-5000</t>
  </si>
  <si>
    <t>3C-P510 One click to open quadruped universal mobile phone floor live broadcast stand</t>
  </si>
  <si>
    <t>2026-05-17</t>
  </si>
  <si>
    <t>29.5cm*7.5cm*4cm-471</t>
  </si>
  <si>
    <t>3B-306CWiFi Router</t>
  </si>
  <si>
    <t>16.5cm*12cm*4.2cm-371</t>
  </si>
  <si>
    <t>3C-Digital Camera Silver 64 million pixels</t>
  </si>
  <si>
    <t>2/12/16</t>
  </si>
  <si>
    <t>15cm*15cm*7cm-90</t>
  </si>
  <si>
    <t>3B-5 door file safe</t>
  </si>
  <si>
    <t>4/18/42</t>
  </si>
  <si>
    <t>38cm*42cm*180cm-18000</t>
  </si>
  <si>
    <t>3B-A4 advertising stand</t>
  </si>
  <si>
    <t>2025-12-13</t>
  </si>
  <si>
    <t>2025-12-06</t>
  </si>
  <si>
    <t>120cm*32.7cm*24cm-2350</t>
  </si>
  <si>
    <t>3B-Cushion Photo Bulletin Wall in Light Beige 80*120CM</t>
  </si>
  <si>
    <t>5/10/28</t>
  </si>
  <si>
    <t>3B-handheld one dimensional wireless image scanner</t>
  </si>
  <si>
    <t>4/35/49</t>
  </si>
  <si>
    <t>150cm*70cm*95cm-250</t>
  </si>
  <si>
    <t>3C-Cylinder projector White</t>
  </si>
  <si>
    <t>3/6/13</t>
  </si>
  <si>
    <t>21.9cm*13.4cm*11.9cm-730</t>
  </si>
  <si>
    <t>3B-Smart Door Lock Accessory Package</t>
  </si>
  <si>
    <t>2026-04-17</t>
  </si>
  <si>
    <t>7cm*13cm*0.8cm-197</t>
  </si>
  <si>
    <t>3B-Model 997 foreign currency counter</t>
  </si>
  <si>
    <t>7/16/16</t>
  </si>
  <si>
    <t>25cm*24cm*22cm-5000</t>
  </si>
  <si>
    <t>3B-Large Simulation Book, Silver coin box, Key style, red</t>
  </si>
  <si>
    <t>7/17/17</t>
  </si>
  <si>
    <t>3C-Gas spring double arm bracket with pole, adjustable and upside down</t>
  </si>
  <si>
    <t>3/33/50</t>
  </si>
  <si>
    <t>2026-02-07</t>
  </si>
  <si>
    <t>90cm*87cm*9cm-4300</t>
  </si>
  <si>
    <t>3C-Computer Chassis T6 Black 3 Fan</t>
  </si>
  <si>
    <t>2/14/21</t>
  </si>
  <si>
    <t>2026-04-27</t>
  </si>
  <si>
    <t>42cm*27.8cm*33cm-5040</t>
  </si>
  <si>
    <t>3B-Coin Sorting Machine 5188</t>
  </si>
  <si>
    <t>15/46/49</t>
  </si>
  <si>
    <t>34cm*30cm*26.5cm-3800</t>
  </si>
  <si>
    <t>3B-pin combination lock</t>
  </si>
  <si>
    <t>1/3/3</t>
  </si>
  <si>
    <t>12.2cm*4.8cm*4cm-315</t>
  </si>
  <si>
    <t>3B-Anti theft door lock body 2.4*24</t>
  </si>
  <si>
    <t>1/6/17</t>
  </si>
  <si>
    <t>2.4cm*9cm*24cm-647</t>
  </si>
  <si>
    <t>3B-Cash Box with Key in Pink 300A</t>
  </si>
  <si>
    <t>4/34/53</t>
  </si>
  <si>
    <t>3C-An Android TV remote control</t>
  </si>
  <si>
    <t>2026-02-23</t>
  </si>
  <si>
    <t>3B-48 digit key box with code</t>
  </si>
  <si>
    <t>0/1/3</t>
  </si>
  <si>
    <t>25cm*20cm*7.5cm-1300</t>
  </si>
  <si>
    <t>3B-Desktop Shredder 4L Drum CS201C</t>
  </si>
  <si>
    <t>1/4/4</t>
  </si>
  <si>
    <t>35.5cm*18cm*9.5cm-2600</t>
  </si>
  <si>
    <t>9/87/143</t>
  </si>
  <si>
    <t>3C-Dual Arm Monitor Stand Metal Plastic Edition</t>
  </si>
  <si>
    <t>16/99/154</t>
  </si>
  <si>
    <t>92cm*52cm*14.2cm-4000</t>
  </si>
  <si>
    <t>3C-Wireless Four Mold Headphones Black and White K80</t>
  </si>
  <si>
    <t>5/5/5</t>
  </si>
  <si>
    <t>19cm*73cm*19.3cm-280</t>
  </si>
  <si>
    <t>3B-A3 simple laminating machine</t>
  </si>
  <si>
    <t>2026-02-13</t>
  </si>
  <si>
    <t>47cm*13cm*7.6cm-1200</t>
  </si>
  <si>
    <t>3B-Cash Box with Key in White 250A</t>
  </si>
  <si>
    <t>10/52/62</t>
  </si>
  <si>
    <t>25cm*20cm*9cm-1100</t>
  </si>
  <si>
    <t>3C-Display bracket riser with drawer ZTT003DB</t>
  </si>
  <si>
    <t>18/114/185</t>
  </si>
  <si>
    <t>37cm*23cm*14.5cm-980</t>
  </si>
  <si>
    <t>3C-RGB capacitive cantilever bracket noise reduction microphone</t>
  </si>
  <si>
    <t>0/5/7</t>
  </si>
  <si>
    <t>39cm*15cm*15cm-633</t>
  </si>
  <si>
    <t>3B-New A6 Safe with Fingerprint Model 35cm*26cm*25cm</t>
  </si>
  <si>
    <t>1/13/16</t>
  </si>
  <si>
    <t>35cm*26cm*25cm-7400</t>
  </si>
  <si>
    <t>3B-WIFI Leakage Proof Multi functional Track Table Color Screen Model 2P63A</t>
  </si>
  <si>
    <t>23/58/65</t>
  </si>
  <si>
    <t>8.5cm*6.5cm*3.7cm-165</t>
  </si>
  <si>
    <t>3B-Track Single phase Metering Electrical Energy Meter 1P Mechanical Measurement Model</t>
  </si>
  <si>
    <t>2/3/3</t>
  </si>
  <si>
    <t>9cm*7.7cm*7.5cm-312</t>
  </si>
  <si>
    <t>3B-Safe 100cm*51cm*45cm</t>
  </si>
  <si>
    <t>1/5/13</t>
  </si>
  <si>
    <t>100cm*51cm*45cm-40000</t>
  </si>
  <si>
    <t>3B-kt board for advertising stand,1.3kg flat surface</t>
  </si>
  <si>
    <t>2026-05-15</t>
  </si>
  <si>
    <t>115cm*30cm*5cm-3700</t>
  </si>
  <si>
    <t>3B-A4 Simple laminating machine</t>
  </si>
  <si>
    <t>0/0/3</t>
  </si>
  <si>
    <t>37cm*13cm*7.6cm-1020</t>
  </si>
  <si>
    <t>3C-double decker mobile trolley MY1700PJ</t>
  </si>
  <si>
    <t>6/41/49</t>
  </si>
  <si>
    <t>190cm*70cm*43cm-11010</t>
  </si>
  <si>
    <t>3B-Slope Pad 50*22*9cm</t>
  </si>
  <si>
    <t>2/12/39</t>
  </si>
  <si>
    <t>50cm*22cm*9cm-1100</t>
  </si>
  <si>
    <t>3B-Tying banknote paper</t>
  </si>
  <si>
    <t>1/2/4</t>
  </si>
  <si>
    <t>2026-02-28</t>
  </si>
  <si>
    <t>32.5cm*19.7cm*17.2cm-1350</t>
  </si>
  <si>
    <t>3C-RGB dynamic coil noise reduction desktop microphone</t>
  </si>
  <si>
    <t>1/6/8</t>
  </si>
  <si>
    <t>23cm*10cm*10cm-565</t>
  </si>
  <si>
    <t>3B-Switch cabinet53cm*40cm*45cm</t>
  </si>
  <si>
    <t>3/22/23</t>
  </si>
  <si>
    <t>53cm*40cm*45cm-9100</t>
  </si>
  <si>
    <t>3B-5890A desktop ticket printer 58mm white</t>
  </si>
  <si>
    <t>4/13/26</t>
  </si>
  <si>
    <t>2026-05-01</t>
  </si>
  <si>
    <t>12cm*10.5cm*10cm-360</t>
  </si>
  <si>
    <t>3B-Fur felt photo announcement wall, coffee color, 120*180CM</t>
  </si>
  <si>
    <t>1/11/17</t>
  </si>
  <si>
    <t>120cm*90cm*2.2cm-2350</t>
  </si>
  <si>
    <t>3B-Heavy stapler28cm*7cm*16.3cm</t>
  </si>
  <si>
    <t>11/52/72</t>
  </si>
  <si>
    <t>28cm*7cm*16.3cm-762</t>
  </si>
  <si>
    <t>3B-2 file safe</t>
  </si>
  <si>
    <t>1/26/26</t>
  </si>
  <si>
    <t>38cm*42cm*180cm-17000</t>
  </si>
  <si>
    <t>3B-9260B label printer 4 inch black USB Bluetooth</t>
  </si>
  <si>
    <t>4/4/10</t>
  </si>
  <si>
    <t>12.5cm*7.8cm*7.5cm-460</t>
  </si>
  <si>
    <t>3B-H1AP five-function anti-theft door lock APP</t>
  </si>
  <si>
    <t>1/6/7</t>
  </si>
  <si>
    <t>36.8cm*6.8cm*2.4cm-1480</t>
  </si>
  <si>
    <t>3B-Safe 80cm*44cm*40cm</t>
  </si>
  <si>
    <t>2/7/11</t>
  </si>
  <si>
    <t>80cm*44cm*40cm-30000</t>
  </si>
  <si>
    <t>3C-led intelligent interactive screen 34.8cm*10.2cm</t>
  </si>
  <si>
    <t>4/22/26</t>
  </si>
  <si>
    <t>34.8cm*10.2cm*0.3cm-286</t>
  </si>
  <si>
    <t>3B-8008 portable self adhesive label printer 80mm black</t>
  </si>
  <si>
    <t>0/7/11</t>
  </si>
  <si>
    <t>12.5cm*10.9cm*6.5cm-340</t>
  </si>
  <si>
    <t>0/3/71</t>
  </si>
  <si>
    <t>100cm*60cm*2cm-1400</t>
  </si>
  <si>
    <t>3B-Folded Safety Fence 2.5m</t>
  </si>
  <si>
    <t>99cm*53cm*26cm-2500</t>
  </si>
  <si>
    <t>3B-Road Warning Folding Cones 45cm</t>
  </si>
  <si>
    <t>6/11/21</t>
  </si>
  <si>
    <t>45cm*24.5cm*24.5cm-400</t>
  </si>
  <si>
    <t>3B-Wired 2D Scanning Platform</t>
  </si>
  <si>
    <t>0/11/20</t>
  </si>
  <si>
    <t>12cm*8cm*8cm-380</t>
  </si>
  <si>
    <t>3B-New A6 Safe with Password Model 35cm*26cm*25cm</t>
  </si>
  <si>
    <t>7/25/33</t>
  </si>
  <si>
    <t>3C-Podcast Professional Game Singleplayer Mixer</t>
  </si>
  <si>
    <t>2026-04-22</t>
  </si>
  <si>
    <t>18.5cm*15cm*5cm-421</t>
  </si>
  <si>
    <t>2/17/42</t>
  </si>
  <si>
    <t>3C-30 * 80 * 2cm mouse pad RGB</t>
  </si>
  <si>
    <t>85/362/641</t>
  </si>
  <si>
    <t>30cm*80cm*1cm-500</t>
  </si>
  <si>
    <t>3B-Outdoor solar panel camera</t>
  </si>
  <si>
    <t>3/17/25</t>
  </si>
  <si>
    <t>37.4cm*27cm*21cm-650</t>
  </si>
  <si>
    <t>3B-Cushion Photo Bulletin Wall in Light Beige 120*180CM</t>
  </si>
  <si>
    <t>2/12/18</t>
  </si>
  <si>
    <t>3C-84 inch 16 ratio 9 Electronic Limit White Plastic Electric Screen</t>
  </si>
  <si>
    <t>2/14/31</t>
  </si>
  <si>
    <t>202cm*13cm*12cm-5700</t>
  </si>
  <si>
    <t>3C-Computer Chassis T6 White 3 Fan</t>
  </si>
  <si>
    <t>2/6/13</t>
  </si>
  <si>
    <t>2026-04-04</t>
  </si>
  <si>
    <t>3B-Express waybill printer white</t>
  </si>
  <si>
    <t>37/80/98</t>
  </si>
  <si>
    <t>21.5cm*18cm*12cm-1550</t>
  </si>
  <si>
    <t>3C-Electronic Drum Kit</t>
  </si>
  <si>
    <t>26/93/150</t>
  </si>
  <si>
    <t>90cm*70cm*110cm-8000</t>
  </si>
  <si>
    <t>3B-9260A label printer 4 inch black USB</t>
  </si>
  <si>
    <t>0/1/6</t>
  </si>
  <si>
    <t>3B-A3 metal casing laminating machine STL316A</t>
  </si>
  <si>
    <t>0/1/2</t>
  </si>
  <si>
    <t>50cm*20.3cm*14.8cm-2600</t>
  </si>
  <si>
    <t>3B-Banknote bunder Model 8011A</t>
  </si>
  <si>
    <t>26cm*21cm*18cm-6000</t>
  </si>
  <si>
    <t>3B-Model 6088 foreign currency counter</t>
  </si>
  <si>
    <t>18/47/51</t>
  </si>
  <si>
    <t>30cm*27.5cm*19.8cm-5600</t>
  </si>
  <si>
    <t>3C-Projector holder cradle head 32cm * 25cm</t>
  </si>
  <si>
    <t>26/83/141</t>
  </si>
  <si>
    <t>32cm*25cm*1.5cm-740</t>
  </si>
  <si>
    <t>3B-Thermal sensitive label printer H11</t>
  </si>
  <si>
    <t>7.6cm*7.6cm*4cm-112</t>
  </si>
  <si>
    <t>1/1/4</t>
  </si>
  <si>
    <t>10.5cm*7.8cm*4.7cm-222</t>
  </si>
  <si>
    <t>3C-V8H TV Stand</t>
  </si>
  <si>
    <t>31/136/183</t>
  </si>
  <si>
    <t>76cm*33cm*7.5cm-5800</t>
  </si>
  <si>
    <t>3C-Translucent Bluetooth RGB Backlit Mouse Orange</t>
  </si>
  <si>
    <t>0/3/7</t>
  </si>
  <si>
    <t>2026-04-09</t>
  </si>
  <si>
    <t>11cm*5.6cm*1.5cm-115</t>
  </si>
  <si>
    <t>3C-Log color guitar</t>
  </si>
  <si>
    <t>7/185/319</t>
  </si>
  <si>
    <t>96.5cm*42cm*10.5cm-1350</t>
  </si>
  <si>
    <t>3C-Bold the 2.1 m triangular bracket</t>
  </si>
  <si>
    <t>22/82/105</t>
  </si>
  <si>
    <t>68cm*6.5cm*6.5cm-380</t>
  </si>
  <si>
    <t>3C-W1 White Digital Camera includes 64g TF card</t>
  </si>
  <si>
    <t>0/1/4</t>
  </si>
  <si>
    <t>15cm*13cm*6.5cm-400</t>
  </si>
  <si>
    <t>3B-JY004 Portable Energy Storage Power Supply 4kg</t>
  </si>
  <si>
    <t>0/471/1,079</t>
  </si>
  <si>
    <t>28cm*18.5cm*16cm-4000</t>
  </si>
  <si>
    <t>0/9/228</t>
  </si>
  <si>
    <t>0/50/170</t>
  </si>
  <si>
    <t>3C-Computer Case T6 Black</t>
  </si>
  <si>
    <t>2/15/22</t>
  </si>
  <si>
    <t>42cm*27.8cm*33cm-4400</t>
  </si>
  <si>
    <t>3C-Computer Case T6 White</t>
  </si>
  <si>
    <t>0/4/8</t>
  </si>
  <si>
    <t>2026-01-30</t>
  </si>
  <si>
    <t>3C-Plug in Split Electric Rotating Disc Black 20cm</t>
  </si>
  <si>
    <t>3/121/234</t>
  </si>
  <si>
    <t>3C-Black Folk Guitar</t>
  </si>
  <si>
    <t>6/132/256</t>
  </si>
  <si>
    <t>96.5cm*42cm*10.5cm-1800</t>
  </si>
  <si>
    <t>3B-Hand withdrawals single-sided advertising display rack mouth word structure</t>
  </si>
  <si>
    <t>0/164/298</t>
  </si>
  <si>
    <t>103cm*90cm*60cm-1350</t>
  </si>
  <si>
    <t>3B-Capsule Power Bank 5000 mAh Apple Connector White</t>
  </si>
  <si>
    <t>8.1cm*4.9cm*2.8cm-123</t>
  </si>
  <si>
    <t>3B-Door to door low safe</t>
  </si>
  <si>
    <t>2026-01-01</t>
  </si>
  <si>
    <t>90cm*40cm*109cm-26000</t>
  </si>
  <si>
    <t>3B-8360 desktop ticket printer 80mm Black Orange</t>
  </si>
  <si>
    <t>22/56/57</t>
  </si>
  <si>
    <t>12cm*13.5cm*12.1cm-720</t>
  </si>
  <si>
    <t>3B-Professional Rapid Laminating Machine A3</t>
  </si>
  <si>
    <t>2025-12-11</t>
  </si>
  <si>
    <t>49.5cm*16.7cm*8.7cm-2900</t>
  </si>
  <si>
    <t>2026-04-10</t>
  </si>
  <si>
    <t>3B-magnetic suction whiteboard 20cm*30cm</t>
  </si>
  <si>
    <t>0/0/134</t>
  </si>
  <si>
    <t>30cm*25cm*2cm-250</t>
  </si>
  <si>
    <t>3C-W1 white digital camera includes 32g TF card</t>
  </si>
  <si>
    <t>1/1/3</t>
  </si>
  <si>
    <t>3B-Three antenna shake head machine camera</t>
  </si>
  <si>
    <t>2026-04-11</t>
  </si>
  <si>
    <t>14cm*13cm*10cm-220</t>
  </si>
  <si>
    <t>3B-A 2.4 inch two way visual camera with a screen</t>
  </si>
  <si>
    <t>15.3cm*92.1cm*79.1cm-200</t>
  </si>
  <si>
    <t>3B-Binocular light bulb camera camera</t>
  </si>
  <si>
    <t>17cm*9.5cm*8cm-200</t>
  </si>
  <si>
    <t>3C-Single arm display holder</t>
  </si>
  <si>
    <t>8/114/131</t>
  </si>
  <si>
    <t>44cm*19.5cm*6.6cm-1811</t>
  </si>
  <si>
    <t>3C-Two arm display holder</t>
  </si>
  <si>
    <t>12/88/161</t>
  </si>
  <si>
    <t>44.2cm*21cm*6.6cm-2539</t>
  </si>
  <si>
    <t>3B-magnetic suction whiteboard 60cm*90cm</t>
  </si>
  <si>
    <t>90cm*60cm*2cm-1700</t>
  </si>
  <si>
    <t>3C-set top box remote control</t>
  </si>
  <si>
    <t>0/16/42</t>
  </si>
  <si>
    <t>3B-Travel AC Plug Power Bank 10000mAh White</t>
  </si>
  <si>
    <t>2026-03-17</t>
  </si>
  <si>
    <t>8.8cm*8.8cm*3.3cm-360</t>
  </si>
  <si>
    <t>3B-kt board inclined surface of advertising stand 1.3kg</t>
  </si>
  <si>
    <t>12/54/54</t>
  </si>
  <si>
    <t>105cm*30cm*5cm-3700</t>
  </si>
  <si>
    <t>3B-Cash Box with Key in Black 300A</t>
  </si>
  <si>
    <t>0/0/22</t>
  </si>
  <si>
    <t>3B-Portable Counting Machine V30</t>
  </si>
  <si>
    <t>24/60/60</t>
  </si>
  <si>
    <t>21cm*12cm*9.5cm-400</t>
  </si>
  <si>
    <t>3C-Electronic drums two drums and two drums MT10L</t>
  </si>
  <si>
    <t>0/8/11</t>
  </si>
  <si>
    <t>65cm*60cm*113cm-6000</t>
  </si>
  <si>
    <t>3B-Portable Router R5 Model Black</t>
  </si>
  <si>
    <t>9.9cm*5.85cm*1.484cm-100</t>
  </si>
  <si>
    <t>2026-03-31</t>
  </si>
  <si>
    <t>31cm*20cm*20cm-4300</t>
  </si>
  <si>
    <t>2026-04-01</t>
  </si>
  <si>
    <t>45cm*30cm*2cm-500</t>
  </si>
  <si>
    <t>3B-handheld one dimensional wired image scanning gun</t>
  </si>
  <si>
    <t>150cm*70cm*95cm-210</t>
  </si>
  <si>
    <t>3B-magnetic suction whiteboard 45cm*60cm</t>
  </si>
  <si>
    <t>0/10/420</t>
  </si>
  <si>
    <t>60cm*45cm*2cm-900</t>
  </si>
  <si>
    <t>3B-Magnetic white 90cm*180cm</t>
  </si>
  <si>
    <t>2026-01-20</t>
  </si>
  <si>
    <t>180cm*90cm*4cm-5100</t>
  </si>
  <si>
    <t>3C-Pocket Sports Camera 11.7cm*3.4cm</t>
  </si>
  <si>
    <t>2/47/72</t>
  </si>
  <si>
    <t>11.7cm*3.4cm*2.6cm-258</t>
  </si>
  <si>
    <t>3C-Upper and Lower dual screen monitor Stand</t>
  </si>
  <si>
    <t>13/41/57</t>
  </si>
  <si>
    <t>80cm*12cm*12cm-3500</t>
  </si>
  <si>
    <t>3C-Soundba Bluetooth Speaker</t>
  </si>
  <si>
    <t>2026-01-24</t>
  </si>
  <si>
    <t>41.2cm*7.2cm*5.6cm-739</t>
  </si>
  <si>
    <t>3C-Transparent RGB Wireless Bluetooth Game Controller STK 7040</t>
  </si>
  <si>
    <t>15.6cm*10.9cm*6.93cm-235</t>
  </si>
  <si>
    <t>8.9cm*3.5cm*1.5cm-160</t>
  </si>
  <si>
    <t>3C-15.6 inch 60Hz face 1K portable display black</t>
  </si>
  <si>
    <t>35.5cm*22.2cm*1.3cm-830</t>
  </si>
  <si>
    <t>3B-glass door U shaped password lock</t>
  </si>
  <si>
    <t>2/11/13</t>
  </si>
  <si>
    <t>43cm*12.5cm*3cm-1062</t>
  </si>
  <si>
    <t>3B-Password Fingerprint with APP Smart Door Lock</t>
  </si>
  <si>
    <t>1/11/13</t>
  </si>
  <si>
    <t>28.2cm*6.5cm*2.3cm-1169</t>
  </si>
  <si>
    <t>3B-R4A room door lock single lock tongue five functions with APP</t>
  </si>
  <si>
    <t>5/26/36</t>
  </si>
  <si>
    <t>28.2cm*6.5cm*2.3cm-1192</t>
  </si>
  <si>
    <t>3B-Shredder for 4 pieces S0204B</t>
  </si>
  <si>
    <t>2026-03-04</t>
  </si>
  <si>
    <t>2026-03-21</t>
  </si>
  <si>
    <t>31cm*27.5cm*17cm-2430</t>
  </si>
  <si>
    <t>3B-Shredder for 6 pieces S0206L</t>
  </si>
  <si>
    <t>2026-02-27</t>
  </si>
  <si>
    <t>36.8cm*31cm*18cm-3200</t>
  </si>
  <si>
    <t>3B-Cash Box with Key in Pink 250A</t>
  </si>
  <si>
    <t>7/50/80</t>
  </si>
  <si>
    <t>3B-Cash Box with Key in Black 250A</t>
  </si>
  <si>
    <t>0/5/41</t>
  </si>
  <si>
    <t>3C-Projector support screw</t>
  </si>
  <si>
    <t>T3CC1950677</t>
  </si>
  <si>
    <t>停止销售</t>
  </si>
  <si>
    <t>3B-摄像头存储卡64G</t>
  </si>
  <si>
    <t>3B-storage card 64G</t>
  </si>
  <si>
    <t>1.5cm*1.1cm*0.1cm-2</t>
  </si>
  <si>
    <t>33.5cm*36.8cm*8cm-3300</t>
  </si>
  <si>
    <t>3B-Gray cash counter with external display</t>
  </si>
  <si>
    <t>3B-Fingerprint Cabinet Lock K16 Model</t>
  </si>
  <si>
    <t>8.7cm*6cm*5cm-76</t>
  </si>
  <si>
    <t>3B-Fingerprint Cabinet Lock CTS10 Model</t>
  </si>
  <si>
    <t>8.7cm*6cm*5cm-115</t>
  </si>
  <si>
    <t>3B-Home Energy Storage Power Supply HeroEE1</t>
  </si>
  <si>
    <t>32.5cm*27cm*172cm-17100</t>
  </si>
  <si>
    <t>3B-Home Energy Storage Power Supply HeroEE2</t>
  </si>
  <si>
    <t>31.1cm*28.5cm*21cm-18100</t>
  </si>
  <si>
    <t>3B-Home Energy Storage Power Supply S167 Model</t>
  </si>
  <si>
    <t>41cm*25cm*11cm-2600</t>
  </si>
  <si>
    <t>3B-Home Energy Storage Power Supply S192 Model</t>
  </si>
  <si>
    <t>29.5cm*19cm*17.5cm-2500</t>
  </si>
  <si>
    <t>3B-Home Energy Storage Power Supply S75 Model</t>
  </si>
  <si>
    <t>21.5cm*19cm*15.5cm-1150</t>
  </si>
  <si>
    <t>3C-Computer chassis special shaped 01 chassis black lamp board</t>
  </si>
  <si>
    <t>50.5cm*23cm*43.8cm-5500</t>
  </si>
  <si>
    <t>3C-Computer Chassis Alien 01 Chassis Black Fan Model</t>
  </si>
  <si>
    <t>50.5cm*23cm*43.8cm-5100</t>
  </si>
  <si>
    <t>3B-Lightweight Sewing of Photovoltaic Panels at 4 times 200W</t>
  </si>
  <si>
    <t>185.3cm*61.2cm*3.5cm-4780</t>
  </si>
  <si>
    <t>3B-Lithium Ion Battery 12V 30AH</t>
  </si>
  <si>
    <t>18.8cm*18.6cm*8.2cm-2900</t>
  </si>
  <si>
    <t>3B-Lithium Ion Battery 12V 100AH</t>
  </si>
  <si>
    <t>33.8cm*33.5cm*25.5cm-9000</t>
  </si>
  <si>
    <t>3B-energy storage power photovoltaic charging board</t>
  </si>
  <si>
    <t>35cm*23.5cm*1.5cm-560</t>
  </si>
  <si>
    <t>3B-energy storage power photovoltaic charging board 16V</t>
  </si>
  <si>
    <t>36.5cm*2.6cm*24.6cm-677</t>
  </si>
  <si>
    <t>0-0</t>
  </si>
  <si>
    <t>3B-Small ticket express single printer black</t>
  </si>
  <si>
    <t>2026-04-05</t>
  </si>
  <si>
    <t>3B-Portable Energy Storage Power Supply ESP10</t>
  </si>
  <si>
    <t>19cm*15cm*11cm-1003</t>
  </si>
  <si>
    <t>0/10/14</t>
  </si>
  <si>
    <t>3B-Mini Computer Paper Card Attendance Machine</t>
  </si>
  <si>
    <t>2026-03-05</t>
  </si>
  <si>
    <t>22cm*19cm*12cm-1100</t>
  </si>
  <si>
    <t>3C-Touch Piano with Score Stand 88 key Force Key LM600</t>
  </si>
  <si>
    <t>125.5cm*27cm*9.5cm-13500</t>
  </si>
  <si>
    <t>3C-Digital Piano with Score Stand 88 key Strength Key LM200</t>
  </si>
  <si>
    <t>125cm*27cm*9.5cm-9700</t>
  </si>
  <si>
    <t>3B-Mesh Board 60cm*90cm</t>
  </si>
  <si>
    <t>60cm*90cm*2cm-1600</t>
  </si>
  <si>
    <t>3B-Mesh Message Board 60cm*90cm</t>
  </si>
  <si>
    <t>60cm*90cm*2cm-1700</t>
  </si>
  <si>
    <t>3C-14 inch 60Hz straight 1K portable monitor touch black</t>
  </si>
  <si>
    <t>31.1cm*21.1cm*1.3cm-700</t>
  </si>
  <si>
    <t>3C-15.6 inch 60Hz face to face 1K portable wireless screen projection monitor black</t>
  </si>
  <si>
    <t>35.5cm*22cm*1.3cm-841</t>
  </si>
  <si>
    <t>3C-Musical Instrument Mechanical Methme</t>
  </si>
  <si>
    <t>20.3cm*12.1cm*9.5cm-420</t>
  </si>
  <si>
    <t>3C-Childrens Electronic Piano Set with Score Rack 37 Keys LM970 Black</t>
  </si>
  <si>
    <t>50.5cm*26cm*47.5cm-6400</t>
  </si>
  <si>
    <t>3B-Energy Storage Power Supply G120</t>
  </si>
  <si>
    <t>22.3cm*15cm*15cm-1460</t>
  </si>
  <si>
    <t>3B-Energy Storage Power Supply G300</t>
  </si>
  <si>
    <t>25.8cm*25cm*19cm-3450</t>
  </si>
  <si>
    <t>3B-Energy Storage Power Supply R300</t>
  </si>
  <si>
    <t>30cm*23cm*16cm-3660</t>
  </si>
  <si>
    <t>3B-Energy Storage Power Supply R350</t>
  </si>
  <si>
    <t>31.8cm*19cm*18.2cm-3740</t>
  </si>
  <si>
    <t>3B-Energy Storage Power Supply R600</t>
  </si>
  <si>
    <t>32cm*25.7cm*24.6cm-5410</t>
  </si>
  <si>
    <t>3B-Portable solar integrated energy storage power supply</t>
  </si>
  <si>
    <t>25.3cm*21.4cm*8.4cm-1760</t>
  </si>
  <si>
    <t>3C-Portable Nine Hand Roll Electronic Drum Orange</t>
  </si>
  <si>
    <t>49cm*42cm*3.4cm-750</t>
  </si>
  <si>
    <t>3C-X3S game controller with mobile phone holder</t>
  </si>
  <si>
    <t>2026-04-26</t>
  </si>
  <si>
    <t>15cm*10.5cm*5.8cm-168</t>
  </si>
  <si>
    <t>3C-Monitor Desktop Stand T001</t>
  </si>
  <si>
    <t>420cm*390cm*281cm-2110</t>
  </si>
  <si>
    <t>3C-21 inch beginners side spin Ukulele</t>
  </si>
  <si>
    <t>54cm*20.5cm*8cm-400</t>
  </si>
  <si>
    <t>3C-38 inch beginner folk introduction practice guitar set</t>
  </si>
  <si>
    <t>100.5cm*48cm*13.5cm-1700</t>
  </si>
  <si>
    <t>3C-38 inch handmade advanced folk guitar</t>
  </si>
  <si>
    <t>100.5cm*48cm*13.5cm-1800</t>
  </si>
  <si>
    <t>3B-Integrated Photovoltaic Panel Lamination at 2 times 10W</t>
  </si>
  <si>
    <t>27.2cm*21cm*3.5cm-252</t>
  </si>
  <si>
    <t>3B-Integrated Photovoltaic Panel Lamination at 3 times 30W</t>
  </si>
  <si>
    <t>63cm*32cm*3.5cm-781</t>
  </si>
  <si>
    <t>3B-Sewing of Photovoltaic Panels at 3 times 21W</t>
  </si>
  <si>
    <t>68cm*29cm*3.5cm-600</t>
  </si>
  <si>
    <t>3B-Integrated Photovoltaic Panel Lamination at 8 times 25W</t>
  </si>
  <si>
    <t>50.5cm*33cm*2cm-510</t>
  </si>
  <si>
    <t>3B-Solar Single Side Photovoltaic Panel 12W</t>
  </si>
  <si>
    <t>32cm*20cm*3.5cm-120</t>
  </si>
  <si>
    <t>3B-Lightweight Sewing of Photovoltaic Panels at 2 times 100W</t>
  </si>
  <si>
    <t>100.8cm*61.2cm*3.5cm-3150</t>
  </si>
  <si>
    <t>3C-Wired Multifunctional Game Transparent Controller STK2039XRG</t>
  </si>
  <si>
    <t>15.5cm*11cm*6cm-240</t>
  </si>
  <si>
    <t>3C-Singl arm Monitor Bracket Basic MS007</t>
  </si>
  <si>
    <t>52cm*45cm*11cm-1975</t>
  </si>
  <si>
    <t>3C-72 inch 16 to 9 outdoor portable double bracket screen</t>
  </si>
  <si>
    <t>185cm*65cm*105cm-3300</t>
  </si>
  <si>
    <t>3C-60 inch 169 portable simple wall mounted screen</t>
  </si>
  <si>
    <t>124cm*5cm*70cm-3200</t>
  </si>
  <si>
    <t>3C-72 inch 16:9 portable simple wall mounted screen</t>
  </si>
  <si>
    <t>159cm*5cm*90cm-3800</t>
  </si>
  <si>
    <t>3C-60 inch 16 to 9 hand pulled self locking screen</t>
  </si>
  <si>
    <t>133cm*6.3cm*75cm-5030</t>
  </si>
  <si>
    <t>3C-70 inches 16:9 hand pull self locking screen</t>
  </si>
  <si>
    <t>155cm*6.3cm*87cm-5230</t>
  </si>
  <si>
    <t>3C-39 inch ST electric guitar</t>
  </si>
  <si>
    <t>98.5cm*32cm*4.5cm-2700</t>
  </si>
  <si>
    <t>3C-Guitar Changer Clip</t>
  </si>
  <si>
    <t>8.6cm*7.8cm*1cm-37</t>
  </si>
  <si>
    <t>3C-Guitar Booster</t>
  </si>
  <si>
    <t>9cm*8cm*4cm-76</t>
  </si>
  <si>
    <t>3C-Guitar Standing Stand</t>
  </si>
  <si>
    <t>10.2cm*2.93cm*4.0cm-91</t>
  </si>
  <si>
    <t>3B-LCD panel black safe password 45S2 model</t>
  </si>
  <si>
    <t>45cm*38cm*31cm-14000</t>
  </si>
  <si>
    <t>3B-LCD panel black safe inner cabinet fingerprint 45FS model</t>
  </si>
  <si>
    <t>3B-LCD panel black safe fingerprint 45FS2 model</t>
  </si>
  <si>
    <t>3B-Merit cabin coffee gold safe password 45S2 model</t>
  </si>
  <si>
    <t>3B-Merit cabin coffee gold safe inner cabinet fingerprint 45FS model</t>
  </si>
  <si>
    <t>3B-XT champagne gold safe inner cabinet password 45S model</t>
  </si>
  <si>
    <t>3B-XT champagne gold safe inner cabinet fingerprint 45FS model</t>
  </si>
  <si>
    <t>3B-New A6 black safe password 25H9 model</t>
  </si>
  <si>
    <t>25cm*35cm*25cm-8000</t>
  </si>
  <si>
    <t>3B-New A6 black safe fingerprint 25FH9 model</t>
  </si>
  <si>
    <t>3C-Single arm Monitor Stand Light Effect Silver White MS001</t>
  </si>
  <si>
    <t>72cm*34cm*12cm-2755</t>
  </si>
  <si>
    <t>3C-Single arm monitor bracket basic light effect white MS011D</t>
  </si>
  <si>
    <t>11cm*48cm*61cm-2370</t>
  </si>
  <si>
    <t>3C-Arm Monitor Stand Silver MS012</t>
  </si>
  <si>
    <t>18cm*48cm*51cm-4615</t>
  </si>
  <si>
    <t>3C-60 inch 16 to 9 portable wall bracket screen</t>
  </si>
  <si>
    <t>133cm*100cm*75cm-6250</t>
  </si>
  <si>
    <t>3C-72 inch 16 to 9 portable wall bracket screen</t>
  </si>
  <si>
    <t>159cm*100cm*90cm-6860</t>
  </si>
  <si>
    <t>3C-Marschel style retro speaker</t>
  </si>
  <si>
    <t>27cm*14.9cm*19cm-2128</t>
  </si>
  <si>
    <t>3C-PS4 wireless game controller STK4006L</t>
  </si>
  <si>
    <t>16.5cm*11cm*6.3cm-204</t>
  </si>
  <si>
    <t>3C-Color Electronic 7 Pad Drum</t>
  </si>
  <si>
    <t>43cm*32cm*3cm-980</t>
  </si>
  <si>
    <t>3C-10W guitar electric speaker</t>
  </si>
  <si>
    <t>25.5cm*8.5cm*27cm-2250</t>
  </si>
  <si>
    <t>3B-Black Cabinet with Password Lock F640</t>
  </si>
  <si>
    <t>2026-05-14</t>
  </si>
  <si>
    <t>40cm*36cm*30cm-10450</t>
  </si>
  <si>
    <t>3B-Inner Cabinet with Password Lock F645 Gold</t>
  </si>
  <si>
    <t>3B-WIFI Circuit Breaker with Doodle Single Relay ZWF63T2P</t>
  </si>
  <si>
    <t>8.4cm*6.8cm*3.6cm-150</t>
  </si>
  <si>
    <t>3B-WIFI Circuit Breaker with Doodle Dual Relays ZWF63AVP2P</t>
  </si>
  <si>
    <t>8.4cm*6.8cm*3.6cm-160</t>
  </si>
  <si>
    <t>3C-Bluetooth voice set-top box</t>
  </si>
  <si>
    <t>9.5cm*9.5cm*1cm-310</t>
  </si>
  <si>
    <t>3C-High Brightness Direct Projector Auto Focus with Light Strip Model N21 Off white</t>
  </si>
  <si>
    <t>20.7cm*21cm*6.8cm-953</t>
  </si>
  <si>
    <t>3C-High Brightness Manual Focus Projector Model V8 White</t>
  </si>
  <si>
    <t>18.5cm*6cm*15.1cm-650</t>
  </si>
  <si>
    <t>3C-X81 overseas intelligent version of the projector</t>
  </si>
  <si>
    <t>16cm*17cm*20cm-827</t>
  </si>
  <si>
    <t>0/0/42</t>
  </si>
  <si>
    <t>68cm*6.5cm*6.5cm-500</t>
  </si>
  <si>
    <t>T3CC1980685</t>
  </si>
  <si>
    <t>90cm*60cm*2cm-1600</t>
  </si>
  <si>
    <t>3B-Handheld 2D Wired Image Scanning Gun</t>
  </si>
  <si>
    <t>2026-04-08</t>
  </si>
  <si>
    <t>3B-Handheld 2D Wireless Image Scanning Gun</t>
  </si>
  <si>
    <t>0/0/2</t>
  </si>
  <si>
    <t>3B-Handheld 2D Wireless Bluetooth Image Scanner</t>
  </si>
  <si>
    <t>43cm*26cm*0.3cm-942</t>
  </si>
  <si>
    <t>T3CC1980222</t>
  </si>
  <si>
    <t>3B-Magnetic Whiteboard 70cm * 100cm</t>
  </si>
  <si>
    <t>2026-01-13</t>
  </si>
  <si>
    <t>100cm*70cm*2.1cm-2000</t>
  </si>
  <si>
    <t>3C-Black Guitar</t>
  </si>
  <si>
    <t>0/7/13</t>
  </si>
  <si>
    <t>96.5cm*42cm*10.5cm-1050</t>
  </si>
  <si>
    <t>3B-The safe is black and small</t>
  </si>
  <si>
    <t>23cm*17cm*17cm-2000</t>
  </si>
  <si>
    <t>3C-Acoustic Color Folk Guitar Set</t>
  </si>
  <si>
    <t>2/42/88</t>
  </si>
  <si>
    <t>27/214/372</t>
  </si>
  <si>
    <t>23cm*17cm*17cm-2300</t>
  </si>
  <si>
    <t>3C-Computer Combination Small Sound System</t>
  </si>
  <si>
    <t>12.6cm*8cm*6.8cm-170</t>
  </si>
  <si>
    <t>3B-coin operated safe 23*17*17cm</t>
  </si>
  <si>
    <t>2/6/9</t>
  </si>
  <si>
    <t>32cm*25cm*1.5cm-550</t>
  </si>
  <si>
    <t>1/23/78</t>
  </si>
  <si>
    <t>22.4cm*18cm*15.2cm-1800</t>
  </si>
  <si>
    <t>M4CC2250508</t>
  </si>
  <si>
    <t>3B-太阳能应急储能电源</t>
  </si>
  <si>
    <t>3B-Solar Emergency Energy Storage</t>
  </si>
  <si>
    <t>22.5cm*22.2cm*15cm-1500</t>
  </si>
  <si>
    <t>M4CC2260693</t>
  </si>
  <si>
    <t>3B-JY006便携式储能电源2KG</t>
  </si>
  <si>
    <t>3B-JY006 Portable energy storage power supply 2kg</t>
  </si>
  <si>
    <t>2025-12-05</t>
  </si>
  <si>
    <t>28cm*7cm*18cm-2500</t>
  </si>
  <si>
    <t>2026-03-27</t>
  </si>
  <si>
    <t>2025-12-12</t>
  </si>
  <si>
    <t>123cm*11cm*7.5cm-2500</t>
  </si>
  <si>
    <t>T4CC2270701</t>
  </si>
  <si>
    <t>2025-11-22</t>
  </si>
  <si>
    <t>2025-11-19</t>
  </si>
  <si>
    <t>2025-12-26</t>
  </si>
  <si>
    <t>2025-12-22</t>
  </si>
  <si>
    <t>40cm*24.8cm*3cm-660</t>
  </si>
  <si>
    <t>46.5cm*30.5cm*11cm-3880</t>
  </si>
  <si>
    <t>T4CC2280712</t>
  </si>
  <si>
    <t>2026-02-17</t>
  </si>
  <si>
    <t>M4CC2280711</t>
  </si>
  <si>
    <t>2025-12-03</t>
  </si>
  <si>
    <t>3B-Mini label printer white</t>
  </si>
  <si>
    <t>3/109/128</t>
  </si>
  <si>
    <t>9.2cm*7.4cm*3.8cm-128</t>
  </si>
  <si>
    <t>4/20/91</t>
  </si>
  <si>
    <t>44cm*19.5cm*6.6cm-2000</t>
  </si>
  <si>
    <t>2026-01-15</t>
  </si>
  <si>
    <t>40cm*25cm*4.6cm-885</t>
  </si>
  <si>
    <t>44.5cm*14cm*11.2cm-2650</t>
  </si>
  <si>
    <t>3B-Glass Door Frame Fingerprint Combination Lock A16</t>
  </si>
  <si>
    <t>6/23/34</t>
  </si>
  <si>
    <t>21.5cm*17.5cm*10.5cm-1100</t>
  </si>
  <si>
    <t>T4CC2300659</t>
  </si>
  <si>
    <t>3C-声霸蓝牙音箱40cm</t>
  </si>
  <si>
    <t>3C-Soundmaster Bluetooth speaker 40cm</t>
  </si>
  <si>
    <t>38.8cm*6.4cm*6.4cm-600</t>
  </si>
  <si>
    <t>3B-Road Wide Angle Mirror 45cm</t>
  </si>
  <si>
    <t>0/8/21</t>
  </si>
  <si>
    <t>45cm*45cm*9cm-1200</t>
  </si>
  <si>
    <t>3B-Road Wide Angle Mirror 80cm</t>
  </si>
  <si>
    <t>80cm*80cm*11cm-3500</t>
  </si>
  <si>
    <t>3B-Road Wide Angle Mirror 100cm</t>
  </si>
  <si>
    <t>100cm*100cm*12cm-6000</t>
  </si>
  <si>
    <t>3B-Slope Pad 50*22*5cm</t>
  </si>
  <si>
    <t>0/0/27</t>
  </si>
  <si>
    <t>50cm*22cm*5cm-850</t>
  </si>
  <si>
    <t>3B-Road Warning Folding Cones 70cm</t>
  </si>
  <si>
    <t>75cm*30.5cm*30.5cm-700</t>
  </si>
  <si>
    <t>3B-Rubber Magnetic Whiteboard Adhesive Backing 45cm*100cm</t>
  </si>
  <si>
    <t>34/207/298</t>
  </si>
  <si>
    <t>100cm*45cm*0.05cm-850</t>
  </si>
  <si>
    <t>3B-Double-sided Doodle Boards 30cm*21cm</t>
  </si>
  <si>
    <t>1/9/93</t>
  </si>
  <si>
    <t>30cm*21cm*0.3cm-150</t>
  </si>
  <si>
    <t>3B-Double Sided Doodle Board 45cm*30cm</t>
  </si>
  <si>
    <t>45cm*30cm*0.3cm-300</t>
  </si>
  <si>
    <t>0/29/74</t>
  </si>
  <si>
    <t>3B-Magnetic whiteboard 90cm*120cm</t>
  </si>
  <si>
    <t>2026-02-09</t>
  </si>
  <si>
    <t>120cm*90cm*4cm-3000</t>
  </si>
  <si>
    <t>3B-Magnetic white 90cm*150cm</t>
  </si>
  <si>
    <t>150cm*90cm*4cm-4500</t>
  </si>
  <si>
    <t>6/18/30</t>
  </si>
  <si>
    <t>35cm*23.5cm*1.5cm-675</t>
  </si>
  <si>
    <t>3B-Switch cabinet53cm*40cm*30cm</t>
  </si>
  <si>
    <t>6/51/52</t>
  </si>
  <si>
    <t>53cm*40cm*30cm-7100</t>
  </si>
  <si>
    <t>3B-Whiteboard Drawing Board 60*90</t>
  </si>
  <si>
    <t>0/19/108</t>
  </si>
  <si>
    <t>60cm*90cm*2cm-4000</t>
  </si>
  <si>
    <t>3C-Ear RGB Optoelectronic Wireless Three-mode Headphones K91W</t>
  </si>
  <si>
    <t>2/58/101</t>
  </si>
  <si>
    <t>18.3cm*7.95cm*19.6cm-222</t>
  </si>
  <si>
    <t>3C-Monitor Desktop Stand 2 screens</t>
  </si>
  <si>
    <t>3/26/34</t>
  </si>
  <si>
    <t>94.6cm*40cm*28cm-3580</t>
  </si>
  <si>
    <t>3C-RGB gas spring single arm bracket</t>
  </si>
  <si>
    <t>1/7/10</t>
  </si>
  <si>
    <t>54.5cm*53.5cm*11.5cm-2600</t>
  </si>
  <si>
    <t>MYQTD9999</t>
  </si>
  <si>
    <t>马来易企通-D仓售后件</t>
  </si>
  <si>
    <t>3/7/9</t>
  </si>
  <si>
    <t>MYQTD8888</t>
  </si>
  <si>
    <t>马来易企通-D仓占位符</t>
  </si>
  <si>
    <t>3B-JY004 Portable Energy Storage Power Supply 5kg</t>
  </si>
  <si>
    <t>0/3/6</t>
  </si>
  <si>
    <t>28cm*18.5cm*16cm-5000</t>
  </si>
  <si>
    <t>3B-JY004 Portable Energy Storage Power Supply 8kg</t>
  </si>
  <si>
    <t>0/3/5</t>
  </si>
  <si>
    <t>33.7cm*23.5cm*19.3cm-8000</t>
  </si>
  <si>
    <t>T3CC1500687</t>
  </si>
  <si>
    <t>3C-折叠琴谱支架</t>
  </si>
  <si>
    <t>3C-folding sheet music bracket</t>
  </si>
  <si>
    <t>2025-12-21</t>
  </si>
  <si>
    <t>2025-12-20</t>
  </si>
  <si>
    <t>52cm*8cm*6cm-650</t>
  </si>
  <si>
    <t>35cm*25cm*25cm-6000</t>
  </si>
  <si>
    <t>3C-vertical monitor stand without tray</t>
  </si>
  <si>
    <t>2026-03-13</t>
  </si>
  <si>
    <t>2026-02-20</t>
  </si>
  <si>
    <t>154.5cm*40.3cm*35.2cm-4800</t>
  </si>
  <si>
    <t>T3CC1270258</t>
  </si>
  <si>
    <t>3C-立式显示器支架带托盘</t>
  </si>
  <si>
    <t>3C-Vertical Display Stand with Tray</t>
  </si>
  <si>
    <t>2026-01-02</t>
  </si>
  <si>
    <t>154.5cm*40.3cm*35.2cm-5600</t>
  </si>
  <si>
    <t>T3CC1950368</t>
  </si>
  <si>
    <t>3B-Q16S1型摄像头</t>
  </si>
  <si>
    <t>3B-Q 16 S Type 1 camera</t>
  </si>
  <si>
    <t>2026-03-16</t>
  </si>
  <si>
    <t>17cm*8cm*7.5cm-150</t>
  </si>
  <si>
    <t>T2CC1710521</t>
  </si>
  <si>
    <t>3C-立体数字时钟ZS717</t>
  </si>
  <si>
    <t>3C-Stereo digital clock ZS 717</t>
  </si>
  <si>
    <t>2025-12-25</t>
  </si>
  <si>
    <t>2025-12-18</t>
  </si>
  <si>
    <t>22.5cm*8cm*1.6cm-225</t>
  </si>
  <si>
    <t>3B-Magnetic Digital Display Fast Charging Power Bank 10000mAh</t>
  </si>
  <si>
    <t>0/1/50</t>
  </si>
  <si>
    <t>10.3cm*6.8cm*2cm-191</t>
  </si>
  <si>
    <t>T3CC1030077</t>
  </si>
  <si>
    <t>3B-磁吸快充充电宝5000mAh</t>
  </si>
  <si>
    <t>3B-Magnetic fast charging power bank 5000mAh</t>
  </si>
  <si>
    <t>2026-01-31</t>
  </si>
  <si>
    <t>2025-12-16</t>
  </si>
  <si>
    <t>9.7cm*6.4cm*1.5cm-117</t>
  </si>
  <si>
    <t>3C-Translucent Bluetooth RGB Backlit Mouse Black</t>
  </si>
  <si>
    <t>T3CC2150293</t>
  </si>
  <si>
    <t>3B-48位钥匙盒钥匙款</t>
  </si>
  <si>
    <t>3B-48pcs key box key</t>
  </si>
  <si>
    <t>2025-10-12</t>
  </si>
  <si>
    <t>T4CC2230422</t>
  </si>
  <si>
    <t>3C-点烟孔伸缩双线充电器</t>
  </si>
  <si>
    <t>3C-cigarette hole telescopic dual line charger</t>
  </si>
  <si>
    <t>17cm*8.2cm*4cm-177</t>
  </si>
  <si>
    <t>T4CC2110843</t>
  </si>
  <si>
    <t>3C-双风扇散热支架7档调节</t>
  </si>
  <si>
    <t>3C-dual fan cooling bracket 7-speed adjustment</t>
  </si>
  <si>
    <t>35.7cm*26.2cm*3.0cm-650</t>
  </si>
  <si>
    <t>3C-dual fan RGB heat dissipation bracket 7-speed adjustment</t>
  </si>
  <si>
    <t>2026-01-16</t>
  </si>
  <si>
    <t>40cm*29cm*6cm-839</t>
  </si>
  <si>
    <t>3C-6 fan RGB heat dissipation bracket 7-speed adjustment with mobile phone bracket</t>
  </si>
  <si>
    <t>2025-12-24</t>
  </si>
  <si>
    <t>36.5cm*25.5cm*3cm-744</t>
  </si>
  <si>
    <t>3C-15.6 inch 60Hz face 1K portable touch display black</t>
  </si>
  <si>
    <t>35.5cm*22.2cm*1.3cm-929</t>
  </si>
  <si>
    <t>3C-H type 14 to 55 inch TV wall frame</t>
  </si>
  <si>
    <t>57cm*40cm*24cm-4200</t>
  </si>
  <si>
    <t>3B-fingerprint password swipe mobile phone App American standard lock</t>
  </si>
  <si>
    <t>17.2cm*7.3cm*4cm-836</t>
  </si>
  <si>
    <t>M4CC1910716</t>
  </si>
  <si>
    <t>3C-电子相框单机IPS7</t>
  </si>
  <si>
    <t>3C-Electronic Photo Frame Standalone IPS7</t>
  </si>
  <si>
    <t>2025-10-29</t>
  </si>
  <si>
    <t>30.8cm*20.5cm*5.6cm-550</t>
  </si>
  <si>
    <t>3B-Switch Vertical Cabinet 18U</t>
  </si>
  <si>
    <t>100cm*60cm*60cm-41500</t>
  </si>
  <si>
    <t>3B-Black imitation Book, Silver, money box, Key style</t>
  </si>
  <si>
    <t>3B-Yellow simulation book, silver, money box, key style</t>
  </si>
  <si>
    <t>3B-Shredder head without Barrel WS0106</t>
  </si>
  <si>
    <t>34.5cm*14cm*7.5cm-1170</t>
  </si>
  <si>
    <t>3B-Merit Vault Safe, 45*38*32cm, Red fingerprint model</t>
  </si>
  <si>
    <t>30/75/81</t>
  </si>
  <si>
    <t>3B-A4 heavy duty paper cutter STC440</t>
  </si>
  <si>
    <t>2026-03-28</t>
  </si>
  <si>
    <t>52cm*38cm*24cm-11000</t>
  </si>
  <si>
    <t>3B-A3 heavy duty paper cutter STC430</t>
  </si>
  <si>
    <t>63.5cm*50.5cm*26cm-15500</t>
  </si>
  <si>
    <t>TKZP001</t>
  </si>
  <si>
    <t>ZP-直播赠品单</t>
  </si>
  <si>
    <t>3B-Cash Box with Key in Black 200A</t>
  </si>
  <si>
    <t>0/0/23</t>
  </si>
  <si>
    <t>3B-Cash Box with Key in Pink 150A</t>
  </si>
  <si>
    <t>0/25/92</t>
  </si>
  <si>
    <t>3B-Cash Box with Key in Pink 200A</t>
  </si>
  <si>
    <t>16/90/136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</si>
</sst>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
    <numFmt numFmtId="178" formatCode="yyyy/m/d;@"/>
    <numFmt numFmtId="179" formatCode="0.0"/>
    <numFmt numFmtId="180" formatCode="yyyy&quot;年&quot;m&quot;月&quot;d&quot;日&quot;;@"/>
    <numFmt numFmtId="181" formatCode="[$-409]yyyy/m/d\ h:mm\ AM/PM;@"/>
  </numFmts>
  <fonts count="38">
    <font>
      <sz val="11"/>
      <color indexed="8"/>
      <name val="宋体"/>
      <charset val="134"/>
      <scheme val="minor"/>
    </font>
    <font>
      <sz val="8"/>
      <color indexed="8"/>
      <name val="等线 Light"/>
      <charset val="134"/>
    </font>
    <font>
      <sz val="8"/>
      <color rgb="FF000000"/>
      <name val="等线 Light"/>
      <charset val="134"/>
    </font>
    <font>
      <b/>
      <sz val="8"/>
      <name val="等线 Light"/>
      <charset val="134"/>
    </font>
    <font>
      <sz val="8"/>
      <name val="等线 Light"/>
      <charset val="134"/>
    </font>
    <font>
      <sz val="9"/>
      <color indexed="8"/>
      <name val="方正姚体"/>
      <charset val="134"/>
    </font>
    <font>
      <sz val="8"/>
      <color theme="1"/>
      <name val="等线 Light"/>
      <charset val="134"/>
    </font>
    <font>
      <sz val="11"/>
      <color rgb="FF000000"/>
      <name val="等线 Light"/>
      <charset val="134"/>
    </font>
    <font>
      <sz val="9"/>
      <color theme="0"/>
      <name val="汉仪颜楷简"/>
      <charset val="134"/>
    </font>
    <font>
      <sz val="9"/>
      <color rgb="FFFFFFFF"/>
      <name val="汉仪颜楷简"/>
      <charset val="134"/>
    </font>
    <font>
      <sz val="9"/>
      <name val="汉仪颜楷简"/>
      <charset val="134"/>
    </font>
    <font>
      <sz val="9"/>
      <color indexed="8"/>
      <name val="汉仪颜楷简"/>
      <charset val="134"/>
    </font>
    <font>
      <sz val="8"/>
      <color rgb="FFFF0000"/>
      <name val="等线 Light"/>
      <charset val="134"/>
    </font>
    <font>
      <sz val="9"/>
      <color rgb="FF333333"/>
      <name val="Arial"/>
      <charset val="134"/>
    </font>
    <font>
      <sz val="10"/>
      <color theme="0"/>
      <name val="方正姚体"/>
      <charset val="134"/>
    </font>
    <font>
      <sz val="8"/>
      <color theme="1"/>
      <name val="方正姚体"/>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Times New Roman"/>
      <charset val="134"/>
    </font>
  </fonts>
  <fills count="45">
    <fill>
      <patternFill patternType="none"/>
    </fill>
    <fill>
      <patternFill patternType="gray125"/>
    </fill>
    <fill>
      <patternFill patternType="solid">
        <fgColor indexed="44"/>
        <bgColor indexed="64"/>
      </patternFill>
    </fill>
    <fill>
      <patternFill patternType="solid">
        <fgColor rgb="FFFFFFFF"/>
        <bgColor indexed="64"/>
      </patternFill>
    </fill>
    <fill>
      <patternFill patternType="solid">
        <fgColor theme="1"/>
        <bgColor indexed="64"/>
      </patternFill>
    </fill>
    <fill>
      <patternFill patternType="solid">
        <fgColor rgb="FF7F7F7F"/>
        <bgColor indexed="64"/>
      </patternFill>
    </fill>
    <fill>
      <patternFill patternType="solid">
        <fgColor rgb="FF4472C4"/>
        <bgColor indexed="64"/>
      </patternFill>
    </fill>
    <fill>
      <patternFill patternType="solid">
        <fgColor rgb="FFFFD966"/>
        <bgColor indexed="64"/>
      </patternFill>
    </fill>
    <fill>
      <patternFill patternType="solid">
        <fgColor rgb="FFC55A11"/>
        <bgColor indexed="64"/>
      </patternFill>
    </fill>
    <fill>
      <patternFill patternType="solid">
        <fgColor rgb="FFFFFF00"/>
        <bgColor indexed="64"/>
      </patternFill>
    </fill>
    <fill>
      <patternFill patternType="solid">
        <fgColor rgb="FF5B9BD5"/>
        <bgColor indexed="64"/>
      </patternFill>
    </fill>
    <fill>
      <patternFill patternType="solid">
        <fgColor rgb="FFFFC000"/>
        <bgColor indexed="64"/>
      </patternFill>
    </fill>
    <fill>
      <patternFill patternType="solid">
        <fgColor rgb="FF70AD47"/>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hair">
        <color theme="1" tint="0.35"/>
      </left>
      <right style="hair">
        <color theme="1" tint="0.35"/>
      </right>
      <top style="hair">
        <color theme="1" tint="0.35"/>
      </top>
      <bottom style="hair">
        <color theme="1" tint="0.35"/>
      </bottom>
      <diagonal/>
    </border>
    <border>
      <left style="hair">
        <color theme="0" tint="-0.5"/>
      </left>
      <right style="hair">
        <color theme="0" tint="-0.5"/>
      </right>
      <top style="hair">
        <color theme="0" tint="-0.5"/>
      </top>
      <bottom style="hair">
        <color theme="0"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14" borderId="3"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4" applyNumberFormat="0" applyFill="0" applyAlignment="0" applyProtection="0">
      <alignment vertical="center"/>
    </xf>
    <xf numFmtId="0" fontId="24" fillId="0" borderId="4" applyNumberFormat="0" applyFill="0" applyAlignment="0" applyProtection="0">
      <alignment vertical="center"/>
    </xf>
    <xf numFmtId="0" fontId="25" fillId="0" borderId="5" applyNumberFormat="0" applyFill="0" applyAlignment="0" applyProtection="0">
      <alignment vertical="center"/>
    </xf>
    <xf numFmtId="0" fontId="25" fillId="0" borderId="0" applyNumberFormat="0" applyFill="0" applyBorder="0" applyAlignment="0" applyProtection="0">
      <alignment vertical="center"/>
    </xf>
    <xf numFmtId="0" fontId="26" fillId="15" borderId="6" applyNumberFormat="0" applyAlignment="0" applyProtection="0">
      <alignment vertical="center"/>
    </xf>
    <xf numFmtId="0" fontId="27" fillId="16" borderId="7" applyNumberFormat="0" applyAlignment="0" applyProtection="0">
      <alignment vertical="center"/>
    </xf>
    <xf numFmtId="0" fontId="28" fillId="16" borderId="6" applyNumberFormat="0" applyAlignment="0" applyProtection="0">
      <alignment vertical="center"/>
    </xf>
    <xf numFmtId="0" fontId="29" fillId="17" borderId="8" applyNumberFormat="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5" fillId="44" borderId="0" applyNumberFormat="0" applyBorder="0" applyAlignment="0" applyProtection="0">
      <alignment vertical="center"/>
    </xf>
  </cellStyleXfs>
  <cellXfs count="88">
    <xf numFmtId="0" fontId="0" fillId="0" borderId="0" xfId="0" applyFont="1">
      <alignment vertical="center"/>
    </xf>
    <xf numFmtId="0" fontId="1" fillId="0" borderId="0" xfId="0" applyFont="1" applyAlignment="1">
      <alignment horizontal="center" vertical="center"/>
    </xf>
    <xf numFmtId="0" fontId="2" fillId="0" borderId="0" xfId="0" applyFont="1" applyFill="1" applyAlignment="1">
      <alignment horizontal="center" vertical="center"/>
    </xf>
    <xf numFmtId="0" fontId="1" fillId="0" borderId="0" xfId="0" applyFont="1" applyBorder="1">
      <alignment vertical="center"/>
    </xf>
    <xf numFmtId="0" fontId="3" fillId="2" borderId="0" xfId="0" applyFont="1" applyFill="1" applyBorder="1" applyAlignment="1">
      <alignment horizontal="center" vertical="center"/>
    </xf>
    <xf numFmtId="0" fontId="4" fillId="0" borderId="0" xfId="0" applyFont="1" applyFill="1" applyBorder="1" applyAlignment="1">
      <alignment horizontal="center" vertical="center"/>
    </xf>
    <xf numFmtId="0" fontId="0" fillId="0" borderId="1" xfId="0" applyFont="1" applyBorder="1" applyAlignment="1">
      <alignment vertical="center"/>
    </xf>
    <xf numFmtId="0" fontId="5" fillId="0" borderId="1" xfId="0" applyFont="1" applyBorder="1" applyAlignment="1">
      <alignment vertical="center"/>
    </xf>
    <xf numFmtId="0" fontId="0" fillId="0" borderId="1" xfId="0" applyFont="1" applyBorder="1" applyAlignment="1">
      <alignment horizontal="center" vertical="center"/>
    </xf>
    <xf numFmtId="0" fontId="0" fillId="0" borderId="1" xfId="0" applyFont="1" applyBorder="1" applyAlignment="1">
      <alignment horizontal="left" vertical="center" wrapText="1"/>
    </xf>
    <xf numFmtId="0" fontId="0" fillId="0" borderId="1" xfId="0" applyFont="1" applyFill="1" applyBorder="1" applyAlignment="1">
      <alignment horizontal="left" vertical="center"/>
    </xf>
    <xf numFmtId="0" fontId="0" fillId="0" borderId="1" xfId="0" applyFont="1" applyBorder="1">
      <alignment vertical="center"/>
    </xf>
    <xf numFmtId="0" fontId="6"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lignment vertical="center"/>
    </xf>
    <xf numFmtId="0" fontId="1" fillId="0" borderId="1" xfId="0" applyFont="1" applyFill="1" applyBorder="1" applyAlignment="1">
      <alignment horizontal="center" vertical="center"/>
    </xf>
    <xf numFmtId="0" fontId="0" fillId="3" borderId="1" xfId="0" applyFont="1" applyFill="1" applyBorder="1">
      <alignment vertical="center"/>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xf>
    <xf numFmtId="176" fontId="4" fillId="0" borderId="1" xfId="3" applyNumberFormat="1" applyFont="1" applyBorder="1" applyAlignment="1">
      <alignment horizontal="center" vertical="center"/>
    </xf>
    <xf numFmtId="0" fontId="0" fillId="0" borderId="1" xfId="0" applyFont="1" applyFill="1" applyBorder="1" applyAlignment="1">
      <alignment vertical="center"/>
    </xf>
    <xf numFmtId="0" fontId="2" fillId="3" borderId="1" xfId="0" applyFont="1" applyFill="1" applyBorder="1" applyAlignment="1">
      <alignment vertical="center" wrapText="1"/>
    </xf>
    <xf numFmtId="0" fontId="2" fillId="0" borderId="1" xfId="0" applyFont="1" applyFill="1" applyBorder="1" applyAlignment="1">
      <alignment vertical="center" wrapText="1"/>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wrapText="1"/>
    </xf>
    <xf numFmtId="10" fontId="8" fillId="7" borderId="1" xfId="3" applyNumberFormat="1" applyFont="1" applyFill="1" applyBorder="1" applyAlignment="1">
      <alignment horizontal="center" vertical="center"/>
    </xf>
    <xf numFmtId="177" fontId="8" fillId="7" borderId="1" xfId="3" applyNumberFormat="1" applyFont="1" applyFill="1" applyBorder="1" applyAlignment="1" applyProtection="1">
      <alignment horizontal="center" vertical="center"/>
    </xf>
    <xf numFmtId="9" fontId="8" fillId="7" borderId="1" xfId="3" applyFont="1" applyFill="1" applyBorder="1" applyAlignment="1" applyProtection="1">
      <alignment horizontal="center" vertical="center"/>
    </xf>
    <xf numFmtId="9" fontId="9" fillId="7" borderId="1" xfId="3" applyFont="1" applyFill="1" applyBorder="1" applyAlignment="1" applyProtection="1">
      <alignment horizontal="center" vertical="center" wrapText="1"/>
    </xf>
    <xf numFmtId="177" fontId="9" fillId="8" borderId="1" xfId="3" applyNumberFormat="1" applyFont="1" applyFill="1" applyBorder="1" applyAlignment="1">
      <alignment horizontal="center" vertical="center"/>
    </xf>
    <xf numFmtId="0" fontId="10" fillId="0" borderId="1" xfId="0" applyFont="1" applyFill="1" applyBorder="1" applyAlignment="1">
      <alignment horizontal="center" vertical="center"/>
    </xf>
    <xf numFmtId="0" fontId="11"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0" fontId="12" fillId="0" borderId="1" xfId="0" applyFont="1" applyFill="1" applyBorder="1" applyAlignment="1">
      <alignment horizontal="center" vertical="center"/>
    </xf>
    <xf numFmtId="9" fontId="1" fillId="0" borderId="1" xfId="0" applyNumberFormat="1" applyFont="1" applyFill="1" applyBorder="1" applyAlignment="1" applyProtection="1">
      <alignment horizontal="center" vertical="center"/>
    </xf>
    <xf numFmtId="177" fontId="4" fillId="0" borderId="1" xfId="3" applyNumberFormat="1" applyFont="1" applyBorder="1" applyAlignment="1">
      <alignment horizontal="center" vertical="center"/>
    </xf>
    <xf numFmtId="10" fontId="1" fillId="0" borderId="1" xfId="3" applyNumberFormat="1" applyFont="1" applyFill="1" applyBorder="1" applyAlignment="1" applyProtection="1">
      <alignment horizontal="center" vertical="center"/>
    </xf>
    <xf numFmtId="177" fontId="1" fillId="0" borderId="1" xfId="3" applyNumberFormat="1" applyFont="1" applyBorder="1" applyAlignment="1">
      <alignment horizontal="center" vertical="center"/>
    </xf>
    <xf numFmtId="0" fontId="1" fillId="0" borderId="1" xfId="0" applyFont="1" applyBorder="1" applyAlignment="1">
      <alignment horizontal="center" vertical="center"/>
    </xf>
    <xf numFmtId="9" fontId="2" fillId="3"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9" fontId="1" fillId="0" borderId="1" xfId="0" applyNumberFormat="1" applyFont="1" applyBorder="1" applyAlignment="1">
      <alignment horizontal="center" vertical="center"/>
    </xf>
    <xf numFmtId="10" fontId="4" fillId="0" borderId="1" xfId="3" applyNumberFormat="1" applyFont="1" applyFill="1" applyBorder="1" applyAlignment="1" applyProtection="1">
      <alignment horizontal="center" vertical="center"/>
    </xf>
    <xf numFmtId="177" fontId="4" fillId="0" borderId="1" xfId="3" applyNumberFormat="1" applyFont="1" applyFill="1" applyBorder="1" applyAlignment="1" applyProtection="1">
      <alignment horizontal="center" vertical="center"/>
    </xf>
    <xf numFmtId="177" fontId="4" fillId="0" borderId="1" xfId="3" applyNumberFormat="1" applyFont="1" applyBorder="1" applyAlignment="1" applyProtection="1">
      <alignment horizontal="center" vertical="center"/>
    </xf>
    <xf numFmtId="9" fontId="2" fillId="0"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9" fontId="4" fillId="3" borderId="1" xfId="0" applyNumberFormat="1" applyFont="1" applyFill="1" applyBorder="1" applyAlignment="1">
      <alignment horizontal="center" vertical="center"/>
    </xf>
    <xf numFmtId="9" fontId="1" fillId="0" borderId="1" xfId="0" applyNumberFormat="1" applyFont="1" applyFill="1" applyBorder="1" applyAlignment="1">
      <alignment horizontal="center" vertical="center"/>
    </xf>
    <xf numFmtId="177" fontId="12" fillId="0" borderId="1" xfId="3" applyNumberFormat="1" applyFont="1" applyBorder="1" applyAlignment="1">
      <alignment horizontal="center" vertical="center"/>
    </xf>
    <xf numFmtId="0" fontId="2" fillId="0" borderId="1" xfId="0" applyFont="1" applyFill="1" applyBorder="1" applyAlignment="1">
      <alignment horizontal="left" vertical="center" wrapText="1"/>
    </xf>
    <xf numFmtId="9" fontId="1" fillId="0" borderId="1" xfId="3" applyNumberFormat="1" applyFont="1" applyFill="1" applyBorder="1" applyAlignment="1" applyProtection="1">
      <alignment horizontal="center" vertical="center"/>
    </xf>
    <xf numFmtId="177" fontId="1" fillId="0" borderId="1" xfId="3" applyNumberFormat="1" applyFont="1" applyBorder="1" applyAlignment="1" applyProtection="1">
      <alignment horizontal="center" vertical="center"/>
    </xf>
    <xf numFmtId="0" fontId="4" fillId="9" borderId="1" xfId="0" applyFont="1" applyFill="1" applyBorder="1" applyAlignment="1">
      <alignment horizontal="left" vertical="center" wrapText="1"/>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0" borderId="0" xfId="0" applyFont="1" applyAlignment="1">
      <alignment horizontal="center" vertical="center"/>
    </xf>
    <xf numFmtId="14" fontId="1" fillId="0" borderId="0" xfId="0" applyNumberFormat="1" applyFont="1" applyAlignment="1">
      <alignment horizontal="center" vertical="center"/>
    </xf>
    <xf numFmtId="9" fontId="1" fillId="0" borderId="0" xfId="0" applyNumberFormat="1" applyFont="1" applyAlignment="1">
      <alignment horizontal="center" vertical="center"/>
    </xf>
    <xf numFmtId="0" fontId="1" fillId="0" borderId="0" xfId="0" applyFont="1" applyFill="1" applyAlignment="1">
      <alignment horizontal="center" vertical="center"/>
    </xf>
    <xf numFmtId="9" fontId="2" fillId="0" borderId="0" xfId="0" applyNumberFormat="1" applyFont="1" applyFill="1" applyAlignment="1">
      <alignment horizontal="center" vertical="center"/>
    </xf>
    <xf numFmtId="58" fontId="2" fillId="0" borderId="0" xfId="0" applyNumberFormat="1" applyFont="1" applyFill="1" applyAlignment="1">
      <alignment horizontal="center" vertical="center"/>
    </xf>
    <xf numFmtId="0" fontId="13" fillId="0" borderId="0" xfId="0" applyFont="1">
      <alignment vertical="center"/>
    </xf>
    <xf numFmtId="0" fontId="0" fillId="0" borderId="2" xfId="0" applyFont="1" applyBorder="1">
      <alignment vertical="center"/>
    </xf>
    <xf numFmtId="0" fontId="14" fillId="4" borderId="2" xfId="0" applyFont="1" applyFill="1" applyBorder="1" applyAlignment="1">
      <alignment horizontal="center" vertical="center"/>
    </xf>
    <xf numFmtId="177" fontId="15" fillId="13" borderId="2" xfId="3" applyNumberFormat="1" applyFont="1" applyFill="1" applyBorder="1" applyAlignment="1">
      <alignment horizontal="center" vertical="center" wrapText="1"/>
    </xf>
    <xf numFmtId="180" fontId="4" fillId="0" borderId="2" xfId="0" applyNumberFormat="1" applyFont="1" applyFill="1" applyBorder="1" applyAlignment="1">
      <alignment horizontal="center" vertical="center"/>
    </xf>
    <xf numFmtId="180" fontId="4"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6"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 xfId="0" applyFont="1" applyBorder="1" applyAlignment="1">
      <alignment horizontal="center" vertical="center"/>
    </xf>
    <xf numFmtId="9" fontId="4" fillId="0" borderId="2" xfId="0" applyNumberFormat="1" applyFont="1" applyFill="1" applyBorder="1" applyAlignment="1">
      <alignment horizontal="center" vertical="center"/>
    </xf>
    <xf numFmtId="181" fontId="4" fillId="0" borderId="2" xfId="0" applyNumberFormat="1" applyFont="1" applyFill="1" applyBorder="1" applyAlignment="1">
      <alignment horizontal="center" vertical="center"/>
    </xf>
    <xf numFmtId="0" fontId="4" fillId="0" borderId="2" xfId="0" applyFont="1" applyFill="1" applyBorder="1" applyAlignment="1">
      <alignment horizontal="left" vertical="center"/>
    </xf>
    <xf numFmtId="0" fontId="16" fillId="0" borderId="2" xfId="0" applyFont="1" applyBorder="1">
      <alignment vertical="center"/>
    </xf>
    <xf numFmtId="0" fontId="2" fillId="0" borderId="0" xfId="0" applyFont="1" applyFill="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customXml" Target="../customXml/item5.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WPS%20Cloud%20Files\250457878\&#28459;&#28216;&#25991;&#26723;\&#25105;&#30340;&#30005;&#33041;-DESKTOP-EN3JCVU\2026-&#39532;&#26469;&#36229;&#2639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6月分配 "/>
      <sheetName val="5月分配 "/>
      <sheetName val="4月分配"/>
      <sheetName val="3月分配"/>
      <sheetName val="2月分配"/>
      <sheetName val="Sheet5"/>
      <sheetName val="月分配 "/>
    </sheetNames>
    <sheetDataSet>
      <sheetData sheetId="0">
        <row r="3">
          <cell r="B3" t="str">
            <v>商品名称</v>
          </cell>
        </row>
        <row r="3">
          <cell r="K3" t="str">
            <v>月预估超期金额</v>
          </cell>
        </row>
        <row r="4">
          <cell r="B4" t="str">
            <v>3B-便携式储能电源</v>
          </cell>
        </row>
        <row r="4">
          <cell r="K4">
            <v>232286</v>
          </cell>
        </row>
        <row r="5">
          <cell r="B5" t="str">
            <v>3B-保险箱黑50*35*30</v>
          </cell>
        </row>
        <row r="5">
          <cell r="K5">
            <v>171787</v>
          </cell>
        </row>
        <row r="6">
          <cell r="B6" t="str">
            <v>3B-X1指纹考勤机</v>
          </cell>
        </row>
        <row r="6">
          <cell r="K6">
            <v>156679</v>
          </cell>
        </row>
        <row r="7">
          <cell r="B7" t="str">
            <v>3C-无弦吉他</v>
          </cell>
        </row>
        <row r="7">
          <cell r="K7">
            <v>107362</v>
          </cell>
        </row>
        <row r="8">
          <cell r="B8" t="str">
            <v>3B-路由器P6000白色</v>
          </cell>
        </row>
        <row r="8">
          <cell r="K8">
            <v>46767</v>
          </cell>
        </row>
        <row r="9">
          <cell r="B9" t="str">
            <v>3C-折叠带蓝牙带琴谱架电子琴61键</v>
          </cell>
        </row>
        <row r="9">
          <cell r="K9">
            <v>49772</v>
          </cell>
        </row>
        <row r="10">
          <cell r="B10" t="str">
            <v>3C-高亮自动对焦灯带投影仪Z300</v>
          </cell>
        </row>
        <row r="10">
          <cell r="K10">
            <v>40438</v>
          </cell>
        </row>
        <row r="11">
          <cell r="B11" t="str">
            <v>3B-XT保险箱45*38*32cm灰白色密码款</v>
          </cell>
        </row>
        <row r="11">
          <cell r="K11">
            <v>36560</v>
          </cell>
        </row>
        <row r="12">
          <cell r="B12" t="str">
            <v>3B-液晶面板保险柜45cm*38cm*30cm</v>
          </cell>
        </row>
        <row r="12">
          <cell r="K12">
            <v>44452</v>
          </cell>
        </row>
        <row r="13">
          <cell r="B13" t="str">
            <v>3B-XT保险箱45*38*32cm灰白色指纹款</v>
          </cell>
        </row>
        <row r="13">
          <cell r="K13">
            <v>28704</v>
          </cell>
        </row>
        <row r="14">
          <cell r="B14" t="str">
            <v>3B-300CWiFi路由器</v>
          </cell>
        </row>
        <row r="14">
          <cell r="K14">
            <v>25977</v>
          </cell>
        </row>
        <row r="15">
          <cell r="B15" t="str">
            <v>3C-电视移动推车支架TG11</v>
          </cell>
        </row>
        <row r="15">
          <cell r="K15">
            <v>24393</v>
          </cell>
        </row>
        <row r="16">
          <cell r="B16" t="str">
            <v>3B-保险柜100cm*51cm*45cm</v>
          </cell>
        </row>
        <row r="16">
          <cell r="K16">
            <v>21971</v>
          </cell>
        </row>
        <row r="17">
          <cell r="B17" t="str">
            <v>3C-辉光管</v>
          </cell>
        </row>
        <row r="17">
          <cell r="K17">
            <v>20630</v>
          </cell>
        </row>
        <row r="18">
          <cell r="B18" t="str">
            <v>3B-液晶面板保险柜密码A15款</v>
          </cell>
        </row>
        <row r="18">
          <cell r="K18">
            <v>29786</v>
          </cell>
        </row>
        <row r="19">
          <cell r="B19" t="str">
            <v>3C-32英寸到55英寸带中托可移动电视支架</v>
          </cell>
        </row>
        <row r="19">
          <cell r="K19">
            <v>38775</v>
          </cell>
        </row>
        <row r="20">
          <cell r="B20" t="str">
            <v>3B-可充电不锈钢球形锁K06</v>
          </cell>
        </row>
        <row r="20">
          <cell r="K20">
            <v>17701</v>
          </cell>
        </row>
        <row r="21">
          <cell r="B21" t="str">
            <v>3B-仿真书银钱盒钥匙款蓝色</v>
          </cell>
        </row>
        <row r="21">
          <cell r="K21">
            <v>22237</v>
          </cell>
        </row>
        <row r="22">
          <cell r="B22" t="str">
            <v>3B-启动电源N20</v>
          </cell>
        </row>
        <row r="22">
          <cell r="K22">
            <v>15858</v>
          </cell>
        </row>
        <row r="23">
          <cell r="B23" t="str">
            <v>3B-B1A五功能断桥铝锁带APP</v>
          </cell>
        </row>
        <row r="23">
          <cell r="K23">
            <v>15584</v>
          </cell>
        </row>
        <row r="24">
          <cell r="B24" t="str">
            <v>3B-橡胶磁白板背胶90cm*180cm</v>
          </cell>
        </row>
        <row r="24">
          <cell r="K24">
            <v>21362</v>
          </cell>
        </row>
        <row r="25">
          <cell r="B25" t="str">
            <v>3C-显示器桌面支架3屏</v>
          </cell>
        </row>
        <row r="25">
          <cell r="K25">
            <v>15268</v>
          </cell>
        </row>
        <row r="26">
          <cell r="B26" t="str">
            <v>3C-单柱旋转移动推车MY01</v>
          </cell>
        </row>
        <row r="26">
          <cell r="K26">
            <v>15034</v>
          </cell>
        </row>
        <row r="27">
          <cell r="B27" t="str">
            <v>3B-仿真书银钱盒密码款蓝色</v>
          </cell>
        </row>
        <row r="27">
          <cell r="K27">
            <v>19186</v>
          </cell>
        </row>
        <row r="28">
          <cell r="B28" t="str">
            <v>3B-广告架kt板斜面3.5kg</v>
          </cell>
        </row>
        <row r="28">
          <cell r="K28">
            <v>14653</v>
          </cell>
        </row>
        <row r="29">
          <cell r="B29" t="str">
            <v>3C-电子琴61健黑色</v>
          </cell>
        </row>
        <row r="29">
          <cell r="K29">
            <v>24546</v>
          </cell>
        </row>
        <row r="30">
          <cell r="B30" t="str">
            <v>3C-专业播客动圈麦克风</v>
          </cell>
        </row>
        <row r="30">
          <cell r="K30">
            <v>12515</v>
          </cell>
        </row>
        <row r="31">
          <cell r="B31" t="str">
            <v>3B-交换机机柜60cm</v>
          </cell>
        </row>
        <row r="31">
          <cell r="K31">
            <v>10946</v>
          </cell>
        </row>
        <row r="32">
          <cell r="B32" t="str">
            <v>3C-显示器桌面支架4屏</v>
          </cell>
        </row>
        <row r="32">
          <cell r="K32">
            <v>9777</v>
          </cell>
        </row>
        <row r="33">
          <cell r="B33" t="str">
            <v>3C-电脑机箱T8款风扇款白色</v>
          </cell>
        </row>
        <row r="33">
          <cell r="K33">
            <v>9248</v>
          </cell>
        </row>
        <row r="34">
          <cell r="B34" t="str">
            <v>3B-磁吸白板密度板夹层90cm*150cm</v>
          </cell>
        </row>
        <row r="34">
          <cell r="K34">
            <v>23542</v>
          </cell>
        </row>
        <row r="35">
          <cell r="B35" t="str">
            <v>3B-保险柜80cm*44cm*40cm</v>
          </cell>
        </row>
        <row r="35">
          <cell r="K35">
            <v>9012</v>
          </cell>
        </row>
        <row r="36">
          <cell r="B36" t="str">
            <v>3C-跟拍自动支撑自拍杆Q625</v>
          </cell>
        </row>
        <row r="36">
          <cell r="K36">
            <v>8850</v>
          </cell>
        </row>
        <row r="37">
          <cell r="B37" t="str">
            <v>3C-折叠带蓝牙带琴谱架电子琴88键</v>
          </cell>
        </row>
        <row r="37">
          <cell r="K37">
            <v>22198</v>
          </cell>
        </row>
        <row r="38">
          <cell r="B38" t="str">
            <v>3B-997型号外币点钞机</v>
          </cell>
        </row>
        <row r="38">
          <cell r="K38">
            <v>8101</v>
          </cell>
        </row>
        <row r="39">
          <cell r="B39" t="str">
            <v>3B-U9五功能玻璃门智能锁带TUYAAPP</v>
          </cell>
        </row>
        <row r="39">
          <cell r="K39">
            <v>7934</v>
          </cell>
        </row>
        <row r="40">
          <cell r="B40" t="str">
            <v>3B-306CWiFi路由器</v>
          </cell>
        </row>
        <row r="40">
          <cell r="K40">
            <v>7713</v>
          </cell>
        </row>
        <row r="41">
          <cell r="B41" t="str">
            <v>3C-RGB全透明动圈降噪桌面麦克风</v>
          </cell>
        </row>
        <row r="41">
          <cell r="K41">
            <v>7706</v>
          </cell>
        </row>
        <row r="42">
          <cell r="B42" t="str">
            <v>3B-碎纸机7L</v>
          </cell>
        </row>
        <row r="42">
          <cell r="K42">
            <v>15417</v>
          </cell>
        </row>
        <row r="43">
          <cell r="B43" t="str">
            <v>3B-R5A房间门锁单锁舌四功能不带APP</v>
          </cell>
        </row>
        <row r="43">
          <cell r="K43">
            <v>7465</v>
          </cell>
        </row>
        <row r="44">
          <cell r="B44" t="str">
            <v>3C-圆筒投影仪白色</v>
          </cell>
        </row>
        <row r="44">
          <cell r="K44">
            <v>7297</v>
          </cell>
        </row>
        <row r="45">
          <cell r="B45" t="str">
            <v>3C-头戴式无线三模耳机K90W</v>
          </cell>
        </row>
        <row r="45">
          <cell r="K45">
            <v>6996</v>
          </cell>
        </row>
        <row r="46">
          <cell r="B46" t="str">
            <v>3B-道路减速带100cm*35cm*3cm</v>
          </cell>
        </row>
        <row r="46">
          <cell r="K46">
            <v>9671</v>
          </cell>
        </row>
        <row r="47">
          <cell r="B47" t="str">
            <v>3C-相机三脚架160cm</v>
          </cell>
        </row>
        <row r="47">
          <cell r="K47">
            <v>6692</v>
          </cell>
        </row>
        <row r="48">
          <cell r="B48" t="str">
            <v>3B-桌面碎纸机4L桶CS201C</v>
          </cell>
        </row>
        <row r="48">
          <cell r="K48">
            <v>6340</v>
          </cell>
        </row>
        <row r="49">
          <cell r="B49" t="str">
            <v>3C-投影仪支架1.2米</v>
          </cell>
        </row>
        <row r="49">
          <cell r="K49">
            <v>7828</v>
          </cell>
        </row>
        <row r="50">
          <cell r="B50" t="str">
            <v>3C-电脑机箱34014款风扇款黑色</v>
          </cell>
        </row>
        <row r="50">
          <cell r="K50">
            <v>5937</v>
          </cell>
        </row>
        <row r="51">
          <cell r="B51" t="str">
            <v>3B-WIFI漏电多功能导轨表彩屏6显款2P63A</v>
          </cell>
        </row>
        <row r="51">
          <cell r="K51">
            <v>5906</v>
          </cell>
        </row>
        <row r="52">
          <cell r="B52" t="str">
            <v>3C-手卷电子7垫鼓</v>
          </cell>
        </row>
        <row r="52">
          <cell r="K52">
            <v>19470</v>
          </cell>
        </row>
        <row r="53">
          <cell r="B53" t="str">
            <v>3B-断桥铝门弯舌锁体2.2*27</v>
          </cell>
        </row>
        <row r="53">
          <cell r="K53">
            <v>5059</v>
          </cell>
        </row>
        <row r="54">
          <cell r="B54" t="str">
            <v>3B-9260B标签打印机4寸黑色USB蓝牙</v>
          </cell>
        </row>
        <row r="54">
          <cell r="K54">
            <v>5011</v>
          </cell>
        </row>
        <row r="55">
          <cell r="B55" t="str">
            <v>3B-智能指纹门锁M20</v>
          </cell>
        </row>
        <row r="55">
          <cell r="K55">
            <v>12107</v>
          </cell>
        </row>
        <row r="56">
          <cell r="B56" t="str">
            <v>3B-大号仿真书银钱盒钥匙款黑色</v>
          </cell>
        </row>
        <row r="56">
          <cell r="K56">
            <v>4906</v>
          </cell>
        </row>
        <row r="57">
          <cell r="B57" t="str">
            <v>3B-导轨单相计量电能表1P机械计量款</v>
          </cell>
        </row>
        <row r="57">
          <cell r="K57">
            <v>4852</v>
          </cell>
        </row>
        <row r="58">
          <cell r="B58" t="str">
            <v>3C-无线四模头戴耳机黑白色K80</v>
          </cell>
        </row>
        <row r="58">
          <cell r="K58">
            <v>4522</v>
          </cell>
        </row>
        <row r="59">
          <cell r="B59" t="str">
            <v>3B-导轨单相多功能电能表1P液晶计量款</v>
          </cell>
        </row>
        <row r="59">
          <cell r="K59">
            <v>4305</v>
          </cell>
        </row>
        <row r="60">
          <cell r="B60" t="str">
            <v>3B-广告架kt板直面3.7kg</v>
          </cell>
        </row>
        <row r="60">
          <cell r="K60">
            <v>3995</v>
          </cell>
        </row>
        <row r="61">
          <cell r="B61" t="str">
            <v>3C-RGB电容悬臂支架降噪麦克风</v>
          </cell>
        </row>
        <row r="61">
          <cell r="K61">
            <v>3915</v>
          </cell>
        </row>
        <row r="62">
          <cell r="B62" t="str">
            <v>3B-捆钞机8011A型</v>
          </cell>
        </row>
        <row r="62">
          <cell r="K62">
            <v>3702</v>
          </cell>
        </row>
        <row r="63">
          <cell r="B63" t="str">
            <v>3B-WIFI漏电多功能导轨表彩屏款2P100A</v>
          </cell>
        </row>
        <row r="63">
          <cell r="K63">
            <v>3651</v>
          </cell>
        </row>
        <row r="64">
          <cell r="B64" t="str">
            <v>3C-PRO蓝牙RGB无线拉伸手机游戏手柄STK7011</v>
          </cell>
        </row>
        <row r="64">
          <cell r="K64">
            <v>7712</v>
          </cell>
        </row>
        <row r="65">
          <cell r="B65" t="str">
            <v>3B-A3简易过胶机</v>
          </cell>
        </row>
        <row r="65">
          <cell r="K65">
            <v>3566</v>
          </cell>
        </row>
        <row r="66">
          <cell r="B66" t="str">
            <v>3C-数码相机银色6400万像素</v>
          </cell>
        </row>
        <row r="66">
          <cell r="K66">
            <v>3327</v>
          </cell>
        </row>
        <row r="67">
          <cell r="B67" t="str">
            <v>3C-led智能互动屏59.5cm*12cm</v>
          </cell>
        </row>
        <row r="67">
          <cell r="K67">
            <v>3299</v>
          </cell>
        </row>
        <row r="68">
          <cell r="B68" t="str">
            <v>3C-电视壁挂架小一体</v>
          </cell>
        </row>
        <row r="68">
          <cell r="K68">
            <v>6623</v>
          </cell>
        </row>
        <row r="69">
          <cell r="B69" t="str">
            <v>3B-可翻转白板70*100</v>
          </cell>
        </row>
        <row r="69">
          <cell r="K69">
            <v>3125</v>
          </cell>
        </row>
        <row r="70">
          <cell r="B70" t="str">
            <v>3B-多功能简易支架14.5cm*19cm</v>
          </cell>
        </row>
        <row r="70">
          <cell r="K70">
            <v>3097</v>
          </cell>
        </row>
        <row r="71">
          <cell r="B71" t="str">
            <v>3B-广告架A4款</v>
          </cell>
        </row>
        <row r="71">
          <cell r="K71">
            <v>3021</v>
          </cell>
        </row>
        <row r="72">
          <cell r="B72" t="str">
            <v>3B-小号仿真书银钱盒钥匙款黄色</v>
          </cell>
        </row>
        <row r="72">
          <cell r="K72">
            <v>2968</v>
          </cell>
        </row>
        <row r="73">
          <cell r="B73" t="str">
            <v>3B-毛毡照片公告墙咖啡色60*120CM</v>
          </cell>
        </row>
        <row r="73">
          <cell r="K73">
            <v>2865</v>
          </cell>
        </row>
        <row r="74">
          <cell r="B74" t="str">
            <v>3C-平板旋转支架</v>
          </cell>
        </row>
        <row r="74">
          <cell r="K74">
            <v>3495</v>
          </cell>
        </row>
        <row r="75">
          <cell r="B75" t="str">
            <v>3B-导轨单相电能表2P液晶计量款</v>
          </cell>
        </row>
        <row r="75">
          <cell r="K75">
            <v>2786</v>
          </cell>
        </row>
        <row r="76">
          <cell r="B76" t="str">
            <v>3B-点钞机灰色</v>
          </cell>
        </row>
        <row r="76">
          <cell r="K76">
            <v>83177</v>
          </cell>
        </row>
        <row r="77">
          <cell r="B77" t="str">
            <v>3B-A4简易过胶机</v>
          </cell>
        </row>
        <row r="77">
          <cell r="K77">
            <v>2645</v>
          </cell>
        </row>
        <row r="78">
          <cell r="B78" t="str">
            <v>3B-H1AP五功能防盗门锁带APP</v>
          </cell>
        </row>
        <row r="78">
          <cell r="K78">
            <v>2640</v>
          </cell>
        </row>
        <row r="79">
          <cell r="B79" t="str">
            <v>3B-断桥铝门方舌锁体2.2*24</v>
          </cell>
        </row>
        <row r="79">
          <cell r="K79">
            <v>2616</v>
          </cell>
        </row>
        <row r="80">
          <cell r="B80" t="str">
            <v>3B-折叠安全护栏2.5m</v>
          </cell>
        </row>
        <row r="80">
          <cell r="K80">
            <v>2599</v>
          </cell>
        </row>
        <row r="81">
          <cell r="B81" t="str">
            <v>3C-播客级专业游戏单人混音器</v>
          </cell>
        </row>
        <row r="81">
          <cell r="K81">
            <v>2550</v>
          </cell>
        </row>
        <row r="82">
          <cell r="B82" t="str">
            <v>3C-电脑机箱T6款黑色3风扇</v>
          </cell>
        </row>
        <row r="82">
          <cell r="K82">
            <v>2517</v>
          </cell>
        </row>
        <row r="83">
          <cell r="B83" t="str">
            <v>3B-智能门锁IC卡</v>
          </cell>
        </row>
        <row r="83">
          <cell r="K83">
            <v>2450</v>
          </cell>
        </row>
        <row r="84">
          <cell r="B84" t="str">
            <v>3B-48位密码盒密码款</v>
          </cell>
        </row>
        <row r="84">
          <cell r="K84">
            <v>2444</v>
          </cell>
        </row>
        <row r="85">
          <cell r="B85" t="str">
            <v>3C-翻页笔</v>
          </cell>
        </row>
        <row r="85">
          <cell r="K85">
            <v>4015</v>
          </cell>
        </row>
        <row r="86">
          <cell r="B86" t="str">
            <v>3C-RGB动圈降噪桌面麦克风</v>
          </cell>
        </row>
        <row r="86">
          <cell r="K86">
            <v>2313</v>
          </cell>
        </row>
        <row r="87">
          <cell r="B87" t="str">
            <v>3B-扎钞纸</v>
          </cell>
        </row>
        <row r="87">
          <cell r="K87">
            <v>2249</v>
          </cell>
        </row>
        <row r="88">
          <cell r="B88" t="str">
            <v>3C-直播自动支撑自拍杆P510</v>
          </cell>
        </row>
        <row r="88">
          <cell r="K88">
            <v>2206</v>
          </cell>
        </row>
        <row r="89">
          <cell r="B89" t="str">
            <v>3B-斜坡垫50*22*11cm</v>
          </cell>
        </row>
        <row r="89">
          <cell r="K89">
            <v>2167</v>
          </cell>
        </row>
        <row r="90">
          <cell r="B90" t="str">
            <v>3C-铝合金支架N3</v>
          </cell>
        </row>
        <row r="90">
          <cell r="K90">
            <v>2093</v>
          </cell>
        </row>
        <row r="91">
          <cell r="B91" t="str">
            <v>3B-指纹挂锁</v>
          </cell>
        </row>
        <row r="91">
          <cell r="K91">
            <v>3715</v>
          </cell>
        </row>
        <row r="92">
          <cell r="B92" t="str">
            <v>3B-新A6保险箱指纹款35cm*26cm*25cm</v>
          </cell>
        </row>
        <row r="92">
          <cell r="K92">
            <v>2054</v>
          </cell>
        </row>
        <row r="93">
          <cell r="B93" t="str">
            <v>3B-对开门矮保险箱</v>
          </cell>
        </row>
        <row r="93">
          <cell r="K93">
            <v>2039</v>
          </cell>
        </row>
        <row r="94">
          <cell r="B94" t="str">
            <v>3B-9260A标签打印机4寸黑色USB</v>
          </cell>
        </row>
        <row r="94">
          <cell r="K94">
            <v>1834</v>
          </cell>
        </row>
        <row r="95">
          <cell r="B95" t="str">
            <v>3B-道路警示柱75cm</v>
          </cell>
        </row>
        <row r="95">
          <cell r="K95">
            <v>1819</v>
          </cell>
        </row>
        <row r="96">
          <cell r="B96" t="str">
            <v>3B-8008便携式不干胶标签打印机80mm黑色</v>
          </cell>
        </row>
        <row r="96">
          <cell r="K96">
            <v>1761</v>
          </cell>
        </row>
        <row r="97">
          <cell r="B97" t="str">
            <v>3B-黄黑伸缩连接杆1至2m</v>
          </cell>
        </row>
        <row r="97">
          <cell r="K97">
            <v>1742</v>
          </cell>
        </row>
        <row r="98">
          <cell r="B98" t="str">
            <v>3B-广告架kt板直面1.3kg</v>
          </cell>
        </row>
        <row r="98">
          <cell r="K98">
            <v>1726</v>
          </cell>
        </row>
        <row r="99">
          <cell r="B99" t="str">
            <v>3B-小号仿真书银钱盒钥匙款黑色</v>
          </cell>
        </row>
        <row r="99">
          <cell r="K99">
            <v>1614</v>
          </cell>
        </row>
        <row r="100">
          <cell r="B100" t="str">
            <v>3B-A3金属外壳过胶机STL316A</v>
          </cell>
        </row>
        <row r="100">
          <cell r="K100">
            <v>1529</v>
          </cell>
        </row>
        <row r="101">
          <cell r="B101" t="str">
            <v>3B-宽57cm不干胶标签打印纸5卷</v>
          </cell>
        </row>
        <row r="101">
          <cell r="K101">
            <v>2378</v>
          </cell>
        </row>
        <row r="102">
          <cell r="B102" t="str">
            <v>3B-毛毡照片公告墙浅驼色60*120CM</v>
          </cell>
        </row>
        <row r="102">
          <cell r="K102">
            <v>1489</v>
          </cell>
        </row>
        <row r="103">
          <cell r="B103" t="str">
            <v>3C-黑色吉他包装升级款</v>
          </cell>
        </row>
        <row r="103">
          <cell r="K103">
            <v>4124</v>
          </cell>
        </row>
        <row r="104">
          <cell r="B104" t="str">
            <v>3B-小号仿真书银钱盒钥匙款红色</v>
          </cell>
        </row>
        <row r="104">
          <cell r="K104">
            <v>2087</v>
          </cell>
        </row>
        <row r="105">
          <cell r="B105" t="str">
            <v>3B-房间门单舌锁体2.7*6.8</v>
          </cell>
        </row>
        <row r="105">
          <cell r="K105">
            <v>1962</v>
          </cell>
        </row>
        <row r="106">
          <cell r="B106" t="str">
            <v>3B-不干胶标签打印纸单卷150*100mm</v>
          </cell>
        </row>
        <row r="106">
          <cell r="K106">
            <v>2793</v>
          </cell>
        </row>
        <row r="107">
          <cell r="B107" t="str">
            <v>3C-X3游戏手柄带手机支架</v>
          </cell>
        </row>
        <row r="107">
          <cell r="K107">
            <v>9965</v>
          </cell>
        </row>
        <row r="108">
          <cell r="B108" t="str">
            <v>3C-电视机上方支架</v>
          </cell>
        </row>
        <row r="108">
          <cell r="K108">
            <v>1268</v>
          </cell>
        </row>
        <row r="109">
          <cell r="B109" t="str">
            <v>3B-5门文件保险箱</v>
          </cell>
        </row>
        <row r="109">
          <cell r="K109">
            <v>1250</v>
          </cell>
        </row>
        <row r="110">
          <cell r="B110" t="str">
            <v>3B-道路警示折叠锥桶30cm</v>
          </cell>
        </row>
        <row r="110">
          <cell r="K110">
            <v>1156</v>
          </cell>
        </row>
        <row r="111">
          <cell r="B111" t="str">
            <v>3B-毛毡照片公告墙咖啡色80*120CM</v>
          </cell>
        </row>
        <row r="111">
          <cell r="K111">
            <v>1146</v>
          </cell>
        </row>
        <row r="112">
          <cell r="B112" t="str">
            <v>3B-插销密码锁</v>
          </cell>
        </row>
        <row r="112">
          <cell r="K112">
            <v>1075</v>
          </cell>
        </row>
        <row r="113">
          <cell r="B113" t="str">
            <v>3B-专业快速过胶机A3</v>
          </cell>
        </row>
        <row r="113">
          <cell r="K113">
            <v>1058</v>
          </cell>
        </row>
        <row r="114">
          <cell r="B114" t="str">
            <v>3B-大号仿真书银钱盒钥匙款黄色</v>
          </cell>
        </row>
        <row r="114">
          <cell r="K114">
            <v>991</v>
          </cell>
        </row>
        <row r="115">
          <cell r="B115" t="str">
            <v>3B-毛毡照片公告墙浅驼色80*120CM</v>
          </cell>
        </row>
        <row r="115">
          <cell r="K115">
            <v>976</v>
          </cell>
        </row>
        <row r="116">
          <cell r="B116" t="str">
            <v>3B-房间门锁体2.2*16</v>
          </cell>
        </row>
        <row r="116">
          <cell r="K116">
            <v>960</v>
          </cell>
        </row>
        <row r="117">
          <cell r="B117" t="str">
            <v>3B-点钞机外接显示器白色</v>
          </cell>
        </row>
        <row r="117">
          <cell r="K117">
            <v>2007</v>
          </cell>
        </row>
        <row r="118">
          <cell r="B118" t="str">
            <v>3B-防盗门锁体2.4*24</v>
          </cell>
        </row>
        <row r="118">
          <cell r="K118">
            <v>858</v>
          </cell>
        </row>
        <row r="119">
          <cell r="B119" t="str">
            <v>3B-毛毡照片公告墙咖啡色60*80CM</v>
          </cell>
        </row>
        <row r="119">
          <cell r="K119">
            <v>1656</v>
          </cell>
        </row>
        <row r="120">
          <cell r="B120" t="str">
            <v>3B-仿真书银钱盒钥匙款红色</v>
          </cell>
        </row>
        <row r="120">
          <cell r="K120">
            <v>807</v>
          </cell>
        </row>
        <row r="121">
          <cell r="B121" t="str">
            <v>3C-电脑机箱T8款白色</v>
          </cell>
        </row>
        <row r="121">
          <cell r="K121">
            <v>746</v>
          </cell>
        </row>
        <row r="122">
          <cell r="B122" t="str">
            <v>3C-W1白色数码相机包含64gTF卡</v>
          </cell>
        </row>
        <row r="122">
          <cell r="K122">
            <v>727</v>
          </cell>
        </row>
        <row r="123">
          <cell r="B123" t="str">
            <v>3C-原木色民谣吉他包装升级款</v>
          </cell>
        </row>
        <row r="123">
          <cell r="K123">
            <v>3582</v>
          </cell>
        </row>
        <row r="124">
          <cell r="B124" t="str">
            <v>3C-双扇散热支架5档调节</v>
          </cell>
        </row>
        <row r="124">
          <cell r="K124">
            <v>1460</v>
          </cell>
        </row>
        <row r="125">
          <cell r="B125" t="str">
            <v>3B-热敏标签打印机H11</v>
          </cell>
        </row>
        <row r="125">
          <cell r="K125">
            <v>665</v>
          </cell>
        </row>
        <row r="126">
          <cell r="B126" t="str">
            <v>3B-小号仿真书银钱盒密码款蓝色</v>
          </cell>
        </row>
        <row r="126">
          <cell r="K126">
            <v>2124</v>
          </cell>
        </row>
        <row r="127">
          <cell r="B127" t="str">
            <v>3C-32至70寸电视移动支架的中托盘</v>
          </cell>
        </row>
        <row r="127">
          <cell r="K127">
            <v>2129</v>
          </cell>
        </row>
        <row r="128">
          <cell r="B128" t="str">
            <v>3B-智能门锁配件包</v>
          </cell>
        </row>
        <row r="128">
          <cell r="K128">
            <v>462</v>
          </cell>
        </row>
        <row r="129">
          <cell r="B129" t="str">
            <v>3B-5890A台式票据打印机58mm白色</v>
          </cell>
        </row>
        <row r="129">
          <cell r="K129">
            <v>388</v>
          </cell>
        </row>
        <row r="130">
          <cell r="B130" t="str">
            <v>3B-大号仿真书银钱盒钥匙款红色</v>
          </cell>
        </row>
        <row r="130">
          <cell r="K130">
            <v>350</v>
          </cell>
        </row>
        <row r="131">
          <cell r="B131" t="str">
            <v>3B-大号仿真书银钱盒密码款蓝色</v>
          </cell>
        </row>
        <row r="131">
          <cell r="K131">
            <v>4569</v>
          </cell>
        </row>
        <row r="132">
          <cell r="B132" t="str">
            <v>3B-2.4寸带屏双向可视摄像头</v>
          </cell>
        </row>
        <row r="132">
          <cell r="K132">
            <v>267</v>
          </cell>
        </row>
        <row r="133">
          <cell r="B133" t="str">
            <v>3B-毛毡照片公告墙咖啡色120*180CM</v>
          </cell>
        </row>
        <row r="133">
          <cell r="K133">
            <v>224</v>
          </cell>
        </row>
        <row r="134">
          <cell r="B134" t="str">
            <v>3B-旅行AC插头充电宝10000毫安白色</v>
          </cell>
        </row>
        <row r="134">
          <cell r="K134">
            <v>198</v>
          </cell>
        </row>
        <row r="135">
          <cell r="B135" t="str">
            <v>3B-道路警示折叠锥桶45cm</v>
          </cell>
        </row>
        <row r="135">
          <cell r="K135">
            <v>197</v>
          </cell>
        </row>
        <row r="136">
          <cell r="B136" t="str">
            <v>3B-挂绳款半合金密码盒</v>
          </cell>
        </row>
        <row r="136">
          <cell r="K136">
            <v>1362</v>
          </cell>
        </row>
        <row r="137">
          <cell r="B137" t="str">
            <v>3B-三天线摇头机摄像头</v>
          </cell>
        </row>
        <row r="137">
          <cell r="K137">
            <v>170</v>
          </cell>
        </row>
        <row r="138">
          <cell r="B138" t="str">
            <v>3B-碎纸机6张段状S0206L</v>
          </cell>
        </row>
        <row r="138">
          <cell r="K138">
            <v>163</v>
          </cell>
        </row>
        <row r="139">
          <cell r="B139" t="str">
            <v>3B-碎纸机4张段状S0204B</v>
          </cell>
        </row>
        <row r="139">
          <cell r="K139">
            <v>129</v>
          </cell>
        </row>
        <row r="140">
          <cell r="B140" t="str">
            <v>3B-磁吸白板90cm*180cm</v>
          </cell>
        </row>
        <row r="140">
          <cell r="K140">
            <v>128</v>
          </cell>
        </row>
        <row r="141">
          <cell r="B141" t="str">
            <v>3B-密码保险箱黑</v>
          </cell>
        </row>
        <row r="141">
          <cell r="K141">
            <v>14593</v>
          </cell>
        </row>
        <row r="142">
          <cell r="B142" t="str">
            <v>3C-RGB蓝牙音箱</v>
          </cell>
        </row>
        <row r="142">
          <cell r="K142">
            <v>107</v>
          </cell>
        </row>
        <row r="143">
          <cell r="B143" t="str">
            <v>3B-斜坡垫50*22*9cm</v>
          </cell>
        </row>
        <row r="143">
          <cell r="K143">
            <v>100</v>
          </cell>
        </row>
        <row r="144">
          <cell r="B144" t="str">
            <v>3B-磁吸白板60cm*90cm</v>
          </cell>
        </row>
        <row r="144">
          <cell r="K144">
            <v>94</v>
          </cell>
        </row>
        <row r="145">
          <cell r="B145" t="str">
            <v>3B-便携式路由器R5款黑色</v>
          </cell>
        </row>
        <row r="145">
          <cell r="K145">
            <v>92</v>
          </cell>
        </row>
        <row r="146">
          <cell r="B146" t="str">
            <v>3B-手持一维有线影像扫描枪</v>
          </cell>
        </row>
        <row r="146">
          <cell r="K146">
            <v>54</v>
          </cell>
        </row>
        <row r="147">
          <cell r="B147" t="str">
            <v>3B-现金盒钥匙款黑色300A</v>
          </cell>
        </row>
        <row r="147">
          <cell r="K147">
            <v>32</v>
          </cell>
        </row>
        <row r="148">
          <cell r="B148" t="str">
            <v>3C-半透明蓝牙RGB背光鼠标橙色</v>
          </cell>
        </row>
        <row r="148">
          <cell r="K148">
            <v>25</v>
          </cell>
        </row>
        <row r="149">
          <cell r="B149" t="str">
            <v>3B-胶囊充电宝5000毫安苹果接口白色</v>
          </cell>
        </row>
        <row r="149">
          <cell r="K149">
            <v>20</v>
          </cell>
        </row>
        <row r="150">
          <cell r="B150" t="str">
            <v>3B-智能指纹门锁X7</v>
          </cell>
        </row>
        <row r="150">
          <cell r="K150">
            <v>21136</v>
          </cell>
        </row>
        <row r="151">
          <cell r="B151" t="str">
            <v>3B-磁吸白板密度板夹层70cm*100cm</v>
          </cell>
        </row>
        <row r="151">
          <cell r="K151">
            <v>20087</v>
          </cell>
        </row>
        <row r="152">
          <cell r="B152" t="str">
            <v>3B-手提收银箱双层黑色</v>
          </cell>
        </row>
        <row r="152">
          <cell r="K152">
            <v>19070</v>
          </cell>
        </row>
        <row r="153">
          <cell r="B153" t="str">
            <v>3B-磁吸白板密度板夹层60cm*90cm</v>
          </cell>
        </row>
        <row r="153">
          <cell r="K153">
            <v>17118</v>
          </cell>
        </row>
        <row r="154">
          <cell r="B154" t="str">
            <v>3B-磁吸白板密度板夹层90cm*120cm</v>
          </cell>
        </row>
        <row r="154">
          <cell r="K154">
            <v>14249</v>
          </cell>
        </row>
        <row r="155">
          <cell r="B155" t="str">
            <v>3C-声霸蓝牙音箱</v>
          </cell>
        </row>
        <row r="155">
          <cell r="K155">
            <v>12466</v>
          </cell>
        </row>
        <row r="156">
          <cell r="B156" t="str">
            <v>3B-碎纸机10L</v>
          </cell>
        </row>
        <row r="156">
          <cell r="K156">
            <v>11331</v>
          </cell>
        </row>
        <row r="157">
          <cell r="B157" t="str">
            <v>3C-32至70寸电视移动支架的单支架</v>
          </cell>
        </row>
        <row r="157">
          <cell r="K157">
            <v>8384</v>
          </cell>
        </row>
        <row r="158">
          <cell r="B158" t="str">
            <v>3B-小票快递单打印机黑蓝色</v>
          </cell>
        </row>
        <row r="158">
          <cell r="K158">
            <v>6546</v>
          </cell>
        </row>
        <row r="159">
          <cell r="B159" t="str">
            <v>3C-X400电视壁挂架送膨胀丝等安装螺丝</v>
          </cell>
        </row>
        <row r="159">
          <cell r="K159">
            <v>5406</v>
          </cell>
        </row>
        <row r="160">
          <cell r="B160" t="str">
            <v>3C-原木色吉他套装包装升级款</v>
          </cell>
        </row>
        <row r="160">
          <cell r="K160">
            <v>3997</v>
          </cell>
        </row>
        <row r="161">
          <cell r="B161" t="str">
            <v>3C-投影仪支架</v>
          </cell>
        </row>
        <row r="161">
          <cell r="K161">
            <v>3437</v>
          </cell>
        </row>
        <row r="162">
          <cell r="B162" t="str">
            <v>3B-手提款双面广告展示架口字结构</v>
          </cell>
        </row>
        <row r="162">
          <cell r="K162">
            <v>2647</v>
          </cell>
        </row>
        <row r="163">
          <cell r="B163" t="str">
            <v>3C-RGB蓝牙无线拉伸手机游戏手柄STK7009</v>
          </cell>
        </row>
        <row r="163">
          <cell r="K163">
            <v>2635</v>
          </cell>
        </row>
        <row r="164">
          <cell r="B164" t="str">
            <v>3B-大号仿真书银钱盒钥匙款蓝色</v>
          </cell>
        </row>
        <row r="164">
          <cell r="K164">
            <v>1888</v>
          </cell>
        </row>
        <row r="165">
          <cell r="B165" t="str">
            <v>3C-插电式分体电动旋转盘黑色13cm</v>
          </cell>
        </row>
        <row r="165">
          <cell r="K165">
            <v>1753</v>
          </cell>
        </row>
        <row r="166">
          <cell r="B166" t="str">
            <v>3C-黑色民谣吉他包装升级款</v>
          </cell>
        </row>
        <row r="166">
          <cell r="K166">
            <v>1691</v>
          </cell>
        </row>
        <row r="167">
          <cell r="B167" t="str">
            <v>3C-电子琴带琴谱架61键</v>
          </cell>
        </row>
        <row r="167">
          <cell r="K167">
            <v>1446</v>
          </cell>
        </row>
        <row r="168">
          <cell r="B168" t="str">
            <v>3B-交换机机柜24cm</v>
          </cell>
        </row>
        <row r="168">
          <cell r="K168">
            <v>1307</v>
          </cell>
        </row>
        <row r="169">
          <cell r="B169" t="str">
            <v>3B-打孔机</v>
          </cell>
        </row>
        <row r="169">
          <cell r="K169">
            <v>1296</v>
          </cell>
        </row>
        <row r="170">
          <cell r="B170" t="str">
            <v>3C-原木色吉他包装升级款</v>
          </cell>
        </row>
        <row r="170">
          <cell r="K170">
            <v>1178</v>
          </cell>
        </row>
        <row r="171">
          <cell r="B171" t="str">
            <v>3C-电脑机箱T8款黑色</v>
          </cell>
        </row>
        <row r="171">
          <cell r="K171">
            <v>1120</v>
          </cell>
        </row>
        <row r="172">
          <cell r="B172" t="str">
            <v>3B-磁吸白板30cm*45cm</v>
          </cell>
        </row>
        <row r="172">
          <cell r="K172">
            <v>670</v>
          </cell>
        </row>
        <row r="173">
          <cell r="B173" t="str">
            <v>3B-可翻转白板100*80</v>
          </cell>
        </row>
        <row r="173">
          <cell r="K173">
            <v>608</v>
          </cell>
        </row>
        <row r="174">
          <cell r="B174" t="str">
            <v>3B-毛毡照片公告墙浅驼色60*80CM</v>
          </cell>
        </row>
        <row r="174">
          <cell r="K174">
            <v>417</v>
          </cell>
        </row>
        <row r="175">
          <cell r="B175" t="str">
            <v>3C-单扇散热支架无调节</v>
          </cell>
        </row>
        <row r="175">
          <cell r="K175">
            <v>390</v>
          </cell>
        </row>
        <row r="176">
          <cell r="B176" t="str">
            <v>3B-现金盒钥匙款白色300A</v>
          </cell>
        </row>
        <row r="176">
          <cell r="K176">
            <v>352</v>
          </cell>
        </row>
        <row r="177">
          <cell r="B177" t="str">
            <v>3C-投影仪支架托盘</v>
          </cell>
        </row>
        <row r="177">
          <cell r="K177">
            <v>96</v>
          </cell>
        </row>
      </sheetData>
      <sheetData sheetId="1"/>
      <sheetData sheetId="2"/>
      <sheetData sheetId="3"/>
      <sheetData sheetId="4"/>
      <sheetData sheetId="5"/>
      <sheetData sheetId="6"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workbookViewId="0">
      <selection activeCell="F8" sqref="F8"/>
    </sheetView>
  </sheetViews>
  <sheetFormatPr defaultColWidth="9" defaultRowHeight="13.5" outlineLevelCol="7"/>
  <cols>
    <col min="1" max="1" width="10.875" style="74"/>
    <col min="2" max="2" width="12" style="74" customWidth="1"/>
    <col min="3" max="3" width="11.875" style="74" customWidth="1"/>
    <col min="4" max="4" width="9" style="74"/>
    <col min="5" max="5" width="16.25" style="74" customWidth="1"/>
    <col min="6" max="6" width="11.2416666666667" style="74" customWidth="1"/>
    <col min="7" max="16384" width="9" style="74"/>
  </cols>
  <sheetData>
    <row r="1" ht="21" spans="1:8">
      <c r="A1" s="75" t="s">
        <v>0</v>
      </c>
      <c r="B1" s="75" t="s">
        <v>1</v>
      </c>
      <c r="C1" s="75" t="s">
        <v>2</v>
      </c>
      <c r="D1" s="76" t="s">
        <v>3</v>
      </c>
      <c r="E1" s="76" t="s">
        <v>4</v>
      </c>
      <c r="F1" s="76" t="s">
        <v>5</v>
      </c>
      <c r="G1" s="76" t="s">
        <v>6</v>
      </c>
      <c r="H1" s="76" t="s">
        <v>7</v>
      </c>
    </row>
    <row r="2" ht="22.5" spans="1:8">
      <c r="A2" s="77">
        <v>46176</v>
      </c>
      <c r="B2" s="78" t="s">
        <v>8</v>
      </c>
      <c r="C2" s="79" t="s">
        <v>9</v>
      </c>
      <c r="D2" s="77" t="s">
        <v>10</v>
      </c>
      <c r="E2" s="78" t="s">
        <v>11</v>
      </c>
      <c r="F2" s="77">
        <v>46180</v>
      </c>
      <c r="G2" s="77" t="s">
        <v>12</v>
      </c>
      <c r="H2" s="77" t="s">
        <v>13</v>
      </c>
    </row>
    <row r="3" ht="33.75" spans="1:8">
      <c r="A3" s="77">
        <v>46176</v>
      </c>
      <c r="B3" s="80" t="s">
        <v>14</v>
      </c>
      <c r="C3" s="79" t="s">
        <v>15</v>
      </c>
      <c r="D3" s="77" t="s">
        <v>10</v>
      </c>
      <c r="E3" s="78" t="s">
        <v>16</v>
      </c>
      <c r="F3" s="77">
        <v>46180</v>
      </c>
      <c r="G3" s="77" t="s">
        <v>17</v>
      </c>
      <c r="H3" s="77" t="s">
        <v>13</v>
      </c>
    </row>
    <row r="4" ht="22.5" spans="1:8">
      <c r="A4" s="77">
        <v>46176</v>
      </c>
      <c r="B4" s="80" t="s">
        <v>18</v>
      </c>
      <c r="C4" s="79" t="s">
        <v>19</v>
      </c>
      <c r="D4" s="81">
        <v>28</v>
      </c>
      <c r="E4" s="81" t="s">
        <v>10</v>
      </c>
      <c r="F4" s="77">
        <v>46203</v>
      </c>
      <c r="G4" s="77" t="s">
        <v>20</v>
      </c>
      <c r="H4" s="77" t="s">
        <v>21</v>
      </c>
    </row>
    <row r="5" ht="22.5" spans="1:8">
      <c r="A5" s="77">
        <v>46176</v>
      </c>
      <c r="B5" s="80" t="s">
        <v>22</v>
      </c>
      <c r="C5" s="79" t="s">
        <v>23</v>
      </c>
      <c r="D5" s="81">
        <v>28</v>
      </c>
      <c r="E5" s="81" t="s">
        <v>10</v>
      </c>
      <c r="F5" s="77">
        <v>46203</v>
      </c>
      <c r="G5" s="77" t="s">
        <v>20</v>
      </c>
      <c r="H5" s="77" t="s">
        <v>21</v>
      </c>
    </row>
    <row r="6" ht="22.5" spans="1:8">
      <c r="A6" s="77">
        <v>46176</v>
      </c>
      <c r="B6" s="80" t="s">
        <v>18</v>
      </c>
      <c r="C6" s="79" t="s">
        <v>19</v>
      </c>
      <c r="D6" s="81">
        <v>28</v>
      </c>
      <c r="E6" s="81" t="s">
        <v>10</v>
      </c>
      <c r="F6" s="77">
        <v>46203</v>
      </c>
      <c r="G6" s="77" t="s">
        <v>20</v>
      </c>
      <c r="H6" s="77" t="s">
        <v>21</v>
      </c>
    </row>
    <row r="7" ht="22.5" spans="1:8">
      <c r="A7" s="77">
        <v>46176</v>
      </c>
      <c r="B7" s="80" t="s">
        <v>18</v>
      </c>
      <c r="C7" s="79" t="s">
        <v>24</v>
      </c>
      <c r="D7" s="81">
        <v>28</v>
      </c>
      <c r="E7" s="81" t="s">
        <v>10</v>
      </c>
      <c r="F7" s="77">
        <v>46203</v>
      </c>
      <c r="G7" s="77" t="s">
        <v>20</v>
      </c>
      <c r="H7" s="77" t="s">
        <v>21</v>
      </c>
    </row>
    <row r="8" ht="22.5" spans="1:8">
      <c r="A8" s="77">
        <v>46176</v>
      </c>
      <c r="B8" s="80" t="s">
        <v>22</v>
      </c>
      <c r="C8" s="79" t="s">
        <v>23</v>
      </c>
      <c r="D8" s="81">
        <v>28</v>
      </c>
      <c r="E8" s="81" t="s">
        <v>10</v>
      </c>
      <c r="F8" s="77">
        <v>46203</v>
      </c>
      <c r="G8" s="77" t="s">
        <v>20</v>
      </c>
      <c r="H8" s="77" t="s">
        <v>21</v>
      </c>
    </row>
    <row r="9" ht="22.5" spans="1:8">
      <c r="A9" s="77">
        <v>46176</v>
      </c>
      <c r="B9" s="80" t="s">
        <v>22</v>
      </c>
      <c r="C9" s="79" t="s">
        <v>25</v>
      </c>
      <c r="D9" s="81">
        <v>28</v>
      </c>
      <c r="E9" s="81" t="s">
        <v>10</v>
      </c>
      <c r="F9" s="77">
        <v>46203</v>
      </c>
      <c r="G9" s="77" t="s">
        <v>20</v>
      </c>
      <c r="H9" s="77" t="s">
        <v>21</v>
      </c>
    </row>
    <row r="10" ht="22.5" spans="1:8">
      <c r="A10" s="77">
        <v>46176</v>
      </c>
      <c r="B10" s="80" t="s">
        <v>26</v>
      </c>
      <c r="C10" s="82" t="s">
        <v>27</v>
      </c>
      <c r="D10" s="81">
        <v>28</v>
      </c>
      <c r="E10" s="81" t="s">
        <v>10</v>
      </c>
      <c r="F10" s="77">
        <v>46203</v>
      </c>
      <c r="G10" s="77" t="s">
        <v>20</v>
      </c>
      <c r="H10" s="77" t="s">
        <v>21</v>
      </c>
    </row>
    <row r="11" spans="1:8">
      <c r="A11" s="77"/>
      <c r="B11" s="83"/>
      <c r="C11" s="83"/>
      <c r="D11" s="84"/>
    </row>
    <row r="12" spans="1:8">
      <c r="A12" s="77"/>
      <c r="B12" s="83"/>
      <c r="C12" s="83"/>
      <c r="D12" s="84"/>
    </row>
    <row r="13" spans="1:8">
      <c r="A13" s="77"/>
      <c r="B13" s="83"/>
      <c r="C13" s="83"/>
      <c r="D13" s="84"/>
    </row>
    <row r="14" spans="1:8">
      <c r="A14" s="77"/>
      <c r="B14" s="83"/>
      <c r="C14" s="83"/>
      <c r="D14" s="84"/>
    </row>
    <row r="15" spans="1:8">
      <c r="A15" s="77"/>
      <c r="B15" s="83"/>
      <c r="C15" s="82"/>
      <c r="D15" s="84"/>
    </row>
    <row r="16" spans="1:8">
      <c r="A16" s="77"/>
      <c r="B16" s="83"/>
      <c r="C16" s="83"/>
      <c r="D16" s="84"/>
    </row>
    <row r="17" spans="1:6">
      <c r="A17" s="77"/>
      <c r="B17" s="83"/>
      <c r="C17" s="83"/>
      <c r="D17" s="84"/>
    </row>
    <row r="18" spans="1:6">
      <c r="A18" s="77"/>
      <c r="B18" s="83"/>
      <c r="C18" s="83"/>
      <c r="D18" s="84"/>
      <c r="E18" s="85"/>
    </row>
    <row r="19" spans="1:6">
      <c r="D19" s="84"/>
    </row>
    <row r="24" spans="1:6">
      <c r="C24" s="86"/>
      <c r="F24" s="8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topLeftCell="I1" workbookViewId="0">
      <selection activeCell="I51" sqref="I51"/>
    </sheetView>
  </sheetViews>
  <sheetFormatPr defaultColWidth="9" defaultRowHeight="11.25"/>
  <cols>
    <col min="1" max="1" width="14.325" style="1" customWidth="1"/>
    <col min="2" max="2" width="10.2916666666667" style="1" customWidth="1"/>
    <col min="3" max="3" width="8.26666666666667" style="1" customWidth="1"/>
    <col min="4" max="4" width="17.9833333333333" style="1" customWidth="1"/>
    <col min="5" max="5" width="13.75" style="1" customWidth="1"/>
    <col min="6" max="6" width="21.4416666666667" style="1" customWidth="1"/>
    <col min="7" max="8" width="11.925" style="1" customWidth="1"/>
    <col min="9" max="10" width="10.75" style="1" customWidth="1"/>
    <col min="11" max="16384" width="9" style="1"/>
  </cols>
  <sheetData>
    <row r="1" spans="1:12">
      <c r="A1" s="64" t="s">
        <v>28</v>
      </c>
      <c r="B1" s="64" t="s">
        <v>0</v>
      </c>
      <c r="C1" s="64" t="s">
        <v>29</v>
      </c>
      <c r="D1" s="64" t="s">
        <v>30</v>
      </c>
      <c r="E1" s="64" t="s">
        <v>2</v>
      </c>
      <c r="F1" s="65" t="s">
        <v>31</v>
      </c>
      <c r="G1" s="65" t="s">
        <v>32</v>
      </c>
      <c r="H1" s="65" t="s">
        <v>33</v>
      </c>
      <c r="I1" s="66" t="s">
        <v>34</v>
      </c>
      <c r="J1" s="66" t="s">
        <v>35</v>
      </c>
      <c r="K1" s="66" t="s">
        <v>36</v>
      </c>
      <c r="L1" s="67" t="s">
        <v>37</v>
      </c>
    </row>
    <row r="2" spans="1:12">
      <c r="A2" s="67" t="s">
        <v>38</v>
      </c>
      <c r="B2" s="68">
        <v>46148</v>
      </c>
      <c r="C2" s="69">
        <v>0.12</v>
      </c>
      <c r="D2" s="88" t="s">
        <v>39</v>
      </c>
      <c r="E2" s="2" t="s">
        <v>40</v>
      </c>
      <c r="F2" s="70" t="str">
        <f>_xlfn.XLOOKUP(E2,'6月控价 '!F:F,'6月控价 '!E:E)</f>
        <v>3B-JY004便携式储能电源4KG</v>
      </c>
      <c r="G2" s="70">
        <f>_xlfn.XLOOKUP(E2,'6月控价 '!F:F,'6月控价 '!T:T)</f>
        <v>499</v>
      </c>
      <c r="H2" s="70">
        <f>_xlfn.XLOOKUP(E2,'6月控价 '!F:F,'6月控价 '!U:U)</f>
        <v>399.2</v>
      </c>
      <c r="I2" s="67" t="s">
        <v>10</v>
      </c>
      <c r="J2" s="69">
        <v>0.19</v>
      </c>
      <c r="K2" s="70">
        <f>G2*(1-0.19)</f>
        <v>404.19</v>
      </c>
    </row>
    <row r="3" spans="1:12">
      <c r="A3" s="2" t="s">
        <v>38</v>
      </c>
      <c r="B3" s="68">
        <v>46148</v>
      </c>
      <c r="C3" s="71">
        <v>0.12</v>
      </c>
      <c r="D3" s="88" t="s">
        <v>41</v>
      </c>
      <c r="E3" s="2" t="s">
        <v>42</v>
      </c>
      <c r="F3" s="70" t="str">
        <f>_xlfn.XLOOKUP(E3,'6月控价 '!F:F,'6月控价 '!E:E)</f>
        <v>3B-便携式储能电源</v>
      </c>
      <c r="G3" s="70">
        <f>_xlfn.XLOOKUP(E3,'6月控价 '!F:F,'6月控价 '!T:T)</f>
        <v>244</v>
      </c>
      <c r="H3" s="70">
        <f>_xlfn.XLOOKUP(E3,'6月控价 '!F:F,'6月控价 '!U:U)</f>
        <v>195.2</v>
      </c>
      <c r="I3" s="2" t="s">
        <v>10</v>
      </c>
      <c r="J3" s="69">
        <v>0.12</v>
      </c>
      <c r="K3" s="70">
        <f>G3*(1-0.12)</f>
        <v>214.72</v>
      </c>
    </row>
    <row r="4" spans="1:12">
      <c r="A4" s="2" t="s">
        <v>38</v>
      </c>
      <c r="B4" s="68">
        <v>46148</v>
      </c>
      <c r="C4" s="71">
        <v>0.1</v>
      </c>
      <c r="D4" s="88" t="s">
        <v>43</v>
      </c>
      <c r="E4" s="2" t="s">
        <v>40</v>
      </c>
      <c r="F4" s="70" t="str">
        <f>_xlfn.XLOOKUP(E4,'6月控价 '!F:F,'6月控价 '!E:E)</f>
        <v>3B-JY004便携式储能电源4KG</v>
      </c>
      <c r="G4" s="70">
        <f>_xlfn.XLOOKUP(E4,'6月控价 '!F:F,'6月控价 '!T:T)</f>
        <v>499</v>
      </c>
      <c r="H4" s="70">
        <f>_xlfn.XLOOKUP(E4,'6月控价 '!F:F,'6月控价 '!U:U)</f>
        <v>399.2</v>
      </c>
      <c r="I4" s="2" t="s">
        <v>10</v>
      </c>
      <c r="J4" s="69">
        <v>0.21</v>
      </c>
      <c r="K4" s="70">
        <f>G4*(1-0.21)</f>
        <v>394.21</v>
      </c>
    </row>
    <row r="5" spans="1:12">
      <c r="A5" s="2" t="s">
        <v>38</v>
      </c>
      <c r="B5" s="68">
        <v>46148</v>
      </c>
      <c r="C5" s="71">
        <v>0.1</v>
      </c>
      <c r="D5" s="88" t="s">
        <v>41</v>
      </c>
      <c r="E5" s="2" t="s">
        <v>42</v>
      </c>
      <c r="F5" s="70" t="str">
        <f>_xlfn.XLOOKUP(E5,'6月控价 '!F:F,'6月控价 '!E:E)</f>
        <v>3B-便携式储能电源</v>
      </c>
      <c r="G5" s="70">
        <f>_xlfn.XLOOKUP(E5,'6月控价 '!F:F,'6月控价 '!T:T)</f>
        <v>244</v>
      </c>
      <c r="H5" s="70">
        <f>_xlfn.XLOOKUP(E5,'6月控价 '!F:F,'6月控价 '!U:U)</f>
        <v>195.2</v>
      </c>
      <c r="I5" s="2" t="s">
        <v>10</v>
      </c>
      <c r="J5" s="69">
        <v>0.14</v>
      </c>
      <c r="K5" s="70">
        <f>G5*(1-0.14)</f>
        <v>209.84</v>
      </c>
    </row>
    <row r="6" spans="1:12">
      <c r="A6" s="2" t="s">
        <v>44</v>
      </c>
      <c r="B6" s="68">
        <v>46148</v>
      </c>
      <c r="C6" s="71">
        <v>0.12</v>
      </c>
      <c r="D6" s="88" t="s">
        <v>45</v>
      </c>
      <c r="E6" s="2" t="s">
        <v>40</v>
      </c>
      <c r="F6" s="70" t="str">
        <f>_xlfn.XLOOKUP(E6,'6月控价 '!F:F,'6月控价 '!E:E)</f>
        <v>3B-JY004便携式储能电源4KG</v>
      </c>
      <c r="G6" s="70">
        <f>_xlfn.XLOOKUP(E6,'6月控价 '!F:F,'6月控价 '!T:T)</f>
        <v>499</v>
      </c>
      <c r="H6" s="70">
        <f>_xlfn.XLOOKUP(E6,'6月控价 '!F:F,'6月控价 '!U:U)</f>
        <v>399.2</v>
      </c>
      <c r="I6" s="2" t="s">
        <v>10</v>
      </c>
      <c r="J6" s="69">
        <v>0.19</v>
      </c>
      <c r="K6" s="70">
        <f>G6*(1-0.19)</f>
        <v>404.19</v>
      </c>
    </row>
    <row r="7" spans="1:12">
      <c r="A7" s="2" t="s">
        <v>46</v>
      </c>
      <c r="B7" s="68">
        <v>46148</v>
      </c>
      <c r="C7" s="71">
        <v>0.2</v>
      </c>
      <c r="D7" s="88" t="s">
        <v>47</v>
      </c>
      <c r="E7" s="2" t="s">
        <v>48</v>
      </c>
      <c r="F7" s="70" t="e">
        <f>_xlfn.XLOOKUP(E7,'6月控价 '!F:F,'6月控价 '!E:E)</f>
        <v>#N/A</v>
      </c>
      <c r="G7" s="2">
        <v>235</v>
      </c>
      <c r="H7" s="2">
        <v>188</v>
      </c>
      <c r="I7" s="2" t="s">
        <v>10</v>
      </c>
    </row>
    <row r="8" spans="1:12">
      <c r="A8" s="2" t="s">
        <v>46</v>
      </c>
      <c r="B8" s="68">
        <v>46148</v>
      </c>
      <c r="C8" s="71">
        <v>0.1</v>
      </c>
      <c r="D8" s="88" t="s">
        <v>49</v>
      </c>
      <c r="E8" s="2" t="s">
        <v>50</v>
      </c>
      <c r="F8" s="70" t="e">
        <f>_xlfn.XLOOKUP(E8,'6月控价 '!F:F,'6月控价 '!E:E)</f>
        <v>#N/A</v>
      </c>
      <c r="G8" s="2">
        <v>235</v>
      </c>
      <c r="H8" s="2">
        <v>188</v>
      </c>
      <c r="I8" s="2" t="s">
        <v>10</v>
      </c>
    </row>
    <row r="9" spans="1:12">
      <c r="A9" s="2" t="s">
        <v>46</v>
      </c>
      <c r="B9" s="68">
        <v>46148</v>
      </c>
      <c r="C9" s="71">
        <v>0.1</v>
      </c>
      <c r="D9" s="88" t="s">
        <v>51</v>
      </c>
      <c r="E9" s="2" t="s">
        <v>52</v>
      </c>
      <c r="F9" s="70" t="str">
        <f>_xlfn.XLOOKUP(E9,'6月控价 '!F:F,'6月控价 '!E:E)</f>
        <v>3C-32至70寸电视移动支架的单支架</v>
      </c>
      <c r="G9" s="2">
        <v>147</v>
      </c>
      <c r="H9" s="70">
        <f>_xlfn.XLOOKUP(E9,'6月控价 '!F:F,'6月控价 '!U:U)</f>
        <v>102.4</v>
      </c>
      <c r="I9" s="2" t="s">
        <v>10</v>
      </c>
      <c r="J9" s="69">
        <v>0.14</v>
      </c>
      <c r="K9" s="70">
        <f>G9*(1-0.14)</f>
        <v>126.42</v>
      </c>
    </row>
    <row r="10" spans="1:12">
      <c r="A10" s="2" t="s">
        <v>46</v>
      </c>
      <c r="B10" s="72">
        <v>46150</v>
      </c>
      <c r="C10" s="71">
        <v>0.1</v>
      </c>
      <c r="D10" s="2"/>
      <c r="E10" s="2" t="s">
        <v>42</v>
      </c>
      <c r="F10" s="70" t="str">
        <f>_xlfn.XLOOKUP(E10,'6月控价 '!F:F,'6月控价 '!E:E)</f>
        <v>3B-便携式储能电源</v>
      </c>
      <c r="G10" s="2">
        <v>244</v>
      </c>
      <c r="H10" s="2">
        <v>195.2</v>
      </c>
      <c r="I10" s="2" t="s">
        <v>10</v>
      </c>
    </row>
    <row r="11" ht="12" spans="1:12">
      <c r="A11" s="2" t="s">
        <v>44</v>
      </c>
      <c r="B11" s="72">
        <v>46168</v>
      </c>
      <c r="C11" s="71">
        <v>0.1</v>
      </c>
      <c r="D11" s="88" t="s">
        <v>53</v>
      </c>
      <c r="E11" s="2" t="s">
        <v>54</v>
      </c>
      <c r="F11" s="73" t="s">
        <v>55</v>
      </c>
      <c r="G11" s="5">
        <v>624</v>
      </c>
      <c r="H11" s="2">
        <v>499</v>
      </c>
      <c r="I11" s="2" t="s">
        <v>10</v>
      </c>
      <c r="J11" s="69">
        <v>0.2</v>
      </c>
      <c r="K11" s="2">
        <v>499</v>
      </c>
      <c r="L11" s="69">
        <v>0.1</v>
      </c>
    </row>
    <row r="12" spans="1:12">
      <c r="A12" s="2"/>
      <c r="B12" s="2"/>
      <c r="C12" s="2"/>
      <c r="D12" s="2"/>
      <c r="E12" s="2"/>
      <c r="F12" s="2"/>
      <c r="G12" s="2"/>
      <c r="H12" s="2"/>
      <c r="I12" s="2"/>
    </row>
    <row r="13" spans="1:12">
      <c r="A13" s="2"/>
      <c r="B13" s="2"/>
      <c r="C13" s="2"/>
      <c r="D13" s="2"/>
      <c r="E13" s="2"/>
      <c r="F13" s="2"/>
      <c r="G13" s="2"/>
      <c r="H13" s="2"/>
      <c r="I13" s="2"/>
    </row>
    <row r="14" spans="1:12">
      <c r="A14" s="2"/>
      <c r="B14" s="2"/>
      <c r="C14" s="2"/>
      <c r="D14" s="2"/>
      <c r="E14" s="2"/>
      <c r="F14" s="2"/>
      <c r="G14" s="2"/>
      <c r="H14" s="2"/>
      <c r="I14" s="2"/>
    </row>
    <row r="15" spans="1:12">
      <c r="A15" s="2"/>
      <c r="B15" s="2"/>
      <c r="C15" s="2"/>
      <c r="D15" s="2"/>
      <c r="E15" s="2"/>
      <c r="F15" s="2"/>
      <c r="G15" s="2"/>
      <c r="H15" s="2"/>
      <c r="I15" s="2"/>
    </row>
    <row r="16" spans="1:12">
      <c r="A16" s="2"/>
      <c r="B16" s="2"/>
      <c r="C16" s="2"/>
      <c r="D16" s="2"/>
      <c r="E16" s="2"/>
      <c r="F16" s="2"/>
      <c r="G16" s="2"/>
      <c r="H16" s="2"/>
      <c r="I16" s="2"/>
    </row>
    <row r="17" spans="1:9">
      <c r="A17" s="2"/>
      <c r="B17" s="2"/>
      <c r="C17" s="2"/>
      <c r="D17" s="2"/>
      <c r="E17" s="2"/>
      <c r="F17" s="2"/>
      <c r="G17" s="2"/>
      <c r="H17" s="2"/>
      <c r="I17" s="2"/>
    </row>
    <row r="18" spans="1:9">
      <c r="A18" s="2"/>
      <c r="B18" s="2"/>
      <c r="C18" s="2"/>
      <c r="D18" s="2"/>
      <c r="E18" s="2"/>
      <c r="F18" s="2"/>
      <c r="G18" s="2"/>
      <c r="H18" s="2"/>
      <c r="I18" s="2"/>
    </row>
    <row r="19" spans="1:9">
      <c r="A19" s="2"/>
      <c r="B19" s="2"/>
      <c r="C19" s="2"/>
      <c r="D19" s="2"/>
      <c r="E19" s="2"/>
      <c r="F19" s="2"/>
      <c r="G19" s="2"/>
      <c r="H19" s="2"/>
      <c r="I19" s="2"/>
    </row>
  </sheetData>
  <sheetProtection formatCells="0" formatColumns="0" formatRows="0" insertRows="0" insertColumns="0" insertHyperlinks="0" deleteColumns="0" deleteRows="0" sort="0" autoFilter="0" pivotTables="0"/>
  <autoFilter xmlns:etc="http://www.wps.cn/officeDocument/2017/etCustomData" ref="A1:J19" etc:filterBottomFollowUsedRange="1">
    <extLst/>
  </autoFilter>
  <pageMargins left="0.75" right="0.75" top="1" bottom="1" header="0.5" footer="0.5"/>
  <headerFooter/>
  <ignoredErrors>
    <ignoredError sqref="A1:J1 A2:K5 A6:H9 J6:K8 J9 D10 J10:K10 A12:K19"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N462"/>
  <sheetViews>
    <sheetView tabSelected="1" workbookViewId="0">
      <pane xSplit="1" ySplit="2" topLeftCell="B3" activePane="bottomRight" state="frozen"/>
      <selection/>
      <selection pane="topRight"/>
      <selection pane="bottomLeft"/>
      <selection pane="bottomRight" activeCell="J17" sqref="J17"/>
    </sheetView>
  </sheetViews>
  <sheetFormatPr defaultColWidth="9" defaultRowHeight="13.5"/>
  <cols>
    <col min="1" max="1" width="8.33333333333333" style="8" hidden="1" customWidth="1"/>
    <col min="2" max="3" width="8.33333333333333" style="8" customWidth="1"/>
    <col min="4" max="4" width="13.3333333333333" style="9" customWidth="1"/>
    <col min="5" max="5" width="13.3333333333333" style="10" customWidth="1"/>
    <col min="6" max="6" width="13.3333333333333" style="11" customWidth="1"/>
    <col min="7" max="9" width="8.33333333333333" style="11" customWidth="1"/>
    <col min="10" max="10" width="8.33333333333333" style="12" customWidth="1"/>
    <col min="11" max="11" width="8.33333333333333" style="11" customWidth="1"/>
    <col min="12" max="12" width="8.33333333333333" style="12" customWidth="1"/>
    <col min="13" max="14" width="8.33333333333333" style="11" customWidth="1"/>
    <col min="15" max="15" width="8.33333333333333" style="8" customWidth="1"/>
    <col min="16" max="18" width="8.33333333333333" style="13" customWidth="1"/>
    <col min="19" max="20" width="8.33333333333333" style="14" customWidth="1"/>
    <col min="21" max="21" width="8.33333333333333" style="11" customWidth="1"/>
    <col min="22" max="22" width="8.33333333333333" style="15" customWidth="1"/>
    <col min="23" max="31" width="8.33333333333333" style="11" customWidth="1"/>
    <col min="32" max="32" width="12.625" style="16" customWidth="1"/>
    <col min="33" max="34" width="9" style="11"/>
    <col min="35" max="36" width="9.375" style="11"/>
    <col min="37" max="37" width="9" style="11"/>
    <col min="38" max="40" width="9.375" style="11"/>
    <col min="41" max="16384" width="9" style="11"/>
  </cols>
  <sheetData>
    <row r="1" s="6" customFormat="1" ht="33" customHeight="1" spans="1:40">
      <c r="A1" s="17" t="s">
        <v>56</v>
      </c>
      <c r="B1" s="17"/>
      <c r="C1" s="17"/>
      <c r="D1" s="18"/>
      <c r="E1" s="17"/>
      <c r="F1" s="17"/>
      <c r="G1" s="17"/>
      <c r="H1" s="17"/>
      <c r="I1" s="17"/>
      <c r="J1" s="17" t="s">
        <v>57</v>
      </c>
      <c r="K1" s="17"/>
      <c r="L1" s="17"/>
      <c r="M1" s="17"/>
      <c r="N1" s="17"/>
      <c r="O1" s="17"/>
      <c r="P1" s="17"/>
      <c r="Q1" s="17"/>
      <c r="R1" s="19" t="s">
        <v>58</v>
      </c>
      <c r="S1" s="19"/>
      <c r="T1" s="19"/>
      <c r="U1" s="19"/>
      <c r="V1" s="19"/>
      <c r="W1" s="19"/>
      <c r="X1" s="19"/>
      <c r="AB1" s="20">
        <v>0.54</v>
      </c>
      <c r="AD1" s="21"/>
      <c r="AE1" s="21"/>
      <c r="AF1" s="22"/>
      <c r="AG1" s="23"/>
      <c r="AH1" s="23" t="s">
        <v>59</v>
      </c>
      <c r="AI1" s="23" t="s">
        <v>60</v>
      </c>
      <c r="AJ1" s="23" t="s">
        <v>61</v>
      </c>
      <c r="AK1" s="23" t="s">
        <v>62</v>
      </c>
      <c r="AL1" s="23" t="s">
        <v>63</v>
      </c>
      <c r="AM1" s="23" t="s">
        <v>64</v>
      </c>
      <c r="AN1" s="23" t="s">
        <v>65</v>
      </c>
    </row>
    <row r="2" s="7" customFormat="1" ht="50" customHeight="1" spans="1:40">
      <c r="A2" s="24" t="s">
        <v>66</v>
      </c>
      <c r="B2" s="24" t="s">
        <v>67</v>
      </c>
      <c r="C2" s="24" t="s">
        <v>68</v>
      </c>
      <c r="D2" s="25" t="s">
        <v>69</v>
      </c>
      <c r="E2" s="26" t="s">
        <v>1</v>
      </c>
      <c r="F2" s="27" t="s">
        <v>2</v>
      </c>
      <c r="G2" s="27" t="s">
        <v>70</v>
      </c>
      <c r="H2" s="24" t="s">
        <v>71</v>
      </c>
      <c r="I2" s="24" t="s">
        <v>72</v>
      </c>
      <c r="J2" s="28" t="s">
        <v>73</v>
      </c>
      <c r="K2" s="28" t="s">
        <v>74</v>
      </c>
      <c r="L2" s="28" t="s">
        <v>74</v>
      </c>
      <c r="M2" s="28" t="s">
        <v>75</v>
      </c>
      <c r="N2" s="28" t="s">
        <v>76</v>
      </c>
      <c r="O2" s="28" t="s">
        <v>77</v>
      </c>
      <c r="P2" s="28" t="s">
        <v>78</v>
      </c>
      <c r="Q2" s="28" t="s">
        <v>79</v>
      </c>
      <c r="R2" s="29" t="s">
        <v>80</v>
      </c>
      <c r="S2" s="29" t="s">
        <v>81</v>
      </c>
      <c r="T2" s="29" t="s">
        <v>82</v>
      </c>
      <c r="U2" s="29" t="s">
        <v>83</v>
      </c>
      <c r="V2" s="29" t="s">
        <v>84</v>
      </c>
      <c r="W2" s="29" t="s">
        <v>85</v>
      </c>
      <c r="X2" s="29" t="s">
        <v>86</v>
      </c>
      <c r="Y2" s="30" t="s">
        <v>87</v>
      </c>
      <c r="Z2" s="31" t="s">
        <v>88</v>
      </c>
      <c r="AA2" s="31" t="s">
        <v>89</v>
      </c>
      <c r="AB2" s="32" t="s">
        <v>90</v>
      </c>
      <c r="AC2" s="33" t="s">
        <v>91</v>
      </c>
      <c r="AD2" s="34" t="s">
        <v>92</v>
      </c>
      <c r="AE2" s="34" t="s">
        <v>93</v>
      </c>
      <c r="AF2" s="34" t="s">
        <v>94</v>
      </c>
      <c r="AG2" s="35"/>
      <c r="AH2" s="35" t="s">
        <v>95</v>
      </c>
      <c r="AI2" s="35" t="s">
        <v>95</v>
      </c>
      <c r="AJ2" s="36"/>
      <c r="AK2" s="36"/>
      <c r="AL2" s="36"/>
      <c r="AM2" s="36"/>
      <c r="AN2" s="36"/>
    </row>
    <row r="3" s="6" customFormat="1" ht="50" hidden="1" customHeight="1" spans="1:40">
      <c r="A3" s="37" t="s">
        <v>96</v>
      </c>
      <c r="B3" s="37" t="s">
        <v>97</v>
      </c>
      <c r="C3" s="37" t="str">
        <f>_xlfn.XLOOKUP(F3,'6月产品包'!B:B,'6月产品包'!H:H)</f>
        <v>智能锁</v>
      </c>
      <c r="D3" s="38" t="str">
        <f>_xlfn.XLOOKUP(F3,'6月产品包'!B:B,'6月产品包'!O:O)</f>
        <v>手柄门锁</v>
      </c>
      <c r="E3" s="38" t="s">
        <v>98</v>
      </c>
      <c r="F3" s="37" t="s">
        <v>99</v>
      </c>
      <c r="G3" s="39" t="s">
        <v>100</v>
      </c>
      <c r="H3" s="37" t="s">
        <v>101</v>
      </c>
      <c r="I3" s="37" t="str">
        <f>_xlfn.XLOOKUP($F3,'6月库存'!A:A,'6月库存'!B:B)</f>
        <v>正常销售</v>
      </c>
      <c r="J3" s="12"/>
      <c r="K3" s="39" t="e">
        <f>_xlfn.XLOOKUP(E3,'[1]6月分配 '!$B:$B,'[1]6月分配 '!$K:$K)</f>
        <v>#N/A</v>
      </c>
      <c r="L3" s="12" t="str">
        <f t="shared" ref="L3:L20" si="0">IF(ISNUMBER(K3),"是",IF(ISNA(K3),"否",""))</f>
        <v>否</v>
      </c>
      <c r="M3" s="40" t="str">
        <f>_xlfn.XLOOKUP(F3,'6月产品包'!B:B,'6月产品包'!J:J)</f>
        <v>2025-02-25</v>
      </c>
      <c r="N3" s="39" t="str">
        <f ca="1" t="shared" ref="N3:N23" si="1">IF(DATEDIF(M3,TODAY(),"m")&lt;6,"新品","老品")</f>
        <v>老品</v>
      </c>
      <c r="O3" s="37">
        <f>_xlfn.XLOOKUP(F3,'6月库存'!A:A,'6月库存'!R:R)</f>
        <v>270</v>
      </c>
      <c r="P3" s="39">
        <f>_xlfn.XLOOKUP(F3,'6月产品包'!B:B,'6月产品包'!S:S)</f>
        <v>1950</v>
      </c>
      <c r="Q3" s="39"/>
      <c r="R3" s="41">
        <f>_xlfn.XLOOKUP(F3,'6月产品包'!B:B,'6月产品包'!AD:AD)</f>
        <v>55.448</v>
      </c>
      <c r="S3" s="39">
        <v>106</v>
      </c>
      <c r="T3" s="39">
        <f t="shared" ref="T3:T20" si="2">ROUND(S3*(1+0.25),0)</f>
        <v>133</v>
      </c>
      <c r="U3" s="42">
        <f>$T3*(1-0.18)</f>
        <v>109.06</v>
      </c>
      <c r="V3" s="43">
        <v>0.18</v>
      </c>
      <c r="W3" s="44">
        <f t="shared" ref="W3:W20" si="3">(U3-R3)/U3</f>
        <v>0.491582615074271</v>
      </c>
      <c r="X3" s="44">
        <f t="shared" ref="X3:X20" si="4">(U3*(1-Y3-Z3-AA3-AC3-AB3)-R3)/(U3*(1-Y3-Z3-AA3-AC3-AB3))</f>
        <v>0.306434270612716</v>
      </c>
      <c r="Y3" s="44">
        <v>0.038</v>
      </c>
      <c r="Z3" s="45">
        <v>0.115</v>
      </c>
      <c r="AA3" s="46">
        <v>0.049</v>
      </c>
      <c r="AB3" s="46">
        <f t="shared" ref="AB3:AB20" si="5">$AB$1/U3</f>
        <v>0.00495140289748762</v>
      </c>
      <c r="AC3" s="46">
        <v>0.06</v>
      </c>
      <c r="AD3" s="47"/>
      <c r="AF3" s="48" t="s">
        <v>102</v>
      </c>
      <c r="AG3" s="39">
        <f t="shared" ref="AG3:AG66" si="6">MAX(AH3:AN3)</f>
        <v>6</v>
      </c>
      <c r="AH3" s="39">
        <f t="shared" ref="AH3:AH66" si="7">IF(U3&gt;=50,MIN(MIN(U3*0.2,20)*0.3,6),0)</f>
        <v>6</v>
      </c>
      <c r="AI3" s="39">
        <f t="shared" ref="AI3:AI66" si="8">IF(U3&gt;=200,MIN(MIN(U3*0.18,70)*0.3,21),0)</f>
        <v>0</v>
      </c>
      <c r="AJ3" s="39">
        <f t="shared" ref="AJ3:AJ66" si="9">IF(U3&gt;=380,MIN(MIN(U3*0.28,350)*0.3,105),0)</f>
        <v>0</v>
      </c>
      <c r="AK3" s="39">
        <f t="shared" ref="AK3:AK66" si="10">IF(U3&gt;=380,MIN(MIN(U3*0.25,350)*0.3,105),0)</f>
        <v>0</v>
      </c>
      <c r="AL3" s="39">
        <f t="shared" ref="AL3:AL66" si="11">IF(U3&gt;=380,MIN(MIN(U3*0.22,300)*0.3,90),0)</f>
        <v>0</v>
      </c>
      <c r="AM3" s="39">
        <f t="shared" ref="AM3:AM66" si="12">IF(U3&gt;=250,MIN(MIN(U3*0.18,120)*0.3,36),0)</f>
        <v>0</v>
      </c>
      <c r="AN3" s="39">
        <f t="shared" ref="AN3:AN66" si="13">IF(U3&gt;=180,MIN(MIN(U3*0.15,60)*0.3,18),0)</f>
        <v>0</v>
      </c>
    </row>
    <row r="4" s="6" customFormat="1" ht="50" hidden="1" customHeight="1" spans="1:40">
      <c r="A4" s="37" t="s">
        <v>96</v>
      </c>
      <c r="B4" s="37" t="s">
        <v>103</v>
      </c>
      <c r="C4" s="37" t="str">
        <f>_xlfn.XLOOKUP(F4,'6月产品包'!B:B,'6月产品包'!H:H)</f>
        <v>便携储能电源</v>
      </c>
      <c r="D4" s="38" t="str">
        <f>_xlfn.XLOOKUP(F4,'6月产品包'!B:B,'6月产品包'!O:O)</f>
        <v>JY004电源</v>
      </c>
      <c r="E4" s="38" t="s">
        <v>104</v>
      </c>
      <c r="F4" s="37" t="s">
        <v>105</v>
      </c>
      <c r="G4" s="39" t="s">
        <v>106</v>
      </c>
      <c r="H4" s="37" t="s">
        <v>107</v>
      </c>
      <c r="I4" s="37" t="str">
        <f>_xlfn.XLOOKUP($F4,'6月库存'!A:A,'6月库存'!B:B)</f>
        <v>商品清仓</v>
      </c>
      <c r="J4" s="12"/>
      <c r="K4" s="39" t="e">
        <f>_xlfn.XLOOKUP(E4,'[1]6月分配 '!$B:$B,'[1]6月分配 '!$K:$K)</f>
        <v>#N/A</v>
      </c>
      <c r="L4" s="12" t="str">
        <f t="shared" si="0"/>
        <v>否</v>
      </c>
      <c r="M4" s="40" t="str">
        <f>_xlfn.XLOOKUP(F4,'6月产品包'!B:B,'6月产品包'!J:J)</f>
        <v>2025-09-11</v>
      </c>
      <c r="N4" s="39" t="str">
        <f ca="1" t="shared" si="1"/>
        <v>老品</v>
      </c>
      <c r="O4" s="37">
        <f>_xlfn.XLOOKUP(F4,'6月库存'!A:A,'6月库存'!R:R)</f>
        <v>0</v>
      </c>
      <c r="P4" s="39">
        <f>_xlfn.XLOOKUP(F4,'6月产品包'!B:B,'6月产品包'!S:S)</f>
        <v>10750</v>
      </c>
      <c r="Q4" s="39">
        <v>11000</v>
      </c>
      <c r="R4" s="41">
        <f>_xlfn.XLOOKUP(F4,'6月产品包'!B:B,'6月产品包'!AD:AD)</f>
        <v>511.9573</v>
      </c>
      <c r="S4" s="39">
        <v>1099</v>
      </c>
      <c r="T4" s="39">
        <f t="shared" si="2"/>
        <v>1374</v>
      </c>
      <c r="U4" s="42">
        <f t="shared" ref="U3:U23" si="14">$T4*(1-0.2)</f>
        <v>1099.2</v>
      </c>
      <c r="V4" s="43">
        <v>0.2</v>
      </c>
      <c r="W4" s="44">
        <f t="shared" si="3"/>
        <v>0.534245542212518</v>
      </c>
      <c r="X4" s="44">
        <f t="shared" si="4"/>
        <v>0.376924393205183</v>
      </c>
      <c r="Y4" s="44">
        <v>0.038</v>
      </c>
      <c r="Z4" s="46">
        <v>0.105</v>
      </c>
      <c r="AA4" s="46">
        <v>0.049</v>
      </c>
      <c r="AB4" s="46">
        <f t="shared" si="5"/>
        <v>0.000491266375545852</v>
      </c>
      <c r="AC4" s="46">
        <v>0.06</v>
      </c>
      <c r="AD4" s="49"/>
      <c r="AF4" s="48" t="s">
        <v>102</v>
      </c>
      <c r="AG4" s="39">
        <f t="shared" si="6"/>
        <v>92.3328</v>
      </c>
      <c r="AH4" s="39">
        <f t="shared" si="7"/>
        <v>6</v>
      </c>
      <c r="AI4" s="39">
        <f t="shared" si="8"/>
        <v>21</v>
      </c>
      <c r="AJ4" s="39">
        <f t="shared" si="9"/>
        <v>92.3328</v>
      </c>
      <c r="AK4" s="39">
        <f t="shared" si="10"/>
        <v>82.44</v>
      </c>
      <c r="AL4" s="39">
        <f t="shared" si="11"/>
        <v>72.5472</v>
      </c>
      <c r="AM4" s="39">
        <f t="shared" si="12"/>
        <v>36</v>
      </c>
      <c r="AN4" s="39">
        <f t="shared" si="13"/>
        <v>18</v>
      </c>
    </row>
    <row r="5" s="6" customFormat="1" ht="50" hidden="1" customHeight="1" spans="1:40">
      <c r="A5" s="37" t="s">
        <v>108</v>
      </c>
      <c r="B5" s="37" t="s">
        <v>109</v>
      </c>
      <c r="C5" s="37" t="str">
        <f>_xlfn.XLOOKUP(F5,'6月产品包'!B:B,'6月产品包'!H:H)</f>
        <v>显示器</v>
      </c>
      <c r="D5" s="38" t="str">
        <f>_xlfn.XLOOKUP(F5,'6月产品包'!B:B,'6月产品包'!O:O)</f>
        <v>15.6寸便携显示器非触摸款</v>
      </c>
      <c r="E5" s="38" t="s">
        <v>110</v>
      </c>
      <c r="F5" s="37" t="s">
        <v>111</v>
      </c>
      <c r="G5" s="39" t="s">
        <v>112</v>
      </c>
      <c r="H5" s="37" t="s">
        <v>107</v>
      </c>
      <c r="I5" s="37" t="str">
        <f>_xlfn.XLOOKUP($F5,'6月库存'!A:A,'6月库存'!B:B)</f>
        <v>正常销售</v>
      </c>
      <c r="J5" s="12"/>
      <c r="K5" s="39" t="e">
        <f>_xlfn.XLOOKUP(E5,'[1]6月分配 '!$B:$B,'[1]6月分配 '!$K:$K)</f>
        <v>#N/A</v>
      </c>
      <c r="L5" s="12" t="str">
        <f t="shared" si="0"/>
        <v>否</v>
      </c>
      <c r="M5" s="40" t="str">
        <f>_xlfn.XLOOKUP(F5,'6月产品包'!B:B,'6月产品包'!J:J)</f>
        <v>2024-04-01</v>
      </c>
      <c r="N5" s="39" t="str">
        <f ca="1" t="shared" si="1"/>
        <v>老品</v>
      </c>
      <c r="O5" s="37">
        <f>_xlfn.XLOOKUP(F5,'6月库存'!A:A,'6月库存'!R:R)</f>
        <v>1</v>
      </c>
      <c r="P5" s="39">
        <f>_xlfn.XLOOKUP(F5,'6月产品包'!B:B,'6月产品包'!S:S)</f>
        <v>1378</v>
      </c>
      <c r="Q5" s="39"/>
      <c r="R5" s="41">
        <f>_xlfn.XLOOKUP(F5,'6月产品包'!B:B,'6月产品包'!AD:AD)</f>
        <v>144.014</v>
      </c>
      <c r="S5" s="39">
        <v>310</v>
      </c>
      <c r="T5" s="39">
        <f t="shared" si="2"/>
        <v>388</v>
      </c>
      <c r="U5" s="42">
        <f t="shared" si="14"/>
        <v>310.4</v>
      </c>
      <c r="V5" s="43">
        <v>0.2</v>
      </c>
      <c r="W5" s="44">
        <f t="shared" si="3"/>
        <v>0.536037371134021</v>
      </c>
      <c r="X5" s="44">
        <f t="shared" si="4"/>
        <v>0.390533536017659</v>
      </c>
      <c r="Y5" s="44">
        <v>0.038</v>
      </c>
      <c r="Z5" s="46">
        <v>0.09</v>
      </c>
      <c r="AA5" s="46">
        <v>0.049</v>
      </c>
      <c r="AB5" s="46">
        <f t="shared" si="5"/>
        <v>0.00173969072164948</v>
      </c>
      <c r="AC5" s="46">
        <v>0.06</v>
      </c>
      <c r="AD5" s="47"/>
      <c r="AF5" s="48" t="s">
        <v>102</v>
      </c>
      <c r="AG5" s="39">
        <f t="shared" si="6"/>
        <v>16.7616</v>
      </c>
      <c r="AH5" s="39">
        <f t="shared" si="7"/>
        <v>6</v>
      </c>
      <c r="AI5" s="39">
        <f t="shared" si="8"/>
        <v>16.7616</v>
      </c>
      <c r="AJ5" s="39">
        <f t="shared" si="9"/>
        <v>0</v>
      </c>
      <c r="AK5" s="39">
        <f t="shared" si="10"/>
        <v>0</v>
      </c>
      <c r="AL5" s="39">
        <f t="shared" si="11"/>
        <v>0</v>
      </c>
      <c r="AM5" s="39">
        <f t="shared" si="12"/>
        <v>16.7616</v>
      </c>
      <c r="AN5" s="39">
        <f t="shared" si="13"/>
        <v>13.968</v>
      </c>
    </row>
    <row r="6" s="6" customFormat="1" ht="50" hidden="1" customHeight="1" spans="1:40">
      <c r="A6" s="37" t="s">
        <v>96</v>
      </c>
      <c r="B6" s="37" t="s">
        <v>103</v>
      </c>
      <c r="C6" s="37" t="str">
        <f>_xlfn.XLOOKUP(F6,'6月产品包'!B:B,'6月产品包'!H:H)</f>
        <v>便携储能电源</v>
      </c>
      <c r="D6" s="38" t="str">
        <f>_xlfn.XLOOKUP(F6,'6月产品包'!B:B,'6月产品包'!O:O)</f>
        <v>便携电源</v>
      </c>
      <c r="E6" s="38" t="s">
        <v>113</v>
      </c>
      <c r="F6" s="37" t="s">
        <v>42</v>
      </c>
      <c r="G6" s="39" t="s">
        <v>100</v>
      </c>
      <c r="H6" s="37" t="s">
        <v>107</v>
      </c>
      <c r="I6" s="37" t="str">
        <f>_xlfn.XLOOKUP($F6,'6月库存'!A:A,'6月库存'!B:B)</f>
        <v>商品清仓</v>
      </c>
      <c r="J6" s="12"/>
      <c r="K6" s="39">
        <f>_xlfn.XLOOKUP(E6,'[1]6月分配 '!$B:$B,'[1]6月分配 '!$K:$K)</f>
        <v>232286</v>
      </c>
      <c r="L6" s="12" t="str">
        <f t="shared" si="0"/>
        <v>是</v>
      </c>
      <c r="M6" s="40" t="str">
        <f>_xlfn.XLOOKUP(F6,'6月产品包'!B:B,'6月产品包'!J:J)</f>
        <v>2025-06-03</v>
      </c>
      <c r="N6" s="39" t="str">
        <f ca="1" t="shared" si="1"/>
        <v>老品</v>
      </c>
      <c r="O6" s="37">
        <f>_xlfn.XLOOKUP(F6,'6月库存'!A:A,'6月库存'!R:R)</f>
        <v>1753</v>
      </c>
      <c r="P6" s="39">
        <f>_xlfn.XLOOKUP(F6,'6月产品包'!B:B,'6月产品包'!S:S)</f>
        <v>1800</v>
      </c>
      <c r="Q6" s="39"/>
      <c r="R6" s="41">
        <f>_xlfn.XLOOKUP(F6,'6月产品包'!B:B,'6月产品包'!AD:AD)</f>
        <v>100.576</v>
      </c>
      <c r="S6" s="39">
        <v>195</v>
      </c>
      <c r="T6" s="39">
        <f t="shared" si="2"/>
        <v>244</v>
      </c>
      <c r="U6" s="42">
        <f t="shared" si="14"/>
        <v>195.2</v>
      </c>
      <c r="V6" s="43">
        <v>0.2</v>
      </c>
      <c r="W6" s="44">
        <f t="shared" si="3"/>
        <v>0.484754098360656</v>
      </c>
      <c r="X6" s="44">
        <f t="shared" si="4"/>
        <v>0.308611558703674</v>
      </c>
      <c r="Y6" s="44">
        <v>0.038</v>
      </c>
      <c r="Z6" s="46">
        <v>0.105</v>
      </c>
      <c r="AA6" s="46">
        <v>0.049</v>
      </c>
      <c r="AB6" s="46">
        <f t="shared" si="5"/>
        <v>0.00276639344262295</v>
      </c>
      <c r="AC6" s="46">
        <v>0.06</v>
      </c>
      <c r="AD6" s="50">
        <v>0.05</v>
      </c>
      <c r="AE6" s="50">
        <v>0.03</v>
      </c>
      <c r="AF6" s="48" t="s">
        <v>114</v>
      </c>
      <c r="AG6" s="39">
        <f t="shared" si="6"/>
        <v>8.784</v>
      </c>
      <c r="AH6" s="39">
        <f t="shared" si="7"/>
        <v>6</v>
      </c>
      <c r="AI6" s="39">
        <f t="shared" si="8"/>
        <v>0</v>
      </c>
      <c r="AJ6" s="39">
        <f t="shared" si="9"/>
        <v>0</v>
      </c>
      <c r="AK6" s="39">
        <f t="shared" si="10"/>
        <v>0</v>
      </c>
      <c r="AL6" s="39">
        <f t="shared" si="11"/>
        <v>0</v>
      </c>
      <c r="AM6" s="39">
        <f t="shared" si="12"/>
        <v>0</v>
      </c>
      <c r="AN6" s="39">
        <f t="shared" si="13"/>
        <v>8.784</v>
      </c>
    </row>
    <row r="7" s="6" customFormat="1" ht="50" hidden="1" customHeight="1" spans="1:40">
      <c r="A7" s="37" t="s">
        <v>96</v>
      </c>
      <c r="B7" s="37" t="s">
        <v>115</v>
      </c>
      <c r="C7" s="37" t="str">
        <f>_xlfn.XLOOKUP(F7,'6月产品包'!B:B,'6月产品包'!H:H)</f>
        <v>打印机</v>
      </c>
      <c r="D7" s="38" t="str">
        <f>_xlfn.XLOOKUP(F7,'6月产品包'!B:B,'6月产品包'!O:O)</f>
        <v>面单打印机</v>
      </c>
      <c r="E7" s="38" t="s">
        <v>116</v>
      </c>
      <c r="F7" s="37" t="s">
        <v>117</v>
      </c>
      <c r="G7" s="39" t="e">
        <v>#N/A</v>
      </c>
      <c r="H7" s="37" t="s">
        <v>101</v>
      </c>
      <c r="I7" s="37" t="str">
        <f>_xlfn.XLOOKUP($F7,'6月库存'!A:A,'6月库存'!B:B)</f>
        <v>正常销售</v>
      </c>
      <c r="J7" s="12"/>
      <c r="K7" s="39" t="e">
        <f>_xlfn.XLOOKUP(E7,'[1]6月分配 '!$B:$B,'[1]6月分配 '!$K:$K)</f>
        <v>#N/A</v>
      </c>
      <c r="L7" s="12" t="str">
        <f t="shared" si="0"/>
        <v>否</v>
      </c>
      <c r="M7" s="40" t="str">
        <f>_xlfn.XLOOKUP(F7,'6月产品包'!B:B,'6月产品包'!J:J)</f>
        <v>2025-03-29</v>
      </c>
      <c r="N7" s="39" t="str">
        <f ca="1" t="shared" si="1"/>
        <v>老品</v>
      </c>
      <c r="O7" s="37">
        <f>_xlfn.XLOOKUP(F7,'6月库存'!A:A,'6月库存'!R:R)</f>
        <v>0</v>
      </c>
      <c r="P7" s="39">
        <f>_xlfn.XLOOKUP(F7,'6月产品包'!B:B,'6月产品包'!S:S)</f>
        <v>2375</v>
      </c>
      <c r="Q7" s="39"/>
      <c r="R7" s="41">
        <f>_xlfn.XLOOKUP(F7,'6月产品包'!B:B,'6月产品包'!AD:AD)</f>
        <v>122.177</v>
      </c>
      <c r="S7" s="39">
        <v>227</v>
      </c>
      <c r="T7" s="39">
        <f t="shared" si="2"/>
        <v>284</v>
      </c>
      <c r="U7" s="42">
        <f t="shared" si="14"/>
        <v>227.2</v>
      </c>
      <c r="V7" s="43">
        <v>0.2</v>
      </c>
      <c r="W7" s="44">
        <f t="shared" si="3"/>
        <v>0.46224911971831</v>
      </c>
      <c r="X7" s="44">
        <f t="shared" si="4"/>
        <v>0.281680220498662</v>
      </c>
      <c r="Y7" s="44">
        <v>0.04</v>
      </c>
      <c r="Z7" s="46">
        <v>0.1</v>
      </c>
      <c r="AA7" s="46">
        <v>0.049</v>
      </c>
      <c r="AB7" s="46">
        <f t="shared" si="5"/>
        <v>0.00237676056338028</v>
      </c>
      <c r="AC7" s="46">
        <v>0.06</v>
      </c>
      <c r="AD7" s="47"/>
      <c r="AF7" s="48" t="s">
        <v>102</v>
      </c>
      <c r="AG7" s="39">
        <f t="shared" si="6"/>
        <v>12.2688</v>
      </c>
      <c r="AH7" s="39">
        <f t="shared" si="7"/>
        <v>6</v>
      </c>
      <c r="AI7" s="39">
        <f t="shared" si="8"/>
        <v>12.2688</v>
      </c>
      <c r="AJ7" s="39">
        <f t="shared" si="9"/>
        <v>0</v>
      </c>
      <c r="AK7" s="39">
        <f t="shared" si="10"/>
        <v>0</v>
      </c>
      <c r="AL7" s="39">
        <f t="shared" si="11"/>
        <v>0</v>
      </c>
      <c r="AM7" s="39">
        <f t="shared" si="12"/>
        <v>0</v>
      </c>
      <c r="AN7" s="39">
        <f t="shared" si="13"/>
        <v>10.224</v>
      </c>
    </row>
    <row r="8" s="6" customFormat="1" ht="50" hidden="1" customHeight="1" spans="1:40">
      <c r="A8" s="37" t="s">
        <v>96</v>
      </c>
      <c r="B8" s="37" t="s">
        <v>115</v>
      </c>
      <c r="C8" s="37" t="str">
        <f>_xlfn.XLOOKUP(F8,'6月产品包'!B:B,'6月产品包'!H:H)</f>
        <v>打印机</v>
      </c>
      <c r="D8" s="38" t="str">
        <f>_xlfn.XLOOKUP(F8,'6月产品包'!B:B,'6月产品包'!O:O)</f>
        <v>面单打印机</v>
      </c>
      <c r="E8" s="38" t="s">
        <v>116</v>
      </c>
      <c r="F8" s="37" t="s">
        <v>118</v>
      </c>
      <c r="G8" s="39" t="e">
        <v>#N/A</v>
      </c>
      <c r="H8" s="37" t="s">
        <v>101</v>
      </c>
      <c r="I8" s="37" t="str">
        <f>_xlfn.XLOOKUP($F8,'6月库存'!A:A,'6月库存'!B:B)</f>
        <v>正常销售</v>
      </c>
      <c r="J8" s="12"/>
      <c r="K8" s="39" t="e">
        <f>_xlfn.XLOOKUP(E8,'[1]6月分配 '!$B:$B,'[1]6月分配 '!$K:$K)</f>
        <v>#N/A</v>
      </c>
      <c r="L8" s="12" t="str">
        <f t="shared" si="0"/>
        <v>否</v>
      </c>
      <c r="M8" s="40" t="str">
        <f>_xlfn.XLOOKUP(F8,'6月产品包'!B:B,'6月产品包'!J:J)</f>
        <v>2025-09-27</v>
      </c>
      <c r="N8" s="39" t="str">
        <f ca="1" t="shared" si="1"/>
        <v>老品</v>
      </c>
      <c r="O8" s="37">
        <f>_xlfn.XLOOKUP(F8,'6月库存'!A:A,'6月库存'!R:R)</f>
        <v>12</v>
      </c>
      <c r="P8" s="39">
        <f>_xlfn.XLOOKUP(F8,'6月产品包'!B:B,'6月产品包'!S:S)</f>
        <v>1688</v>
      </c>
      <c r="Q8" s="39"/>
      <c r="R8" s="41">
        <f>_xlfn.XLOOKUP(F8,'6月产品包'!B:B,'6月产品包'!AD:AD)</f>
        <v>108.6688</v>
      </c>
      <c r="S8" s="39">
        <v>207</v>
      </c>
      <c r="T8" s="39">
        <f t="shared" si="2"/>
        <v>259</v>
      </c>
      <c r="U8" s="42">
        <f t="shared" si="14"/>
        <v>207.2</v>
      </c>
      <c r="V8" s="43">
        <v>0.2</v>
      </c>
      <c r="W8" s="44">
        <f t="shared" si="3"/>
        <v>0.47553667953668</v>
      </c>
      <c r="X8" s="44">
        <f t="shared" si="4"/>
        <v>0.299214792038548</v>
      </c>
      <c r="Y8" s="44">
        <v>0.04</v>
      </c>
      <c r="Z8" s="46">
        <v>0.1</v>
      </c>
      <c r="AA8" s="46">
        <v>0.049</v>
      </c>
      <c r="AB8" s="46">
        <f t="shared" si="5"/>
        <v>0.00260617760617761</v>
      </c>
      <c r="AC8" s="46">
        <v>0.06</v>
      </c>
      <c r="AD8" s="47"/>
      <c r="AF8" s="48" t="s">
        <v>102</v>
      </c>
      <c r="AG8" s="39">
        <f t="shared" si="6"/>
        <v>11.1888</v>
      </c>
      <c r="AH8" s="39">
        <f t="shared" si="7"/>
        <v>6</v>
      </c>
      <c r="AI8" s="39">
        <f t="shared" si="8"/>
        <v>11.1888</v>
      </c>
      <c r="AJ8" s="39">
        <f t="shared" si="9"/>
        <v>0</v>
      </c>
      <c r="AK8" s="39">
        <f t="shared" si="10"/>
        <v>0</v>
      </c>
      <c r="AL8" s="39">
        <f t="shared" si="11"/>
        <v>0</v>
      </c>
      <c r="AM8" s="39">
        <f t="shared" si="12"/>
        <v>0</v>
      </c>
      <c r="AN8" s="39">
        <f t="shared" si="13"/>
        <v>9.324</v>
      </c>
    </row>
    <row r="9" s="6" customFormat="1" ht="50" hidden="1" customHeight="1" spans="1:40">
      <c r="A9" s="37" t="s">
        <v>108</v>
      </c>
      <c r="B9" s="37" t="s">
        <v>109</v>
      </c>
      <c r="C9" s="37" t="str">
        <f>_xlfn.XLOOKUP(F9,'6月产品包'!B:B,'6月产品包'!H:H)</f>
        <v>显示器</v>
      </c>
      <c r="D9" s="38" t="str">
        <f>_xlfn.XLOOKUP(F9,'6月产品包'!B:B,'6月产品包'!O:O)</f>
        <v>15.6寸便携显示器触摸款</v>
      </c>
      <c r="E9" s="38" t="s">
        <v>119</v>
      </c>
      <c r="F9" s="39" t="s">
        <v>120</v>
      </c>
      <c r="G9" s="39" t="s">
        <v>112</v>
      </c>
      <c r="H9" s="39" t="s">
        <v>107</v>
      </c>
      <c r="I9" s="37" t="str">
        <f>_xlfn.XLOOKUP($F9,'6月库存'!A:A,'6月库存'!B:B)</f>
        <v>正常销售</v>
      </c>
      <c r="J9" s="12"/>
      <c r="K9" s="39" t="e">
        <f>_xlfn.XLOOKUP(E9,'[1]6月分配 '!$B:$B,'[1]6月分配 '!$K:$K)</f>
        <v>#N/A</v>
      </c>
      <c r="L9" s="12" t="str">
        <f t="shared" si="0"/>
        <v>否</v>
      </c>
      <c r="M9" s="40" t="str">
        <f>_xlfn.XLOOKUP(F9,'6月产品包'!B:B,'6月产品包'!J:J)</f>
        <v>2024-03-19</v>
      </c>
      <c r="N9" s="39" t="str">
        <f ca="1" t="shared" si="1"/>
        <v>老品</v>
      </c>
      <c r="O9" s="37">
        <f>_xlfn.XLOOKUP(F9,'6月库存'!A:A,'6月库存'!R:R)</f>
        <v>0</v>
      </c>
      <c r="P9" s="39">
        <f>_xlfn.XLOOKUP(F9,'6月产品包'!B:B,'6月产品包'!S:S)</f>
        <v>1480</v>
      </c>
      <c r="Q9" s="39"/>
      <c r="R9" s="41">
        <f>_xlfn.XLOOKUP(F9,'6月产品包'!B:B,'6月产品包'!AD:AD)</f>
        <v>200.9874</v>
      </c>
      <c r="S9" s="39">
        <v>420</v>
      </c>
      <c r="T9" s="39">
        <f t="shared" si="2"/>
        <v>525</v>
      </c>
      <c r="U9" s="42">
        <f t="shared" si="14"/>
        <v>420</v>
      </c>
      <c r="V9" s="43">
        <v>0.2</v>
      </c>
      <c r="W9" s="44">
        <f t="shared" si="3"/>
        <v>0.521458571428571</v>
      </c>
      <c r="X9" s="44">
        <f t="shared" si="4"/>
        <v>0.371757314328582</v>
      </c>
      <c r="Y9" s="44">
        <v>0.038</v>
      </c>
      <c r="Z9" s="46">
        <v>0.09</v>
      </c>
      <c r="AA9" s="46">
        <v>0.049</v>
      </c>
      <c r="AB9" s="46">
        <f t="shared" si="5"/>
        <v>0.00128571428571429</v>
      </c>
      <c r="AC9" s="46">
        <v>0.06</v>
      </c>
      <c r="AD9" s="49"/>
      <c r="AF9" s="48" t="s">
        <v>102</v>
      </c>
      <c r="AG9" s="39">
        <f t="shared" si="6"/>
        <v>35.28</v>
      </c>
      <c r="AH9" s="39">
        <f t="shared" si="7"/>
        <v>6</v>
      </c>
      <c r="AI9" s="39">
        <f t="shared" si="8"/>
        <v>21</v>
      </c>
      <c r="AJ9" s="39">
        <f t="shared" si="9"/>
        <v>35.28</v>
      </c>
      <c r="AK9" s="39">
        <f t="shared" si="10"/>
        <v>31.5</v>
      </c>
      <c r="AL9" s="39">
        <f t="shared" si="11"/>
        <v>27.72</v>
      </c>
      <c r="AM9" s="39">
        <f t="shared" si="12"/>
        <v>22.68</v>
      </c>
      <c r="AN9" s="39">
        <f t="shared" si="13"/>
        <v>18</v>
      </c>
    </row>
    <row r="10" s="6" customFormat="1" ht="50" hidden="1" customHeight="1" spans="1:40">
      <c r="A10" s="37" t="s">
        <v>96</v>
      </c>
      <c r="B10" s="37" t="s">
        <v>97</v>
      </c>
      <c r="C10" s="37" t="str">
        <f>_xlfn.XLOOKUP(F10,'6月产品包'!B:B,'6月产品包'!H:H)</f>
        <v>智能锁</v>
      </c>
      <c r="D10" s="38" t="str">
        <f>_xlfn.XLOOKUP(F10,'6月产品包'!B:B,'6月产品包'!O:O)</f>
        <v>球型门锁</v>
      </c>
      <c r="E10" s="38" t="s">
        <v>121</v>
      </c>
      <c r="F10" s="37" t="s">
        <v>122</v>
      </c>
      <c r="G10" s="39" t="s">
        <v>100</v>
      </c>
      <c r="H10" s="37" t="s">
        <v>101</v>
      </c>
      <c r="I10" s="37" t="str">
        <f>_xlfn.XLOOKUP($F10,'6月库存'!A:A,'6月库存'!B:B)</f>
        <v>正常销售</v>
      </c>
      <c r="J10" s="12"/>
      <c r="K10" s="39" t="e">
        <f>_xlfn.XLOOKUP(E10,'[1]6月分配 '!$B:$B,'[1]6月分配 '!$K:$K)</f>
        <v>#N/A</v>
      </c>
      <c r="L10" s="12" t="str">
        <f t="shared" si="0"/>
        <v>否</v>
      </c>
      <c r="M10" s="40" t="str">
        <f>_xlfn.XLOOKUP(F10,'6月产品包'!B:B,'6月产品包'!J:J)</f>
        <v>2025-05-24</v>
      </c>
      <c r="N10" s="39" t="str">
        <f ca="1" t="shared" si="1"/>
        <v>老品</v>
      </c>
      <c r="O10" s="37">
        <f>_xlfn.XLOOKUP(F10,'6月库存'!A:A,'6月库存'!R:R)</f>
        <v>63</v>
      </c>
      <c r="P10" s="39">
        <f>_xlfn.XLOOKUP(F10,'6月产品包'!B:B,'6月产品包'!S:S)</f>
        <v>797</v>
      </c>
      <c r="Q10" s="39"/>
      <c r="R10" s="41">
        <f>_xlfn.XLOOKUP(F10,'6月产品包'!B:B,'6月产品包'!AD:AD)</f>
        <v>73.95</v>
      </c>
      <c r="S10" s="39">
        <v>150</v>
      </c>
      <c r="T10" s="39">
        <f t="shared" si="2"/>
        <v>188</v>
      </c>
      <c r="U10" s="42">
        <f t="shared" si="14"/>
        <v>150.4</v>
      </c>
      <c r="V10" s="43">
        <v>0.2</v>
      </c>
      <c r="W10" s="44">
        <f t="shared" si="3"/>
        <v>0.508311170212766</v>
      </c>
      <c r="X10" s="44">
        <f t="shared" si="4"/>
        <v>0.33049779458097</v>
      </c>
      <c r="Y10" s="51">
        <v>0.038</v>
      </c>
      <c r="Z10" s="45">
        <v>0.115</v>
      </c>
      <c r="AA10" s="46">
        <v>0.049</v>
      </c>
      <c r="AB10" s="46">
        <f t="shared" si="5"/>
        <v>0.00359042553191489</v>
      </c>
      <c r="AC10" s="46">
        <v>0.06</v>
      </c>
      <c r="AD10" s="47"/>
      <c r="AF10" s="48" t="s">
        <v>102</v>
      </c>
      <c r="AG10" s="39">
        <f t="shared" si="6"/>
        <v>6</v>
      </c>
      <c r="AH10" s="39">
        <f t="shared" si="7"/>
        <v>6</v>
      </c>
      <c r="AI10" s="39">
        <f t="shared" si="8"/>
        <v>0</v>
      </c>
      <c r="AJ10" s="39">
        <f t="shared" si="9"/>
        <v>0</v>
      </c>
      <c r="AK10" s="39">
        <f t="shared" si="10"/>
        <v>0</v>
      </c>
      <c r="AL10" s="39">
        <f t="shared" si="11"/>
        <v>0</v>
      </c>
      <c r="AM10" s="39">
        <f t="shared" si="12"/>
        <v>0</v>
      </c>
      <c r="AN10" s="39">
        <f t="shared" si="13"/>
        <v>0</v>
      </c>
    </row>
    <row r="11" s="6" customFormat="1" ht="50" hidden="1" customHeight="1" spans="1:40">
      <c r="A11" s="39" t="str">
        <f>_xlfn.XLOOKUP(F11,'6月产品包'!B:B,'6月产品包'!F:F)</f>
        <v>3C数码</v>
      </c>
      <c r="B11" s="39" t="str">
        <f>_xlfn.XLOOKUP(F11,'6月产品包'!B:B,'6月产品包'!G:G)</f>
        <v>影像摄影</v>
      </c>
      <c r="C11" s="37" t="str">
        <f>_xlfn.XLOOKUP(F11,'6月产品包'!B:B,'6月产品包'!H:H)</f>
        <v>口袋运动相机</v>
      </c>
      <c r="D11" s="38" t="str">
        <f>_xlfn.XLOOKUP(F11,'6月产品包'!B:B,'6月产品包'!O:O)</f>
        <v>运动相机</v>
      </c>
      <c r="E11" s="38" t="str">
        <f>_xlfn.XLOOKUP(F11,'6月产品包'!B:B,'6月产品包'!C:C)</f>
        <v>3C-口袋运动相机11.7cm*3.4cm</v>
      </c>
      <c r="F11" s="37" t="s">
        <v>123</v>
      </c>
      <c r="G11" s="39" t="s">
        <v>100</v>
      </c>
      <c r="H11" s="37" t="s">
        <v>107</v>
      </c>
      <c r="I11" s="37" t="str">
        <f>_xlfn.XLOOKUP($F11,'6月库存'!A:A,'6月库存'!B:B)</f>
        <v>正常销售</v>
      </c>
      <c r="J11" s="12"/>
      <c r="K11" s="39" t="e">
        <f>_xlfn.XLOOKUP(E11,'[1]6月分配 '!$B:$B,'[1]6月分配 '!$K:$K)</f>
        <v>#N/A</v>
      </c>
      <c r="L11" s="12" t="str">
        <f t="shared" si="0"/>
        <v>否</v>
      </c>
      <c r="M11" s="40" t="str">
        <f>_xlfn.XLOOKUP(F11,'6月产品包'!B:B,'6月产品包'!J:J)</f>
        <v>2025-07-10</v>
      </c>
      <c r="N11" s="39" t="str">
        <f ca="1" t="shared" si="1"/>
        <v>老品</v>
      </c>
      <c r="O11" s="37">
        <f>_xlfn.XLOOKUP(F11,'6月库存'!A:A,'6月库存'!R:R)</f>
        <v>1</v>
      </c>
      <c r="P11" s="39">
        <f>_xlfn.XLOOKUP(F11,'6月产品包'!B:B,'6月产品包'!S:S)</f>
        <v>335</v>
      </c>
      <c r="Q11" s="39"/>
      <c r="R11" s="41">
        <f>_xlfn.XLOOKUP(F11,'6月产品包'!B:B,'6月产品包'!AD:AD)</f>
        <v>100.5952</v>
      </c>
      <c r="S11" s="39">
        <v>185</v>
      </c>
      <c r="T11" s="39">
        <f t="shared" si="2"/>
        <v>231</v>
      </c>
      <c r="U11" s="42">
        <f t="shared" si="14"/>
        <v>184.8</v>
      </c>
      <c r="V11" s="43">
        <v>0.2</v>
      </c>
      <c r="W11" s="44">
        <f t="shared" si="3"/>
        <v>0.45565367965368</v>
      </c>
      <c r="X11" s="44">
        <f t="shared" si="4"/>
        <v>0.283828270056613</v>
      </c>
      <c r="Y11" s="51">
        <v>0.038</v>
      </c>
      <c r="Z11" s="46">
        <v>0.09</v>
      </c>
      <c r="AA11" s="46">
        <v>0.049</v>
      </c>
      <c r="AB11" s="46">
        <f t="shared" si="5"/>
        <v>0.00292207792207792</v>
      </c>
      <c r="AC11" s="46">
        <v>0.06</v>
      </c>
      <c r="AD11" s="47"/>
      <c r="AF11" s="48" t="s">
        <v>102</v>
      </c>
      <c r="AG11" s="39">
        <f t="shared" si="6"/>
        <v>8.316</v>
      </c>
      <c r="AH11" s="39">
        <f t="shared" si="7"/>
        <v>6</v>
      </c>
      <c r="AI11" s="39">
        <f t="shared" si="8"/>
        <v>0</v>
      </c>
      <c r="AJ11" s="39">
        <f t="shared" si="9"/>
        <v>0</v>
      </c>
      <c r="AK11" s="39">
        <f t="shared" si="10"/>
        <v>0</v>
      </c>
      <c r="AL11" s="39">
        <f t="shared" si="11"/>
        <v>0</v>
      </c>
      <c r="AM11" s="39">
        <f t="shared" si="12"/>
        <v>0</v>
      </c>
      <c r="AN11" s="39">
        <f t="shared" si="13"/>
        <v>8.316</v>
      </c>
    </row>
    <row r="12" s="6" customFormat="1" ht="50" hidden="1" customHeight="1" spans="1:40">
      <c r="A12" s="37" t="s">
        <v>96</v>
      </c>
      <c r="B12" s="37" t="s">
        <v>115</v>
      </c>
      <c r="C12" s="37" t="str">
        <f>_xlfn.XLOOKUP(F12,'6月产品包'!B:B,'6月产品包'!H:H)</f>
        <v>标签打印纸</v>
      </c>
      <c r="D12" s="38" t="str">
        <f>_xlfn.XLOOKUP(F12,'6月产品包'!B:B,'6月产品包'!O:O)</f>
        <v>热敏打印纸</v>
      </c>
      <c r="E12" s="38" t="s">
        <v>124</v>
      </c>
      <c r="F12" s="37" t="s">
        <v>125</v>
      </c>
      <c r="G12" s="39" t="s">
        <v>126</v>
      </c>
      <c r="H12" s="37" t="s">
        <v>101</v>
      </c>
      <c r="I12" s="37" t="str">
        <f>_xlfn.XLOOKUP($F12,'6月库存'!A:A,'6月库存'!B:B)</f>
        <v>正常销售</v>
      </c>
      <c r="J12" s="12"/>
      <c r="K12" s="39" t="e">
        <f>_xlfn.XLOOKUP(E12,'[1]6月分配 '!$B:$B,'[1]6月分配 '!$K:$K)</f>
        <v>#N/A</v>
      </c>
      <c r="L12" s="12" t="str">
        <f t="shared" si="0"/>
        <v>否</v>
      </c>
      <c r="M12" s="40" t="str">
        <f>_xlfn.XLOOKUP(F12,'6月产品包'!B:B,'6月产品包'!J:J)</f>
        <v>2025-02-11</v>
      </c>
      <c r="N12" s="39" t="str">
        <f ca="1" t="shared" si="1"/>
        <v>老品</v>
      </c>
      <c r="O12" s="37">
        <f>_xlfn.XLOOKUP(F12,'6月库存'!A:A,'6月库存'!R:R)</f>
        <v>4730</v>
      </c>
      <c r="P12" s="39">
        <f>_xlfn.XLOOKUP(F12,'6月产品包'!B:B,'6月产品包'!S:S)</f>
        <v>88</v>
      </c>
      <c r="Q12" s="39"/>
      <c r="R12" s="41">
        <f>_xlfn.XLOOKUP(F12,'6月产品包'!B:B,'6月产品包'!AD:AD)</f>
        <v>2.4535</v>
      </c>
      <c r="S12" s="39">
        <v>6.5</v>
      </c>
      <c r="T12" s="39">
        <f t="shared" si="2"/>
        <v>8</v>
      </c>
      <c r="U12" s="42">
        <f t="shared" si="14"/>
        <v>6.4</v>
      </c>
      <c r="V12" s="43">
        <v>0.2</v>
      </c>
      <c r="W12" s="44">
        <f t="shared" si="3"/>
        <v>0.616640625</v>
      </c>
      <c r="X12" s="44">
        <f t="shared" si="4"/>
        <v>0.424924995312207</v>
      </c>
      <c r="Y12" s="44">
        <v>0.04</v>
      </c>
      <c r="Z12" s="46">
        <v>0.1</v>
      </c>
      <c r="AA12" s="46">
        <v>0.049</v>
      </c>
      <c r="AB12" s="46">
        <f t="shared" si="5"/>
        <v>0.084375</v>
      </c>
      <c r="AC12" s="46">
        <v>0.06</v>
      </c>
      <c r="AD12" s="47"/>
      <c r="AF12" s="48" t="s">
        <v>102</v>
      </c>
      <c r="AG12" s="39">
        <f t="shared" si="6"/>
        <v>0</v>
      </c>
      <c r="AH12" s="39">
        <f t="shared" si="7"/>
        <v>0</v>
      </c>
      <c r="AI12" s="39">
        <f t="shared" si="8"/>
        <v>0</v>
      </c>
      <c r="AJ12" s="39">
        <f t="shared" si="9"/>
        <v>0</v>
      </c>
      <c r="AK12" s="39">
        <f t="shared" si="10"/>
        <v>0</v>
      </c>
      <c r="AL12" s="39">
        <f t="shared" si="11"/>
        <v>0</v>
      </c>
      <c r="AM12" s="39">
        <f t="shared" si="12"/>
        <v>0</v>
      </c>
      <c r="AN12" s="39">
        <f t="shared" si="13"/>
        <v>0</v>
      </c>
    </row>
    <row r="13" s="6" customFormat="1" ht="50" hidden="1" customHeight="1" spans="1:40">
      <c r="A13" s="37" t="s">
        <v>96</v>
      </c>
      <c r="B13" s="37" t="s">
        <v>127</v>
      </c>
      <c r="C13" s="37" t="str">
        <f>_xlfn.XLOOKUP(F13,'6月产品包'!B:B,'6月产品包'!H:H)</f>
        <v>保险箱</v>
      </c>
      <c r="D13" s="38" t="str">
        <f>_xlfn.XLOOKUP(F13,'6月产品包'!B:B,'6月产品包'!O:O)</f>
        <v>大尺寸保险箱</v>
      </c>
      <c r="E13" s="38" t="s">
        <v>128</v>
      </c>
      <c r="F13" s="39" t="s">
        <v>129</v>
      </c>
      <c r="G13" s="39" t="s">
        <v>100</v>
      </c>
      <c r="H13" s="37" t="s">
        <v>101</v>
      </c>
      <c r="I13" s="37" t="str">
        <f>_xlfn.XLOOKUP($F13,'6月库存'!A:A,'6月库存'!B:B)</f>
        <v>正常销售</v>
      </c>
      <c r="J13" s="12"/>
      <c r="K13" s="39">
        <f>_xlfn.XLOOKUP(E13,'[1]6月分配 '!$B:$B,'[1]6月分配 '!$K:$K)</f>
        <v>171787</v>
      </c>
      <c r="L13" s="12" t="str">
        <f t="shared" si="0"/>
        <v>是</v>
      </c>
      <c r="M13" s="40" t="str">
        <f>_xlfn.XLOOKUP(F13,'6月产品包'!B:B,'6月产品包'!J:J)</f>
        <v>2025-09-01</v>
      </c>
      <c r="N13" s="39" t="str">
        <f ca="1" t="shared" si="1"/>
        <v>老品</v>
      </c>
      <c r="O13" s="37">
        <f>_xlfn.XLOOKUP(F13,'6月库存'!A:A,'6月库存'!R:R)</f>
        <v>0</v>
      </c>
      <c r="P13" s="39">
        <f>_xlfn.XLOOKUP(F13,'6月产品包'!B:B,'6月产品包'!S:S)</f>
        <v>12500</v>
      </c>
      <c r="Q13" s="39">
        <v>12500</v>
      </c>
      <c r="R13" s="41">
        <f>_xlfn.XLOOKUP(F13,'6月产品包'!B:B,'6月产品包'!AD:AD)</f>
        <v>114.695</v>
      </c>
      <c r="S13" s="39">
        <v>235</v>
      </c>
      <c r="T13" s="39">
        <f t="shared" si="2"/>
        <v>294</v>
      </c>
      <c r="U13" s="42">
        <f t="shared" si="14"/>
        <v>235.2</v>
      </c>
      <c r="V13" s="43">
        <v>0.2</v>
      </c>
      <c r="W13" s="44">
        <f t="shared" si="3"/>
        <v>0.51235119047619</v>
      </c>
      <c r="X13" s="44">
        <f t="shared" si="4"/>
        <v>0.348676170616803</v>
      </c>
      <c r="Y13" s="52">
        <v>0.04</v>
      </c>
      <c r="Z13" s="46">
        <v>0.1</v>
      </c>
      <c r="AA13" s="46">
        <v>0.049</v>
      </c>
      <c r="AB13" s="46">
        <f t="shared" si="5"/>
        <v>0.00229591836734694</v>
      </c>
      <c r="AC13" s="46">
        <v>0.06</v>
      </c>
      <c r="AD13" s="47"/>
      <c r="AF13" s="48" t="s">
        <v>114</v>
      </c>
      <c r="AG13" s="39">
        <f t="shared" si="6"/>
        <v>12.7008</v>
      </c>
      <c r="AH13" s="39">
        <f t="shared" si="7"/>
        <v>6</v>
      </c>
      <c r="AI13" s="39">
        <f t="shared" si="8"/>
        <v>12.7008</v>
      </c>
      <c r="AJ13" s="39">
        <f t="shared" si="9"/>
        <v>0</v>
      </c>
      <c r="AK13" s="39">
        <f t="shared" si="10"/>
        <v>0</v>
      </c>
      <c r="AL13" s="39">
        <f t="shared" si="11"/>
        <v>0</v>
      </c>
      <c r="AM13" s="39">
        <f t="shared" si="12"/>
        <v>0</v>
      </c>
      <c r="AN13" s="39">
        <f t="shared" si="13"/>
        <v>10.584</v>
      </c>
    </row>
    <row r="14" s="6" customFormat="1" ht="50" hidden="1" customHeight="1" spans="1:40">
      <c r="A14" s="37" t="s">
        <v>108</v>
      </c>
      <c r="B14" s="37" t="s">
        <v>109</v>
      </c>
      <c r="C14" s="37" t="str">
        <f>_xlfn.XLOOKUP(F14,'6月产品包'!B:B,'6月产品包'!H:H)</f>
        <v>显示器</v>
      </c>
      <c r="D14" s="38" t="str">
        <f>_xlfn.XLOOKUP(F14,'6月产品包'!B:B,'6月产品包'!O:O)</f>
        <v>11.6寸便携显示器非触摸款</v>
      </c>
      <c r="E14" s="38" t="s">
        <v>130</v>
      </c>
      <c r="F14" s="37" t="s">
        <v>131</v>
      </c>
      <c r="G14" s="39" t="s">
        <v>126</v>
      </c>
      <c r="H14" s="37" t="s">
        <v>107</v>
      </c>
      <c r="I14" s="37" t="str">
        <f>_xlfn.XLOOKUP($F14,'6月库存'!A:A,'6月库存'!B:B)</f>
        <v>正常销售</v>
      </c>
      <c r="J14" s="12"/>
      <c r="K14" s="39" t="e">
        <f>_xlfn.XLOOKUP(E14,'[1]6月分配 '!$B:$B,'[1]6月分配 '!$K:$K)</f>
        <v>#N/A</v>
      </c>
      <c r="L14" s="12" t="str">
        <f t="shared" si="0"/>
        <v>否</v>
      </c>
      <c r="M14" s="40" t="str">
        <f>_xlfn.XLOOKUP(F14,'6月产品包'!B:B,'6月产品包'!J:J)</f>
        <v>2024-06-04</v>
      </c>
      <c r="N14" s="39" t="str">
        <f ca="1" t="shared" si="1"/>
        <v>老品</v>
      </c>
      <c r="O14" s="37">
        <f>_xlfn.XLOOKUP(F14,'6月库存'!A:A,'6月库存'!R:R)</f>
        <v>406</v>
      </c>
      <c r="P14" s="39">
        <f>_xlfn.XLOOKUP(F14,'6月产品包'!B:B,'6月产品包'!S:S)</f>
        <v>940</v>
      </c>
      <c r="Q14" s="39"/>
      <c r="R14" s="41">
        <f>_xlfn.XLOOKUP(F14,'6月产品包'!B:B,'6月产品包'!AD:AD)</f>
        <v>89.9232</v>
      </c>
      <c r="S14" s="39">
        <v>176</v>
      </c>
      <c r="T14" s="39">
        <f t="shared" si="2"/>
        <v>220</v>
      </c>
      <c r="U14" s="42">
        <f t="shared" si="14"/>
        <v>176</v>
      </c>
      <c r="V14" s="43">
        <v>0.2</v>
      </c>
      <c r="W14" s="44">
        <f t="shared" si="3"/>
        <v>0.489072727272727</v>
      </c>
      <c r="X14" s="44">
        <f t="shared" si="4"/>
        <v>0.327666955767563</v>
      </c>
      <c r="Y14" s="44">
        <v>0.038</v>
      </c>
      <c r="Z14" s="46">
        <v>0.09</v>
      </c>
      <c r="AA14" s="46">
        <v>0.049</v>
      </c>
      <c r="AB14" s="46">
        <f t="shared" si="5"/>
        <v>0.00306818181818182</v>
      </c>
      <c r="AC14" s="46">
        <v>0.06</v>
      </c>
      <c r="AD14" s="47"/>
      <c r="AF14" s="48" t="s">
        <v>102</v>
      </c>
      <c r="AG14" s="39">
        <f t="shared" si="6"/>
        <v>6</v>
      </c>
      <c r="AH14" s="39">
        <f t="shared" si="7"/>
        <v>6</v>
      </c>
      <c r="AI14" s="39">
        <f t="shared" si="8"/>
        <v>0</v>
      </c>
      <c r="AJ14" s="39">
        <f t="shared" si="9"/>
        <v>0</v>
      </c>
      <c r="AK14" s="39">
        <f t="shared" si="10"/>
        <v>0</v>
      </c>
      <c r="AL14" s="39">
        <f t="shared" si="11"/>
        <v>0</v>
      </c>
      <c r="AM14" s="39">
        <f t="shared" si="12"/>
        <v>0</v>
      </c>
      <c r="AN14" s="39">
        <f t="shared" si="13"/>
        <v>0</v>
      </c>
    </row>
    <row r="15" s="6" customFormat="1" ht="50" hidden="1" customHeight="1" spans="1:40">
      <c r="A15" s="37" t="s">
        <v>96</v>
      </c>
      <c r="B15" s="37" t="s">
        <v>103</v>
      </c>
      <c r="C15" s="37" t="e">
        <f>_xlfn.XLOOKUP(F15,'6月产品包'!B:B,'6月产品包'!H:H)</f>
        <v>#N/A</v>
      </c>
      <c r="D15" s="38" t="e">
        <f>_xlfn.XLOOKUP(F15,'6月产品包'!B:B,'6月产品包'!O:O)</f>
        <v>#N/A</v>
      </c>
      <c r="E15" s="38" t="s">
        <v>132</v>
      </c>
      <c r="F15" s="37" t="s">
        <v>133</v>
      </c>
      <c r="G15" s="39" t="s">
        <v>106</v>
      </c>
      <c r="H15" s="37" t="s">
        <v>107</v>
      </c>
      <c r="I15" s="37" t="str">
        <f>_xlfn.XLOOKUP($F15,'6月库存'!A:A,'6月库存'!B:B)</f>
        <v>停止销售</v>
      </c>
      <c r="J15" s="12"/>
      <c r="K15" s="39" t="e">
        <f>_xlfn.XLOOKUP(E15,'[1]6月分配 '!$B:$B,'[1]6月分配 '!$K:$K)</f>
        <v>#N/A</v>
      </c>
      <c r="L15" s="12" t="str">
        <f t="shared" si="0"/>
        <v>否</v>
      </c>
      <c r="M15" s="40" t="e">
        <f>_xlfn.XLOOKUP(F15,'6月产品包'!B:B,'6月产品包'!J:J)</f>
        <v>#N/A</v>
      </c>
      <c r="N15" s="39" t="e">
        <f ca="1" t="shared" si="1"/>
        <v>#N/A</v>
      </c>
      <c r="O15" s="37">
        <f>_xlfn.XLOOKUP(F15,'6月库存'!A:A,'6月库存'!R:R)</f>
        <v>0</v>
      </c>
      <c r="P15" s="39" t="e">
        <f>_xlfn.XLOOKUP(F15,'6月产品包'!B:B,'6月产品包'!S:S)</f>
        <v>#N/A</v>
      </c>
      <c r="Q15" s="39"/>
      <c r="R15" s="41" t="e">
        <f>_xlfn.XLOOKUP(F15,'6月产品包'!B:B,'6月产品包'!AD:AD)</f>
        <v>#N/A</v>
      </c>
      <c r="S15" s="39">
        <v>659</v>
      </c>
      <c r="T15" s="39">
        <f t="shared" si="2"/>
        <v>824</v>
      </c>
      <c r="U15" s="42">
        <f t="shared" si="14"/>
        <v>659.2</v>
      </c>
      <c r="V15" s="43">
        <v>0.2</v>
      </c>
      <c r="W15" s="44" t="e">
        <f t="shared" si="3"/>
        <v>#N/A</v>
      </c>
      <c r="X15" s="44" t="e">
        <f t="shared" si="4"/>
        <v>#N/A</v>
      </c>
      <c r="Y15" s="44">
        <v>0.038</v>
      </c>
      <c r="Z15" s="46">
        <v>0.105</v>
      </c>
      <c r="AA15" s="46">
        <v>0.049</v>
      </c>
      <c r="AB15" s="46">
        <f t="shared" si="5"/>
        <v>0.000819174757281553</v>
      </c>
      <c r="AC15" s="46">
        <v>0.06</v>
      </c>
      <c r="AD15" s="49"/>
      <c r="AF15" s="48" t="s">
        <v>102</v>
      </c>
      <c r="AG15" s="39">
        <f t="shared" si="6"/>
        <v>55.3728</v>
      </c>
      <c r="AH15" s="39">
        <f t="shared" si="7"/>
        <v>6</v>
      </c>
      <c r="AI15" s="39">
        <f t="shared" si="8"/>
        <v>21</v>
      </c>
      <c r="AJ15" s="39">
        <f t="shared" si="9"/>
        <v>55.3728</v>
      </c>
      <c r="AK15" s="39">
        <f t="shared" si="10"/>
        <v>49.44</v>
      </c>
      <c r="AL15" s="39">
        <f t="shared" si="11"/>
        <v>43.5072</v>
      </c>
      <c r="AM15" s="39">
        <f t="shared" si="12"/>
        <v>35.5968</v>
      </c>
      <c r="AN15" s="39">
        <f t="shared" si="13"/>
        <v>18</v>
      </c>
    </row>
    <row r="16" s="6" customFormat="1" ht="50" hidden="1" customHeight="1" spans="1:40">
      <c r="A16" s="37" t="s">
        <v>96</v>
      </c>
      <c r="B16" s="37" t="s">
        <v>127</v>
      </c>
      <c r="C16" s="37" t="str">
        <f>_xlfn.XLOOKUP(F16,'6月产品包'!B:B,'6月产品包'!H:H)</f>
        <v>保险箱</v>
      </c>
      <c r="D16" s="38" t="str">
        <f>_xlfn.XLOOKUP(F16,'6月产品包'!B:B,'6月产品包'!O:O)</f>
        <v>大尺寸保险箱</v>
      </c>
      <c r="E16" s="38" t="s">
        <v>128</v>
      </c>
      <c r="F16" s="39" t="s">
        <v>134</v>
      </c>
      <c r="G16" s="39" t="s">
        <v>100</v>
      </c>
      <c r="H16" s="39" t="s">
        <v>101</v>
      </c>
      <c r="I16" s="37" t="str">
        <f>_xlfn.XLOOKUP($F16,'6月库存'!A:A,'6月库存'!B:B)</f>
        <v>正常销售</v>
      </c>
      <c r="J16" s="12"/>
      <c r="K16" s="39">
        <f>_xlfn.XLOOKUP(E16,'[1]6月分配 '!$B:$B,'[1]6月分配 '!$K:$K)</f>
        <v>171787</v>
      </c>
      <c r="L16" s="12" t="str">
        <f t="shared" si="0"/>
        <v>是</v>
      </c>
      <c r="M16" s="40" t="str">
        <f>_xlfn.XLOOKUP(F16,'6月产品包'!B:B,'6月产品包'!J:J)</f>
        <v>2025-12-02</v>
      </c>
      <c r="N16" s="39" t="str">
        <f ca="1" t="shared" si="1"/>
        <v>老品</v>
      </c>
      <c r="O16" s="37">
        <f>_xlfn.XLOOKUP(F16,'6月库存'!A:A,'6月库存'!R:R)</f>
        <v>918</v>
      </c>
      <c r="P16" s="39">
        <f>_xlfn.XLOOKUP(F16,'6月产品包'!B:B,'6月产品包'!S:S)</f>
        <v>12500</v>
      </c>
      <c r="Q16" s="39">
        <v>12500</v>
      </c>
      <c r="R16" s="41">
        <f>_xlfn.XLOOKUP(F16,'6月产品包'!B:B,'6月产品包'!AD:AD)</f>
        <v>121.7304</v>
      </c>
      <c r="S16" s="39">
        <v>235</v>
      </c>
      <c r="T16" s="39">
        <f t="shared" si="2"/>
        <v>294</v>
      </c>
      <c r="U16" s="42">
        <f t="shared" si="14"/>
        <v>235.2</v>
      </c>
      <c r="V16" s="43">
        <v>0.2</v>
      </c>
      <c r="W16" s="44">
        <f t="shared" si="3"/>
        <v>0.482438775510204</v>
      </c>
      <c r="X16" s="44">
        <f t="shared" si="4"/>
        <v>0.308723917517343</v>
      </c>
      <c r="Y16" s="52">
        <v>0.04</v>
      </c>
      <c r="Z16" s="46">
        <v>0.1</v>
      </c>
      <c r="AA16" s="46">
        <v>0.049</v>
      </c>
      <c r="AB16" s="46">
        <f t="shared" si="5"/>
        <v>0.00229591836734694</v>
      </c>
      <c r="AC16" s="46">
        <v>0.06</v>
      </c>
      <c r="AD16" s="47"/>
      <c r="AF16" s="48" t="s">
        <v>114</v>
      </c>
      <c r="AG16" s="39">
        <f t="shared" si="6"/>
        <v>12.7008</v>
      </c>
      <c r="AH16" s="39">
        <f t="shared" si="7"/>
        <v>6</v>
      </c>
      <c r="AI16" s="39">
        <f t="shared" si="8"/>
        <v>12.7008</v>
      </c>
      <c r="AJ16" s="39">
        <f t="shared" si="9"/>
        <v>0</v>
      </c>
      <c r="AK16" s="39">
        <f t="shared" si="10"/>
        <v>0</v>
      </c>
      <c r="AL16" s="39">
        <f t="shared" si="11"/>
        <v>0</v>
      </c>
      <c r="AM16" s="39">
        <f t="shared" si="12"/>
        <v>0</v>
      </c>
      <c r="AN16" s="39">
        <f t="shared" si="13"/>
        <v>10.584</v>
      </c>
    </row>
    <row r="17" s="6" customFormat="1" ht="50" hidden="1" customHeight="1" spans="1:40">
      <c r="A17" s="37" t="s">
        <v>96</v>
      </c>
      <c r="B17" s="37" t="s">
        <v>127</v>
      </c>
      <c r="C17" s="37" t="str">
        <f>_xlfn.XLOOKUP(F17,'6月产品包'!B:B,'6月产品包'!H:H)</f>
        <v>保险箱</v>
      </c>
      <c r="D17" s="38" t="str">
        <f>_xlfn.XLOOKUP(F17,'6月产品包'!B:B,'6月产品包'!O:O)</f>
        <v>大尺寸保险箱</v>
      </c>
      <c r="E17" s="38" t="s">
        <v>128</v>
      </c>
      <c r="F17" s="39" t="s">
        <v>135</v>
      </c>
      <c r="G17" s="39" t="s">
        <v>100</v>
      </c>
      <c r="H17" s="37" t="s">
        <v>101</v>
      </c>
      <c r="I17" s="37" t="str">
        <f>_xlfn.XLOOKUP($F17,'6月库存'!A:A,'6月库存'!B:B)</f>
        <v>正常销售</v>
      </c>
      <c r="J17" s="12"/>
      <c r="K17" s="39">
        <f>_xlfn.XLOOKUP(E17,'[1]6月分配 '!$B:$B,'[1]6月分配 '!$K:$K)</f>
        <v>171787</v>
      </c>
      <c r="L17" s="12" t="str">
        <f t="shared" si="0"/>
        <v>是</v>
      </c>
      <c r="M17" s="40" t="str">
        <f>_xlfn.XLOOKUP(F17,'6月产品包'!B:B,'6月产品包'!J:J)</f>
        <v>2024-11-21</v>
      </c>
      <c r="N17" s="39" t="str">
        <f ca="1" t="shared" si="1"/>
        <v>老品</v>
      </c>
      <c r="O17" s="37">
        <f>_xlfn.XLOOKUP(F17,'6月库存'!A:A,'6月库存'!R:R)</f>
        <v>5</v>
      </c>
      <c r="P17" s="39">
        <f>_xlfn.XLOOKUP(F17,'6月产品包'!B:B,'6月产品包'!S:S)</f>
        <v>12500</v>
      </c>
      <c r="Q17" s="39">
        <v>12500</v>
      </c>
      <c r="R17" s="41">
        <f>_xlfn.XLOOKUP(F17,'6月产品包'!B:B,'6月产品包'!AD:AD)</f>
        <v>126.3066</v>
      </c>
      <c r="S17" s="39">
        <v>245</v>
      </c>
      <c r="T17" s="39">
        <f t="shared" si="2"/>
        <v>306</v>
      </c>
      <c r="U17" s="42">
        <f t="shared" si="14"/>
        <v>244.8</v>
      </c>
      <c r="V17" s="43">
        <v>0.2</v>
      </c>
      <c r="W17" s="44">
        <f t="shared" si="3"/>
        <v>0.484041666666667</v>
      </c>
      <c r="X17" s="44">
        <f t="shared" si="4"/>
        <v>0.310947667491522</v>
      </c>
      <c r="Y17" s="52">
        <v>0.04</v>
      </c>
      <c r="Z17" s="46">
        <v>0.1</v>
      </c>
      <c r="AA17" s="46">
        <v>0.049</v>
      </c>
      <c r="AB17" s="46">
        <f t="shared" si="5"/>
        <v>0.00220588235294118</v>
      </c>
      <c r="AC17" s="46">
        <v>0.06</v>
      </c>
      <c r="AD17" s="47"/>
      <c r="AF17" s="48" t="s">
        <v>114</v>
      </c>
      <c r="AG17" s="39">
        <f t="shared" si="6"/>
        <v>13.2192</v>
      </c>
      <c r="AH17" s="39">
        <f t="shared" si="7"/>
        <v>6</v>
      </c>
      <c r="AI17" s="39">
        <f t="shared" si="8"/>
        <v>13.2192</v>
      </c>
      <c r="AJ17" s="39">
        <f t="shared" si="9"/>
        <v>0</v>
      </c>
      <c r="AK17" s="39">
        <f t="shared" si="10"/>
        <v>0</v>
      </c>
      <c r="AL17" s="39">
        <f t="shared" si="11"/>
        <v>0</v>
      </c>
      <c r="AM17" s="39">
        <f t="shared" si="12"/>
        <v>0</v>
      </c>
      <c r="AN17" s="39">
        <f t="shared" si="13"/>
        <v>11.016</v>
      </c>
    </row>
    <row r="18" s="6" customFormat="1" ht="50" hidden="1" customHeight="1" spans="1:40">
      <c r="A18" s="37" t="s">
        <v>96</v>
      </c>
      <c r="B18" s="37" t="s">
        <v>115</v>
      </c>
      <c r="C18" s="37" t="str">
        <f>_xlfn.XLOOKUP(F18,'6月产品包'!B:B,'6月产品包'!H:H)</f>
        <v>考勤机</v>
      </c>
      <c r="D18" s="38" t="str">
        <f>_xlfn.XLOOKUP(F18,'6月产品包'!B:B,'6月产品包'!O:O)</f>
        <v>指纹考勤机</v>
      </c>
      <c r="E18" s="38" t="s">
        <v>136</v>
      </c>
      <c r="F18" s="37" t="s">
        <v>137</v>
      </c>
      <c r="G18" s="39" t="e">
        <v>#N/A</v>
      </c>
      <c r="H18" s="37" t="s">
        <v>107</v>
      </c>
      <c r="I18" s="37" t="str">
        <f>_xlfn.XLOOKUP($F18,'6月库存'!A:A,'6月库存'!B:B)</f>
        <v>正常销售</v>
      </c>
      <c r="J18" s="12"/>
      <c r="K18" s="39">
        <f>_xlfn.XLOOKUP(E18,'[1]6月分配 '!$B:$B,'[1]6月分配 '!$K:$K)</f>
        <v>156679</v>
      </c>
      <c r="L18" s="12" t="str">
        <f t="shared" si="0"/>
        <v>是</v>
      </c>
      <c r="M18" s="40" t="str">
        <f>_xlfn.XLOOKUP(F18,'6月产品包'!B:B,'6月产品包'!J:J)</f>
        <v>2023-09-11</v>
      </c>
      <c r="N18" s="39" t="str">
        <f ca="1" t="shared" si="1"/>
        <v>老品</v>
      </c>
      <c r="O18" s="37">
        <f>_xlfn.XLOOKUP(F18,'6月库存'!A:A,'6月库存'!R:R)</f>
        <v>2237</v>
      </c>
      <c r="P18" s="39">
        <f>_xlfn.XLOOKUP(F18,'6月产品包'!B:B,'6月产品包'!S:S)</f>
        <v>466</v>
      </c>
      <c r="Q18" s="39"/>
      <c r="R18" s="41">
        <f>_xlfn.XLOOKUP(F18,'6月产品包'!B:B,'6月产品包'!AD:AD)</f>
        <v>44.167</v>
      </c>
      <c r="S18" s="39">
        <v>88</v>
      </c>
      <c r="T18" s="39">
        <f t="shared" si="2"/>
        <v>110</v>
      </c>
      <c r="U18" s="42">
        <f t="shared" si="14"/>
        <v>88</v>
      </c>
      <c r="V18" s="43">
        <v>0.2</v>
      </c>
      <c r="W18" s="44">
        <f t="shared" si="3"/>
        <v>0.498102272727273</v>
      </c>
      <c r="X18" s="44">
        <f t="shared" si="4"/>
        <v>0.327992818452924</v>
      </c>
      <c r="Y18" s="44">
        <v>0.038</v>
      </c>
      <c r="Z18" s="46">
        <v>0.1</v>
      </c>
      <c r="AA18" s="46">
        <v>0.049</v>
      </c>
      <c r="AB18" s="46">
        <f t="shared" si="5"/>
        <v>0.00613636363636364</v>
      </c>
      <c r="AC18" s="46">
        <v>0.06</v>
      </c>
      <c r="AD18" s="47"/>
      <c r="AF18" s="48" t="s">
        <v>114</v>
      </c>
      <c r="AG18" s="39">
        <f t="shared" si="6"/>
        <v>5.28</v>
      </c>
      <c r="AH18" s="39">
        <f t="shared" si="7"/>
        <v>5.28</v>
      </c>
      <c r="AI18" s="39">
        <f t="shared" si="8"/>
        <v>0</v>
      </c>
      <c r="AJ18" s="39">
        <f t="shared" si="9"/>
        <v>0</v>
      </c>
      <c r="AK18" s="39">
        <f t="shared" si="10"/>
        <v>0</v>
      </c>
      <c r="AL18" s="39">
        <f t="shared" si="11"/>
        <v>0</v>
      </c>
      <c r="AM18" s="39">
        <f t="shared" si="12"/>
        <v>0</v>
      </c>
      <c r="AN18" s="39">
        <f t="shared" si="13"/>
        <v>0</v>
      </c>
    </row>
    <row r="19" s="6" customFormat="1" ht="50" hidden="1" customHeight="1" spans="1:40">
      <c r="A19" s="39" t="str">
        <f>_xlfn.XLOOKUP(F19,'6月产品包'!B:B,'6月产品包'!F:F)</f>
        <v>3C数码</v>
      </c>
      <c r="B19" s="39" t="str">
        <f>_xlfn.XLOOKUP(F19,'6月产品包'!B:B,'6月产品包'!G:G)</f>
        <v>影像摄影</v>
      </c>
      <c r="C19" s="37" t="str">
        <f>_xlfn.XLOOKUP(F19,'6月产品包'!B:B,'6月产品包'!H:H)</f>
        <v>LED像素屏</v>
      </c>
      <c r="D19" s="38" t="str">
        <f>_xlfn.XLOOKUP(F19,'6月产品包'!B:B,'6月产品包'!O:O)</f>
        <v>互动屏</v>
      </c>
      <c r="E19" s="38" t="str">
        <f>_xlfn.XLOOKUP(F19,'6月产品包'!B:B,'6月产品包'!C:C)</f>
        <v>3C-led智能互动屏17.3cm*7cm</v>
      </c>
      <c r="F19" s="37" t="s">
        <v>138</v>
      </c>
      <c r="G19" s="39" t="s">
        <v>100</v>
      </c>
      <c r="H19" s="37" t="s">
        <v>107</v>
      </c>
      <c r="I19" s="37" t="str">
        <f>_xlfn.XLOOKUP($F19,'6月库存'!A:A,'6月库存'!B:B)</f>
        <v>正常销售</v>
      </c>
      <c r="J19" s="12"/>
      <c r="K19" s="39" t="e">
        <f>_xlfn.XLOOKUP(E19,'[1]6月分配 '!$B:$B,'[1]6月分配 '!$K:$K)</f>
        <v>#N/A</v>
      </c>
      <c r="L19" s="12" t="str">
        <f t="shared" si="0"/>
        <v>否</v>
      </c>
      <c r="M19" s="40" t="str">
        <f>_xlfn.XLOOKUP(F19,'6月产品包'!B:B,'6月产品包'!J:J)</f>
        <v>2025-07-10</v>
      </c>
      <c r="N19" s="39" t="str">
        <f ca="1" t="shared" si="1"/>
        <v>老品</v>
      </c>
      <c r="O19" s="37">
        <f>_xlfn.XLOOKUP(F19,'6月库存'!A:A,'6月库存'!R:R)</f>
        <v>157</v>
      </c>
      <c r="P19" s="39">
        <f>_xlfn.XLOOKUP(F19,'6月产品包'!B:B,'6月产品包'!S:S)</f>
        <v>238</v>
      </c>
      <c r="Q19" s="39">
        <v>300</v>
      </c>
      <c r="R19" s="41">
        <f>_xlfn.XLOOKUP(F19,'6月产品包'!B:B,'6月产品包'!AD:AD)</f>
        <v>20.9264</v>
      </c>
      <c r="S19" s="39">
        <v>41.5</v>
      </c>
      <c r="T19" s="39">
        <f t="shared" si="2"/>
        <v>52</v>
      </c>
      <c r="U19" s="42">
        <f t="shared" si="14"/>
        <v>41.6</v>
      </c>
      <c r="V19" s="43">
        <v>0.2</v>
      </c>
      <c r="W19" s="44">
        <f t="shared" si="3"/>
        <v>0.496961538461538</v>
      </c>
      <c r="X19" s="44">
        <f t="shared" si="4"/>
        <v>0.310924369747899</v>
      </c>
      <c r="Y19" s="53">
        <v>0.038</v>
      </c>
      <c r="Z19" s="46">
        <v>0.11</v>
      </c>
      <c r="AA19" s="46">
        <v>0.049</v>
      </c>
      <c r="AB19" s="46">
        <f t="shared" si="5"/>
        <v>0.0129807692307692</v>
      </c>
      <c r="AC19" s="46">
        <v>0.06</v>
      </c>
      <c r="AD19" s="47"/>
      <c r="AF19" s="48" t="s">
        <v>102</v>
      </c>
      <c r="AG19" s="39">
        <f t="shared" si="6"/>
        <v>0</v>
      </c>
      <c r="AH19" s="39">
        <f t="shared" si="7"/>
        <v>0</v>
      </c>
      <c r="AI19" s="39">
        <f t="shared" si="8"/>
        <v>0</v>
      </c>
      <c r="AJ19" s="39">
        <f t="shared" si="9"/>
        <v>0</v>
      </c>
      <c r="AK19" s="39">
        <f t="shared" si="10"/>
        <v>0</v>
      </c>
      <c r="AL19" s="39">
        <f t="shared" si="11"/>
        <v>0</v>
      </c>
      <c r="AM19" s="39">
        <f t="shared" si="12"/>
        <v>0</v>
      </c>
      <c r="AN19" s="39">
        <f t="shared" si="13"/>
        <v>0</v>
      </c>
    </row>
    <row r="20" s="6" customFormat="1" ht="50" hidden="1" customHeight="1" spans="1:40">
      <c r="A20" s="37" t="s">
        <v>108</v>
      </c>
      <c r="B20" s="37" t="s">
        <v>109</v>
      </c>
      <c r="C20" s="37" t="str">
        <f>_xlfn.XLOOKUP(F20,'6月产品包'!B:B,'6月产品包'!H:H)</f>
        <v>显示器支架</v>
      </c>
      <c r="D20" s="38" t="str">
        <f>_xlfn.XLOOKUP(F20,'6月产品包'!B:B,'6月产品包'!O:O)</f>
        <v>显示器支架单臂铁塑款</v>
      </c>
      <c r="E20" s="38" t="s">
        <v>139</v>
      </c>
      <c r="F20" s="37" t="s">
        <v>140</v>
      </c>
      <c r="G20" s="39" t="s">
        <v>126</v>
      </c>
      <c r="H20" s="37" t="s">
        <v>101</v>
      </c>
      <c r="I20" s="37" t="str">
        <f>_xlfn.XLOOKUP($F20,'6月库存'!A:A,'6月库存'!B:B)</f>
        <v>正常销售</v>
      </c>
      <c r="J20" s="12"/>
      <c r="K20" s="39" t="e">
        <f>_xlfn.XLOOKUP(E20,'[1]6月分配 '!$B:$B,'[1]6月分配 '!$K:$K)</f>
        <v>#N/A</v>
      </c>
      <c r="L20" s="12" t="str">
        <f t="shared" si="0"/>
        <v>否</v>
      </c>
      <c r="M20" s="40" t="str">
        <f>_xlfn.XLOOKUP(F20,'6月产品包'!B:B,'6月产品包'!J:J)</f>
        <v>2025-10-27</v>
      </c>
      <c r="N20" s="39" t="str">
        <f ca="1" t="shared" si="1"/>
        <v>老品</v>
      </c>
      <c r="O20" s="37">
        <f>_xlfn.XLOOKUP(F20,'6月库存'!A:A,'6月库存'!R:R)</f>
        <v>255</v>
      </c>
      <c r="P20" s="39">
        <f>_xlfn.XLOOKUP(F20,'6月产品包'!B:B,'6月产品包'!S:S)</f>
        <v>2380</v>
      </c>
      <c r="Q20" s="39"/>
      <c r="R20" s="41">
        <f>_xlfn.XLOOKUP(F20,'6月产品包'!B:B,'6月产品包'!AD:AD)</f>
        <v>25.2358</v>
      </c>
      <c r="S20" s="39">
        <v>56</v>
      </c>
      <c r="T20" s="39">
        <f t="shared" si="2"/>
        <v>70</v>
      </c>
      <c r="U20" s="42">
        <f t="shared" si="14"/>
        <v>56</v>
      </c>
      <c r="V20" s="43">
        <v>0.2</v>
      </c>
      <c r="W20" s="44">
        <f t="shared" si="3"/>
        <v>0.549360714285714</v>
      </c>
      <c r="X20" s="44">
        <f t="shared" si="4"/>
        <v>0.389673019251233</v>
      </c>
      <c r="Y20" s="44">
        <v>0.038</v>
      </c>
      <c r="Z20" s="46">
        <v>0.105</v>
      </c>
      <c r="AA20" s="46">
        <v>0.049</v>
      </c>
      <c r="AB20" s="46">
        <f t="shared" si="5"/>
        <v>0.00964285714285714</v>
      </c>
      <c r="AC20" s="46">
        <v>0.06</v>
      </c>
      <c r="AD20" s="47"/>
      <c r="AF20" s="48" t="s">
        <v>102</v>
      </c>
      <c r="AG20" s="39">
        <f t="shared" si="6"/>
        <v>3.36</v>
      </c>
      <c r="AH20" s="39">
        <f t="shared" si="7"/>
        <v>3.36</v>
      </c>
      <c r="AI20" s="39">
        <f t="shared" si="8"/>
        <v>0</v>
      </c>
      <c r="AJ20" s="39">
        <f t="shared" si="9"/>
        <v>0</v>
      </c>
      <c r="AK20" s="39">
        <f t="shared" si="10"/>
        <v>0</v>
      </c>
      <c r="AL20" s="39">
        <f t="shared" si="11"/>
        <v>0</v>
      </c>
      <c r="AM20" s="39">
        <f t="shared" si="12"/>
        <v>0</v>
      </c>
      <c r="AN20" s="39">
        <f t="shared" si="13"/>
        <v>0</v>
      </c>
    </row>
    <row r="21" s="6" customFormat="1" ht="50" hidden="1" customHeight="1" spans="1:40">
      <c r="A21" s="37" t="s">
        <v>108</v>
      </c>
      <c r="B21" s="37" t="s">
        <v>109</v>
      </c>
      <c r="C21" s="37" t="str">
        <f>_xlfn.XLOOKUP(F21,'6月产品包'!B:B,'6月产品包'!H:H)</f>
        <v>显示器支架</v>
      </c>
      <c r="D21" s="38" t="str">
        <f>_xlfn.XLOOKUP(F21,'6月产品包'!B:B,'6月产品包'!O:O)</f>
        <v>显示器支架双臂铁塑款</v>
      </c>
      <c r="E21" s="38" t="s">
        <v>141</v>
      </c>
      <c r="F21" s="37" t="s">
        <v>142</v>
      </c>
      <c r="G21" s="39" t="s">
        <v>126</v>
      </c>
      <c r="H21" s="37" t="s">
        <v>101</v>
      </c>
      <c r="I21" s="37" t="str">
        <f>_xlfn.XLOOKUP($F21,'6月库存'!A:A,'6月库存'!B:B)</f>
        <v>正常销售</v>
      </c>
      <c r="J21" s="12"/>
      <c r="K21" s="39" t="e">
        <f>_xlfn.XLOOKUP(E21,'[1]6月分配 '!$B:$B,'[1]6月分配 '!$K:$K)</f>
        <v>#N/A</v>
      </c>
      <c r="L21" s="12" t="str">
        <f t="shared" ref="L21:L84" si="15">IF(ISNUMBER(K21),"是",IF(ISNA(K21),"否",""))</f>
        <v>否</v>
      </c>
      <c r="M21" s="40" t="str">
        <f>_xlfn.XLOOKUP(F21,'6月产品包'!B:B,'6月产品包'!J:J)</f>
        <v>2025-10-27</v>
      </c>
      <c r="N21" s="39" t="str">
        <f ca="1" t="shared" si="1"/>
        <v>老品</v>
      </c>
      <c r="O21" s="37">
        <f>_xlfn.XLOOKUP(F21,'6月库存'!A:A,'6月库存'!R:R)</f>
        <v>36</v>
      </c>
      <c r="P21" s="39">
        <f>_xlfn.XLOOKUP(F21,'6月产品包'!B:B,'6月产品包'!S:S)</f>
        <v>4480</v>
      </c>
      <c r="Q21" s="39"/>
      <c r="R21" s="41">
        <f>_xlfn.XLOOKUP(F21,'6月产品包'!B:B,'6月产品包'!AD:AD)</f>
        <v>48.9346</v>
      </c>
      <c r="S21" s="39">
        <v>103</v>
      </c>
      <c r="T21" s="39">
        <f t="shared" ref="T21:T84" si="16">ROUND(S21*(1+0.25),0)</f>
        <v>129</v>
      </c>
      <c r="U21" s="42">
        <f t="shared" si="14"/>
        <v>103.2</v>
      </c>
      <c r="V21" s="43">
        <v>0.2</v>
      </c>
      <c r="W21" s="44">
        <f t="shared" ref="W21:W84" si="17">(U21-R21)/U21</f>
        <v>0.525827519379845</v>
      </c>
      <c r="X21" s="44">
        <f t="shared" ref="X21:X84" si="18">(U21*(1-Y21-Z21-AA21-AC21-AB21)-R21)/(U21*(1-Y21-Z21-AA21-AC21-AB21))</f>
        <v>0.361613805483369</v>
      </c>
      <c r="Y21" s="44">
        <v>0.038</v>
      </c>
      <c r="Z21" s="46">
        <v>0.105</v>
      </c>
      <c r="AA21" s="46">
        <v>0.049</v>
      </c>
      <c r="AB21" s="46">
        <f t="shared" ref="AB21:AB84" si="19">$AB$1/U21</f>
        <v>0.00523255813953488</v>
      </c>
      <c r="AC21" s="46">
        <v>0.06</v>
      </c>
      <c r="AD21" s="47"/>
      <c r="AF21" s="48" t="s">
        <v>102</v>
      </c>
      <c r="AG21" s="39">
        <f t="shared" si="6"/>
        <v>6</v>
      </c>
      <c r="AH21" s="39">
        <f t="shared" si="7"/>
        <v>6</v>
      </c>
      <c r="AI21" s="39">
        <f t="shared" si="8"/>
        <v>0</v>
      </c>
      <c r="AJ21" s="39">
        <f t="shared" si="9"/>
        <v>0</v>
      </c>
      <c r="AK21" s="39">
        <f t="shared" si="10"/>
        <v>0</v>
      </c>
      <c r="AL21" s="39">
        <f t="shared" si="11"/>
        <v>0</v>
      </c>
      <c r="AM21" s="39">
        <f t="shared" si="12"/>
        <v>0</v>
      </c>
      <c r="AN21" s="39">
        <f t="shared" si="13"/>
        <v>0</v>
      </c>
    </row>
    <row r="22" s="6" customFormat="1" ht="50" hidden="1" customHeight="1" spans="1:40">
      <c r="A22" s="37" t="s">
        <v>108</v>
      </c>
      <c r="B22" s="37" t="s">
        <v>109</v>
      </c>
      <c r="C22" s="37" t="str">
        <f>_xlfn.XLOOKUP(F22,'6月产品包'!B:B,'6月产品包'!H:H)</f>
        <v>显示器支架</v>
      </c>
      <c r="D22" s="38" t="str">
        <f>_xlfn.XLOOKUP(F22,'6月产品包'!B:B,'6月产品包'!O:O)</f>
        <v>桌面显示器支架</v>
      </c>
      <c r="E22" s="38" t="s">
        <v>143</v>
      </c>
      <c r="F22" s="37" t="s">
        <v>144</v>
      </c>
      <c r="G22" s="39" t="s">
        <v>106</v>
      </c>
      <c r="H22" s="37" t="s">
        <v>101</v>
      </c>
      <c r="I22" s="37" t="str">
        <f>_xlfn.XLOOKUP($F22,'6月库存'!A:A,'6月库存'!B:B)</f>
        <v>正常销售</v>
      </c>
      <c r="J22" s="12"/>
      <c r="K22" s="39" t="e">
        <f>_xlfn.XLOOKUP(E22,'[1]6月分配 '!$B:$B,'[1]6月分配 '!$K:$K)</f>
        <v>#N/A</v>
      </c>
      <c r="L22" s="12" t="str">
        <f t="shared" si="15"/>
        <v>否</v>
      </c>
      <c r="M22" s="40" t="str">
        <f>_xlfn.XLOOKUP(F22,'6月产品包'!B:B,'6月产品包'!J:J)</f>
        <v>2024-11-12</v>
      </c>
      <c r="N22" s="39" t="str">
        <f ca="1" t="shared" si="1"/>
        <v>老品</v>
      </c>
      <c r="O22" s="37">
        <f>_xlfn.XLOOKUP(F22,'6月库存'!A:A,'6月库存'!R:R)</f>
        <v>36</v>
      </c>
      <c r="P22" s="39">
        <f>_xlfn.XLOOKUP(F22,'6月产品包'!B:B,'6月产品包'!S:S)</f>
        <v>4674</v>
      </c>
      <c r="Q22" s="39"/>
      <c r="R22" s="41">
        <f>_xlfn.XLOOKUP(F22,'6月产品包'!B:B,'6月产品包'!AD:AD)</f>
        <v>27.7356</v>
      </c>
      <c r="S22" s="39">
        <v>56</v>
      </c>
      <c r="T22" s="39">
        <f t="shared" si="16"/>
        <v>70</v>
      </c>
      <c r="U22" s="42">
        <f t="shared" si="14"/>
        <v>56</v>
      </c>
      <c r="V22" s="43">
        <v>0.2</v>
      </c>
      <c r="W22" s="44">
        <f t="shared" si="17"/>
        <v>0.504721428571429</v>
      </c>
      <c r="X22" s="44">
        <f t="shared" si="18"/>
        <v>0.349479313256403</v>
      </c>
      <c r="Y22" s="44">
        <v>0.04</v>
      </c>
      <c r="Z22" s="46">
        <v>0.08</v>
      </c>
      <c r="AA22" s="46">
        <v>0.049</v>
      </c>
      <c r="AB22" s="46">
        <f t="shared" si="19"/>
        <v>0.00964285714285714</v>
      </c>
      <c r="AC22" s="46">
        <v>0.06</v>
      </c>
      <c r="AD22" s="47"/>
      <c r="AF22" s="48" t="s">
        <v>102</v>
      </c>
      <c r="AG22" s="39">
        <f t="shared" si="6"/>
        <v>3.36</v>
      </c>
      <c r="AH22" s="39">
        <f t="shared" si="7"/>
        <v>3.36</v>
      </c>
      <c r="AI22" s="39">
        <f t="shared" si="8"/>
        <v>0</v>
      </c>
      <c r="AJ22" s="39">
        <f t="shared" si="9"/>
        <v>0</v>
      </c>
      <c r="AK22" s="39">
        <f t="shared" si="10"/>
        <v>0</v>
      </c>
      <c r="AL22" s="39">
        <f t="shared" si="11"/>
        <v>0</v>
      </c>
      <c r="AM22" s="39">
        <f t="shared" si="12"/>
        <v>0</v>
      </c>
      <c r="AN22" s="39">
        <f t="shared" si="13"/>
        <v>0</v>
      </c>
    </row>
    <row r="23" s="6" customFormat="1" ht="50" hidden="1" customHeight="1" spans="1:40">
      <c r="A23" s="37" t="s">
        <v>108</v>
      </c>
      <c r="B23" s="37" t="s">
        <v>109</v>
      </c>
      <c r="C23" s="37" t="str">
        <f>_xlfn.XLOOKUP(F23,'6月产品包'!B:B,'6月产品包'!H:H)</f>
        <v>显示器支架</v>
      </c>
      <c r="D23" s="38" t="str">
        <f>_xlfn.XLOOKUP(F23,'6月产品包'!B:B,'6月产品包'!O:O)</f>
        <v>桌面显示器支架</v>
      </c>
      <c r="E23" s="38" t="s">
        <v>143</v>
      </c>
      <c r="F23" s="37" t="s">
        <v>145</v>
      </c>
      <c r="G23" s="39" t="s">
        <v>106</v>
      </c>
      <c r="H23" s="37" t="s">
        <v>101</v>
      </c>
      <c r="I23" s="37" t="str">
        <f>_xlfn.XLOOKUP($F23,'6月库存'!A:A,'6月库存'!B:B)</f>
        <v>正常销售</v>
      </c>
      <c r="J23" s="12"/>
      <c r="K23" s="39" t="e">
        <f>_xlfn.XLOOKUP(E23,'[1]6月分配 '!$B:$B,'[1]6月分配 '!$K:$K)</f>
        <v>#N/A</v>
      </c>
      <c r="L23" s="12" t="str">
        <f t="shared" si="15"/>
        <v>否</v>
      </c>
      <c r="M23" s="40" t="str">
        <f>_xlfn.XLOOKUP(F23,'6月产品包'!B:B,'6月产品包'!J:J)</f>
        <v>2025-05-27</v>
      </c>
      <c r="N23" s="39" t="str">
        <f ca="1" t="shared" si="1"/>
        <v>老品</v>
      </c>
      <c r="O23" s="37">
        <f>_xlfn.XLOOKUP(F23,'6月库存'!A:A,'6月库存'!R:R)</f>
        <v>78</v>
      </c>
      <c r="P23" s="39">
        <f>_xlfn.XLOOKUP(F23,'6月产品包'!B:B,'6月产品包'!S:S)</f>
        <v>4674</v>
      </c>
      <c r="Q23" s="39"/>
      <c r="R23" s="41">
        <f>_xlfn.XLOOKUP(F23,'6月产品包'!B:B,'6月产品包'!AD:AD)</f>
        <v>27.4676</v>
      </c>
      <c r="S23" s="39">
        <v>56</v>
      </c>
      <c r="T23" s="39">
        <f t="shared" si="16"/>
        <v>70</v>
      </c>
      <c r="U23" s="42">
        <f t="shared" si="14"/>
        <v>56</v>
      </c>
      <c r="V23" s="43">
        <v>0.2</v>
      </c>
      <c r="W23" s="44">
        <f t="shared" si="17"/>
        <v>0.509507142857143</v>
      </c>
      <c r="X23" s="44">
        <f t="shared" si="18"/>
        <v>0.355765081152078</v>
      </c>
      <c r="Y23" s="44">
        <v>0.04</v>
      </c>
      <c r="Z23" s="46">
        <v>0.08</v>
      </c>
      <c r="AA23" s="46">
        <v>0.049</v>
      </c>
      <c r="AB23" s="46">
        <f t="shared" si="19"/>
        <v>0.00964285714285714</v>
      </c>
      <c r="AC23" s="46">
        <v>0.06</v>
      </c>
      <c r="AD23" s="47"/>
      <c r="AF23" s="48" t="s">
        <v>102</v>
      </c>
      <c r="AG23" s="39">
        <f t="shared" si="6"/>
        <v>3.36</v>
      </c>
      <c r="AH23" s="39">
        <f t="shared" si="7"/>
        <v>3.36</v>
      </c>
      <c r="AI23" s="39">
        <f t="shared" si="8"/>
        <v>0</v>
      </c>
      <c r="AJ23" s="39">
        <f t="shared" si="9"/>
        <v>0</v>
      </c>
      <c r="AK23" s="39">
        <f t="shared" si="10"/>
        <v>0</v>
      </c>
      <c r="AL23" s="39">
        <f t="shared" si="11"/>
        <v>0</v>
      </c>
      <c r="AM23" s="39">
        <f t="shared" si="12"/>
        <v>0</v>
      </c>
      <c r="AN23" s="39">
        <f t="shared" si="13"/>
        <v>0</v>
      </c>
    </row>
    <row r="24" s="6" customFormat="1" ht="50" hidden="1" customHeight="1" spans="1:40">
      <c r="A24" s="37" t="s">
        <v>108</v>
      </c>
      <c r="B24" s="37" t="s">
        <v>146</v>
      </c>
      <c r="C24" s="37" t="str">
        <f>_xlfn.XLOOKUP(F24,'6月产品包'!B:B,'6月产品包'!H:H)</f>
        <v>未来吉他</v>
      </c>
      <c r="D24" s="38" t="str">
        <f>_xlfn.XLOOKUP(F24,'6月产品包'!B:B,'6月产品包'!O:O)</f>
        <v>无弦吉他</v>
      </c>
      <c r="E24" s="38" t="s">
        <v>147</v>
      </c>
      <c r="F24" s="39" t="s">
        <v>148</v>
      </c>
      <c r="G24" s="39" t="s">
        <v>106</v>
      </c>
      <c r="H24" s="37" t="s">
        <v>101</v>
      </c>
      <c r="I24" s="37" t="str">
        <f>_xlfn.XLOOKUP($F24,'6月库存'!A:A,'6月库存'!B:B)</f>
        <v>正常销售</v>
      </c>
      <c r="J24" s="12"/>
      <c r="K24" s="39">
        <f>_xlfn.XLOOKUP(E24,'[1]6月分配 '!$B:$B,'[1]6月分配 '!$K:$K)</f>
        <v>107362</v>
      </c>
      <c r="L24" s="12" t="str">
        <f t="shared" si="15"/>
        <v>是</v>
      </c>
      <c r="M24" s="40" t="str">
        <f>_xlfn.XLOOKUP(F24,'6月产品包'!B:B,'6月产品包'!J:J)</f>
        <v>2025-07-26</v>
      </c>
      <c r="N24" s="37" t="s">
        <v>149</v>
      </c>
      <c r="O24" s="37">
        <f>_xlfn.XLOOKUP(F24,'6月库存'!A:A,'6月库存'!R:R)</f>
        <v>172</v>
      </c>
      <c r="P24" s="39">
        <f>_xlfn.XLOOKUP(F24,'6月产品包'!B:B,'6月产品包'!S:S)</f>
        <v>3000</v>
      </c>
      <c r="Q24" s="39"/>
      <c r="R24" s="41">
        <f>_xlfn.XLOOKUP(F24,'6月产品包'!B:B,'6月产品包'!AD:AD)</f>
        <v>413.7546</v>
      </c>
      <c r="S24" s="39">
        <v>799</v>
      </c>
      <c r="T24" s="39">
        <f t="shared" si="16"/>
        <v>999</v>
      </c>
      <c r="U24" s="42">
        <f>$T24*(1-0.18)</f>
        <v>819.18</v>
      </c>
      <c r="V24" s="43">
        <v>0.18</v>
      </c>
      <c r="W24" s="44">
        <f t="shared" si="17"/>
        <v>0.494916135647843</v>
      </c>
      <c r="X24" s="44">
        <f t="shared" si="18"/>
        <v>0.305574688753224</v>
      </c>
      <c r="Y24" s="44">
        <v>0.038</v>
      </c>
      <c r="Z24" s="46">
        <v>0.105</v>
      </c>
      <c r="AA24" s="46">
        <v>0.049</v>
      </c>
      <c r="AB24" s="46">
        <f t="shared" si="19"/>
        <v>0.000659195781147001</v>
      </c>
      <c r="AC24" s="46">
        <v>0.08</v>
      </c>
      <c r="AD24" s="54">
        <v>0.06</v>
      </c>
      <c r="AE24" s="11"/>
      <c r="AF24" s="48" t="s">
        <v>114</v>
      </c>
      <c r="AG24" s="39">
        <f t="shared" si="6"/>
        <v>68.81112</v>
      </c>
      <c r="AH24" s="39">
        <f t="shared" si="7"/>
        <v>6</v>
      </c>
      <c r="AI24" s="39">
        <f t="shared" si="8"/>
        <v>21</v>
      </c>
      <c r="AJ24" s="39">
        <f t="shared" si="9"/>
        <v>68.81112</v>
      </c>
      <c r="AK24" s="39">
        <f t="shared" si="10"/>
        <v>61.4385</v>
      </c>
      <c r="AL24" s="39">
        <f t="shared" si="11"/>
        <v>54.06588</v>
      </c>
      <c r="AM24" s="39">
        <f t="shared" si="12"/>
        <v>36</v>
      </c>
      <c r="AN24" s="39">
        <f t="shared" si="13"/>
        <v>18</v>
      </c>
    </row>
    <row r="25" s="6" customFormat="1" ht="50" hidden="1" customHeight="1" spans="1:40">
      <c r="A25" s="37" t="s">
        <v>96</v>
      </c>
      <c r="B25" s="37" t="s">
        <v>115</v>
      </c>
      <c r="C25" s="37" t="str">
        <f>_xlfn.XLOOKUP(F25,'6月产品包'!B:B,'6月产品包'!H:H)</f>
        <v>点钞机</v>
      </c>
      <c r="D25" s="38" t="str">
        <f>_xlfn.XLOOKUP(F25,'6月产品包'!B:B,'6月产品包'!O:O)</f>
        <v>点钞机</v>
      </c>
      <c r="E25" s="38" t="s">
        <v>150</v>
      </c>
      <c r="F25" s="37" t="s">
        <v>151</v>
      </c>
      <c r="G25" s="39" t="s">
        <v>126</v>
      </c>
      <c r="H25" s="37" t="s">
        <v>101</v>
      </c>
      <c r="I25" s="37" t="str">
        <f>_xlfn.XLOOKUP($F25,'6月库存'!A:A,'6月库存'!B:B)</f>
        <v>商品清仓</v>
      </c>
      <c r="J25" s="12"/>
      <c r="K25" s="39">
        <f>_xlfn.XLOOKUP(E25,'[1]6月分配 '!$B:$B,'[1]6月分配 '!$K:$K)</f>
        <v>83177</v>
      </c>
      <c r="L25" s="12" t="str">
        <f t="shared" si="15"/>
        <v>是</v>
      </c>
      <c r="M25" s="40" t="str">
        <f>_xlfn.XLOOKUP(F25,'6月产品包'!B:B,'6月产品包'!J:J)</f>
        <v>2025-10-16</v>
      </c>
      <c r="N25" s="39" t="str">
        <f ca="1">IF(DATEDIF(M25,TODAY(),"m")&lt;6,"新品","老品")</f>
        <v>老品</v>
      </c>
      <c r="O25" s="37">
        <f>_xlfn.XLOOKUP(F25,'6月库存'!A:A,'6月库存'!R:R)</f>
        <v>1057</v>
      </c>
      <c r="P25" s="39">
        <f>_xlfn.XLOOKUP(F25,'6月产品包'!B:B,'6月产品包'!S:S)</f>
        <v>5500</v>
      </c>
      <c r="Q25" s="39"/>
      <c r="R25" s="41">
        <f>_xlfn.XLOOKUP(F25,'6月产品包'!B:B,'6月产品包'!AD:AD)</f>
        <v>123.6966</v>
      </c>
      <c r="S25" s="39">
        <v>220</v>
      </c>
      <c r="T25" s="39">
        <f t="shared" si="16"/>
        <v>275</v>
      </c>
      <c r="U25" s="42">
        <f t="shared" ref="U25:U88" si="20">$T25*(1-0.2)</f>
        <v>220</v>
      </c>
      <c r="V25" s="43">
        <v>0.2</v>
      </c>
      <c r="W25" s="44">
        <f t="shared" si="17"/>
        <v>0.437742727272727</v>
      </c>
      <c r="X25" s="44">
        <f t="shared" si="18"/>
        <v>0.250868459302325</v>
      </c>
      <c r="Y25" s="44">
        <v>0.038</v>
      </c>
      <c r="Z25" s="46">
        <v>0.1</v>
      </c>
      <c r="AA25" s="46">
        <v>0.049</v>
      </c>
      <c r="AB25" s="46">
        <f t="shared" si="19"/>
        <v>0.00245454545454545</v>
      </c>
      <c r="AC25" s="46">
        <v>0.06</v>
      </c>
      <c r="AD25" s="47"/>
      <c r="AF25" s="48" t="s">
        <v>114</v>
      </c>
      <c r="AG25" s="39">
        <f t="shared" si="6"/>
        <v>11.88</v>
      </c>
      <c r="AH25" s="39">
        <f t="shared" si="7"/>
        <v>6</v>
      </c>
      <c r="AI25" s="39">
        <f t="shared" si="8"/>
        <v>11.88</v>
      </c>
      <c r="AJ25" s="39">
        <f t="shared" si="9"/>
        <v>0</v>
      </c>
      <c r="AK25" s="39">
        <f t="shared" si="10"/>
        <v>0</v>
      </c>
      <c r="AL25" s="39">
        <f t="shared" si="11"/>
        <v>0</v>
      </c>
      <c r="AM25" s="39">
        <f t="shared" si="12"/>
        <v>0</v>
      </c>
      <c r="AN25" s="39">
        <f t="shared" si="13"/>
        <v>9.9</v>
      </c>
    </row>
    <row r="26" s="6" customFormat="1" ht="50" hidden="1" customHeight="1" spans="1:40">
      <c r="A26" s="37" t="s">
        <v>96</v>
      </c>
      <c r="B26" s="37" t="s">
        <v>97</v>
      </c>
      <c r="C26" s="37" t="str">
        <f>_xlfn.XLOOKUP(F26,'6月产品包'!B:B,'6月产品包'!H:H)</f>
        <v>摄像头</v>
      </c>
      <c r="D26" s="38" t="str">
        <f>_xlfn.XLOOKUP(F26,'6月产品包'!B:B,'6月产品包'!O:O)</f>
        <v>太阳能摄像头</v>
      </c>
      <c r="E26" s="38" t="s">
        <v>152</v>
      </c>
      <c r="F26" s="37" t="s">
        <v>153</v>
      </c>
      <c r="G26" s="39" t="s">
        <v>154</v>
      </c>
      <c r="H26" s="37" t="s">
        <v>107</v>
      </c>
      <c r="I26" s="37" t="str">
        <f>_xlfn.XLOOKUP($F26,'6月库存'!A:A,'6月库存'!B:B)</f>
        <v>商品清仓</v>
      </c>
      <c r="J26" s="12"/>
      <c r="K26" s="39" t="e">
        <f>_xlfn.XLOOKUP(E26,'[1]6月分配 '!$B:$B,'[1]6月分配 '!$K:$K)</f>
        <v>#N/A</v>
      </c>
      <c r="L26" s="12" t="str">
        <f t="shared" si="15"/>
        <v>否</v>
      </c>
      <c r="M26" s="40" t="str">
        <f>_xlfn.XLOOKUP(F26,'6月产品包'!B:B,'6月产品包'!J:J)</f>
        <v>2024-03-26</v>
      </c>
      <c r="N26" s="39" t="str">
        <f ca="1">IF(DATEDIF(M26,TODAY(),"m")&lt;6,"新品","老品")</f>
        <v>老品</v>
      </c>
      <c r="O26" s="37">
        <f>_xlfn.XLOOKUP(F26,'6月库存'!A:A,'6月库存'!R:R)</f>
        <v>14</v>
      </c>
      <c r="P26" s="39">
        <f>_xlfn.XLOOKUP(F26,'6月产品包'!B:B,'6月产品包'!S:S)</f>
        <v>1400</v>
      </c>
      <c r="Q26" s="39"/>
      <c r="R26" s="41">
        <f>_xlfn.XLOOKUP(F26,'6月产品包'!B:B,'6月产品包'!AD:AD)</f>
        <v>69.8668</v>
      </c>
      <c r="S26" s="39">
        <v>102</v>
      </c>
      <c r="T26" s="39">
        <f t="shared" si="16"/>
        <v>128</v>
      </c>
      <c r="U26" s="42">
        <f t="shared" si="20"/>
        <v>102.4</v>
      </c>
      <c r="V26" s="43">
        <v>0.2</v>
      </c>
      <c r="W26" s="44">
        <f t="shared" si="17"/>
        <v>0.31770703125</v>
      </c>
      <c r="X26" s="44">
        <f t="shared" si="18"/>
        <v>0.139308557293361</v>
      </c>
      <c r="Y26" s="44">
        <v>0.038</v>
      </c>
      <c r="Z26" s="46">
        <v>0.105</v>
      </c>
      <c r="AA26" s="46">
        <v>0.049</v>
      </c>
      <c r="AB26" s="46">
        <f t="shared" si="19"/>
        <v>0.0052734375</v>
      </c>
      <c r="AC26" s="46">
        <v>0.01</v>
      </c>
      <c r="AD26" s="47"/>
      <c r="AF26" s="48" t="s">
        <v>102</v>
      </c>
      <c r="AG26" s="39">
        <f t="shared" si="6"/>
        <v>6</v>
      </c>
      <c r="AH26" s="39">
        <f t="shared" si="7"/>
        <v>6</v>
      </c>
      <c r="AI26" s="39">
        <f t="shared" si="8"/>
        <v>0</v>
      </c>
      <c r="AJ26" s="39">
        <f t="shared" si="9"/>
        <v>0</v>
      </c>
      <c r="AK26" s="39">
        <f t="shared" si="10"/>
        <v>0</v>
      </c>
      <c r="AL26" s="39">
        <f t="shared" si="11"/>
        <v>0</v>
      </c>
      <c r="AM26" s="39">
        <f t="shared" si="12"/>
        <v>0</v>
      </c>
      <c r="AN26" s="39">
        <f t="shared" si="13"/>
        <v>0</v>
      </c>
    </row>
    <row r="27" s="6" customFormat="1" ht="50" hidden="1" customHeight="1" spans="1:40">
      <c r="A27" s="37" t="s">
        <v>108</v>
      </c>
      <c r="B27" s="37" t="s">
        <v>146</v>
      </c>
      <c r="C27" s="37" t="str">
        <f>_xlfn.XLOOKUP(F27,'6月产品包'!B:B,'6月产品包'!H:H)</f>
        <v>电子琴</v>
      </c>
      <c r="D27" s="38" t="str">
        <f>_xlfn.XLOOKUP(F27,'6月产品包'!B:B,'6月产品包'!O:O)</f>
        <v>折叠电子琴61键</v>
      </c>
      <c r="E27" s="38" t="s">
        <v>8</v>
      </c>
      <c r="F27" s="39" t="s">
        <v>9</v>
      </c>
      <c r="G27" s="39" t="s">
        <v>100</v>
      </c>
      <c r="H27" s="37" t="s">
        <v>101</v>
      </c>
      <c r="I27" s="37" t="str">
        <f>_xlfn.XLOOKUP($F27,'6月库存'!A:A,'6月库存'!B:B)</f>
        <v>正常销售</v>
      </c>
      <c r="J27" s="12"/>
      <c r="K27" s="39">
        <f>_xlfn.XLOOKUP(E27,'[1]6月分配 '!$B:$B,'[1]6月分配 '!$K:$K)</f>
        <v>49772</v>
      </c>
      <c r="L27" s="12" t="str">
        <f t="shared" si="15"/>
        <v>是</v>
      </c>
      <c r="M27" s="40" t="str">
        <f>_xlfn.XLOOKUP(F27,'6月产品包'!B:B,'6月产品包'!J:J)</f>
        <v>2025-10-09</v>
      </c>
      <c r="N27" s="39" t="s">
        <v>155</v>
      </c>
      <c r="O27" s="37">
        <f>_xlfn.XLOOKUP(F27,'6月库存'!A:A,'6月库存'!R:R)</f>
        <v>271</v>
      </c>
      <c r="P27" s="39">
        <f>_xlfn.XLOOKUP(F27,'6月产品包'!B:B,'6月产品包'!S:S)</f>
        <v>3300</v>
      </c>
      <c r="Q27" s="39"/>
      <c r="R27" s="41">
        <f>_xlfn.XLOOKUP(F27,'6月产品包'!B:B,'6月产品包'!AD:AD)</f>
        <v>95.1142</v>
      </c>
      <c r="S27" s="39">
        <v>207</v>
      </c>
      <c r="T27" s="39">
        <f t="shared" si="16"/>
        <v>259</v>
      </c>
      <c r="U27" s="42">
        <f t="shared" si="20"/>
        <v>207.2</v>
      </c>
      <c r="V27" s="43">
        <v>0.2</v>
      </c>
      <c r="W27" s="44">
        <f t="shared" si="17"/>
        <v>0.540954633204633</v>
      </c>
      <c r="X27" s="44">
        <f t="shared" si="18"/>
        <v>0.384157269614673</v>
      </c>
      <c r="Y27" s="44">
        <v>0.038</v>
      </c>
      <c r="Z27" s="46">
        <v>0.105</v>
      </c>
      <c r="AA27" s="46">
        <v>0.049</v>
      </c>
      <c r="AB27" s="46">
        <f t="shared" si="19"/>
        <v>0.00260617760617761</v>
      </c>
      <c r="AC27" s="46">
        <v>0.06</v>
      </c>
      <c r="AD27" s="47"/>
      <c r="AF27" s="48" t="s">
        <v>114</v>
      </c>
      <c r="AG27" s="39">
        <f t="shared" si="6"/>
        <v>11.1888</v>
      </c>
      <c r="AH27" s="39">
        <f t="shared" si="7"/>
        <v>6</v>
      </c>
      <c r="AI27" s="39">
        <f t="shared" si="8"/>
        <v>11.1888</v>
      </c>
      <c r="AJ27" s="39">
        <f t="shared" si="9"/>
        <v>0</v>
      </c>
      <c r="AK27" s="39">
        <f t="shared" si="10"/>
        <v>0</v>
      </c>
      <c r="AL27" s="39">
        <f t="shared" si="11"/>
        <v>0</v>
      </c>
      <c r="AM27" s="39">
        <f t="shared" si="12"/>
        <v>0</v>
      </c>
      <c r="AN27" s="39">
        <f t="shared" si="13"/>
        <v>9.324</v>
      </c>
    </row>
    <row r="28" s="6" customFormat="1" ht="50" hidden="1" customHeight="1" spans="1:40">
      <c r="A28" s="37" t="s">
        <v>96</v>
      </c>
      <c r="B28" s="37" t="s">
        <v>97</v>
      </c>
      <c r="C28" s="37" t="str">
        <f>_xlfn.XLOOKUP(F28,'6月产品包'!B:B,'6月产品包'!H:H)</f>
        <v>路由器</v>
      </c>
      <c r="D28" s="38" t="str">
        <f>_xlfn.XLOOKUP(F28,'6月产品包'!B:B,'6月产品包'!O:O)</f>
        <v>P6000路由器</v>
      </c>
      <c r="E28" s="38" t="s">
        <v>156</v>
      </c>
      <c r="F28" s="37" t="s">
        <v>157</v>
      </c>
      <c r="G28" s="39" t="e">
        <v>#N/A</v>
      </c>
      <c r="H28" s="37" t="s">
        <v>107</v>
      </c>
      <c r="I28" s="37" t="str">
        <f>_xlfn.XLOOKUP($F28,'6月库存'!A:A,'6月库存'!B:B)</f>
        <v>商品清仓</v>
      </c>
      <c r="J28" s="12"/>
      <c r="K28" s="39">
        <f>_xlfn.XLOOKUP(E28,'[1]6月分配 '!$B:$B,'[1]6月分配 '!$K:$K)</f>
        <v>46767</v>
      </c>
      <c r="L28" s="12" t="str">
        <f t="shared" si="15"/>
        <v>是</v>
      </c>
      <c r="M28" s="40" t="str">
        <f>_xlfn.XLOOKUP(F28,'6月产品包'!B:B,'6月产品包'!J:J)</f>
        <v>2023-07-25</v>
      </c>
      <c r="N28" s="39" t="str">
        <f ca="1" t="shared" ref="N28:N34" si="21">IF(DATEDIF(M28,TODAY(),"m")&lt;6,"新品","老品")</f>
        <v>老品</v>
      </c>
      <c r="O28" s="37">
        <f>_xlfn.XLOOKUP(F28,'6月库存'!A:A,'6月库存'!R:R)</f>
        <v>361</v>
      </c>
      <c r="P28" s="39">
        <f>_xlfn.XLOOKUP(F28,'6月产品包'!B:B,'6月产品包'!S:S)</f>
        <v>300</v>
      </c>
      <c r="Q28" s="39"/>
      <c r="R28" s="41">
        <f>_xlfn.XLOOKUP(F28,'6月产品包'!B:B,'6月产品包'!AD:AD)</f>
        <v>54.1952</v>
      </c>
      <c r="S28" s="39">
        <v>108</v>
      </c>
      <c r="T28" s="39">
        <f t="shared" si="16"/>
        <v>135</v>
      </c>
      <c r="U28" s="42">
        <f t="shared" si="20"/>
        <v>108</v>
      </c>
      <c r="V28" s="43">
        <v>0.2</v>
      </c>
      <c r="W28" s="44">
        <f t="shared" si="17"/>
        <v>0.498192592592593</v>
      </c>
      <c r="X28" s="44">
        <f t="shared" si="18"/>
        <v>0.324619909276706</v>
      </c>
      <c r="Y28" s="51">
        <v>0.038</v>
      </c>
      <c r="Z28" s="46">
        <v>0.105</v>
      </c>
      <c r="AA28" s="46">
        <v>0.049</v>
      </c>
      <c r="AB28" s="46">
        <f t="shared" si="19"/>
        <v>0.005</v>
      </c>
      <c r="AC28" s="46">
        <v>0.06</v>
      </c>
      <c r="AD28" s="47"/>
      <c r="AF28" s="55" t="s">
        <v>102</v>
      </c>
      <c r="AG28" s="39">
        <f t="shared" si="6"/>
        <v>6</v>
      </c>
      <c r="AH28" s="39">
        <f t="shared" si="7"/>
        <v>6</v>
      </c>
      <c r="AI28" s="39">
        <f t="shared" si="8"/>
        <v>0</v>
      </c>
      <c r="AJ28" s="39">
        <f t="shared" si="9"/>
        <v>0</v>
      </c>
      <c r="AK28" s="39">
        <f t="shared" si="10"/>
        <v>0</v>
      </c>
      <c r="AL28" s="39">
        <f t="shared" si="11"/>
        <v>0</v>
      </c>
      <c r="AM28" s="39">
        <f t="shared" si="12"/>
        <v>0</v>
      </c>
      <c r="AN28" s="39">
        <f t="shared" si="13"/>
        <v>0</v>
      </c>
    </row>
    <row r="29" s="6" customFormat="1" ht="50" hidden="1" customHeight="1" spans="1:40">
      <c r="A29" s="37" t="s">
        <v>96</v>
      </c>
      <c r="B29" s="37" t="s">
        <v>127</v>
      </c>
      <c r="C29" s="37" t="str">
        <f>_xlfn.XLOOKUP(F29,'6月产品包'!B:B,'6月产品包'!H:H)</f>
        <v>保险箱</v>
      </c>
      <c r="D29" s="38" t="str">
        <f>_xlfn.XLOOKUP(F29,'6月产品包'!B:B,'6月产品包'!O:O)</f>
        <v>液晶保险箱</v>
      </c>
      <c r="E29" s="38" t="s">
        <v>158</v>
      </c>
      <c r="F29" s="39" t="s">
        <v>159</v>
      </c>
      <c r="G29" s="39" t="s">
        <v>106</v>
      </c>
      <c r="H29" s="39" t="s">
        <v>101</v>
      </c>
      <c r="I29" s="37" t="str">
        <f>_xlfn.XLOOKUP($F29,'6月库存'!A:A,'6月库存'!B:B)</f>
        <v>正常销售</v>
      </c>
      <c r="J29" s="12"/>
      <c r="K29" s="39">
        <f>_xlfn.XLOOKUP(E29,'[1]6月分配 '!$B:$B,'[1]6月分配 '!$K:$K)</f>
        <v>44452</v>
      </c>
      <c r="L29" s="12" t="str">
        <f t="shared" si="15"/>
        <v>是</v>
      </c>
      <c r="M29" s="40" t="str">
        <f>_xlfn.XLOOKUP(F29,'6月产品包'!B:B,'6月产品包'!J:J)</f>
        <v>2025-11-13</v>
      </c>
      <c r="N29" s="39" t="str">
        <f ca="1" t="shared" si="21"/>
        <v>老品</v>
      </c>
      <c r="O29" s="37">
        <f>_xlfn.XLOOKUP(F29,'6月库存'!A:A,'6月库存'!R:R)</f>
        <v>191</v>
      </c>
      <c r="P29" s="39">
        <f>_xlfn.XLOOKUP(F29,'6月产品包'!B:B,'6月产品包'!S:S)</f>
        <v>13950</v>
      </c>
      <c r="Q29" s="39"/>
      <c r="R29" s="41">
        <f>_xlfn.XLOOKUP(F29,'6月产品包'!B:B,'6月产品包'!AD:AD)</f>
        <v>160.6368</v>
      </c>
      <c r="S29" s="39">
        <v>350</v>
      </c>
      <c r="T29" s="39">
        <f t="shared" si="16"/>
        <v>438</v>
      </c>
      <c r="U29" s="42">
        <f t="shared" si="20"/>
        <v>350.4</v>
      </c>
      <c r="V29" s="43">
        <v>0.2</v>
      </c>
      <c r="W29" s="44">
        <f t="shared" si="17"/>
        <v>0.541561643835616</v>
      </c>
      <c r="X29" s="44">
        <f t="shared" si="18"/>
        <v>0.389935559140667</v>
      </c>
      <c r="Y29" s="51">
        <v>0.038</v>
      </c>
      <c r="Z29" s="46">
        <v>0.1</v>
      </c>
      <c r="AA29" s="46">
        <v>0.049</v>
      </c>
      <c r="AB29" s="46">
        <f t="shared" si="19"/>
        <v>0.00154109589041096</v>
      </c>
      <c r="AC29" s="46">
        <v>0.06</v>
      </c>
      <c r="AD29" s="49"/>
      <c r="AF29" s="48" t="s">
        <v>114</v>
      </c>
      <c r="AG29" s="39">
        <f t="shared" si="6"/>
        <v>18.9216</v>
      </c>
      <c r="AH29" s="39">
        <f t="shared" si="7"/>
        <v>6</v>
      </c>
      <c r="AI29" s="39">
        <f t="shared" si="8"/>
        <v>18.9216</v>
      </c>
      <c r="AJ29" s="39">
        <f t="shared" si="9"/>
        <v>0</v>
      </c>
      <c r="AK29" s="39">
        <f t="shared" si="10"/>
        <v>0</v>
      </c>
      <c r="AL29" s="39">
        <f t="shared" si="11"/>
        <v>0</v>
      </c>
      <c r="AM29" s="39">
        <f t="shared" si="12"/>
        <v>18.9216</v>
      </c>
      <c r="AN29" s="39">
        <f t="shared" si="13"/>
        <v>15.768</v>
      </c>
    </row>
    <row r="30" s="6" customFormat="1" ht="50" hidden="1" customHeight="1" spans="1:40">
      <c r="A30" s="37" t="s">
        <v>108</v>
      </c>
      <c r="B30" s="37" t="s">
        <v>109</v>
      </c>
      <c r="C30" s="37" t="str">
        <f>_xlfn.XLOOKUP(F30,'6月产品包'!B:B,'6月产品包'!H:H)</f>
        <v>显示器支架</v>
      </c>
      <c r="D30" s="38" t="str">
        <f>_xlfn.XLOOKUP(F30,'6月产品包'!B:B,'6月产品包'!O:O)</f>
        <v>立式显示器支架</v>
      </c>
      <c r="E30" s="38" t="s">
        <v>160</v>
      </c>
      <c r="F30" s="37" t="s">
        <v>161</v>
      </c>
      <c r="G30" s="39" t="s">
        <v>154</v>
      </c>
      <c r="H30" s="39" t="s">
        <v>101</v>
      </c>
      <c r="I30" s="37" t="str">
        <f>_xlfn.XLOOKUP($F30,'6月库存'!A:A,'6月库存'!B:B)</f>
        <v>正常销售</v>
      </c>
      <c r="J30" s="12"/>
      <c r="K30" s="39" t="e">
        <f>_xlfn.XLOOKUP(E30,'[1]6月分配 '!$B:$B,'[1]6月分配 '!$K:$K)</f>
        <v>#N/A</v>
      </c>
      <c r="L30" s="12" t="str">
        <f t="shared" si="15"/>
        <v>否</v>
      </c>
      <c r="M30" s="40" t="str">
        <f>_xlfn.XLOOKUP(F30,'6月产品包'!B:B,'6月产品包'!J:J)</f>
        <v>2024-11-12</v>
      </c>
      <c r="N30" s="39" t="str">
        <f ca="1" t="shared" si="21"/>
        <v>老品</v>
      </c>
      <c r="O30" s="37">
        <f>_xlfn.XLOOKUP(F30,'6月库存'!A:A,'6月库存'!R:R)</f>
        <v>0</v>
      </c>
      <c r="P30" s="39">
        <f>_xlfn.XLOOKUP(F30,'6月产品包'!B:B,'6月产品包'!S:S)</f>
        <v>5500</v>
      </c>
      <c r="Q30" s="39"/>
      <c r="R30" s="41">
        <f>_xlfn.XLOOKUP(F30,'6月产品包'!B:B,'6月产品包'!AD:AD)</f>
        <v>62.0716</v>
      </c>
      <c r="S30" s="39">
        <v>109</v>
      </c>
      <c r="T30" s="39">
        <f t="shared" si="16"/>
        <v>136</v>
      </c>
      <c r="U30" s="42">
        <f t="shared" si="20"/>
        <v>108.8</v>
      </c>
      <c r="V30" s="43">
        <v>0.2</v>
      </c>
      <c r="W30" s="44">
        <f t="shared" si="17"/>
        <v>0.429488970588235</v>
      </c>
      <c r="X30" s="44">
        <f t="shared" si="18"/>
        <v>0.247383430494796</v>
      </c>
      <c r="Y30" s="44">
        <v>0.038</v>
      </c>
      <c r="Z30" s="46">
        <v>0.09</v>
      </c>
      <c r="AA30" s="46">
        <v>0.049</v>
      </c>
      <c r="AB30" s="46">
        <f t="shared" si="19"/>
        <v>0.00496323529411765</v>
      </c>
      <c r="AC30" s="46">
        <v>0.06</v>
      </c>
      <c r="AD30" s="47"/>
      <c r="AF30" s="48" t="s">
        <v>102</v>
      </c>
      <c r="AG30" s="39">
        <f t="shared" si="6"/>
        <v>6</v>
      </c>
      <c r="AH30" s="39">
        <f t="shared" si="7"/>
        <v>6</v>
      </c>
      <c r="AI30" s="39">
        <f t="shared" si="8"/>
        <v>0</v>
      </c>
      <c r="AJ30" s="39">
        <f t="shared" si="9"/>
        <v>0</v>
      </c>
      <c r="AK30" s="39">
        <f t="shared" si="10"/>
        <v>0</v>
      </c>
      <c r="AL30" s="39">
        <f t="shared" si="11"/>
        <v>0</v>
      </c>
      <c r="AM30" s="39">
        <f t="shared" si="12"/>
        <v>0</v>
      </c>
      <c r="AN30" s="39">
        <f t="shared" si="13"/>
        <v>0</v>
      </c>
    </row>
    <row r="31" s="6" customFormat="1" ht="50" hidden="1" customHeight="1" spans="1:40">
      <c r="A31" s="37" t="s">
        <v>108</v>
      </c>
      <c r="B31" s="37" t="s">
        <v>109</v>
      </c>
      <c r="C31" s="37" t="str">
        <f>_xlfn.XLOOKUP(F31,'6月产品包'!B:B,'6月产品包'!H:H)</f>
        <v>显示器支架</v>
      </c>
      <c r="D31" s="38" t="str">
        <f>_xlfn.XLOOKUP(F31,'6月产品包'!B:B,'6月产品包'!O:O)</f>
        <v>气钢单臂显示器支架</v>
      </c>
      <c r="E31" s="38" t="s">
        <v>162</v>
      </c>
      <c r="F31" s="37" t="s">
        <v>163</v>
      </c>
      <c r="G31" s="39" t="s">
        <v>100</v>
      </c>
      <c r="H31" s="37" t="s">
        <v>101</v>
      </c>
      <c r="I31" s="37" t="str">
        <f>_xlfn.XLOOKUP($F31,'6月库存'!A:A,'6月库存'!B:B)</f>
        <v>正常销售</v>
      </c>
      <c r="J31" s="12"/>
      <c r="K31" s="39" t="e">
        <f>_xlfn.XLOOKUP(E31,'[1]6月分配 '!$B:$B,'[1]6月分配 '!$K:$K)</f>
        <v>#N/A</v>
      </c>
      <c r="L31" s="12" t="str">
        <f t="shared" si="15"/>
        <v>否</v>
      </c>
      <c r="M31" s="40" t="str">
        <f>_xlfn.XLOOKUP(F31,'6月产品包'!B:B,'6月产品包'!J:J)</f>
        <v>2024-10-10</v>
      </c>
      <c r="N31" s="39" t="str">
        <f ca="1" t="shared" si="21"/>
        <v>老品</v>
      </c>
      <c r="O31" s="37">
        <f>_xlfn.XLOOKUP(F31,'6月库存'!A:A,'6月库存'!R:R)</f>
        <v>1582</v>
      </c>
      <c r="P31" s="39">
        <f>_xlfn.XLOOKUP(F31,'6月产品包'!B:B,'6月产品包'!S:S)</f>
        <v>2331</v>
      </c>
      <c r="Q31" s="39"/>
      <c r="R31" s="41">
        <f>_xlfn.XLOOKUP(F31,'6月产品包'!B:B,'6月产品包'!AD:AD)</f>
        <v>30.7284</v>
      </c>
      <c r="S31" s="39">
        <v>65</v>
      </c>
      <c r="T31" s="39">
        <f t="shared" si="16"/>
        <v>81</v>
      </c>
      <c r="U31" s="42">
        <f t="shared" si="20"/>
        <v>64.8</v>
      </c>
      <c r="V31" s="43">
        <v>0.2</v>
      </c>
      <c r="W31" s="44">
        <f t="shared" si="17"/>
        <v>0.525796296296296</v>
      </c>
      <c r="X31" s="44">
        <f t="shared" si="18"/>
        <v>0.358895398327575</v>
      </c>
      <c r="Y31" s="44">
        <v>0.038</v>
      </c>
      <c r="Z31" s="46">
        <v>0.105</v>
      </c>
      <c r="AA31" s="46">
        <v>0.049</v>
      </c>
      <c r="AB31" s="46">
        <f t="shared" si="19"/>
        <v>0.00833333333333333</v>
      </c>
      <c r="AC31" s="46">
        <v>0.06</v>
      </c>
      <c r="AD31" s="47"/>
      <c r="AF31" s="48" t="s">
        <v>102</v>
      </c>
      <c r="AG31" s="39">
        <f t="shared" si="6"/>
        <v>3.888</v>
      </c>
      <c r="AH31" s="39">
        <f t="shared" si="7"/>
        <v>3.888</v>
      </c>
      <c r="AI31" s="39">
        <f t="shared" si="8"/>
        <v>0</v>
      </c>
      <c r="AJ31" s="39">
        <f t="shared" si="9"/>
        <v>0</v>
      </c>
      <c r="AK31" s="39">
        <f t="shared" si="10"/>
        <v>0</v>
      </c>
      <c r="AL31" s="39">
        <f t="shared" si="11"/>
        <v>0</v>
      </c>
      <c r="AM31" s="39">
        <f t="shared" si="12"/>
        <v>0</v>
      </c>
      <c r="AN31" s="39">
        <f t="shared" si="13"/>
        <v>0</v>
      </c>
    </row>
    <row r="32" s="6" customFormat="1" ht="50" hidden="1" customHeight="1" spans="1:40">
      <c r="A32" s="37" t="s">
        <v>108</v>
      </c>
      <c r="B32" s="37" t="s">
        <v>109</v>
      </c>
      <c r="C32" s="37" t="str">
        <f>_xlfn.XLOOKUP(F32,'6月产品包'!B:B,'6月产品包'!H:H)</f>
        <v>电脑机箱</v>
      </c>
      <c r="D32" s="38" t="str">
        <f>_xlfn.XLOOKUP(F32,'6月产品包'!B:B,'6月产品包'!O:O)</f>
        <v>电脑机箱T6风扇款</v>
      </c>
      <c r="E32" s="38" t="s">
        <v>164</v>
      </c>
      <c r="F32" s="39" t="s">
        <v>165</v>
      </c>
      <c r="G32" s="39" t="s">
        <v>100</v>
      </c>
      <c r="H32" s="39" t="s">
        <v>101</v>
      </c>
      <c r="I32" s="37" t="str">
        <f>_xlfn.XLOOKUP($F32,'6月库存'!A:A,'6月库存'!B:B)</f>
        <v>正常销售</v>
      </c>
      <c r="J32" s="12"/>
      <c r="K32" s="39" t="e">
        <f>_xlfn.XLOOKUP(E32,'[1]6月分配 '!$B:$B,'[1]6月分配 '!$K:$K)</f>
        <v>#N/A</v>
      </c>
      <c r="L32" s="12" t="str">
        <f t="shared" si="15"/>
        <v>否</v>
      </c>
      <c r="M32" s="40" t="str">
        <f>_xlfn.XLOOKUP(F32,'6月产品包'!B:B,'6月产品包'!J:J)</f>
        <v>2025-12-23</v>
      </c>
      <c r="N32" s="39" t="str">
        <f ca="1" t="shared" si="21"/>
        <v>新品</v>
      </c>
      <c r="O32" s="37">
        <f>_xlfn.XLOOKUP(F32,'6月库存'!A:A,'6月库存'!R:R)</f>
        <v>13</v>
      </c>
      <c r="P32" s="39">
        <f>_xlfn.XLOOKUP(F32,'6月产品包'!B:B,'6月产品包'!S:S)</f>
        <v>5890</v>
      </c>
      <c r="Q32" s="39"/>
      <c r="R32" s="41">
        <f>_xlfn.XLOOKUP(F32,'6月产品包'!B:B,'6月产品包'!AD:AD)</f>
        <v>117.2586</v>
      </c>
      <c r="S32" s="15">
        <v>215</v>
      </c>
      <c r="T32" s="39">
        <f t="shared" si="16"/>
        <v>269</v>
      </c>
      <c r="U32" s="42">
        <f t="shared" si="20"/>
        <v>215.2</v>
      </c>
      <c r="V32" s="43">
        <v>0.2</v>
      </c>
      <c r="W32" s="44">
        <f t="shared" si="17"/>
        <v>0.455118029739777</v>
      </c>
      <c r="X32" s="44">
        <f t="shared" si="18"/>
        <v>0.28539198478865</v>
      </c>
      <c r="Y32" s="52">
        <v>0.04</v>
      </c>
      <c r="Z32" s="46">
        <v>0.086</v>
      </c>
      <c r="AA32" s="46">
        <v>0.049</v>
      </c>
      <c r="AB32" s="46">
        <f t="shared" si="19"/>
        <v>0.0025092936802974</v>
      </c>
      <c r="AC32" s="46">
        <v>0.06</v>
      </c>
      <c r="AD32" s="47"/>
      <c r="AF32" s="48" t="s">
        <v>102</v>
      </c>
      <c r="AG32" s="39">
        <f t="shared" si="6"/>
        <v>11.6208</v>
      </c>
      <c r="AH32" s="39">
        <f t="shared" si="7"/>
        <v>6</v>
      </c>
      <c r="AI32" s="39">
        <f t="shared" si="8"/>
        <v>11.6208</v>
      </c>
      <c r="AJ32" s="39">
        <f t="shared" si="9"/>
        <v>0</v>
      </c>
      <c r="AK32" s="39">
        <f t="shared" si="10"/>
        <v>0</v>
      </c>
      <c r="AL32" s="39">
        <f t="shared" si="11"/>
        <v>0</v>
      </c>
      <c r="AM32" s="39">
        <f t="shared" si="12"/>
        <v>0</v>
      </c>
      <c r="AN32" s="39">
        <f t="shared" si="13"/>
        <v>9.684</v>
      </c>
    </row>
    <row r="33" s="6" customFormat="1" ht="50" hidden="1" customHeight="1" spans="1:40">
      <c r="A33" s="39" t="str">
        <f>_xlfn.XLOOKUP(F33,'6月产品包'!B:B,'6月产品包'!F:F)</f>
        <v>3C数码</v>
      </c>
      <c r="B33" s="39" t="str">
        <f>_xlfn.XLOOKUP(F33,'6月产品包'!B:B,'6月产品包'!G:G)</f>
        <v>影像摄影</v>
      </c>
      <c r="C33" s="37" t="str">
        <f>_xlfn.XLOOKUP(F33,'6月产品包'!B:B,'6月产品包'!H:H)</f>
        <v>家用音视频设备*投影仪</v>
      </c>
      <c r="D33" s="38" t="str">
        <f>_xlfn.XLOOKUP(F33,'6月产品包'!B:B,'6月产品包'!O:O)</f>
        <v>投影仪Z300</v>
      </c>
      <c r="E33" s="38" t="str">
        <f>_xlfn.XLOOKUP(F33,'6月产品包'!B:B,'6月产品包'!C:C)</f>
        <v>3C-高亮自动对焦灯带投影仪Z300</v>
      </c>
      <c r="F33" s="39" t="s">
        <v>54</v>
      </c>
      <c r="G33" s="39" t="s">
        <v>106</v>
      </c>
      <c r="H33" s="39" t="s">
        <v>107</v>
      </c>
      <c r="I33" s="37" t="str">
        <f>_xlfn.XLOOKUP($F33,'6月库存'!A:A,'6月库存'!B:B)</f>
        <v>正常销售</v>
      </c>
      <c r="J33" s="12"/>
      <c r="K33" s="39">
        <f>_xlfn.XLOOKUP(E33,'[1]6月分配 '!$B:$B,'[1]6月分配 '!$K:$K)</f>
        <v>40438</v>
      </c>
      <c r="L33" s="12" t="str">
        <f t="shared" si="15"/>
        <v>是</v>
      </c>
      <c r="M33" s="40" t="str">
        <f>_xlfn.XLOOKUP(F33,'6月产品包'!B:B,'6月产品包'!J:J)</f>
        <v>2026-04-13</v>
      </c>
      <c r="N33" s="39" t="str">
        <f ca="1" t="shared" si="21"/>
        <v>新品</v>
      </c>
      <c r="O33" s="37">
        <f>_xlfn.XLOOKUP(F33,'6月库存'!A:A,'6月库存'!R:R)</f>
        <v>74</v>
      </c>
      <c r="P33" s="39">
        <f>_xlfn.XLOOKUP(F33,'6月产品包'!B:B,'6月产品包'!S:S)</f>
        <v>1800</v>
      </c>
      <c r="Q33" s="56"/>
      <c r="R33" s="41">
        <f>_xlfn.XLOOKUP(F33,'6月产品包'!B:B,'6月产品包'!AD:AD)</f>
        <v>234.5404</v>
      </c>
      <c r="S33" s="39">
        <v>489</v>
      </c>
      <c r="T33" s="39">
        <f t="shared" si="16"/>
        <v>611</v>
      </c>
      <c r="U33" s="42">
        <f t="shared" si="20"/>
        <v>488.8</v>
      </c>
      <c r="V33" s="43">
        <v>0.2</v>
      </c>
      <c r="W33" s="44">
        <f t="shared" si="17"/>
        <v>0.520171031096563</v>
      </c>
      <c r="X33" s="44">
        <f t="shared" si="18"/>
        <v>0.309494536967033</v>
      </c>
      <c r="Y33" s="44">
        <v>0.04</v>
      </c>
      <c r="Z33" s="46">
        <v>0.115</v>
      </c>
      <c r="AA33" s="46">
        <v>0.049</v>
      </c>
      <c r="AB33" s="46">
        <f t="shared" si="19"/>
        <v>0.00110474631751227</v>
      </c>
      <c r="AC33" s="46">
        <v>0.1</v>
      </c>
      <c r="AD33" s="44">
        <v>0.08</v>
      </c>
      <c r="AE33" s="44">
        <v>0.05</v>
      </c>
      <c r="AF33" s="57">
        <v>0.18</v>
      </c>
      <c r="AG33" s="39">
        <f t="shared" si="6"/>
        <v>41.0592</v>
      </c>
      <c r="AH33" s="39">
        <f t="shared" si="7"/>
        <v>6</v>
      </c>
      <c r="AI33" s="39">
        <f t="shared" si="8"/>
        <v>21</v>
      </c>
      <c r="AJ33" s="39">
        <f t="shared" si="9"/>
        <v>41.0592</v>
      </c>
      <c r="AK33" s="39">
        <f t="shared" si="10"/>
        <v>36.66</v>
      </c>
      <c r="AL33" s="39">
        <f t="shared" si="11"/>
        <v>32.2608</v>
      </c>
      <c r="AM33" s="39">
        <f t="shared" si="12"/>
        <v>26.3952</v>
      </c>
      <c r="AN33" s="39">
        <f t="shared" si="13"/>
        <v>18</v>
      </c>
    </row>
    <row r="34" s="6" customFormat="1" ht="50" hidden="1" customHeight="1" spans="1:40">
      <c r="A34" s="37" t="s">
        <v>108</v>
      </c>
      <c r="B34" s="37" t="s">
        <v>109</v>
      </c>
      <c r="C34" s="37" t="str">
        <f>_xlfn.XLOOKUP(F34,'6月产品包'!B:B,'6月产品包'!H:H)</f>
        <v>显示器支架</v>
      </c>
      <c r="D34" s="38" t="str">
        <f>_xlfn.XLOOKUP(F34,'6月产品包'!B:B,'6月产品包'!O:O)</f>
        <v>双臂显示器支架</v>
      </c>
      <c r="E34" s="38" t="s">
        <v>166</v>
      </c>
      <c r="F34" s="37" t="s">
        <v>167</v>
      </c>
      <c r="G34" s="39" t="s">
        <v>100</v>
      </c>
      <c r="H34" s="39" t="s">
        <v>101</v>
      </c>
      <c r="I34" s="37" t="str">
        <f>_xlfn.XLOOKUP($F34,'6月库存'!A:A,'6月库存'!B:B)</f>
        <v>正常销售</v>
      </c>
      <c r="J34" s="12"/>
      <c r="K34" s="39" t="e">
        <f>_xlfn.XLOOKUP(E34,'[1]6月分配 '!$B:$B,'[1]6月分配 '!$K:$K)</f>
        <v>#N/A</v>
      </c>
      <c r="L34" s="12" t="str">
        <f t="shared" si="15"/>
        <v>否</v>
      </c>
      <c r="M34" s="40" t="str">
        <f>_xlfn.XLOOKUP(F34,'6月产品包'!B:B,'6月产品包'!J:J)</f>
        <v>2024-01-01</v>
      </c>
      <c r="N34" s="39" t="str">
        <f ca="1" t="shared" si="21"/>
        <v>老品</v>
      </c>
      <c r="O34" s="37">
        <f>_xlfn.XLOOKUP(F34,'6月库存'!A:A,'6月库存'!R:R)</f>
        <v>278</v>
      </c>
      <c r="P34" s="39">
        <f>_xlfn.XLOOKUP(F34,'6月产品包'!B:B,'6月产品包'!S:S)</f>
        <v>4000</v>
      </c>
      <c r="Q34" s="39"/>
      <c r="R34" s="41">
        <f>_xlfn.XLOOKUP(F34,'6月产品包'!B:B,'6月产品包'!AD:AD)</f>
        <v>41.9572</v>
      </c>
      <c r="S34" s="39">
        <v>78</v>
      </c>
      <c r="T34" s="39">
        <f t="shared" si="16"/>
        <v>98</v>
      </c>
      <c r="U34" s="42">
        <f t="shared" si="20"/>
        <v>78.4</v>
      </c>
      <c r="V34" s="43">
        <v>0.2</v>
      </c>
      <c r="W34" s="44">
        <f t="shared" si="17"/>
        <v>0.464831632653061</v>
      </c>
      <c r="X34" s="44">
        <f t="shared" si="18"/>
        <v>0.277884866926434</v>
      </c>
      <c r="Y34" s="44">
        <v>0.038</v>
      </c>
      <c r="Z34" s="46">
        <v>0.105</v>
      </c>
      <c r="AA34" s="46">
        <v>0.049</v>
      </c>
      <c r="AB34" s="46">
        <f t="shared" si="19"/>
        <v>0.00688775510204082</v>
      </c>
      <c r="AC34" s="46">
        <v>0.06</v>
      </c>
      <c r="AD34" s="47"/>
      <c r="AF34" s="48" t="s">
        <v>102</v>
      </c>
      <c r="AG34" s="39">
        <f t="shared" si="6"/>
        <v>4.704</v>
      </c>
      <c r="AH34" s="39">
        <f t="shared" si="7"/>
        <v>4.704</v>
      </c>
      <c r="AI34" s="39">
        <f t="shared" si="8"/>
        <v>0</v>
      </c>
      <c r="AJ34" s="39">
        <f t="shared" si="9"/>
        <v>0</v>
      </c>
      <c r="AK34" s="39">
        <f t="shared" si="10"/>
        <v>0</v>
      </c>
      <c r="AL34" s="39">
        <f t="shared" si="11"/>
        <v>0</v>
      </c>
      <c r="AM34" s="39">
        <f t="shared" si="12"/>
        <v>0</v>
      </c>
      <c r="AN34" s="39">
        <f t="shared" si="13"/>
        <v>0</v>
      </c>
    </row>
    <row r="35" s="6" customFormat="1" ht="50" hidden="1" customHeight="1" spans="1:40">
      <c r="A35" s="37" t="s">
        <v>108</v>
      </c>
      <c r="B35" s="37" t="s">
        <v>168</v>
      </c>
      <c r="C35" s="37" t="str">
        <f>_xlfn.XLOOKUP(F35,'6月产品包'!B:B,'6月产品包'!H:H)</f>
        <v>电视支架</v>
      </c>
      <c r="D35" s="38" t="str">
        <f>_xlfn.XLOOKUP(F35,'6月产品包'!B:B,'6月产品包'!O:O)</f>
        <v>移动电视支架</v>
      </c>
      <c r="E35" s="38" t="s">
        <v>14</v>
      </c>
      <c r="F35" s="39" t="s">
        <v>15</v>
      </c>
      <c r="G35" s="39" t="s">
        <v>100</v>
      </c>
      <c r="H35" s="37" t="s">
        <v>101</v>
      </c>
      <c r="I35" s="37" t="str">
        <f>_xlfn.XLOOKUP($F35,'6月库存'!A:A,'6月库存'!B:B)</f>
        <v>正常销售</v>
      </c>
      <c r="J35" s="12"/>
      <c r="K35" s="39">
        <f>_xlfn.XLOOKUP(E35,'[1]6月分配 '!$B:$B,'[1]6月分配 '!$K:$K)</f>
        <v>38775</v>
      </c>
      <c r="L35" s="12" t="str">
        <f t="shared" si="15"/>
        <v>是</v>
      </c>
      <c r="M35" s="40" t="str">
        <f>_xlfn.XLOOKUP(F35,'6月产品包'!B:B,'6月产品包'!J:J)</f>
        <v>2025-04-24</v>
      </c>
      <c r="N35" s="39" t="s">
        <v>155</v>
      </c>
      <c r="O35" s="37">
        <f>_xlfn.XLOOKUP(F35,'6月库存'!A:A,'6月库存'!R:R)</f>
        <v>453</v>
      </c>
      <c r="P35" s="39">
        <f>_xlfn.XLOOKUP(F35,'6月产品包'!B:B,'6月产品包'!S:S)</f>
        <v>9400</v>
      </c>
      <c r="Q35" s="39"/>
      <c r="R35" s="41">
        <f>_xlfn.XLOOKUP(F35,'6月产品包'!B:B,'6月产品包'!AD:AD)</f>
        <v>71.5082</v>
      </c>
      <c r="S35" s="39">
        <v>129</v>
      </c>
      <c r="T35" s="39">
        <f t="shared" si="16"/>
        <v>161</v>
      </c>
      <c r="U35" s="42">
        <f t="shared" si="20"/>
        <v>128.8</v>
      </c>
      <c r="V35" s="43">
        <v>0.2</v>
      </c>
      <c r="W35" s="44">
        <f t="shared" si="17"/>
        <v>0.444812111801242</v>
      </c>
      <c r="X35" s="44">
        <f t="shared" si="18"/>
        <v>0.26834154606771</v>
      </c>
      <c r="Y35" s="51">
        <v>0.038</v>
      </c>
      <c r="Z35" s="46">
        <v>0.09</v>
      </c>
      <c r="AA35" s="46">
        <v>0.049</v>
      </c>
      <c r="AB35" s="46">
        <f t="shared" si="19"/>
        <v>0.00419254658385093</v>
      </c>
      <c r="AC35" s="46">
        <v>0.06</v>
      </c>
      <c r="AD35" s="47"/>
      <c r="AE35" s="11"/>
      <c r="AF35" s="48" t="s">
        <v>114</v>
      </c>
      <c r="AG35" s="39">
        <f t="shared" si="6"/>
        <v>6</v>
      </c>
      <c r="AH35" s="39">
        <f t="shared" si="7"/>
        <v>6</v>
      </c>
      <c r="AI35" s="39">
        <f t="shared" si="8"/>
        <v>0</v>
      </c>
      <c r="AJ35" s="39">
        <f t="shared" si="9"/>
        <v>0</v>
      </c>
      <c r="AK35" s="39">
        <f t="shared" si="10"/>
        <v>0</v>
      </c>
      <c r="AL35" s="39">
        <f t="shared" si="11"/>
        <v>0</v>
      </c>
      <c r="AM35" s="39">
        <f t="shared" si="12"/>
        <v>0</v>
      </c>
      <c r="AN35" s="39">
        <f t="shared" si="13"/>
        <v>0</v>
      </c>
    </row>
    <row r="36" s="6" customFormat="1" ht="50" hidden="1" customHeight="1" spans="1:40">
      <c r="A36" s="37" t="s">
        <v>96</v>
      </c>
      <c r="B36" s="37" t="s">
        <v>127</v>
      </c>
      <c r="C36" s="37" t="str">
        <f>_xlfn.XLOOKUP(F36,'6月产品包'!B:B,'6月产品包'!H:H)</f>
        <v>保险柜</v>
      </c>
      <c r="D36" s="38" t="str">
        <f>_xlfn.XLOOKUP(F36,'6月产品包'!B:B,'6月产品包'!O:O)</f>
        <v>XT保险箱密码款</v>
      </c>
      <c r="E36" s="38" t="s">
        <v>169</v>
      </c>
      <c r="F36" s="39" t="s">
        <v>170</v>
      </c>
      <c r="G36" s="39" t="s">
        <v>106</v>
      </c>
      <c r="H36" s="39" t="s">
        <v>101</v>
      </c>
      <c r="I36" s="37" t="str">
        <f>_xlfn.XLOOKUP($F36,'6月库存'!A:A,'6月库存'!B:B)</f>
        <v>正常销售</v>
      </c>
      <c r="J36" s="12"/>
      <c r="K36" s="39">
        <f>_xlfn.XLOOKUP(E36,'[1]6月分配 '!$B:$B,'[1]6月分配 '!$K:$K)</f>
        <v>36560</v>
      </c>
      <c r="L36" s="12" t="str">
        <f t="shared" si="15"/>
        <v>是</v>
      </c>
      <c r="M36" s="40" t="str">
        <f>_xlfn.XLOOKUP(F36,'6月产品包'!B:B,'6月产品包'!J:J)</f>
        <v>2025-12-02</v>
      </c>
      <c r="N36" s="39" t="str">
        <f ca="1" t="shared" ref="N36:N42" si="22">IF(DATEDIF(M36,TODAY(),"m")&lt;6,"新品","老品")</f>
        <v>老品</v>
      </c>
      <c r="O36" s="37">
        <f>_xlfn.XLOOKUP(F36,'6月库存'!A:A,'6月库存'!R:R)</f>
        <v>95</v>
      </c>
      <c r="P36" s="39">
        <f>_xlfn.XLOOKUP(F36,'6月产品包'!B:B,'6月产品包'!S:S)</f>
        <v>15000</v>
      </c>
      <c r="Q36" s="39"/>
      <c r="R36" s="41">
        <f>_xlfn.XLOOKUP(F36,'6月产品包'!B:B,'6月产品包'!AD:AD)</f>
        <v>157.6556</v>
      </c>
      <c r="S36" s="39">
        <v>339</v>
      </c>
      <c r="T36" s="39">
        <f t="shared" si="16"/>
        <v>424</v>
      </c>
      <c r="U36" s="42">
        <f t="shared" si="20"/>
        <v>339.2</v>
      </c>
      <c r="V36" s="43">
        <v>0.2</v>
      </c>
      <c r="W36" s="44">
        <f t="shared" si="17"/>
        <v>0.535213443396226</v>
      </c>
      <c r="X36" s="44">
        <f t="shared" si="18"/>
        <v>0.389569658991999</v>
      </c>
      <c r="Y36" s="51">
        <v>0.038</v>
      </c>
      <c r="Z36" s="46">
        <v>0.09</v>
      </c>
      <c r="AA36" s="46">
        <v>0.049</v>
      </c>
      <c r="AB36" s="46">
        <f t="shared" si="19"/>
        <v>0.00159198113207547</v>
      </c>
      <c r="AC36" s="46">
        <v>0.06</v>
      </c>
      <c r="AD36" s="47"/>
      <c r="AF36" s="48" t="s">
        <v>114</v>
      </c>
      <c r="AG36" s="39">
        <f t="shared" si="6"/>
        <v>18.3168</v>
      </c>
      <c r="AH36" s="39">
        <f t="shared" si="7"/>
        <v>6</v>
      </c>
      <c r="AI36" s="39">
        <f t="shared" si="8"/>
        <v>18.3168</v>
      </c>
      <c r="AJ36" s="39">
        <f t="shared" si="9"/>
        <v>0</v>
      </c>
      <c r="AK36" s="39">
        <f t="shared" si="10"/>
        <v>0</v>
      </c>
      <c r="AL36" s="39">
        <f t="shared" si="11"/>
        <v>0</v>
      </c>
      <c r="AM36" s="39">
        <f t="shared" si="12"/>
        <v>18.3168</v>
      </c>
      <c r="AN36" s="39">
        <f t="shared" si="13"/>
        <v>15.264</v>
      </c>
    </row>
    <row r="37" s="6" customFormat="1" ht="50" hidden="1" customHeight="1" spans="1:40">
      <c r="A37" s="37" t="s">
        <v>96</v>
      </c>
      <c r="B37" s="37" t="s">
        <v>97</v>
      </c>
      <c r="C37" s="37" t="str">
        <f>_xlfn.XLOOKUP(F37,'6月产品包'!B:B,'6月产品包'!H:H)</f>
        <v>密码锁</v>
      </c>
      <c r="D37" s="38" t="str">
        <f>_xlfn.XLOOKUP(F37,'6月产品包'!B:B,'6月产品包'!O:O)</f>
        <v>R4A房间门锁单锁舌五功能带APP</v>
      </c>
      <c r="E37" s="38" t="s">
        <v>171</v>
      </c>
      <c r="F37" s="37" t="s">
        <v>172</v>
      </c>
      <c r="G37" s="39" t="s">
        <v>106</v>
      </c>
      <c r="H37" s="37" t="s">
        <v>101</v>
      </c>
      <c r="I37" s="37" t="str">
        <f>_xlfn.XLOOKUP($F37,'6月库存'!A:A,'6月库存'!B:B)</f>
        <v>正常销售</v>
      </c>
      <c r="J37" s="12"/>
      <c r="K37" s="39" t="e">
        <f>_xlfn.XLOOKUP(E37,'[1]6月分配 '!$B:$B,'[1]6月分配 '!$K:$K)</f>
        <v>#N/A</v>
      </c>
      <c r="L37" s="12" t="str">
        <f t="shared" si="15"/>
        <v>否</v>
      </c>
      <c r="M37" s="40" t="str">
        <f>_xlfn.XLOOKUP(F37,'6月产品包'!B:B,'6月产品包'!J:J)</f>
        <v>2025-10-30</v>
      </c>
      <c r="N37" s="39" t="str">
        <f ca="1" t="shared" si="22"/>
        <v>老品</v>
      </c>
      <c r="O37" s="37">
        <f>_xlfn.XLOOKUP(F37,'6月库存'!A:A,'6月库存'!R:R)</f>
        <v>1</v>
      </c>
      <c r="P37" s="39">
        <f>_xlfn.XLOOKUP(F37,'6月产品包'!B:B,'6月产品包'!S:S)</f>
        <v>1631</v>
      </c>
      <c r="Q37" s="39"/>
      <c r="R37" s="41">
        <f>_xlfn.XLOOKUP(F37,'6月产品包'!B:B,'6月产品包'!AD:AD)</f>
        <v>79.663</v>
      </c>
      <c r="S37" s="39">
        <v>169</v>
      </c>
      <c r="T37" s="39">
        <f t="shared" si="16"/>
        <v>211</v>
      </c>
      <c r="U37" s="42">
        <f t="shared" si="20"/>
        <v>168.8</v>
      </c>
      <c r="V37" s="43">
        <v>0.2</v>
      </c>
      <c r="W37" s="44">
        <f t="shared" si="17"/>
        <v>0.528062796208531</v>
      </c>
      <c r="X37" s="44">
        <f t="shared" si="18"/>
        <v>0.357734628457912</v>
      </c>
      <c r="Y37" s="51">
        <v>0.038</v>
      </c>
      <c r="Z37" s="45">
        <v>0.115</v>
      </c>
      <c r="AA37" s="46">
        <v>0.049</v>
      </c>
      <c r="AB37" s="46">
        <f t="shared" si="19"/>
        <v>0.00319905213270142</v>
      </c>
      <c r="AC37" s="46">
        <v>0.06</v>
      </c>
      <c r="AD37" s="47"/>
      <c r="AF37" s="48" t="s">
        <v>102</v>
      </c>
      <c r="AG37" s="39">
        <f t="shared" si="6"/>
        <v>6</v>
      </c>
      <c r="AH37" s="39">
        <f t="shared" si="7"/>
        <v>6</v>
      </c>
      <c r="AI37" s="39">
        <f t="shared" si="8"/>
        <v>0</v>
      </c>
      <c r="AJ37" s="39">
        <f t="shared" si="9"/>
        <v>0</v>
      </c>
      <c r="AK37" s="39">
        <f t="shared" si="10"/>
        <v>0</v>
      </c>
      <c r="AL37" s="39">
        <f t="shared" si="11"/>
        <v>0</v>
      </c>
      <c r="AM37" s="39">
        <f t="shared" si="12"/>
        <v>0</v>
      </c>
      <c r="AN37" s="39">
        <f t="shared" si="13"/>
        <v>0</v>
      </c>
    </row>
    <row r="38" s="6" customFormat="1" ht="50" hidden="1" customHeight="1" spans="1:40">
      <c r="A38" s="37" t="s">
        <v>108</v>
      </c>
      <c r="B38" s="37" t="s">
        <v>109</v>
      </c>
      <c r="C38" s="37" t="str">
        <f>_xlfn.XLOOKUP(F38,'6月产品包'!B:B,'6月产品包'!H:H)</f>
        <v>电脑机箱</v>
      </c>
      <c r="D38" s="38" t="str">
        <f>_xlfn.XLOOKUP(F38,'6月产品包'!B:B,'6月产品包'!O:O)</f>
        <v>电脑机箱T6款</v>
      </c>
      <c r="E38" s="38" t="s">
        <v>173</v>
      </c>
      <c r="F38" s="39" t="s">
        <v>174</v>
      </c>
      <c r="G38" s="39" t="s">
        <v>100</v>
      </c>
      <c r="H38" s="39" t="s">
        <v>101</v>
      </c>
      <c r="I38" s="37" t="str">
        <f>_xlfn.XLOOKUP($F38,'6月库存'!A:A,'6月库存'!B:B)</f>
        <v>正常销售</v>
      </c>
      <c r="J38" s="12"/>
      <c r="K38" s="39" t="e">
        <f>_xlfn.XLOOKUP(E38,'[1]6月分配 '!$B:$B,'[1]6月分配 '!$K:$K)</f>
        <v>#N/A</v>
      </c>
      <c r="L38" s="12" t="str">
        <f t="shared" si="15"/>
        <v>否</v>
      </c>
      <c r="M38" s="40" t="str">
        <f>_xlfn.XLOOKUP(F38,'6月产品包'!B:B,'6月产品包'!J:J)</f>
        <v>2025-12-23</v>
      </c>
      <c r="N38" s="39" t="str">
        <f ca="1" t="shared" si="22"/>
        <v>新品</v>
      </c>
      <c r="O38" s="37">
        <f>_xlfn.XLOOKUP(F38,'6月库存'!A:A,'6月库存'!R:R)</f>
        <v>5</v>
      </c>
      <c r="P38" s="39">
        <f>_xlfn.XLOOKUP(F38,'6月产品包'!B:B,'6月产品包'!S:S)</f>
        <v>5250</v>
      </c>
      <c r="Q38" s="39"/>
      <c r="R38" s="41">
        <f>_xlfn.XLOOKUP(F38,'6月产品包'!B:B,'6月产品包'!AD:AD)</f>
        <v>91.8836</v>
      </c>
      <c r="S38" s="15">
        <v>178</v>
      </c>
      <c r="T38" s="39">
        <f t="shared" si="16"/>
        <v>223</v>
      </c>
      <c r="U38" s="42">
        <f t="shared" si="20"/>
        <v>178.4</v>
      </c>
      <c r="V38" s="43">
        <v>0.2</v>
      </c>
      <c r="W38" s="44">
        <f t="shared" si="17"/>
        <v>0.484957399103139</v>
      </c>
      <c r="X38" s="44">
        <f t="shared" si="18"/>
        <v>0.324067208097928</v>
      </c>
      <c r="Y38" s="52">
        <v>0.04</v>
      </c>
      <c r="Z38" s="46">
        <v>0.086</v>
      </c>
      <c r="AA38" s="46">
        <v>0.049</v>
      </c>
      <c r="AB38" s="46">
        <f t="shared" si="19"/>
        <v>0.00302690582959641</v>
      </c>
      <c r="AC38" s="46">
        <v>0.06</v>
      </c>
      <c r="AD38" s="47"/>
      <c r="AF38" s="48" t="s">
        <v>102</v>
      </c>
      <c r="AG38" s="39">
        <f t="shared" si="6"/>
        <v>6</v>
      </c>
      <c r="AH38" s="39">
        <f t="shared" si="7"/>
        <v>6</v>
      </c>
      <c r="AI38" s="39">
        <f t="shared" si="8"/>
        <v>0</v>
      </c>
      <c r="AJ38" s="39">
        <f t="shared" si="9"/>
        <v>0</v>
      </c>
      <c r="AK38" s="39">
        <f t="shared" si="10"/>
        <v>0</v>
      </c>
      <c r="AL38" s="39">
        <f t="shared" si="11"/>
        <v>0</v>
      </c>
      <c r="AM38" s="39">
        <f t="shared" si="12"/>
        <v>0</v>
      </c>
      <c r="AN38" s="39">
        <f t="shared" si="13"/>
        <v>0</v>
      </c>
    </row>
    <row r="39" s="6" customFormat="1" ht="50" hidden="1" customHeight="1" spans="1:40">
      <c r="A39" s="37" t="s">
        <v>96</v>
      </c>
      <c r="B39" s="37" t="s">
        <v>127</v>
      </c>
      <c r="C39" s="37" t="str">
        <f>_xlfn.XLOOKUP(F39,'6月产品包'!B:B,'6月产品包'!H:H)</f>
        <v>保险箱</v>
      </c>
      <c r="D39" s="38" t="str">
        <f>_xlfn.XLOOKUP(F39,'6月产品包'!B:B,'6月产品包'!O:O)</f>
        <v>液晶面板保险柜密码A15款</v>
      </c>
      <c r="E39" s="38" t="s">
        <v>175</v>
      </c>
      <c r="F39" s="39" t="s">
        <v>176</v>
      </c>
      <c r="G39" s="39" t="s">
        <v>106</v>
      </c>
      <c r="H39" s="37" t="s">
        <v>107</v>
      </c>
      <c r="I39" s="37" t="str">
        <f>_xlfn.XLOOKUP($F39,'6月库存'!A:A,'6月库存'!B:B)</f>
        <v>正常销售</v>
      </c>
      <c r="J39" s="12"/>
      <c r="K39" s="39">
        <f>_xlfn.XLOOKUP(E39,'[1]6月分配 '!$B:$B,'[1]6月分配 '!$K:$K)</f>
        <v>29786</v>
      </c>
      <c r="L39" s="12" t="str">
        <f t="shared" si="15"/>
        <v>是</v>
      </c>
      <c r="M39" s="40" t="str">
        <f>_xlfn.XLOOKUP(F39,'6月产品包'!B:B,'6月产品包'!J:J)</f>
        <v>2025-10-27</v>
      </c>
      <c r="N39" s="39" t="str">
        <f ca="1" t="shared" si="22"/>
        <v>老品</v>
      </c>
      <c r="O39" s="37">
        <f>_xlfn.XLOOKUP(F39,'6月库存'!A:A,'6月库存'!R:R)</f>
        <v>204</v>
      </c>
      <c r="P39" s="39">
        <f>_xlfn.XLOOKUP(F39,'6月产品包'!B:B,'6月产品包'!S:S)</f>
        <v>15000</v>
      </c>
      <c r="Q39" s="39"/>
      <c r="R39" s="41">
        <f>_xlfn.XLOOKUP(F39,'6月产品包'!B:B,'6月产品包'!AD:AD)</f>
        <v>134.9718</v>
      </c>
      <c r="S39" s="39">
        <v>290</v>
      </c>
      <c r="T39" s="39">
        <f t="shared" si="16"/>
        <v>363</v>
      </c>
      <c r="U39" s="42">
        <f t="shared" si="20"/>
        <v>290.4</v>
      </c>
      <c r="V39" s="43">
        <v>0.2</v>
      </c>
      <c r="W39" s="44">
        <f t="shared" si="17"/>
        <v>0.535221074380165</v>
      </c>
      <c r="X39" s="44">
        <f t="shared" si="18"/>
        <v>0.38123569668163</v>
      </c>
      <c r="Y39" s="51">
        <v>0.038</v>
      </c>
      <c r="Z39" s="46">
        <v>0.1</v>
      </c>
      <c r="AA39" s="46">
        <v>0.049</v>
      </c>
      <c r="AB39" s="46">
        <f t="shared" si="19"/>
        <v>0.0018595041322314</v>
      </c>
      <c r="AC39" s="46">
        <v>0.06</v>
      </c>
      <c r="AD39" s="47"/>
      <c r="AF39" s="48" t="s">
        <v>114</v>
      </c>
      <c r="AG39" s="39">
        <f t="shared" si="6"/>
        <v>15.6816</v>
      </c>
      <c r="AH39" s="39">
        <f t="shared" si="7"/>
        <v>6</v>
      </c>
      <c r="AI39" s="39">
        <f t="shared" si="8"/>
        <v>15.6816</v>
      </c>
      <c r="AJ39" s="39">
        <f t="shared" si="9"/>
        <v>0</v>
      </c>
      <c r="AK39" s="39">
        <f t="shared" si="10"/>
        <v>0</v>
      </c>
      <c r="AL39" s="39">
        <f t="shared" si="11"/>
        <v>0</v>
      </c>
      <c r="AM39" s="39">
        <f t="shared" si="12"/>
        <v>15.6816</v>
      </c>
      <c r="AN39" s="39">
        <f t="shared" si="13"/>
        <v>13.068</v>
      </c>
    </row>
    <row r="40" s="6" customFormat="1" ht="50" hidden="1" customHeight="1" spans="1:40">
      <c r="A40" s="37" t="s">
        <v>96</v>
      </c>
      <c r="B40" s="37" t="s">
        <v>127</v>
      </c>
      <c r="C40" s="37" t="str">
        <f>_xlfn.XLOOKUP(F40,'6月产品包'!B:B,'6月产品包'!H:H)</f>
        <v>保险柜</v>
      </c>
      <c r="D40" s="38" t="str">
        <f>_xlfn.XLOOKUP(F40,'6月产品包'!B:B,'6月产品包'!O:O)</f>
        <v>XT保险箱指纹款</v>
      </c>
      <c r="E40" s="38" t="s">
        <v>177</v>
      </c>
      <c r="F40" s="39" t="s">
        <v>178</v>
      </c>
      <c r="G40" s="39" t="s">
        <v>106</v>
      </c>
      <c r="H40" s="39" t="s">
        <v>101</v>
      </c>
      <c r="I40" s="37" t="str">
        <f>_xlfn.XLOOKUP($F40,'6月库存'!A:A,'6月库存'!B:B)</f>
        <v>正常销售</v>
      </c>
      <c r="J40" s="12"/>
      <c r="K40" s="39">
        <f>_xlfn.XLOOKUP(E40,'[1]6月分配 '!$B:$B,'[1]6月分配 '!$K:$K)</f>
        <v>28704</v>
      </c>
      <c r="L40" s="12" t="str">
        <f t="shared" si="15"/>
        <v>是</v>
      </c>
      <c r="M40" s="40" t="str">
        <f>_xlfn.XLOOKUP(F40,'6月产品包'!B:B,'6月产品包'!J:J)</f>
        <v>2025-12-02</v>
      </c>
      <c r="N40" s="39" t="str">
        <f ca="1" t="shared" si="22"/>
        <v>老品</v>
      </c>
      <c r="O40" s="37">
        <f>_xlfn.XLOOKUP(F40,'6月库存'!A:A,'6月库存'!R:R)</f>
        <v>81</v>
      </c>
      <c r="P40" s="39">
        <f>_xlfn.XLOOKUP(F40,'6月产品包'!B:B,'6月产品包'!S:S)</f>
        <v>15000</v>
      </c>
      <c r="Q40" s="39"/>
      <c r="R40" s="41">
        <f>_xlfn.XLOOKUP(F40,'6月产品包'!B:B,'6月产品包'!AD:AD)</f>
        <v>193.5866</v>
      </c>
      <c r="S40" s="39">
        <v>399</v>
      </c>
      <c r="T40" s="39">
        <f t="shared" si="16"/>
        <v>499</v>
      </c>
      <c r="U40" s="42">
        <f t="shared" si="20"/>
        <v>399.2</v>
      </c>
      <c r="V40" s="43">
        <v>0.2</v>
      </c>
      <c r="W40" s="44">
        <f t="shared" si="17"/>
        <v>0.515063627254509</v>
      </c>
      <c r="X40" s="44">
        <f t="shared" si="18"/>
        <v>0.363305855360441</v>
      </c>
      <c r="Y40" s="51">
        <v>0.038</v>
      </c>
      <c r="Z40" s="46">
        <v>0.09</v>
      </c>
      <c r="AA40" s="46">
        <v>0.049</v>
      </c>
      <c r="AB40" s="46">
        <f t="shared" si="19"/>
        <v>0.00135270541082164</v>
      </c>
      <c r="AC40" s="46">
        <v>0.06</v>
      </c>
      <c r="AD40" s="49"/>
      <c r="AF40" s="48" t="s">
        <v>114</v>
      </c>
      <c r="AG40" s="39">
        <f t="shared" si="6"/>
        <v>33.5328</v>
      </c>
      <c r="AH40" s="39">
        <f t="shared" si="7"/>
        <v>6</v>
      </c>
      <c r="AI40" s="39">
        <f t="shared" si="8"/>
        <v>21</v>
      </c>
      <c r="AJ40" s="39">
        <f t="shared" si="9"/>
        <v>33.5328</v>
      </c>
      <c r="AK40" s="39">
        <f t="shared" si="10"/>
        <v>29.94</v>
      </c>
      <c r="AL40" s="39">
        <f t="shared" si="11"/>
        <v>26.3472</v>
      </c>
      <c r="AM40" s="39">
        <f t="shared" si="12"/>
        <v>21.5568</v>
      </c>
      <c r="AN40" s="39">
        <f t="shared" si="13"/>
        <v>17.964</v>
      </c>
    </row>
    <row r="41" s="6" customFormat="1" ht="50" hidden="1" customHeight="1" spans="1:40">
      <c r="A41" s="37" t="s">
        <v>96</v>
      </c>
      <c r="B41" s="37" t="s">
        <v>97</v>
      </c>
      <c r="C41" s="37" t="str">
        <f>_xlfn.XLOOKUP(F41,'6月产品包'!B:B,'6月产品包'!H:H)</f>
        <v>路由器</v>
      </c>
      <c r="D41" s="38" t="str">
        <f>_xlfn.XLOOKUP(F41,'6月产品包'!B:B,'6月产品包'!O:O)</f>
        <v>300C路由器</v>
      </c>
      <c r="E41" s="38" t="s">
        <v>179</v>
      </c>
      <c r="F41" s="37" t="s">
        <v>180</v>
      </c>
      <c r="G41" s="39" t="e">
        <v>#N/A</v>
      </c>
      <c r="H41" s="37" t="s">
        <v>107</v>
      </c>
      <c r="I41" s="37" t="str">
        <f>_xlfn.XLOOKUP($F41,'6月库存'!A:A,'6月库存'!B:B)</f>
        <v>商品清仓</v>
      </c>
      <c r="J41" s="12"/>
      <c r="K41" s="39">
        <f>_xlfn.XLOOKUP(E41,'[1]6月分配 '!$B:$B,'[1]6月分配 '!$K:$K)</f>
        <v>25977</v>
      </c>
      <c r="L41" s="12" t="str">
        <f t="shared" si="15"/>
        <v>是</v>
      </c>
      <c r="M41" s="40" t="str">
        <f>_xlfn.XLOOKUP(F41,'6月产品包'!B:B,'6月产品包'!J:J)</f>
        <v>2024-12-26</v>
      </c>
      <c r="N41" s="39" t="str">
        <f ca="1" t="shared" si="22"/>
        <v>老品</v>
      </c>
      <c r="O41" s="37">
        <f>_xlfn.XLOOKUP(F41,'6月库存'!A:A,'6月库存'!R:R)</f>
        <v>136</v>
      </c>
      <c r="P41" s="39">
        <f>_xlfn.XLOOKUP(F41,'6月产品包'!B:B,'6月产品包'!S:S)</f>
        <v>625</v>
      </c>
      <c r="Q41" s="39"/>
      <c r="R41" s="41">
        <f>_xlfn.XLOOKUP(F41,'6月产品包'!B:B,'6月产品包'!AD:AD)</f>
        <v>73.8572</v>
      </c>
      <c r="S41" s="39">
        <v>153</v>
      </c>
      <c r="T41" s="39">
        <f t="shared" si="16"/>
        <v>191</v>
      </c>
      <c r="U41" s="42">
        <f t="shared" si="20"/>
        <v>152.8</v>
      </c>
      <c r="V41" s="43">
        <v>0.2</v>
      </c>
      <c r="W41" s="44">
        <f t="shared" si="17"/>
        <v>0.516641361256544</v>
      </c>
      <c r="X41" s="44">
        <f t="shared" si="18"/>
        <v>0.350731048645151</v>
      </c>
      <c r="Y41" s="51">
        <v>0.038</v>
      </c>
      <c r="Z41" s="46">
        <v>0.105</v>
      </c>
      <c r="AA41" s="46">
        <v>0.049</v>
      </c>
      <c r="AB41" s="46">
        <f t="shared" si="19"/>
        <v>0.00353403141361257</v>
      </c>
      <c r="AC41" s="46">
        <v>0.06</v>
      </c>
      <c r="AD41" s="47"/>
      <c r="AF41" s="55" t="s">
        <v>102</v>
      </c>
      <c r="AG41" s="39">
        <f t="shared" si="6"/>
        <v>6</v>
      </c>
      <c r="AH41" s="39">
        <f t="shared" si="7"/>
        <v>6</v>
      </c>
      <c r="AI41" s="39">
        <f t="shared" si="8"/>
        <v>0</v>
      </c>
      <c r="AJ41" s="39">
        <f t="shared" si="9"/>
        <v>0</v>
      </c>
      <c r="AK41" s="39">
        <f t="shared" si="10"/>
        <v>0</v>
      </c>
      <c r="AL41" s="39">
        <f t="shared" si="11"/>
        <v>0</v>
      </c>
      <c r="AM41" s="39">
        <f t="shared" si="12"/>
        <v>0</v>
      </c>
      <c r="AN41" s="39">
        <f t="shared" si="13"/>
        <v>0</v>
      </c>
    </row>
    <row r="42" s="6" customFormat="1" ht="50" hidden="1" customHeight="1" spans="1:40">
      <c r="A42" s="37" t="s">
        <v>108</v>
      </c>
      <c r="B42" s="37" t="s">
        <v>109</v>
      </c>
      <c r="C42" s="37" t="str">
        <f>_xlfn.XLOOKUP(F42,'6月产品包'!B:B,'6月产品包'!H:H)</f>
        <v>电脑机箱</v>
      </c>
      <c r="D42" s="38" t="str">
        <f>_xlfn.XLOOKUP(F42,'6月产品包'!B:B,'6月产品包'!O:O)</f>
        <v>电脑机箱T6款</v>
      </c>
      <c r="E42" s="38" t="s">
        <v>181</v>
      </c>
      <c r="F42" s="39" t="s">
        <v>182</v>
      </c>
      <c r="G42" s="39" t="s">
        <v>100</v>
      </c>
      <c r="H42" s="39" t="s">
        <v>101</v>
      </c>
      <c r="I42" s="37" t="str">
        <f>_xlfn.XLOOKUP($F42,'6月库存'!A:A,'6月库存'!B:B)</f>
        <v>正常销售</v>
      </c>
      <c r="J42" s="12"/>
      <c r="K42" s="39" t="e">
        <f>_xlfn.XLOOKUP(E42,'[1]6月分配 '!$B:$B,'[1]6月分配 '!$K:$K)</f>
        <v>#N/A</v>
      </c>
      <c r="L42" s="12" t="str">
        <f t="shared" si="15"/>
        <v>否</v>
      </c>
      <c r="M42" s="40" t="str">
        <f>_xlfn.XLOOKUP(F42,'6月产品包'!B:B,'6月产品包'!J:J)</f>
        <v>2025-12-23</v>
      </c>
      <c r="N42" s="39" t="str">
        <f ca="1" t="shared" si="22"/>
        <v>新品</v>
      </c>
      <c r="O42" s="37">
        <f>_xlfn.XLOOKUP(F42,'6月库存'!A:A,'6月库存'!R:R)</f>
        <v>5</v>
      </c>
      <c r="P42" s="39">
        <f>_xlfn.XLOOKUP(F42,'6月产品包'!B:B,'6月产品包'!S:S)</f>
        <v>5250</v>
      </c>
      <c r="Q42" s="39"/>
      <c r="R42" s="41">
        <f>_xlfn.XLOOKUP(F42,'6月产品包'!B:B,'6月产品包'!AD:AD)</f>
        <v>87.8004</v>
      </c>
      <c r="S42" s="15">
        <v>158</v>
      </c>
      <c r="T42" s="39">
        <f t="shared" si="16"/>
        <v>198</v>
      </c>
      <c r="U42" s="42">
        <f t="shared" si="20"/>
        <v>158.4</v>
      </c>
      <c r="V42" s="43">
        <v>0.2</v>
      </c>
      <c r="W42" s="44">
        <f t="shared" si="17"/>
        <v>0.445704545454546</v>
      </c>
      <c r="X42" s="44">
        <f t="shared" si="18"/>
        <v>0.272187406744255</v>
      </c>
      <c r="Y42" s="52">
        <v>0.04</v>
      </c>
      <c r="Z42" s="46">
        <v>0.086</v>
      </c>
      <c r="AA42" s="46">
        <v>0.049</v>
      </c>
      <c r="AB42" s="46">
        <f t="shared" si="19"/>
        <v>0.00340909090909091</v>
      </c>
      <c r="AC42" s="46">
        <v>0.06</v>
      </c>
      <c r="AD42" s="47"/>
      <c r="AF42" s="48" t="s">
        <v>102</v>
      </c>
      <c r="AG42" s="39">
        <f t="shared" si="6"/>
        <v>6</v>
      </c>
      <c r="AH42" s="39">
        <f t="shared" si="7"/>
        <v>6</v>
      </c>
      <c r="AI42" s="39">
        <f t="shared" si="8"/>
        <v>0</v>
      </c>
      <c r="AJ42" s="39">
        <f t="shared" si="9"/>
        <v>0</v>
      </c>
      <c r="AK42" s="39">
        <f t="shared" si="10"/>
        <v>0</v>
      </c>
      <c r="AL42" s="39">
        <f t="shared" si="11"/>
        <v>0</v>
      </c>
      <c r="AM42" s="39">
        <f t="shared" si="12"/>
        <v>0</v>
      </c>
      <c r="AN42" s="39">
        <f t="shared" si="13"/>
        <v>0</v>
      </c>
    </row>
    <row r="43" s="6" customFormat="1" ht="50" hidden="1" customHeight="1" spans="1:40">
      <c r="A43" s="37" t="s">
        <v>108</v>
      </c>
      <c r="B43" s="37" t="s">
        <v>146</v>
      </c>
      <c r="C43" s="37" t="str">
        <f>_xlfn.XLOOKUP(F43,'6月产品包'!B:B,'6月产品包'!H:H)</f>
        <v>电子琴</v>
      </c>
      <c r="D43" s="38" t="str">
        <f>_xlfn.XLOOKUP(F43,'6月产品包'!B:B,'6月产品包'!O:O)</f>
        <v>电子琴</v>
      </c>
      <c r="E43" s="38" t="s">
        <v>183</v>
      </c>
      <c r="F43" s="39" t="s">
        <v>184</v>
      </c>
      <c r="G43" s="39" t="s">
        <v>126</v>
      </c>
      <c r="H43" s="37" t="s">
        <v>101</v>
      </c>
      <c r="I43" s="37" t="str">
        <f>_xlfn.XLOOKUP($F43,'6月库存'!A:A,'6月库存'!B:B)</f>
        <v>正常销售</v>
      </c>
      <c r="J43" s="12"/>
      <c r="K43" s="39">
        <f>_xlfn.XLOOKUP(E43,'[1]6月分配 '!$B:$B,'[1]6月分配 '!$K:$K)</f>
        <v>24546</v>
      </c>
      <c r="L43" s="12" t="str">
        <f t="shared" si="15"/>
        <v>是</v>
      </c>
      <c r="M43" s="40" t="str">
        <f>_xlfn.XLOOKUP(F43,'6月产品包'!B:B,'6月产品包'!J:J)</f>
        <v>2024-03-19</v>
      </c>
      <c r="N43" s="39" t="s">
        <v>155</v>
      </c>
      <c r="O43" s="37">
        <f>_xlfn.XLOOKUP(F43,'6月库存'!A:A,'6月库存'!R:R)</f>
        <v>794</v>
      </c>
      <c r="P43" s="39">
        <f>_xlfn.XLOOKUP(F43,'6月产品包'!B:B,'6月产品包'!S:S)</f>
        <v>707</v>
      </c>
      <c r="Q43" s="39"/>
      <c r="R43" s="41">
        <f>_xlfn.XLOOKUP(F43,'6月产品包'!B:B,'6月产品包'!AD:AD)</f>
        <v>23.1884</v>
      </c>
      <c r="S43" s="39">
        <v>42</v>
      </c>
      <c r="T43" s="39">
        <f t="shared" si="16"/>
        <v>53</v>
      </c>
      <c r="U43" s="42">
        <f t="shared" si="20"/>
        <v>42.4</v>
      </c>
      <c r="V43" s="43">
        <v>0.2</v>
      </c>
      <c r="W43" s="44">
        <f t="shared" si="17"/>
        <v>0.453103773584906</v>
      </c>
      <c r="X43" s="44">
        <f t="shared" si="18"/>
        <v>0.254162056454726</v>
      </c>
      <c r="Y43" s="44">
        <v>0.04</v>
      </c>
      <c r="Z43" s="46">
        <v>0.105</v>
      </c>
      <c r="AA43" s="46">
        <v>0.049</v>
      </c>
      <c r="AB43" s="46">
        <f t="shared" si="19"/>
        <v>0.0127358490566038</v>
      </c>
      <c r="AC43" s="46">
        <v>0.06</v>
      </c>
      <c r="AD43" s="47"/>
      <c r="AF43" s="55" t="s">
        <v>114</v>
      </c>
      <c r="AG43" s="39">
        <f t="shared" si="6"/>
        <v>0</v>
      </c>
      <c r="AH43" s="39">
        <f t="shared" si="7"/>
        <v>0</v>
      </c>
      <c r="AI43" s="39">
        <f t="shared" si="8"/>
        <v>0</v>
      </c>
      <c r="AJ43" s="39">
        <f t="shared" si="9"/>
        <v>0</v>
      </c>
      <c r="AK43" s="39">
        <f t="shared" si="10"/>
        <v>0</v>
      </c>
      <c r="AL43" s="39">
        <f t="shared" si="11"/>
        <v>0</v>
      </c>
      <c r="AM43" s="39">
        <f t="shared" si="12"/>
        <v>0</v>
      </c>
      <c r="AN43" s="39">
        <f t="shared" si="13"/>
        <v>0</v>
      </c>
    </row>
    <row r="44" s="6" customFormat="1" ht="50" hidden="1" customHeight="1" spans="1:40">
      <c r="A44" s="39" t="str">
        <f>_xlfn.XLOOKUP(F44,'6月产品包'!B:B,'6月产品包'!F:F)</f>
        <v>3C数码</v>
      </c>
      <c r="B44" s="39" t="str">
        <f>_xlfn.XLOOKUP(F44,'6月产品包'!B:B,'6月产品包'!G:G)</f>
        <v>电视设备</v>
      </c>
      <c r="C44" s="37" t="str">
        <f>_xlfn.XLOOKUP(F44,'6月产品包'!B:B,'6月产品包'!H:H)</f>
        <v>电视支架</v>
      </c>
      <c r="D44" s="38" t="str">
        <f>_xlfn.XLOOKUP(F44,'6月产品包'!B:B,'6月产品包'!O:O)</f>
        <v>电视移动推车支架TG11</v>
      </c>
      <c r="E44" s="38" t="str">
        <f>_xlfn.XLOOKUP(F44,'6月产品包'!B:B,'6月产品包'!C:C)</f>
        <v>3C-电视移动推车支架TG11</v>
      </c>
      <c r="F44" s="39" t="s">
        <v>185</v>
      </c>
      <c r="G44" s="39" t="s">
        <v>106</v>
      </c>
      <c r="H44" s="37" t="s">
        <v>101</v>
      </c>
      <c r="I44" s="37" t="str">
        <f>_xlfn.XLOOKUP($F44,'6月库存'!A:A,'6月库存'!B:B)</f>
        <v>正常销售</v>
      </c>
      <c r="J44" s="12"/>
      <c r="K44" s="39">
        <f>_xlfn.XLOOKUP(E44,'[1]6月分配 '!$B:$B,'[1]6月分配 '!$K:$K)</f>
        <v>24393</v>
      </c>
      <c r="L44" s="12" t="str">
        <f t="shared" si="15"/>
        <v>是</v>
      </c>
      <c r="M44" s="40" t="str">
        <f>_xlfn.XLOOKUP(F44,'6月产品包'!B:B,'6月产品包'!J:J)</f>
        <v>2026-02-05</v>
      </c>
      <c r="N44" s="49" t="s">
        <v>149</v>
      </c>
      <c r="O44" s="37">
        <f>_xlfn.XLOOKUP(F44,'6月库存'!A:A,'6月库存'!R:R)</f>
        <v>116</v>
      </c>
      <c r="P44" s="39">
        <f>_xlfn.XLOOKUP(F44,'6月产品包'!B:B,'6月产品包'!S:S)</f>
        <v>8675</v>
      </c>
      <c r="Q44" s="56"/>
      <c r="R44" s="41">
        <f>_xlfn.XLOOKUP(F44,'6月产品包'!B:B,'6月产品包'!AD:AD)</f>
        <v>87.0638</v>
      </c>
      <c r="S44" s="39">
        <v>165</v>
      </c>
      <c r="T44" s="39">
        <f t="shared" si="16"/>
        <v>206</v>
      </c>
      <c r="U44" s="42">
        <f t="shared" si="20"/>
        <v>164.8</v>
      </c>
      <c r="V44" s="43">
        <v>0.2</v>
      </c>
      <c r="W44" s="44">
        <f t="shared" si="17"/>
        <v>0.471700242718447</v>
      </c>
      <c r="X44" s="44">
        <f t="shared" si="18"/>
        <v>0.304615566474764</v>
      </c>
      <c r="Y44" s="51">
        <v>0.038</v>
      </c>
      <c r="Z44" s="46">
        <v>0.09</v>
      </c>
      <c r="AA44" s="46">
        <v>0.049</v>
      </c>
      <c r="AB44" s="46">
        <f t="shared" si="19"/>
        <v>0.00327669902912621</v>
      </c>
      <c r="AC44" s="46">
        <v>0.06</v>
      </c>
      <c r="AD44" s="58"/>
      <c r="AE44" s="58"/>
      <c r="AF44" s="48" t="s">
        <v>114</v>
      </c>
      <c r="AG44" s="39">
        <f t="shared" si="6"/>
        <v>6</v>
      </c>
      <c r="AH44" s="39">
        <f t="shared" si="7"/>
        <v>6</v>
      </c>
      <c r="AI44" s="39">
        <f t="shared" si="8"/>
        <v>0</v>
      </c>
      <c r="AJ44" s="39">
        <f t="shared" si="9"/>
        <v>0</v>
      </c>
      <c r="AK44" s="39">
        <f t="shared" si="10"/>
        <v>0</v>
      </c>
      <c r="AL44" s="39">
        <f t="shared" si="11"/>
        <v>0</v>
      </c>
      <c r="AM44" s="39">
        <f t="shared" si="12"/>
        <v>0</v>
      </c>
      <c r="AN44" s="39">
        <f t="shared" si="13"/>
        <v>0</v>
      </c>
    </row>
    <row r="45" s="6" customFormat="1" ht="50" hidden="1" customHeight="1" spans="1:40">
      <c r="A45" s="37" t="s">
        <v>96</v>
      </c>
      <c r="B45" s="37" t="s">
        <v>186</v>
      </c>
      <c r="C45" s="37" t="str">
        <f>_xlfn.XLOOKUP(F45,'6月产品包'!B:B,'6月产品包'!H:H)</f>
        <v>白板</v>
      </c>
      <c r="D45" s="38" t="str">
        <f>_xlfn.XLOOKUP(F45,'6月产品包'!B:B,'6月产品包'!O:O)</f>
        <v>磁吸白板密度板夹层</v>
      </c>
      <c r="E45" s="38" t="s">
        <v>187</v>
      </c>
      <c r="F45" s="39" t="s">
        <v>188</v>
      </c>
      <c r="G45" s="39" t="s">
        <v>106</v>
      </c>
      <c r="H45" s="39" t="s">
        <v>101</v>
      </c>
      <c r="I45" s="37" t="str">
        <f>_xlfn.XLOOKUP($F45,'6月库存'!A:A,'6月库存'!B:B)</f>
        <v>正常销售</v>
      </c>
      <c r="J45" s="12"/>
      <c r="K45" s="39">
        <f>_xlfn.XLOOKUP(E45,'[1]6月分配 '!$B:$B,'[1]6月分配 '!$K:$K)</f>
        <v>23542</v>
      </c>
      <c r="L45" s="12" t="str">
        <f t="shared" si="15"/>
        <v>是</v>
      </c>
      <c r="M45" s="40" t="str">
        <f>_xlfn.XLOOKUP(F45,'6月产品包'!B:B,'6月产品包'!J:J)</f>
        <v>2025-10-27</v>
      </c>
      <c r="N45" s="39" t="s">
        <v>149</v>
      </c>
      <c r="O45" s="37">
        <f>_xlfn.XLOOKUP(F45,'6月库存'!A:A,'6月库存'!R:R)</f>
        <v>495</v>
      </c>
      <c r="P45" s="39">
        <f>_xlfn.XLOOKUP(F45,'6月产品包'!B:B,'6月产品包'!S:S)</f>
        <v>8320</v>
      </c>
      <c r="Q45" s="39"/>
      <c r="R45" s="41">
        <f>_xlfn.XLOOKUP(F45,'6月产品包'!B:B,'6月产品包'!AD:AD)</f>
        <v>50.8544</v>
      </c>
      <c r="S45" s="39">
        <v>105</v>
      </c>
      <c r="T45" s="39">
        <f t="shared" si="16"/>
        <v>131</v>
      </c>
      <c r="U45" s="42">
        <f t="shared" si="20"/>
        <v>104.8</v>
      </c>
      <c r="V45" s="43">
        <v>0.2</v>
      </c>
      <c r="W45" s="44">
        <f t="shared" si="17"/>
        <v>0.514748091603053</v>
      </c>
      <c r="X45" s="44">
        <f t="shared" si="18"/>
        <v>0.331468354962876</v>
      </c>
      <c r="Y45" s="44">
        <v>0.04</v>
      </c>
      <c r="Z45" s="46">
        <v>0.1</v>
      </c>
      <c r="AA45" s="46">
        <v>0.049</v>
      </c>
      <c r="AB45" s="46">
        <f t="shared" si="19"/>
        <v>0.00515267175572519</v>
      </c>
      <c r="AC45" s="46">
        <v>0.08</v>
      </c>
      <c r="AD45" s="58">
        <v>0.05</v>
      </c>
      <c r="AE45" s="58">
        <v>0.05</v>
      </c>
      <c r="AF45" s="55" t="s">
        <v>114</v>
      </c>
      <c r="AG45" s="39">
        <f t="shared" si="6"/>
        <v>6</v>
      </c>
      <c r="AH45" s="39">
        <f t="shared" si="7"/>
        <v>6</v>
      </c>
      <c r="AI45" s="39">
        <f t="shared" si="8"/>
        <v>0</v>
      </c>
      <c r="AJ45" s="39">
        <f t="shared" si="9"/>
        <v>0</v>
      </c>
      <c r="AK45" s="39">
        <f t="shared" si="10"/>
        <v>0</v>
      </c>
      <c r="AL45" s="39">
        <f t="shared" si="11"/>
        <v>0</v>
      </c>
      <c r="AM45" s="39">
        <f t="shared" si="12"/>
        <v>0</v>
      </c>
      <c r="AN45" s="39">
        <f t="shared" si="13"/>
        <v>0</v>
      </c>
    </row>
    <row r="46" s="6" customFormat="1" ht="50" hidden="1" customHeight="1" spans="1:40">
      <c r="A46" s="39" t="str">
        <f>_xlfn.XLOOKUP(F46,'6月产品包'!B:B,'6月产品包'!F:F)</f>
        <v>办公安防</v>
      </c>
      <c r="B46" s="39" t="str">
        <f>_xlfn.XLOOKUP(F46,'6月产品包'!B:B,'6月产品包'!G:G)</f>
        <v>教学周边</v>
      </c>
      <c r="C46" s="37" t="str">
        <f>_xlfn.XLOOKUP(F46,'6月产品包'!B:B,'6月产品包'!H:H)</f>
        <v>白板</v>
      </c>
      <c r="D46" s="38" t="str">
        <f>_xlfn.XLOOKUP(F46,'6月产品包'!B:B,'6月产品包'!O:O)</f>
        <v>磁吸白板密度板夹层</v>
      </c>
      <c r="E46" s="38" t="str">
        <f>_xlfn.XLOOKUP(F46,'6月产品包'!B:B,'6月产品包'!C:C)</f>
        <v>3B-磁吸白板密度板夹层90cm*150cm</v>
      </c>
      <c r="F46" s="39" t="s">
        <v>189</v>
      </c>
      <c r="G46" s="39" t="s">
        <v>106</v>
      </c>
      <c r="H46" s="49" t="s">
        <v>101</v>
      </c>
      <c r="I46" s="37" t="str">
        <f>_xlfn.XLOOKUP($F46,'6月库存'!A:A,'6月库存'!B:B)</f>
        <v>等待开发</v>
      </c>
      <c r="J46" s="12"/>
      <c r="K46" s="39">
        <f>_xlfn.XLOOKUP(E46,'[1]6月分配 '!$B:$B,'[1]6月分配 '!$K:$K)</f>
        <v>23542</v>
      </c>
      <c r="L46" s="12" t="str">
        <f t="shared" si="15"/>
        <v>是</v>
      </c>
      <c r="M46" s="40" t="str">
        <f>_xlfn.XLOOKUP(F46,'6月产品包'!B:B,'6月产品包'!J:J)</f>
        <v>2026-04-16</v>
      </c>
      <c r="N46" s="39" t="s">
        <v>149</v>
      </c>
      <c r="O46" s="37">
        <f>_xlfn.XLOOKUP(F46,'6月库存'!A:A,'6月库存'!R:R)</f>
        <v>0</v>
      </c>
      <c r="P46" s="39">
        <f>_xlfn.XLOOKUP(F46,'6月产品包'!B:B,'6月产品包'!S:S)</f>
        <v>8320</v>
      </c>
      <c r="Q46" s="56"/>
      <c r="R46" s="41">
        <f>_xlfn.XLOOKUP(F46,'6月产品包'!B:B,'6月产品包'!AD:AD)</f>
        <v>49.2072</v>
      </c>
      <c r="S46" s="39">
        <v>105</v>
      </c>
      <c r="T46" s="39">
        <f t="shared" si="16"/>
        <v>131</v>
      </c>
      <c r="U46" s="42">
        <f t="shared" si="20"/>
        <v>104.8</v>
      </c>
      <c r="V46" s="43">
        <v>0.2</v>
      </c>
      <c r="W46" s="44">
        <f t="shared" si="17"/>
        <v>0.530465648854962</v>
      </c>
      <c r="X46" s="44">
        <f t="shared" si="18"/>
        <v>0.35312243653114</v>
      </c>
      <c r="Y46" s="44">
        <v>0.04</v>
      </c>
      <c r="Z46" s="46">
        <v>0.1</v>
      </c>
      <c r="AA46" s="46">
        <v>0.049</v>
      </c>
      <c r="AB46" s="46">
        <f t="shared" si="19"/>
        <v>0.00515267175572519</v>
      </c>
      <c r="AC46" s="46">
        <v>0.08</v>
      </c>
      <c r="AD46" s="58">
        <v>0.05</v>
      </c>
      <c r="AE46" s="58">
        <v>0.05</v>
      </c>
      <c r="AF46" s="55" t="s">
        <v>114</v>
      </c>
      <c r="AG46" s="39">
        <f t="shared" si="6"/>
        <v>6</v>
      </c>
      <c r="AH46" s="39">
        <f t="shared" si="7"/>
        <v>6</v>
      </c>
      <c r="AI46" s="39">
        <f t="shared" si="8"/>
        <v>0</v>
      </c>
      <c r="AJ46" s="39">
        <f t="shared" si="9"/>
        <v>0</v>
      </c>
      <c r="AK46" s="39">
        <f t="shared" si="10"/>
        <v>0</v>
      </c>
      <c r="AL46" s="39">
        <f t="shared" si="11"/>
        <v>0</v>
      </c>
      <c r="AM46" s="39">
        <f t="shared" si="12"/>
        <v>0</v>
      </c>
      <c r="AN46" s="39">
        <f t="shared" si="13"/>
        <v>0</v>
      </c>
    </row>
    <row r="47" s="6" customFormat="1" ht="50" hidden="1" customHeight="1" spans="1:40">
      <c r="A47" s="37" t="s">
        <v>96</v>
      </c>
      <c r="B47" s="39" t="s">
        <v>115</v>
      </c>
      <c r="C47" s="37" t="str">
        <f>_xlfn.XLOOKUP(F47,'6月产品包'!B:B,'6月产品包'!H:H)</f>
        <v>银钱盒</v>
      </c>
      <c r="D47" s="38" t="str">
        <f>_xlfn.XLOOKUP(F47,'6月产品包'!B:B,'6月产品包'!O:O)</f>
        <v>迷你收银箱</v>
      </c>
      <c r="E47" s="38" t="s">
        <v>18</v>
      </c>
      <c r="F47" s="39" t="s">
        <v>19</v>
      </c>
      <c r="G47" s="49" t="s">
        <v>100</v>
      </c>
      <c r="H47" s="37" t="s">
        <v>101</v>
      </c>
      <c r="I47" s="37" t="str">
        <f>_xlfn.XLOOKUP($F47,'6月库存'!A:A,'6月库存'!B:B)</f>
        <v>商品清仓</v>
      </c>
      <c r="J47" s="12"/>
      <c r="K47" s="39">
        <f>_xlfn.XLOOKUP(E47,'[1]6月分配 '!$B:$B,'[1]6月分配 '!$K:$K)</f>
        <v>22237</v>
      </c>
      <c r="L47" s="12" t="str">
        <f t="shared" si="15"/>
        <v>是</v>
      </c>
      <c r="M47" s="40" t="str">
        <f>_xlfn.XLOOKUP(F47,'6月产品包'!B:B,'6月产品包'!J:J)</f>
        <v>2024-05-23</v>
      </c>
      <c r="N47" s="39" t="s">
        <v>155</v>
      </c>
      <c r="O47" s="37">
        <f>_xlfn.XLOOKUP(F47,'6月库存'!A:A,'6月库存'!R:R)</f>
        <v>1251</v>
      </c>
      <c r="P47" s="39">
        <f>_xlfn.XLOOKUP(F47,'6月产品包'!B:B,'6月产品包'!S:S)</f>
        <v>800</v>
      </c>
      <c r="Q47" s="39"/>
      <c r="R47" s="41">
        <f>_xlfn.XLOOKUP(F47,'6月产品包'!B:B,'6月产品包'!AD:AD)</f>
        <v>10.9214</v>
      </c>
      <c r="S47" s="39">
        <v>22</v>
      </c>
      <c r="T47" s="39">
        <f t="shared" si="16"/>
        <v>28</v>
      </c>
      <c r="U47" s="42">
        <f t="shared" si="20"/>
        <v>22.4</v>
      </c>
      <c r="V47" s="43">
        <v>0.2</v>
      </c>
      <c r="W47" s="44">
        <f t="shared" si="17"/>
        <v>0.5124375</v>
      </c>
      <c r="X47" s="44">
        <f t="shared" si="18"/>
        <v>0.329251216036948</v>
      </c>
      <c r="Y47" s="44">
        <v>0.04</v>
      </c>
      <c r="Z47" s="46">
        <v>0.1</v>
      </c>
      <c r="AA47" s="46">
        <v>0.049</v>
      </c>
      <c r="AB47" s="46">
        <f t="shared" si="19"/>
        <v>0.0241071428571429</v>
      </c>
      <c r="AC47" s="46">
        <v>0.06</v>
      </c>
      <c r="AD47" s="47"/>
      <c r="AF47" s="55" t="s">
        <v>114</v>
      </c>
      <c r="AG47" s="39">
        <f t="shared" si="6"/>
        <v>0</v>
      </c>
      <c r="AH47" s="39">
        <f t="shared" si="7"/>
        <v>0</v>
      </c>
      <c r="AI47" s="39">
        <f t="shared" si="8"/>
        <v>0</v>
      </c>
      <c r="AJ47" s="39">
        <f t="shared" si="9"/>
        <v>0</v>
      </c>
      <c r="AK47" s="39">
        <f t="shared" si="10"/>
        <v>0</v>
      </c>
      <c r="AL47" s="39">
        <f t="shared" si="11"/>
        <v>0</v>
      </c>
      <c r="AM47" s="39">
        <f t="shared" si="12"/>
        <v>0</v>
      </c>
      <c r="AN47" s="39">
        <f t="shared" si="13"/>
        <v>0</v>
      </c>
    </row>
    <row r="48" s="6" customFormat="1" ht="50" hidden="1" customHeight="1" spans="1:40">
      <c r="A48" s="37" t="s">
        <v>96</v>
      </c>
      <c r="B48" s="37" t="s">
        <v>97</v>
      </c>
      <c r="C48" s="37" t="str">
        <f>_xlfn.XLOOKUP(F48,'6月产品包'!B:B,'6月产品包'!H:H)</f>
        <v>摄像头</v>
      </c>
      <c r="D48" s="38" t="str">
        <f>_xlfn.XLOOKUP(F48,'6月产品包'!B:B,'6月产品包'!O:O)</f>
        <v>户外摄像头</v>
      </c>
      <c r="E48" s="38" t="s">
        <v>190</v>
      </c>
      <c r="F48" s="37" t="s">
        <v>191</v>
      </c>
      <c r="G48" s="39" t="s">
        <v>154</v>
      </c>
      <c r="H48" s="37" t="s">
        <v>107</v>
      </c>
      <c r="I48" s="37" t="str">
        <f>_xlfn.XLOOKUP($F48,'6月库存'!A:A,'6月库存'!B:B)</f>
        <v>商品清仓</v>
      </c>
      <c r="J48" s="12"/>
      <c r="K48" s="39" t="e">
        <f>_xlfn.XLOOKUP(E48,'[1]6月分配 '!$B:$B,'[1]6月分配 '!$K:$K)</f>
        <v>#N/A</v>
      </c>
      <c r="L48" s="12" t="str">
        <f t="shared" si="15"/>
        <v>否</v>
      </c>
      <c r="M48" s="40" t="str">
        <f>_xlfn.XLOOKUP(F48,'6月产品包'!B:B,'6月产品包'!J:J)</f>
        <v>2024-03-26</v>
      </c>
      <c r="N48" s="39" t="str">
        <f ca="1">IF(DATEDIF(M48,TODAY(),"m")&lt;6,"新品","老品")</f>
        <v>老品</v>
      </c>
      <c r="O48" s="37">
        <f>_xlfn.XLOOKUP(F48,'6月库存'!A:A,'6月库存'!R:R)</f>
        <v>3</v>
      </c>
      <c r="P48" s="39">
        <f>_xlfn.XLOOKUP(F48,'6月产品包'!B:B,'6月产品包'!S:S)</f>
        <v>250</v>
      </c>
      <c r="Q48" s="39"/>
      <c r="R48" s="41">
        <f>_xlfn.XLOOKUP(F48,'6月产品包'!B:B,'6月产品包'!AD:AD)</f>
        <v>28.5244</v>
      </c>
      <c r="S48" s="39">
        <v>49</v>
      </c>
      <c r="T48" s="39">
        <f t="shared" si="16"/>
        <v>61</v>
      </c>
      <c r="U48" s="42">
        <f t="shared" si="20"/>
        <v>48.8</v>
      </c>
      <c r="V48" s="43">
        <v>0.2</v>
      </c>
      <c r="W48" s="44">
        <f t="shared" si="17"/>
        <v>0.415483606557377</v>
      </c>
      <c r="X48" s="44">
        <f t="shared" si="18"/>
        <v>0.257223506864154</v>
      </c>
      <c r="Y48" s="51">
        <v>0.038</v>
      </c>
      <c r="Z48" s="46">
        <v>0.105</v>
      </c>
      <c r="AA48" s="46">
        <v>0.049</v>
      </c>
      <c r="AB48" s="46">
        <f t="shared" si="19"/>
        <v>0.0110655737704918</v>
      </c>
      <c r="AC48" s="46">
        <v>0.01</v>
      </c>
      <c r="AD48" s="47"/>
      <c r="AF48" s="48" t="s">
        <v>102</v>
      </c>
      <c r="AG48" s="39">
        <f t="shared" si="6"/>
        <v>0</v>
      </c>
      <c r="AH48" s="39">
        <f t="shared" si="7"/>
        <v>0</v>
      </c>
      <c r="AI48" s="39">
        <f t="shared" si="8"/>
        <v>0</v>
      </c>
      <c r="AJ48" s="39">
        <f t="shared" si="9"/>
        <v>0</v>
      </c>
      <c r="AK48" s="39">
        <f t="shared" si="10"/>
        <v>0</v>
      </c>
      <c r="AL48" s="39">
        <f t="shared" si="11"/>
        <v>0</v>
      </c>
      <c r="AM48" s="39">
        <f t="shared" si="12"/>
        <v>0</v>
      </c>
      <c r="AN48" s="39">
        <f t="shared" si="13"/>
        <v>0</v>
      </c>
    </row>
    <row r="49" s="6" customFormat="1" ht="50" hidden="1" customHeight="1" spans="1:40">
      <c r="A49" s="37" t="s">
        <v>96</v>
      </c>
      <c r="B49" s="37" t="s">
        <v>115</v>
      </c>
      <c r="C49" s="37" t="str">
        <f>_xlfn.XLOOKUP(F49,'6月产品包'!B:B,'6月产品包'!H:H)</f>
        <v>扫码枪</v>
      </c>
      <c r="D49" s="38" t="str">
        <f>_xlfn.XLOOKUP(F49,'6月产品包'!B:B,'6月产品包'!O:O)</f>
        <v>一维扫描枪</v>
      </c>
      <c r="E49" s="38" t="s">
        <v>192</v>
      </c>
      <c r="F49" s="37" t="s">
        <v>193</v>
      </c>
      <c r="G49" s="39" t="e">
        <v>#N/A</v>
      </c>
      <c r="H49" s="37" t="s">
        <v>107</v>
      </c>
      <c r="I49" s="37" t="str">
        <f>_xlfn.XLOOKUP($F49,'6月库存'!A:A,'6月库存'!B:B)</f>
        <v>商品清仓</v>
      </c>
      <c r="J49" s="12"/>
      <c r="K49" s="39" t="e">
        <f>_xlfn.XLOOKUP(E49,'[1]6月分配 '!$B:$B,'[1]6月分配 '!$K:$K)</f>
        <v>#N/A</v>
      </c>
      <c r="L49" s="12" t="str">
        <f t="shared" si="15"/>
        <v>否</v>
      </c>
      <c r="M49" s="40" t="str">
        <f>_xlfn.XLOOKUP(F49,'6月产品包'!B:B,'6月产品包'!J:J)</f>
        <v>2024-08-13</v>
      </c>
      <c r="N49" s="39" t="str">
        <f ca="1">IF(DATEDIF(M49,TODAY(),"m")&lt;6,"新品","老品")</f>
        <v>老品</v>
      </c>
      <c r="O49" s="37">
        <f>_xlfn.XLOOKUP(F49,'6月库存'!A:A,'6月库存'!R:R)</f>
        <v>45</v>
      </c>
      <c r="P49" s="39">
        <f>_xlfn.XLOOKUP(F49,'6月产品包'!B:B,'6月产品包'!S:S)</f>
        <v>260</v>
      </c>
      <c r="Q49" s="39"/>
      <c r="R49" s="41">
        <f>_xlfn.XLOOKUP(F49,'6月产品包'!B:B,'6月产品包'!AD:AD)</f>
        <v>33.5762</v>
      </c>
      <c r="S49" s="39">
        <v>62</v>
      </c>
      <c r="T49" s="39">
        <f t="shared" si="16"/>
        <v>78</v>
      </c>
      <c r="U49" s="42">
        <f t="shared" si="20"/>
        <v>62.4</v>
      </c>
      <c r="V49" s="43">
        <v>0.2</v>
      </c>
      <c r="W49" s="44">
        <f t="shared" si="17"/>
        <v>0.461919871794872</v>
      </c>
      <c r="X49" s="44">
        <f t="shared" si="18"/>
        <v>0.305116806569645</v>
      </c>
      <c r="Y49" s="44">
        <v>0.038</v>
      </c>
      <c r="Z49" s="46">
        <v>0.1</v>
      </c>
      <c r="AA49" s="46">
        <v>0.049</v>
      </c>
      <c r="AB49" s="46">
        <f t="shared" si="19"/>
        <v>0.00865384615384615</v>
      </c>
      <c r="AC49" s="46">
        <v>0.03</v>
      </c>
      <c r="AD49" s="47"/>
      <c r="AF49" s="48" t="s">
        <v>102</v>
      </c>
      <c r="AG49" s="39">
        <f t="shared" si="6"/>
        <v>3.744</v>
      </c>
      <c r="AH49" s="39">
        <f t="shared" si="7"/>
        <v>3.744</v>
      </c>
      <c r="AI49" s="39">
        <f t="shared" si="8"/>
        <v>0</v>
      </c>
      <c r="AJ49" s="39">
        <f t="shared" si="9"/>
        <v>0</v>
      </c>
      <c r="AK49" s="39">
        <f t="shared" si="10"/>
        <v>0</v>
      </c>
      <c r="AL49" s="39">
        <f t="shared" si="11"/>
        <v>0</v>
      </c>
      <c r="AM49" s="39">
        <f t="shared" si="12"/>
        <v>0</v>
      </c>
      <c r="AN49" s="39">
        <f t="shared" si="13"/>
        <v>0</v>
      </c>
    </row>
    <row r="50" s="6" customFormat="1" ht="50" hidden="1" customHeight="1" spans="1:40">
      <c r="A50" s="37" t="s">
        <v>96</v>
      </c>
      <c r="B50" s="37" t="s">
        <v>97</v>
      </c>
      <c r="C50" s="37" t="str">
        <f>_xlfn.XLOOKUP(F50,'6月产品包'!B:B,'6月产品包'!H:H)</f>
        <v>指纹锁</v>
      </c>
      <c r="D50" s="38" t="str">
        <f>_xlfn.XLOOKUP(F50,'6月产品包'!B:B,'6月产品包'!O:O)</f>
        <v>面板门锁</v>
      </c>
      <c r="E50" s="38" t="s">
        <v>194</v>
      </c>
      <c r="F50" s="37" t="s">
        <v>195</v>
      </c>
      <c r="G50" s="39" t="s">
        <v>100</v>
      </c>
      <c r="H50" s="37" t="s">
        <v>101</v>
      </c>
      <c r="I50" s="37" t="str">
        <f>_xlfn.XLOOKUP($F50,'6月库存'!A:A,'6月库存'!B:B)</f>
        <v>正常销售</v>
      </c>
      <c r="J50" s="12"/>
      <c r="K50" s="39" t="e">
        <f>_xlfn.XLOOKUP(E50,'[1]6月分配 '!$B:$B,'[1]6月分配 '!$K:$K)</f>
        <v>#N/A</v>
      </c>
      <c r="L50" s="12" t="str">
        <f t="shared" si="15"/>
        <v>否</v>
      </c>
      <c r="M50" s="40" t="str">
        <f>_xlfn.XLOOKUP(F50,'6月产品包'!B:B,'6月产品包'!J:J)</f>
        <v>2025-06-10</v>
      </c>
      <c r="N50" s="39" t="str">
        <f ca="1">IF(DATEDIF(M50,TODAY(),"m")&lt;6,"新品","老品")</f>
        <v>老品</v>
      </c>
      <c r="O50" s="37">
        <f>_xlfn.XLOOKUP(F50,'6月库存'!A:A,'6月库存'!R:R)</f>
        <v>0</v>
      </c>
      <c r="P50" s="39">
        <f>_xlfn.XLOOKUP(F50,'6月产品包'!B:B,'6月产品包'!S:S)</f>
        <v>1230</v>
      </c>
      <c r="Q50" s="39"/>
      <c r="R50" s="41">
        <f>_xlfn.XLOOKUP(F50,'6月产品包'!B:B,'6月产品包'!AD:AD)</f>
        <v>69.7218</v>
      </c>
      <c r="S50" s="39">
        <v>133</v>
      </c>
      <c r="T50" s="39">
        <f t="shared" si="16"/>
        <v>166</v>
      </c>
      <c r="U50" s="42">
        <f t="shared" si="20"/>
        <v>132.8</v>
      </c>
      <c r="V50" s="43">
        <v>0.2</v>
      </c>
      <c r="W50" s="44">
        <f t="shared" si="17"/>
        <v>0.474986445783133</v>
      </c>
      <c r="X50" s="44">
        <f t="shared" si="18"/>
        <v>0.284658097559775</v>
      </c>
      <c r="Y50" s="51">
        <v>0.038</v>
      </c>
      <c r="Z50" s="45">
        <v>0.115</v>
      </c>
      <c r="AA50" s="46">
        <v>0.049</v>
      </c>
      <c r="AB50" s="46">
        <f t="shared" si="19"/>
        <v>0.00406626506024096</v>
      </c>
      <c r="AC50" s="46">
        <v>0.06</v>
      </c>
      <c r="AD50" s="47"/>
      <c r="AF50" s="48" t="s">
        <v>102</v>
      </c>
      <c r="AG50" s="39">
        <f t="shared" si="6"/>
        <v>6</v>
      </c>
      <c r="AH50" s="39">
        <f t="shared" si="7"/>
        <v>6</v>
      </c>
      <c r="AI50" s="39">
        <f t="shared" si="8"/>
        <v>0</v>
      </c>
      <c r="AJ50" s="39">
        <f t="shared" si="9"/>
        <v>0</v>
      </c>
      <c r="AK50" s="39">
        <f t="shared" si="10"/>
        <v>0</v>
      </c>
      <c r="AL50" s="39">
        <f t="shared" si="11"/>
        <v>0</v>
      </c>
      <c r="AM50" s="39">
        <f t="shared" si="12"/>
        <v>0</v>
      </c>
      <c r="AN50" s="39">
        <f t="shared" si="13"/>
        <v>0</v>
      </c>
    </row>
    <row r="51" s="6" customFormat="1" ht="50" hidden="1" customHeight="1" spans="1:40">
      <c r="A51" s="37" t="s">
        <v>96</v>
      </c>
      <c r="B51" s="37" t="s">
        <v>97</v>
      </c>
      <c r="C51" s="37" t="str">
        <f>_xlfn.XLOOKUP(F51,'6月产品包'!B:B,'6月产品包'!H:H)</f>
        <v>密码盒</v>
      </c>
      <c r="D51" s="38" t="str">
        <f>_xlfn.XLOOKUP(F51,'6月产品包'!B:B,'6月产品包'!O:O)</f>
        <v>密码盒</v>
      </c>
      <c r="E51" s="38" t="s">
        <v>196</v>
      </c>
      <c r="F51" s="37" t="s">
        <v>197</v>
      </c>
      <c r="G51" s="39" t="s">
        <v>126</v>
      </c>
      <c r="H51" s="37" t="s">
        <v>101</v>
      </c>
      <c r="I51" s="37" t="str">
        <f>_xlfn.XLOOKUP($F51,'6月库存'!A:A,'6月库存'!B:B)</f>
        <v>商品清仓</v>
      </c>
      <c r="J51" s="12"/>
      <c r="K51" s="39" t="e">
        <f>_xlfn.XLOOKUP(E51,'[1]6月分配 '!$B:$B,'[1]6月分配 '!$K:$K)</f>
        <v>#N/A</v>
      </c>
      <c r="L51" s="12" t="str">
        <f t="shared" si="15"/>
        <v>否</v>
      </c>
      <c r="M51" s="40" t="str">
        <f>_xlfn.XLOOKUP(F51,'6月产品包'!B:B,'6月产品包'!J:J)</f>
        <v>2024-10-29</v>
      </c>
      <c r="N51" s="39" t="str">
        <f ca="1">IF(DATEDIF(M51,TODAY(),"m")&lt;6,"新品","老品")</f>
        <v>老品</v>
      </c>
      <c r="O51" s="37">
        <f>_xlfn.XLOOKUP(F51,'6月库存'!A:A,'6月库存'!R:R)</f>
        <v>120</v>
      </c>
      <c r="P51" s="39">
        <f>_xlfn.XLOOKUP(F51,'6月产品包'!B:B,'6月产品包'!S:S)</f>
        <v>153</v>
      </c>
      <c r="Q51" s="39"/>
      <c r="R51" s="41">
        <f>_xlfn.XLOOKUP(F51,'6月产品包'!B:B,'6月产品包'!AD:AD)</f>
        <v>5.5216</v>
      </c>
      <c r="S51" s="39">
        <v>9.35</v>
      </c>
      <c r="T51" s="39">
        <f t="shared" si="16"/>
        <v>12</v>
      </c>
      <c r="U51" s="42">
        <f t="shared" si="20"/>
        <v>9.6</v>
      </c>
      <c r="V51" s="43">
        <v>0.2</v>
      </c>
      <c r="W51" s="44">
        <f t="shared" si="17"/>
        <v>0.424833333333333</v>
      </c>
      <c r="X51" s="44">
        <f t="shared" si="18"/>
        <v>0.229773462783171</v>
      </c>
      <c r="Y51" s="44">
        <v>0.038</v>
      </c>
      <c r="Z51" s="46">
        <v>0.1</v>
      </c>
      <c r="AA51" s="46">
        <v>0.049</v>
      </c>
      <c r="AB51" s="46">
        <f t="shared" si="19"/>
        <v>0.05625</v>
      </c>
      <c r="AC51" s="59">
        <v>0.01</v>
      </c>
      <c r="AD51" s="47"/>
      <c r="AF51" s="48" t="s">
        <v>102</v>
      </c>
      <c r="AG51" s="39">
        <f t="shared" si="6"/>
        <v>0</v>
      </c>
      <c r="AH51" s="39">
        <f t="shared" si="7"/>
        <v>0</v>
      </c>
      <c r="AI51" s="39">
        <f t="shared" si="8"/>
        <v>0</v>
      </c>
      <c r="AJ51" s="39">
        <f t="shared" si="9"/>
        <v>0</v>
      </c>
      <c r="AK51" s="39">
        <f t="shared" si="10"/>
        <v>0</v>
      </c>
      <c r="AL51" s="39">
        <f t="shared" si="11"/>
        <v>0</v>
      </c>
      <c r="AM51" s="39">
        <f t="shared" si="12"/>
        <v>0</v>
      </c>
      <c r="AN51" s="39">
        <f t="shared" si="13"/>
        <v>0</v>
      </c>
    </row>
    <row r="52" s="6" customFormat="1" ht="50" hidden="1" customHeight="1" spans="1:40">
      <c r="A52" s="37" t="s">
        <v>96</v>
      </c>
      <c r="B52" s="37" t="s">
        <v>115</v>
      </c>
      <c r="C52" s="37" t="str">
        <f>_xlfn.XLOOKUP(F52,'6月产品包'!B:B,'6月产品包'!H:H)</f>
        <v>银钱盒</v>
      </c>
      <c r="D52" s="38" t="str">
        <f>_xlfn.XLOOKUP(F52,'6月产品包'!B:B,'6月产品包'!O:O)</f>
        <v>迷你收银箱</v>
      </c>
      <c r="E52" s="38" t="s">
        <v>18</v>
      </c>
      <c r="F52" s="39" t="s">
        <v>24</v>
      </c>
      <c r="G52" s="49" t="s">
        <v>100</v>
      </c>
      <c r="H52" s="39" t="s">
        <v>101</v>
      </c>
      <c r="I52" s="37" t="str">
        <f>_xlfn.XLOOKUP($F52,'6月库存'!A:A,'6月库存'!B:B)</f>
        <v>正常销售</v>
      </c>
      <c r="J52" s="12"/>
      <c r="K52" s="39">
        <f>_xlfn.XLOOKUP(E52,'[1]6月分配 '!$B:$B,'[1]6月分配 '!$K:$K)</f>
        <v>22237</v>
      </c>
      <c r="L52" s="12" t="str">
        <f t="shared" si="15"/>
        <v>是</v>
      </c>
      <c r="M52" s="40" t="str">
        <f>_xlfn.XLOOKUP(F52,'6月产品包'!B:B,'6月产品包'!J:J)</f>
        <v>2025-11-18</v>
      </c>
      <c r="N52" s="39" t="s">
        <v>149</v>
      </c>
      <c r="O52" s="37">
        <f>_xlfn.XLOOKUP(F52,'6月库存'!A:A,'6月库存'!R:R)</f>
        <v>0</v>
      </c>
      <c r="P52" s="39">
        <f>_xlfn.XLOOKUP(F52,'6月产品包'!B:B,'6月产品包'!S:S)</f>
        <v>800</v>
      </c>
      <c r="Q52" s="39"/>
      <c r="R52" s="41">
        <f>_xlfn.XLOOKUP(F52,'6月产品包'!B:B,'6月产品包'!AD:AD)</f>
        <v>10.1442</v>
      </c>
      <c r="S52" s="39">
        <v>22</v>
      </c>
      <c r="T52" s="39">
        <f t="shared" si="16"/>
        <v>28</v>
      </c>
      <c r="U52" s="42">
        <f t="shared" si="20"/>
        <v>22.4</v>
      </c>
      <c r="V52" s="43">
        <v>0.2</v>
      </c>
      <c r="W52" s="44">
        <f t="shared" si="17"/>
        <v>0.547133928571429</v>
      </c>
      <c r="X52" s="44">
        <f t="shared" si="18"/>
        <v>0.376983737041222</v>
      </c>
      <c r="Y52" s="44">
        <v>0.04</v>
      </c>
      <c r="Z52" s="46">
        <v>0.1</v>
      </c>
      <c r="AA52" s="46">
        <v>0.049</v>
      </c>
      <c r="AB52" s="46">
        <f t="shared" si="19"/>
        <v>0.0241071428571429</v>
      </c>
      <c r="AC52" s="46">
        <v>0.06</v>
      </c>
      <c r="AD52" s="47"/>
      <c r="AF52" s="55" t="s">
        <v>114</v>
      </c>
      <c r="AG52" s="39">
        <f t="shared" si="6"/>
        <v>0</v>
      </c>
      <c r="AH52" s="39">
        <f t="shared" si="7"/>
        <v>0</v>
      </c>
      <c r="AI52" s="39">
        <f t="shared" si="8"/>
        <v>0</v>
      </c>
      <c r="AJ52" s="39">
        <f t="shared" si="9"/>
        <v>0</v>
      </c>
      <c r="AK52" s="39">
        <f t="shared" si="10"/>
        <v>0</v>
      </c>
      <c r="AL52" s="39">
        <f t="shared" si="11"/>
        <v>0</v>
      </c>
      <c r="AM52" s="39">
        <f t="shared" si="12"/>
        <v>0</v>
      </c>
      <c r="AN52" s="39">
        <f t="shared" si="13"/>
        <v>0</v>
      </c>
    </row>
    <row r="53" s="6" customFormat="1" ht="50" hidden="1" customHeight="1" spans="1:40">
      <c r="A53" s="37" t="s">
        <v>108</v>
      </c>
      <c r="B53" s="37" t="s">
        <v>146</v>
      </c>
      <c r="C53" s="37" t="str">
        <f>_xlfn.XLOOKUP(F53,'6月产品包'!B:B,'6月产品包'!H:H)</f>
        <v>电子琴</v>
      </c>
      <c r="D53" s="38" t="str">
        <f>_xlfn.XLOOKUP(F53,'6月产品包'!B:B,'6月产品包'!O:O)</f>
        <v>折叠电子琴88键</v>
      </c>
      <c r="E53" s="38" t="s">
        <v>198</v>
      </c>
      <c r="F53" s="39" t="s">
        <v>199</v>
      </c>
      <c r="G53" s="39" t="s">
        <v>106</v>
      </c>
      <c r="H53" s="37" t="s">
        <v>101</v>
      </c>
      <c r="I53" s="37" t="str">
        <f>_xlfn.XLOOKUP($F53,'6月库存'!A:A,'6月库存'!B:B)</f>
        <v>正常销售</v>
      </c>
      <c r="J53" s="12"/>
      <c r="K53" s="39">
        <f>_xlfn.XLOOKUP(E53,'[1]6月分配 '!$B:$B,'[1]6月分配 '!$K:$K)</f>
        <v>22198</v>
      </c>
      <c r="L53" s="12" t="str">
        <f t="shared" si="15"/>
        <v>是</v>
      </c>
      <c r="M53" s="40" t="str">
        <f>_xlfn.XLOOKUP(F53,'6月产品包'!B:B,'6月产品包'!J:J)</f>
        <v>2025-10-09</v>
      </c>
      <c r="N53" s="37" t="s">
        <v>149</v>
      </c>
      <c r="O53" s="37">
        <f>_xlfn.XLOOKUP(F53,'6月库存'!A:A,'6月库存'!R:R)</f>
        <v>231</v>
      </c>
      <c r="P53" s="39">
        <f>_xlfn.XLOOKUP(F53,'6月产品包'!B:B,'6月产品包'!S:S)</f>
        <v>4500</v>
      </c>
      <c r="Q53" s="39"/>
      <c r="R53" s="41">
        <f>_xlfn.XLOOKUP(F53,'6月产品包'!B:B,'6月产品包'!AD:AD)</f>
        <v>135.5228</v>
      </c>
      <c r="S53" s="39">
        <v>300</v>
      </c>
      <c r="T53" s="39">
        <f t="shared" si="16"/>
        <v>375</v>
      </c>
      <c r="U53" s="42">
        <f t="shared" si="20"/>
        <v>300</v>
      </c>
      <c r="V53" s="43">
        <v>0.2</v>
      </c>
      <c r="W53" s="44">
        <f t="shared" si="17"/>
        <v>0.548257333333333</v>
      </c>
      <c r="X53" s="44">
        <f t="shared" si="18"/>
        <v>0.394609130706692</v>
      </c>
      <c r="Y53" s="44">
        <v>0.038</v>
      </c>
      <c r="Z53" s="46">
        <v>0.105</v>
      </c>
      <c r="AA53" s="46">
        <v>0.049</v>
      </c>
      <c r="AB53" s="46">
        <f t="shared" si="19"/>
        <v>0.0018</v>
      </c>
      <c r="AC53" s="46">
        <v>0.06</v>
      </c>
      <c r="AD53" s="47"/>
      <c r="AF53" s="48" t="s">
        <v>114</v>
      </c>
      <c r="AG53" s="39">
        <f t="shared" si="6"/>
        <v>16.2</v>
      </c>
      <c r="AH53" s="39">
        <f t="shared" si="7"/>
        <v>6</v>
      </c>
      <c r="AI53" s="39">
        <f t="shared" si="8"/>
        <v>16.2</v>
      </c>
      <c r="AJ53" s="39">
        <f t="shared" si="9"/>
        <v>0</v>
      </c>
      <c r="AK53" s="39">
        <f t="shared" si="10"/>
        <v>0</v>
      </c>
      <c r="AL53" s="39">
        <f t="shared" si="11"/>
        <v>0</v>
      </c>
      <c r="AM53" s="39">
        <f t="shared" si="12"/>
        <v>16.2</v>
      </c>
      <c r="AN53" s="39">
        <f t="shared" si="13"/>
        <v>13.5</v>
      </c>
    </row>
    <row r="54" s="6" customFormat="1" ht="50" hidden="1" customHeight="1" spans="1:40">
      <c r="A54" s="37" t="s">
        <v>96</v>
      </c>
      <c r="B54" s="37" t="s">
        <v>127</v>
      </c>
      <c r="C54" s="37" t="str">
        <f>_xlfn.XLOOKUP(F54,'6月产品包'!B:B,'6月产品包'!H:H)</f>
        <v>保险箱</v>
      </c>
      <c r="D54" s="38" t="str">
        <f>_xlfn.XLOOKUP(F54,'6月产品包'!B:B,'6月产品包'!O:O)</f>
        <v>大尺寸保险箱</v>
      </c>
      <c r="E54" s="38" t="s">
        <v>200</v>
      </c>
      <c r="F54" s="39" t="s">
        <v>201</v>
      </c>
      <c r="G54" s="39" t="s">
        <v>154</v>
      </c>
      <c r="H54" s="37" t="s">
        <v>101</v>
      </c>
      <c r="I54" s="37" t="str">
        <f>_xlfn.XLOOKUP($F54,'6月库存'!A:A,'6月库存'!B:B)</f>
        <v>正常销售</v>
      </c>
      <c r="J54" s="12"/>
      <c r="K54" s="39">
        <f>_xlfn.XLOOKUP(E54,'[1]6月分配 '!$B:$B,'[1]6月分配 '!$K:$K)</f>
        <v>21971</v>
      </c>
      <c r="L54" s="12" t="str">
        <f t="shared" si="15"/>
        <v>是</v>
      </c>
      <c r="M54" s="40" t="str">
        <f>_xlfn.XLOOKUP(F54,'6月产品包'!B:B,'6月产品包'!J:J)</f>
        <v>2025-03-15</v>
      </c>
      <c r="N54" s="39" t="str">
        <f ca="1" t="shared" ref="N54:N59" si="23">IF(DATEDIF(M54,TODAY(),"m")&lt;6,"新品","老品")</f>
        <v>老品</v>
      </c>
      <c r="O54" s="37">
        <f>_xlfn.XLOOKUP(F54,'6月库存'!A:A,'6月库存'!R:R)</f>
        <v>33</v>
      </c>
      <c r="P54" s="39">
        <f>_xlfn.XLOOKUP(F54,'6月产品包'!B:B,'6月产品包'!S:S)</f>
        <v>45000</v>
      </c>
      <c r="Q54" s="39"/>
      <c r="R54" s="41">
        <f>_xlfn.XLOOKUP(F54,'6月产品包'!B:B,'6月产品包'!AD:AD)</f>
        <v>520.1266</v>
      </c>
      <c r="S54" s="39">
        <v>699</v>
      </c>
      <c r="T54" s="39">
        <f t="shared" si="16"/>
        <v>874</v>
      </c>
      <c r="U54" s="42">
        <f t="shared" si="20"/>
        <v>699.2</v>
      </c>
      <c r="V54" s="43">
        <v>0.2</v>
      </c>
      <c r="W54" s="44">
        <f t="shared" si="17"/>
        <v>0.256111842105263</v>
      </c>
      <c r="X54" s="44">
        <f t="shared" si="18"/>
        <v>0.00845014251966197</v>
      </c>
      <c r="Y54" s="52">
        <v>0.04</v>
      </c>
      <c r="Z54" s="46">
        <v>0.1</v>
      </c>
      <c r="AA54" s="46">
        <v>0.049</v>
      </c>
      <c r="AB54" s="46">
        <f t="shared" si="19"/>
        <v>0.000772311212814645</v>
      </c>
      <c r="AC54" s="46">
        <v>0.06</v>
      </c>
      <c r="AD54" s="49"/>
      <c r="AF54" s="48" t="s">
        <v>114</v>
      </c>
      <c r="AG54" s="39">
        <f t="shared" si="6"/>
        <v>58.7328</v>
      </c>
      <c r="AH54" s="39">
        <f t="shared" si="7"/>
        <v>6</v>
      </c>
      <c r="AI54" s="39">
        <f t="shared" si="8"/>
        <v>21</v>
      </c>
      <c r="AJ54" s="39">
        <f t="shared" si="9"/>
        <v>58.7328</v>
      </c>
      <c r="AK54" s="39">
        <f t="shared" si="10"/>
        <v>52.44</v>
      </c>
      <c r="AL54" s="39">
        <f t="shared" si="11"/>
        <v>46.1472</v>
      </c>
      <c r="AM54" s="39">
        <f t="shared" si="12"/>
        <v>36</v>
      </c>
      <c r="AN54" s="39">
        <f t="shared" si="13"/>
        <v>18</v>
      </c>
    </row>
    <row r="55" s="6" customFormat="1" ht="50" hidden="1" customHeight="1" spans="1:40">
      <c r="A55" s="37" t="s">
        <v>96</v>
      </c>
      <c r="B55" s="37" t="s">
        <v>186</v>
      </c>
      <c r="C55" s="37" t="str">
        <f>_xlfn.XLOOKUP(F55,'6月产品包'!B:B,'6月产品包'!H:H)</f>
        <v>白板</v>
      </c>
      <c r="D55" s="38" t="str">
        <f>_xlfn.XLOOKUP(F55,'6月产品包'!B:B,'6月产品包'!O:O)</f>
        <v>橡胶白板</v>
      </c>
      <c r="E55" s="38" t="s">
        <v>202</v>
      </c>
      <c r="F55" s="37" t="s">
        <v>203</v>
      </c>
      <c r="G55" s="39" t="s">
        <v>100</v>
      </c>
      <c r="H55" s="37" t="s">
        <v>101</v>
      </c>
      <c r="I55" s="37" t="str">
        <f>_xlfn.XLOOKUP($F55,'6月库存'!A:A,'6月库存'!B:B)</f>
        <v>正常销售</v>
      </c>
      <c r="J55" s="12"/>
      <c r="K55" s="39">
        <f>_xlfn.XLOOKUP(E55,'[1]6月分配 '!$B:$B,'[1]6月分配 '!$K:$K)</f>
        <v>21362</v>
      </c>
      <c r="L55" s="12" t="str">
        <f t="shared" si="15"/>
        <v>是</v>
      </c>
      <c r="M55" s="40" t="str">
        <f>_xlfn.XLOOKUP(F55,'6月产品包'!B:B,'6月产品包'!J:J)</f>
        <v>2025-07-03</v>
      </c>
      <c r="N55" s="39" t="str">
        <f ca="1" t="shared" si="23"/>
        <v>老品</v>
      </c>
      <c r="O55" s="37">
        <f>_xlfn.XLOOKUP(F55,'6月库存'!A:A,'6月库存'!R:R)</f>
        <v>350</v>
      </c>
      <c r="P55" s="39">
        <f>_xlfn.XLOOKUP(F55,'6月产品包'!B:B,'6月产品包'!S:S)</f>
        <v>3050</v>
      </c>
      <c r="Q55" s="39"/>
      <c r="R55" s="41">
        <f>_xlfn.XLOOKUP(F55,'6月产品包'!B:B,'6月产品包'!AD:AD)</f>
        <v>39.0224</v>
      </c>
      <c r="S55" s="39">
        <v>79</v>
      </c>
      <c r="T55" s="39">
        <f t="shared" si="16"/>
        <v>99</v>
      </c>
      <c r="U55" s="42">
        <f t="shared" si="20"/>
        <v>79.2</v>
      </c>
      <c r="V55" s="43">
        <v>0.2</v>
      </c>
      <c r="W55" s="44">
        <f t="shared" si="17"/>
        <v>0.507292929292929</v>
      </c>
      <c r="X55" s="44">
        <f t="shared" si="18"/>
        <v>0.31963623176277</v>
      </c>
      <c r="Y55" s="44">
        <v>0.04</v>
      </c>
      <c r="Z55" s="46">
        <v>0.1</v>
      </c>
      <c r="AA55" s="46">
        <v>0.049</v>
      </c>
      <c r="AB55" s="46">
        <f t="shared" si="19"/>
        <v>0.00681818181818182</v>
      </c>
      <c r="AC55" s="46">
        <v>0.08</v>
      </c>
      <c r="AD55" s="58">
        <v>0.05</v>
      </c>
      <c r="AE55" s="58">
        <v>0.05</v>
      </c>
      <c r="AF55" s="48" t="s">
        <v>114</v>
      </c>
      <c r="AG55" s="39">
        <f t="shared" si="6"/>
        <v>4.752</v>
      </c>
      <c r="AH55" s="39">
        <f t="shared" si="7"/>
        <v>4.752</v>
      </c>
      <c r="AI55" s="39">
        <f t="shared" si="8"/>
        <v>0</v>
      </c>
      <c r="AJ55" s="39">
        <f t="shared" si="9"/>
        <v>0</v>
      </c>
      <c r="AK55" s="39">
        <f t="shared" si="10"/>
        <v>0</v>
      </c>
      <c r="AL55" s="39">
        <f t="shared" si="11"/>
        <v>0</v>
      </c>
      <c r="AM55" s="39">
        <f t="shared" si="12"/>
        <v>0</v>
      </c>
      <c r="AN55" s="39">
        <f t="shared" si="13"/>
        <v>0</v>
      </c>
    </row>
    <row r="56" s="6" customFormat="1" ht="50" hidden="1" customHeight="1" spans="1:40">
      <c r="A56" s="37" t="s">
        <v>96</v>
      </c>
      <c r="B56" s="37" t="s">
        <v>97</v>
      </c>
      <c r="C56" s="37" t="str">
        <f>_xlfn.XLOOKUP(F56,'6月产品包'!B:B,'6月产品包'!H:H)</f>
        <v>指纹锁</v>
      </c>
      <c r="D56" s="38" t="str">
        <f>_xlfn.XLOOKUP(F56,'6月产品包'!B:B,'6月产品包'!O:O)</f>
        <v>手柄门锁</v>
      </c>
      <c r="E56" s="38" t="s">
        <v>204</v>
      </c>
      <c r="F56" s="37" t="s">
        <v>205</v>
      </c>
      <c r="G56" s="39" t="s">
        <v>100</v>
      </c>
      <c r="H56" s="37" t="s">
        <v>101</v>
      </c>
      <c r="I56" s="37" t="str">
        <f>_xlfn.XLOOKUP($F56,'6月库存'!A:A,'6月库存'!B:B)</f>
        <v>正常销售</v>
      </c>
      <c r="J56" s="12"/>
      <c r="K56" s="39">
        <f>_xlfn.XLOOKUP(E56,'[1]6月分配 '!$B:$B,'[1]6月分配 '!$K:$K)</f>
        <v>21136</v>
      </c>
      <c r="L56" s="12" t="str">
        <f t="shared" si="15"/>
        <v>是</v>
      </c>
      <c r="M56" s="40" t="str">
        <f>_xlfn.XLOOKUP(F56,'6月产品包'!B:B,'6月产品包'!J:J)</f>
        <v>2024-11-12</v>
      </c>
      <c r="N56" s="39" t="str">
        <f ca="1" t="shared" si="23"/>
        <v>老品</v>
      </c>
      <c r="O56" s="37">
        <f>_xlfn.XLOOKUP(F56,'6月库存'!A:A,'6月库存'!R:R)</f>
        <v>699</v>
      </c>
      <c r="P56" s="39">
        <f>_xlfn.XLOOKUP(F56,'6月产品包'!B:B,'6月产品包'!S:S)</f>
        <v>837</v>
      </c>
      <c r="Q56" s="39"/>
      <c r="R56" s="41">
        <f>_xlfn.XLOOKUP(F56,'6月产品包'!B:B,'6月产品包'!AD:AD)</f>
        <v>54.4852</v>
      </c>
      <c r="S56" s="39">
        <v>99</v>
      </c>
      <c r="T56" s="39">
        <f t="shared" si="16"/>
        <v>124</v>
      </c>
      <c r="U56" s="42">
        <f t="shared" si="20"/>
        <v>99.2</v>
      </c>
      <c r="V56" s="43">
        <v>0.2</v>
      </c>
      <c r="W56" s="44">
        <f t="shared" si="17"/>
        <v>0.450754032258065</v>
      </c>
      <c r="X56" s="44">
        <f t="shared" si="18"/>
        <v>0.25023393551086</v>
      </c>
      <c r="Y56" s="44">
        <v>0.038</v>
      </c>
      <c r="Z56" s="45">
        <v>0.115</v>
      </c>
      <c r="AA56" s="46">
        <v>0.049</v>
      </c>
      <c r="AB56" s="46">
        <f t="shared" si="19"/>
        <v>0.00544354838709677</v>
      </c>
      <c r="AC56" s="46">
        <v>0.06</v>
      </c>
      <c r="AD56" s="47"/>
      <c r="AF56" s="48" t="s">
        <v>102</v>
      </c>
      <c r="AG56" s="39">
        <f t="shared" si="6"/>
        <v>5.952</v>
      </c>
      <c r="AH56" s="39">
        <f t="shared" si="7"/>
        <v>5.952</v>
      </c>
      <c r="AI56" s="39">
        <f t="shared" si="8"/>
        <v>0</v>
      </c>
      <c r="AJ56" s="39">
        <f t="shared" si="9"/>
        <v>0</v>
      </c>
      <c r="AK56" s="39">
        <f t="shared" si="10"/>
        <v>0</v>
      </c>
      <c r="AL56" s="39">
        <f t="shared" si="11"/>
        <v>0</v>
      </c>
      <c r="AM56" s="39">
        <f t="shared" si="12"/>
        <v>0</v>
      </c>
      <c r="AN56" s="39">
        <f t="shared" si="13"/>
        <v>0</v>
      </c>
    </row>
    <row r="57" s="6" customFormat="1" ht="50" hidden="1" customHeight="1" spans="1:40">
      <c r="A57" s="37" t="s">
        <v>108</v>
      </c>
      <c r="B57" s="37" t="s">
        <v>206</v>
      </c>
      <c r="C57" s="37" t="str">
        <f>_xlfn.XLOOKUP(F57,'6月产品包'!B:B,'6月产品包'!H:H)</f>
        <v>辉光管</v>
      </c>
      <c r="D57" s="38" t="str">
        <f>_xlfn.XLOOKUP(F57,'6月产品包'!B:B,'6月产品包'!O:O)</f>
        <v>辉光管</v>
      </c>
      <c r="E57" s="38" t="s">
        <v>207</v>
      </c>
      <c r="F57" s="37" t="s">
        <v>208</v>
      </c>
      <c r="G57" s="39" t="s">
        <v>154</v>
      </c>
      <c r="H57" s="37" t="s">
        <v>107</v>
      </c>
      <c r="I57" s="37" t="str">
        <f>_xlfn.XLOOKUP($F57,'6月库存'!A:A,'6月库存'!B:B)</f>
        <v>商品清仓</v>
      </c>
      <c r="J57" s="12"/>
      <c r="K57" s="39">
        <f>_xlfn.XLOOKUP(E57,'[1]6月分配 '!$B:$B,'[1]6月分配 '!$K:$K)</f>
        <v>20630</v>
      </c>
      <c r="L57" s="12" t="str">
        <f t="shared" si="15"/>
        <v>是</v>
      </c>
      <c r="M57" s="40" t="str">
        <f>_xlfn.XLOOKUP(F57,'6月产品包'!B:B,'6月产品包'!J:J)</f>
        <v>2025-10-09</v>
      </c>
      <c r="N57" s="39" t="str">
        <f ca="1" t="shared" si="23"/>
        <v>老品</v>
      </c>
      <c r="O57" s="37">
        <f>_xlfn.XLOOKUP(F57,'6月库存'!A:A,'6月库存'!R:R)</f>
        <v>74</v>
      </c>
      <c r="P57" s="39">
        <f>_xlfn.XLOOKUP(F57,'6月产品包'!B:B,'6月产品包'!S:S)</f>
        <v>550</v>
      </c>
      <c r="Q57" s="39"/>
      <c r="R57" s="41">
        <f>_xlfn.XLOOKUP(F57,'6月产品包'!B:B,'6月产品包'!AD:AD)</f>
        <v>117.885</v>
      </c>
      <c r="S57" s="39">
        <v>189</v>
      </c>
      <c r="T57" s="39">
        <f t="shared" si="16"/>
        <v>236</v>
      </c>
      <c r="U57" s="42">
        <f t="shared" si="20"/>
        <v>188.8</v>
      </c>
      <c r="V57" s="43">
        <v>0.2</v>
      </c>
      <c r="W57" s="44">
        <f t="shared" si="17"/>
        <v>0.375609110169492</v>
      </c>
      <c r="X57" s="44">
        <f t="shared" si="18"/>
        <v>0.150650170323875</v>
      </c>
      <c r="Y57" s="44">
        <v>0.038</v>
      </c>
      <c r="Z57" s="46">
        <v>0.115</v>
      </c>
      <c r="AA57" s="46">
        <v>0.049</v>
      </c>
      <c r="AB57" s="46">
        <f t="shared" si="19"/>
        <v>0.00286016949152542</v>
      </c>
      <c r="AC57" s="46">
        <v>0.06</v>
      </c>
      <c r="AD57" s="47"/>
      <c r="AF57" s="55" t="s">
        <v>114</v>
      </c>
      <c r="AG57" s="39">
        <f t="shared" si="6"/>
        <v>8.496</v>
      </c>
      <c r="AH57" s="39">
        <f t="shared" si="7"/>
        <v>6</v>
      </c>
      <c r="AI57" s="39">
        <f t="shared" si="8"/>
        <v>0</v>
      </c>
      <c r="AJ57" s="39">
        <f t="shared" si="9"/>
        <v>0</v>
      </c>
      <c r="AK57" s="39">
        <f t="shared" si="10"/>
        <v>0</v>
      </c>
      <c r="AL57" s="39">
        <f t="shared" si="11"/>
        <v>0</v>
      </c>
      <c r="AM57" s="39">
        <f t="shared" si="12"/>
        <v>0</v>
      </c>
      <c r="AN57" s="39">
        <f t="shared" si="13"/>
        <v>8.496</v>
      </c>
    </row>
    <row r="58" s="6" customFormat="1" ht="50" hidden="1" customHeight="1" spans="1:40">
      <c r="A58" s="37" t="s">
        <v>96</v>
      </c>
      <c r="B58" s="37" t="s">
        <v>115</v>
      </c>
      <c r="C58" s="37" t="str">
        <f>_xlfn.XLOOKUP(F58,'6月产品包'!B:B,'6月产品包'!H:H)</f>
        <v>扫码枪</v>
      </c>
      <c r="D58" s="38" t="str">
        <f>_xlfn.XLOOKUP(F58,'6月产品包'!B:B,'6月产品包'!O:O)</f>
        <v>二维扫描墩</v>
      </c>
      <c r="E58" s="38" t="s">
        <v>209</v>
      </c>
      <c r="F58" s="37" t="s">
        <v>210</v>
      </c>
      <c r="G58" s="39" t="e">
        <v>#N/A</v>
      </c>
      <c r="H58" s="37" t="s">
        <v>107</v>
      </c>
      <c r="I58" s="37" t="str">
        <f>_xlfn.XLOOKUP($F58,'6月库存'!A:A,'6月库存'!B:B)</f>
        <v>正常销售</v>
      </c>
      <c r="J58" s="12"/>
      <c r="K58" s="39" t="e">
        <f>_xlfn.XLOOKUP(E58,'[1]6月分配 '!$B:$B,'[1]6月分配 '!$K:$K)</f>
        <v>#N/A</v>
      </c>
      <c r="L58" s="12" t="str">
        <f t="shared" si="15"/>
        <v>否</v>
      </c>
      <c r="M58" s="40" t="str">
        <f>_xlfn.XLOOKUP(F58,'6月产品包'!B:B,'6月产品包'!J:J)</f>
        <v>2025-02-24</v>
      </c>
      <c r="N58" s="39" t="str">
        <f ca="1" t="shared" si="23"/>
        <v>老品</v>
      </c>
      <c r="O58" s="37">
        <f>_xlfn.XLOOKUP(F58,'6月库存'!A:A,'6月库存'!R:R)</f>
        <v>17</v>
      </c>
      <c r="P58" s="39">
        <f>_xlfn.XLOOKUP(F58,'6月产品包'!B:B,'6月产品包'!S:S)</f>
        <v>417</v>
      </c>
      <c r="Q58" s="39"/>
      <c r="R58" s="41">
        <f>_xlfn.XLOOKUP(F58,'6月产品包'!B:B,'6月产品包'!AD:AD)</f>
        <v>50.8718</v>
      </c>
      <c r="S58" s="39">
        <v>98</v>
      </c>
      <c r="T58" s="39">
        <f t="shared" si="16"/>
        <v>123</v>
      </c>
      <c r="U58" s="42">
        <f t="shared" si="20"/>
        <v>98.4</v>
      </c>
      <c r="V58" s="43">
        <v>0.2</v>
      </c>
      <c r="W58" s="44">
        <f t="shared" si="17"/>
        <v>0.483010162601626</v>
      </c>
      <c r="X58" s="44">
        <f t="shared" si="18"/>
        <v>0.335071731810862</v>
      </c>
      <c r="Y58" s="44">
        <v>0.038</v>
      </c>
      <c r="Z58" s="46">
        <v>0.1</v>
      </c>
      <c r="AA58" s="46">
        <v>0.049</v>
      </c>
      <c r="AB58" s="46">
        <f t="shared" si="19"/>
        <v>0.00548780487804878</v>
      </c>
      <c r="AC58" s="46">
        <v>0.03</v>
      </c>
      <c r="AD58" s="47"/>
      <c r="AF58" s="48" t="s">
        <v>102</v>
      </c>
      <c r="AG58" s="39">
        <f t="shared" si="6"/>
        <v>5.904</v>
      </c>
      <c r="AH58" s="39">
        <f t="shared" si="7"/>
        <v>5.904</v>
      </c>
      <c r="AI58" s="39">
        <f t="shared" si="8"/>
        <v>0</v>
      </c>
      <c r="AJ58" s="39">
        <f t="shared" si="9"/>
        <v>0</v>
      </c>
      <c r="AK58" s="39">
        <f t="shared" si="10"/>
        <v>0</v>
      </c>
      <c r="AL58" s="39">
        <f t="shared" si="11"/>
        <v>0</v>
      </c>
      <c r="AM58" s="39">
        <f t="shared" si="12"/>
        <v>0</v>
      </c>
      <c r="AN58" s="39">
        <f t="shared" si="13"/>
        <v>0</v>
      </c>
    </row>
    <row r="59" s="6" customFormat="1" ht="50" hidden="1" customHeight="1" spans="1:40">
      <c r="A59" s="37" t="s">
        <v>96</v>
      </c>
      <c r="B59" s="37" t="s">
        <v>115</v>
      </c>
      <c r="C59" s="37" t="str">
        <f>_xlfn.XLOOKUP(F59,'6月产品包'!B:B,'6月产品包'!H:H)</f>
        <v>打印机</v>
      </c>
      <c r="D59" s="38" t="str">
        <f>_xlfn.XLOOKUP(F59,'6月产品包'!B:B,'6月产品包'!O:O)</f>
        <v>80mm小票打印机</v>
      </c>
      <c r="E59" s="38" t="s">
        <v>211</v>
      </c>
      <c r="F59" s="39" t="s">
        <v>212</v>
      </c>
      <c r="G59" s="39" t="e">
        <v>#N/A</v>
      </c>
      <c r="H59" s="39" t="s">
        <v>101</v>
      </c>
      <c r="I59" s="37" t="str">
        <f>_xlfn.XLOOKUP($F59,'6月库存'!A:A,'6月库存'!B:B)</f>
        <v>正常销售</v>
      </c>
      <c r="J59" s="12"/>
      <c r="K59" s="39" t="e">
        <f>_xlfn.XLOOKUP(E59,'[1]6月分配 '!$B:$B,'[1]6月分配 '!$K:$K)</f>
        <v>#N/A</v>
      </c>
      <c r="L59" s="12" t="str">
        <f t="shared" si="15"/>
        <v>否</v>
      </c>
      <c r="M59" s="40" t="str">
        <f>_xlfn.XLOOKUP(F59,'6月产品包'!B:B,'6月产品包'!J:J)</f>
        <v>2025-11-13</v>
      </c>
      <c r="N59" s="39" t="str">
        <f ca="1" t="shared" si="23"/>
        <v>老品</v>
      </c>
      <c r="O59" s="37">
        <f>_xlfn.XLOOKUP(F59,'6月库存'!A:A,'6月库存'!R:R)</f>
        <v>4</v>
      </c>
      <c r="P59" s="39">
        <f>_xlfn.XLOOKUP(F59,'6月产品包'!B:B,'6月产品包'!S:S)</f>
        <v>1160</v>
      </c>
      <c r="Q59" s="39"/>
      <c r="R59" s="41">
        <f>_xlfn.XLOOKUP(F59,'6月产品包'!B:B,'6月产品包'!AD:AD)</f>
        <v>85.9386</v>
      </c>
      <c r="S59" s="39">
        <v>175</v>
      </c>
      <c r="T59" s="39">
        <f t="shared" si="16"/>
        <v>219</v>
      </c>
      <c r="U59" s="42">
        <f t="shared" si="20"/>
        <v>175.2</v>
      </c>
      <c r="V59" s="43">
        <v>0.2</v>
      </c>
      <c r="W59" s="44">
        <f t="shared" si="17"/>
        <v>0.509482876712329</v>
      </c>
      <c r="X59" s="44">
        <f t="shared" si="18"/>
        <v>0.344156379354555</v>
      </c>
      <c r="Y59" s="44">
        <v>0.04</v>
      </c>
      <c r="Z59" s="46">
        <v>0.1</v>
      </c>
      <c r="AA59" s="46">
        <v>0.049</v>
      </c>
      <c r="AB59" s="46">
        <f t="shared" si="19"/>
        <v>0.00308219178082192</v>
      </c>
      <c r="AC59" s="46">
        <v>0.06</v>
      </c>
      <c r="AD59" s="47"/>
      <c r="AF59" s="48" t="s">
        <v>102</v>
      </c>
      <c r="AG59" s="39">
        <f t="shared" si="6"/>
        <v>6</v>
      </c>
      <c r="AH59" s="39">
        <f t="shared" si="7"/>
        <v>6</v>
      </c>
      <c r="AI59" s="39">
        <f t="shared" si="8"/>
        <v>0</v>
      </c>
      <c r="AJ59" s="39">
        <f t="shared" si="9"/>
        <v>0</v>
      </c>
      <c r="AK59" s="39">
        <f t="shared" si="10"/>
        <v>0</v>
      </c>
      <c r="AL59" s="39">
        <f t="shared" si="11"/>
        <v>0</v>
      </c>
      <c r="AM59" s="39">
        <f t="shared" si="12"/>
        <v>0</v>
      </c>
      <c r="AN59" s="39">
        <f t="shared" si="13"/>
        <v>0</v>
      </c>
    </row>
    <row r="60" s="6" customFormat="1" ht="50" hidden="1" customHeight="1" spans="1:40">
      <c r="A60" s="37" t="s">
        <v>96</v>
      </c>
      <c r="B60" s="37" t="s">
        <v>186</v>
      </c>
      <c r="C60" s="37" t="str">
        <f>_xlfn.XLOOKUP(F60,'6月产品包'!B:B,'6月产品包'!H:H)</f>
        <v>白板</v>
      </c>
      <c r="D60" s="38" t="str">
        <f>_xlfn.XLOOKUP(F60,'6月产品包'!B:B,'6月产品包'!O:O)</f>
        <v>磁吸白板密度板夹层</v>
      </c>
      <c r="E60" s="38" t="s">
        <v>213</v>
      </c>
      <c r="F60" s="39" t="s">
        <v>214</v>
      </c>
      <c r="G60" s="39" t="s">
        <v>106</v>
      </c>
      <c r="H60" s="39" t="s">
        <v>101</v>
      </c>
      <c r="I60" s="37" t="str">
        <f>_xlfn.XLOOKUP($F60,'6月库存'!A:A,'6月库存'!B:B)</f>
        <v>正常销售</v>
      </c>
      <c r="J60" s="12"/>
      <c r="K60" s="39">
        <f>_xlfn.XLOOKUP(E60,'[1]6月分配 '!$B:$B,'[1]6月分配 '!$K:$K)</f>
        <v>20087</v>
      </c>
      <c r="L60" s="12" t="str">
        <f t="shared" si="15"/>
        <v>是</v>
      </c>
      <c r="M60" s="40" t="str">
        <f>_xlfn.XLOOKUP(F60,'6月产品包'!B:B,'6月产品包'!J:J)</f>
        <v>2025-10-27</v>
      </c>
      <c r="N60" s="39" t="s">
        <v>149</v>
      </c>
      <c r="O60" s="37">
        <f>_xlfn.XLOOKUP(F60,'6月库存'!A:A,'6月库存'!R:R)</f>
        <v>1801</v>
      </c>
      <c r="P60" s="39">
        <f>_xlfn.XLOOKUP(F60,'6月产品包'!B:B,'6月产品包'!S:S)</f>
        <v>4345</v>
      </c>
      <c r="Q60" s="39"/>
      <c r="R60" s="41">
        <f>_xlfn.XLOOKUP(F60,'6月产品包'!B:B,'6月产品包'!AD:AD)</f>
        <v>25.056</v>
      </c>
      <c r="S60" s="39">
        <v>51</v>
      </c>
      <c r="T60" s="39">
        <f t="shared" si="16"/>
        <v>64</v>
      </c>
      <c r="U60" s="42">
        <f t="shared" si="20"/>
        <v>51.2</v>
      </c>
      <c r="V60" s="43">
        <v>0.2</v>
      </c>
      <c r="W60" s="44">
        <f t="shared" si="17"/>
        <v>0.510625</v>
      </c>
      <c r="X60" s="44">
        <f t="shared" si="18"/>
        <v>0.320739985686092</v>
      </c>
      <c r="Y60" s="44">
        <v>0.04</v>
      </c>
      <c r="Z60" s="46">
        <v>0.1</v>
      </c>
      <c r="AA60" s="46">
        <v>0.049</v>
      </c>
      <c r="AB60" s="46">
        <f t="shared" si="19"/>
        <v>0.010546875</v>
      </c>
      <c r="AC60" s="46">
        <v>0.08</v>
      </c>
      <c r="AD60" s="58">
        <v>0.05</v>
      </c>
      <c r="AE60" s="58">
        <v>0.05</v>
      </c>
      <c r="AF60" s="55" t="s">
        <v>114</v>
      </c>
      <c r="AG60" s="39">
        <f t="shared" si="6"/>
        <v>3.072</v>
      </c>
      <c r="AH60" s="39">
        <f t="shared" si="7"/>
        <v>3.072</v>
      </c>
      <c r="AI60" s="39">
        <f t="shared" si="8"/>
        <v>0</v>
      </c>
      <c r="AJ60" s="39">
        <f t="shared" si="9"/>
        <v>0</v>
      </c>
      <c r="AK60" s="39">
        <f t="shared" si="10"/>
        <v>0</v>
      </c>
      <c r="AL60" s="39">
        <f t="shared" si="11"/>
        <v>0</v>
      </c>
      <c r="AM60" s="39">
        <f t="shared" si="12"/>
        <v>0</v>
      </c>
      <c r="AN60" s="39">
        <f t="shared" si="13"/>
        <v>0</v>
      </c>
    </row>
    <row r="61" s="6" customFormat="1" ht="50" hidden="1" customHeight="1" spans="1:40">
      <c r="A61" s="39" t="str">
        <f>_xlfn.XLOOKUP(F61,'6月产品包'!B:B,'6月产品包'!F:F)</f>
        <v>办公安防</v>
      </c>
      <c r="B61" s="39" t="str">
        <f>_xlfn.XLOOKUP(F61,'6月产品包'!B:B,'6月产品包'!G:G)</f>
        <v>教学周边</v>
      </c>
      <c r="C61" s="37" t="str">
        <f>_xlfn.XLOOKUP(F61,'6月产品包'!B:B,'6月产品包'!H:H)</f>
        <v>白板</v>
      </c>
      <c r="D61" s="38" t="str">
        <f>_xlfn.XLOOKUP(F61,'6月产品包'!B:B,'6月产品包'!O:O)</f>
        <v>磁吸白板密度板夹层</v>
      </c>
      <c r="E61" s="38" t="str">
        <f>_xlfn.XLOOKUP(F61,'6月产品包'!B:B,'6月产品包'!C:C)</f>
        <v>3B-磁吸白板密度板夹层70cm*100cm</v>
      </c>
      <c r="F61" s="39" t="s">
        <v>215</v>
      </c>
      <c r="G61" s="39" t="s">
        <v>106</v>
      </c>
      <c r="H61" s="49" t="s">
        <v>101</v>
      </c>
      <c r="I61" s="37" t="str">
        <f>_xlfn.XLOOKUP($F61,'6月库存'!A:A,'6月库存'!B:B)</f>
        <v>等待开发</v>
      </c>
      <c r="J61" s="12"/>
      <c r="K61" s="39">
        <f>_xlfn.XLOOKUP(E61,'[1]6月分配 '!$B:$B,'[1]6月分配 '!$K:$K)</f>
        <v>20087</v>
      </c>
      <c r="L61" s="12" t="str">
        <f t="shared" si="15"/>
        <v>是</v>
      </c>
      <c r="M61" s="40" t="str">
        <f>_xlfn.XLOOKUP(F61,'6月产品包'!B:B,'6月产品包'!J:J)</f>
        <v>2026-04-28</v>
      </c>
      <c r="N61" s="39" t="s">
        <v>149</v>
      </c>
      <c r="O61" s="37">
        <f>_xlfn.XLOOKUP(F61,'6月库存'!A:A,'6月库存'!R:R)</f>
        <v>0</v>
      </c>
      <c r="P61" s="39">
        <f>_xlfn.XLOOKUP(F61,'6月产品包'!B:B,'6月产品包'!S:S)</f>
        <v>4345</v>
      </c>
      <c r="Q61" s="56"/>
      <c r="R61" s="41">
        <f>_xlfn.XLOOKUP(F61,'6月产品包'!B:B,'6月产品包'!AD:AD)</f>
        <v>25.172</v>
      </c>
      <c r="S61" s="39">
        <v>51</v>
      </c>
      <c r="T61" s="39">
        <f t="shared" si="16"/>
        <v>64</v>
      </c>
      <c r="U61" s="42">
        <f t="shared" si="20"/>
        <v>51.2</v>
      </c>
      <c r="V61" s="43">
        <v>0.2</v>
      </c>
      <c r="W61" s="44">
        <f t="shared" si="17"/>
        <v>0.508359375</v>
      </c>
      <c r="X61" s="44">
        <f t="shared" si="18"/>
        <v>0.317595263397601</v>
      </c>
      <c r="Y61" s="44">
        <v>0.04</v>
      </c>
      <c r="Z61" s="46">
        <v>0.1</v>
      </c>
      <c r="AA61" s="46">
        <v>0.049</v>
      </c>
      <c r="AB61" s="46">
        <f t="shared" si="19"/>
        <v>0.010546875</v>
      </c>
      <c r="AC61" s="46">
        <v>0.08</v>
      </c>
      <c r="AD61" s="58">
        <v>0.05</v>
      </c>
      <c r="AE61" s="58">
        <v>0.05</v>
      </c>
      <c r="AF61" s="55" t="s">
        <v>114</v>
      </c>
      <c r="AG61" s="39">
        <f t="shared" si="6"/>
        <v>3.072</v>
      </c>
      <c r="AH61" s="39">
        <f t="shared" si="7"/>
        <v>3.072</v>
      </c>
      <c r="AI61" s="39">
        <f t="shared" si="8"/>
        <v>0</v>
      </c>
      <c r="AJ61" s="39">
        <f t="shared" si="9"/>
        <v>0</v>
      </c>
      <c r="AK61" s="39">
        <f t="shared" si="10"/>
        <v>0</v>
      </c>
      <c r="AL61" s="39">
        <f t="shared" si="11"/>
        <v>0</v>
      </c>
      <c r="AM61" s="39">
        <f t="shared" si="12"/>
        <v>0</v>
      </c>
      <c r="AN61" s="39">
        <f t="shared" si="13"/>
        <v>0</v>
      </c>
    </row>
    <row r="62" s="6" customFormat="1" ht="50" hidden="1" customHeight="1" spans="1:40">
      <c r="A62" s="37" t="s">
        <v>96</v>
      </c>
      <c r="B62" s="37" t="s">
        <v>97</v>
      </c>
      <c r="C62" s="37" t="str">
        <f>_xlfn.XLOOKUP(F62,'6月产品包'!B:B,'6月产品包'!H:H)</f>
        <v>折叠锥桶</v>
      </c>
      <c r="D62" s="38" t="str">
        <f>_xlfn.XLOOKUP(F62,'6月产品包'!B:B,'6月产品包'!O:O)</f>
        <v>折叠锥桶</v>
      </c>
      <c r="E62" s="38" t="s">
        <v>216</v>
      </c>
      <c r="F62" s="37" t="s">
        <v>217</v>
      </c>
      <c r="G62" s="39" t="s">
        <v>126</v>
      </c>
      <c r="H62" s="37" t="s">
        <v>101</v>
      </c>
      <c r="I62" s="37" t="str">
        <f>_xlfn.XLOOKUP($F62,'6月库存'!A:A,'6月库存'!B:B)</f>
        <v>等待开发</v>
      </c>
      <c r="J62" s="12"/>
      <c r="K62" s="39" t="e">
        <f>_xlfn.XLOOKUP(E62,'[1]6月分配 '!$B:$B,'[1]6月分配 '!$K:$K)</f>
        <v>#N/A</v>
      </c>
      <c r="L62" s="12" t="str">
        <f t="shared" si="15"/>
        <v>否</v>
      </c>
      <c r="M62" s="40" t="str">
        <f>_xlfn.XLOOKUP(F62,'6月产品包'!B:B,'6月产品包'!J:J)</f>
        <v>2025-07-03</v>
      </c>
      <c r="N62" s="39" t="str">
        <f ca="1">IF(DATEDIF(M62,TODAY(),"m")&lt;6,"新品","老品")</f>
        <v>老品</v>
      </c>
      <c r="O62" s="37">
        <f>_xlfn.XLOOKUP(F62,'6月库存'!A:A,'6月库存'!R:R)</f>
        <v>0</v>
      </c>
      <c r="P62" s="39">
        <f>_xlfn.XLOOKUP(F62,'6月产品包'!B:B,'6月产品包'!S:S)</f>
        <v>7000</v>
      </c>
      <c r="Q62" s="39"/>
      <c r="R62" s="41">
        <f>_xlfn.XLOOKUP(F62,'6月产品包'!B:B,'6月产品包'!AD:AD)</f>
        <v>18.2468</v>
      </c>
      <c r="S62" s="39">
        <v>32</v>
      </c>
      <c r="T62" s="39">
        <f t="shared" si="16"/>
        <v>40</v>
      </c>
      <c r="U62" s="42">
        <f t="shared" si="20"/>
        <v>32</v>
      </c>
      <c r="V62" s="43">
        <v>0.2</v>
      </c>
      <c r="W62" s="44">
        <f t="shared" si="17"/>
        <v>0.4297875</v>
      </c>
      <c r="X62" s="44">
        <f t="shared" si="18"/>
        <v>0.225386313465784</v>
      </c>
      <c r="Y62" s="44">
        <v>0.038</v>
      </c>
      <c r="Z62" s="46">
        <v>0.1</v>
      </c>
      <c r="AA62" s="46">
        <v>0.049</v>
      </c>
      <c r="AB62" s="46">
        <f t="shared" si="19"/>
        <v>0.016875</v>
      </c>
      <c r="AC62" s="46">
        <v>0.06</v>
      </c>
      <c r="AD62" s="47"/>
      <c r="AF62" s="48" t="s">
        <v>102</v>
      </c>
      <c r="AG62" s="39">
        <f t="shared" si="6"/>
        <v>0</v>
      </c>
      <c r="AH62" s="39">
        <f t="shared" si="7"/>
        <v>0</v>
      </c>
      <c r="AI62" s="39">
        <f t="shared" si="8"/>
        <v>0</v>
      </c>
      <c r="AJ62" s="39">
        <f t="shared" si="9"/>
        <v>0</v>
      </c>
      <c r="AK62" s="39">
        <f t="shared" si="10"/>
        <v>0</v>
      </c>
      <c r="AL62" s="39">
        <f t="shared" si="11"/>
        <v>0</v>
      </c>
      <c r="AM62" s="39">
        <f t="shared" si="12"/>
        <v>0</v>
      </c>
      <c r="AN62" s="39">
        <f t="shared" si="13"/>
        <v>0</v>
      </c>
    </row>
    <row r="63" s="6" customFormat="1" ht="50" hidden="1" customHeight="1" spans="1:40">
      <c r="A63" s="37" t="s">
        <v>108</v>
      </c>
      <c r="B63" s="37" t="s">
        <v>146</v>
      </c>
      <c r="C63" s="37" t="str">
        <f>_xlfn.XLOOKUP(F63,'6月产品包'!B:B,'6月产品包'!H:H)</f>
        <v>电子鼓</v>
      </c>
      <c r="D63" s="38" t="str">
        <f>_xlfn.XLOOKUP(F63,'6月产品包'!B:B,'6月产品包'!O:O)</f>
        <v>手卷鼓</v>
      </c>
      <c r="E63" s="38" t="s">
        <v>218</v>
      </c>
      <c r="F63" s="39" t="s">
        <v>219</v>
      </c>
      <c r="G63" s="39" t="s">
        <v>106</v>
      </c>
      <c r="H63" s="37" t="s">
        <v>101</v>
      </c>
      <c r="I63" s="37" t="str">
        <f>_xlfn.XLOOKUP($F63,'6月库存'!A:A,'6月库存'!B:B)</f>
        <v>商品清仓</v>
      </c>
      <c r="J63" s="12"/>
      <c r="K63" s="39">
        <f>_xlfn.XLOOKUP(E63,'[1]6月分配 '!$B:$B,'[1]6月分配 '!$K:$K)</f>
        <v>19470</v>
      </c>
      <c r="L63" s="12" t="str">
        <f t="shared" si="15"/>
        <v>是</v>
      </c>
      <c r="M63" s="40" t="str">
        <f>_xlfn.XLOOKUP(F63,'6月产品包'!B:B,'6月产品包'!J:J)</f>
        <v>2024-09-03</v>
      </c>
      <c r="N63" s="39" t="s">
        <v>155</v>
      </c>
      <c r="O63" s="37">
        <f>_xlfn.XLOOKUP(F63,'6月库存'!A:A,'6月库存'!R:R)</f>
        <v>0</v>
      </c>
      <c r="P63" s="39">
        <f>_xlfn.XLOOKUP(F63,'6月产品包'!B:B,'6月产品包'!S:S)</f>
        <v>1000</v>
      </c>
      <c r="Q63" s="39"/>
      <c r="R63" s="41">
        <f>_xlfn.XLOOKUP(F63,'6月产品包'!B:B,'6月产品包'!AD:AD)</f>
        <v>54.6418</v>
      </c>
      <c r="S63" s="39">
        <v>117</v>
      </c>
      <c r="T63" s="39">
        <f t="shared" si="16"/>
        <v>146</v>
      </c>
      <c r="U63" s="42">
        <f t="shared" si="20"/>
        <v>116.8</v>
      </c>
      <c r="V63" s="43">
        <v>0.2</v>
      </c>
      <c r="W63" s="44">
        <f t="shared" si="17"/>
        <v>0.532176369863014</v>
      </c>
      <c r="X63" s="44">
        <f t="shared" si="18"/>
        <v>0.370677581933605</v>
      </c>
      <c r="Y63" s="44">
        <v>0.038</v>
      </c>
      <c r="Z63" s="46">
        <v>0.105</v>
      </c>
      <c r="AA63" s="46">
        <v>0.049</v>
      </c>
      <c r="AB63" s="46">
        <f t="shared" si="19"/>
        <v>0.00462328767123288</v>
      </c>
      <c r="AC63" s="46">
        <v>0.06</v>
      </c>
      <c r="AD63" s="47"/>
      <c r="AE63" s="11"/>
      <c r="AF63" s="55" t="s">
        <v>114</v>
      </c>
      <c r="AG63" s="39">
        <f t="shared" si="6"/>
        <v>6</v>
      </c>
      <c r="AH63" s="39">
        <f t="shared" si="7"/>
        <v>6</v>
      </c>
      <c r="AI63" s="39">
        <f t="shared" si="8"/>
        <v>0</v>
      </c>
      <c r="AJ63" s="39">
        <f t="shared" si="9"/>
        <v>0</v>
      </c>
      <c r="AK63" s="39">
        <f t="shared" si="10"/>
        <v>0</v>
      </c>
      <c r="AL63" s="39">
        <f t="shared" si="11"/>
        <v>0</v>
      </c>
      <c r="AM63" s="39">
        <f t="shared" si="12"/>
        <v>0</v>
      </c>
      <c r="AN63" s="39">
        <f t="shared" si="13"/>
        <v>0</v>
      </c>
    </row>
    <row r="64" s="6" customFormat="1" ht="50" hidden="1" customHeight="1" spans="1:40">
      <c r="A64" s="39" t="str">
        <f>_xlfn.XLOOKUP(F64,'6月产品包'!B:B,'6月产品包'!F:F)</f>
        <v>3C数码</v>
      </c>
      <c r="B64" s="39" t="str">
        <f>_xlfn.XLOOKUP(F64,'6月产品包'!B:B,'6月产品包'!G:G)</f>
        <v>音响乐器</v>
      </c>
      <c r="C64" s="37" t="str">
        <f>_xlfn.XLOOKUP(F64,'6月产品包'!B:B,'6月产品包'!H:H)</f>
        <v>电子鼓</v>
      </c>
      <c r="D64" s="38" t="str">
        <f>_xlfn.XLOOKUP(F64,'6月产品包'!B:B,'6月产品包'!O:O)</f>
        <v>手卷鼓</v>
      </c>
      <c r="E64" s="38" t="str">
        <f>_xlfn.XLOOKUP(F64,'6月产品包'!B:B,'6月产品包'!C:C)</f>
        <v>3C-手卷电子7垫鼓</v>
      </c>
      <c r="F64" s="39" t="s">
        <v>220</v>
      </c>
      <c r="G64" s="39" t="s">
        <v>106</v>
      </c>
      <c r="H64" s="39" t="s">
        <v>107</v>
      </c>
      <c r="I64" s="37" t="str">
        <f>_xlfn.XLOOKUP($F64,'6月库存'!A:A,'6月库存'!B:B)</f>
        <v>正常销售</v>
      </c>
      <c r="J64" s="12"/>
      <c r="K64" s="39">
        <f>_xlfn.XLOOKUP(E64,'[1]6月分配 '!$B:$B,'[1]6月分配 '!$K:$K)</f>
        <v>19470</v>
      </c>
      <c r="L64" s="12" t="str">
        <f t="shared" si="15"/>
        <v>是</v>
      </c>
      <c r="M64" s="40" t="str">
        <f>_xlfn.XLOOKUP(F64,'6月产品包'!B:B,'6月产品包'!J:J)</f>
        <v>2026-04-14</v>
      </c>
      <c r="N64" s="39" t="s">
        <v>149</v>
      </c>
      <c r="O64" s="37">
        <f>_xlfn.XLOOKUP(F64,'6月库存'!A:A,'6月库存'!R:R)</f>
        <v>445</v>
      </c>
      <c r="P64" s="39">
        <f>_xlfn.XLOOKUP(F64,'6月产品包'!B:B,'6月产品包'!S:S)</f>
        <v>1000</v>
      </c>
      <c r="Q64" s="56"/>
      <c r="R64" s="41">
        <f>_xlfn.XLOOKUP(F64,'6月产品包'!B:B,'6月产品包'!AD:AD)</f>
        <v>54.5548</v>
      </c>
      <c r="S64" s="39">
        <v>117</v>
      </c>
      <c r="T64" s="39">
        <f t="shared" si="16"/>
        <v>146</v>
      </c>
      <c r="U64" s="42">
        <f t="shared" si="20"/>
        <v>116.8</v>
      </c>
      <c r="V64" s="43">
        <v>0.2</v>
      </c>
      <c r="W64" s="44">
        <f t="shared" si="17"/>
        <v>0.532921232876712</v>
      </c>
      <c r="X64" s="44">
        <f t="shared" si="18"/>
        <v>0.371679581325496</v>
      </c>
      <c r="Y64" s="44">
        <v>0.038</v>
      </c>
      <c r="Z64" s="46">
        <v>0.105</v>
      </c>
      <c r="AA64" s="46">
        <v>0.049</v>
      </c>
      <c r="AB64" s="46">
        <f t="shared" si="19"/>
        <v>0.00462328767123288</v>
      </c>
      <c r="AC64" s="46">
        <v>0.06</v>
      </c>
      <c r="AD64" s="11"/>
      <c r="AF64" s="55" t="s">
        <v>114</v>
      </c>
      <c r="AG64" s="39">
        <f t="shared" si="6"/>
        <v>6</v>
      </c>
      <c r="AH64" s="39">
        <f t="shared" si="7"/>
        <v>6</v>
      </c>
      <c r="AI64" s="39">
        <f t="shared" si="8"/>
        <v>0</v>
      </c>
      <c r="AJ64" s="39">
        <f t="shared" si="9"/>
        <v>0</v>
      </c>
      <c r="AK64" s="39">
        <f t="shared" si="10"/>
        <v>0</v>
      </c>
      <c r="AL64" s="39">
        <f t="shared" si="11"/>
        <v>0</v>
      </c>
      <c r="AM64" s="39">
        <f t="shared" si="12"/>
        <v>0</v>
      </c>
      <c r="AN64" s="39">
        <f t="shared" si="13"/>
        <v>0</v>
      </c>
    </row>
    <row r="65" s="6" customFormat="1" ht="50" hidden="1" customHeight="1" spans="1:40">
      <c r="A65" s="37" t="s">
        <v>96</v>
      </c>
      <c r="B65" s="37" t="s">
        <v>115</v>
      </c>
      <c r="C65" s="37" t="str">
        <f>_xlfn.XLOOKUP(F65,'6月产品包'!B:B,'6月产品包'!H:H)</f>
        <v>订书机</v>
      </c>
      <c r="D65" s="38" t="str">
        <f>_xlfn.XLOOKUP(F65,'6月产品包'!B:B,'6月产品包'!O:O)</f>
        <v>重型订书机</v>
      </c>
      <c r="E65" s="38" t="s">
        <v>221</v>
      </c>
      <c r="F65" s="37" t="s">
        <v>222</v>
      </c>
      <c r="G65" s="39" t="e">
        <v>#N/A</v>
      </c>
      <c r="H65" s="37" t="s">
        <v>101</v>
      </c>
      <c r="I65" s="37" t="str">
        <f>_xlfn.XLOOKUP($F65,'6月库存'!A:A,'6月库存'!B:B)</f>
        <v>正常销售</v>
      </c>
      <c r="J65" s="12"/>
      <c r="K65" s="39" t="e">
        <f>_xlfn.XLOOKUP(E65,'[1]6月分配 '!$B:$B,'[1]6月分配 '!$K:$K)</f>
        <v>#N/A</v>
      </c>
      <c r="L65" s="12" t="str">
        <f t="shared" si="15"/>
        <v>否</v>
      </c>
      <c r="M65" s="40" t="str">
        <f>_xlfn.XLOOKUP(F65,'6月产品包'!B:B,'6月产品包'!J:J)</f>
        <v>2025-07-26</v>
      </c>
      <c r="N65" s="39" t="str">
        <f ca="1">IF(DATEDIF(M65,TODAY(),"m")&lt;6,"新品","老品")</f>
        <v>老品</v>
      </c>
      <c r="O65" s="37">
        <f>_xlfn.XLOOKUP(F65,'6月库存'!A:A,'6月库存'!R:R)</f>
        <v>26</v>
      </c>
      <c r="P65" s="39">
        <f>_xlfn.XLOOKUP(F65,'6月产品包'!B:B,'6月产品包'!S:S)</f>
        <v>817</v>
      </c>
      <c r="Q65" s="39"/>
      <c r="R65" s="41">
        <f>_xlfn.XLOOKUP(F65,'6月产品包'!B:B,'6月产品包'!AD:AD)</f>
        <v>12.0698</v>
      </c>
      <c r="S65" s="39">
        <v>24</v>
      </c>
      <c r="T65" s="39">
        <f t="shared" si="16"/>
        <v>30</v>
      </c>
      <c r="U65" s="42">
        <f t="shared" si="20"/>
        <v>24</v>
      </c>
      <c r="V65" s="43">
        <v>0.2</v>
      </c>
      <c r="W65" s="44">
        <f t="shared" si="17"/>
        <v>0.497091666666667</v>
      </c>
      <c r="X65" s="44">
        <f t="shared" si="18"/>
        <v>0.309665980324868</v>
      </c>
      <c r="Y65" s="44">
        <v>0.04</v>
      </c>
      <c r="Z65" s="46">
        <v>0.1</v>
      </c>
      <c r="AA65" s="46">
        <v>0.049</v>
      </c>
      <c r="AB65" s="46">
        <f t="shared" si="19"/>
        <v>0.0225</v>
      </c>
      <c r="AC65" s="46">
        <v>0.06</v>
      </c>
      <c r="AD65" s="47"/>
      <c r="AF65" s="48" t="s">
        <v>102</v>
      </c>
      <c r="AG65" s="39">
        <f t="shared" si="6"/>
        <v>0</v>
      </c>
      <c r="AH65" s="39">
        <f t="shared" si="7"/>
        <v>0</v>
      </c>
      <c r="AI65" s="39">
        <f t="shared" si="8"/>
        <v>0</v>
      </c>
      <c r="AJ65" s="39">
        <f t="shared" si="9"/>
        <v>0</v>
      </c>
      <c r="AK65" s="39">
        <f t="shared" si="10"/>
        <v>0</v>
      </c>
      <c r="AL65" s="39">
        <f t="shared" si="11"/>
        <v>0</v>
      </c>
      <c r="AM65" s="39">
        <f t="shared" si="12"/>
        <v>0</v>
      </c>
      <c r="AN65" s="39">
        <f t="shared" si="13"/>
        <v>0</v>
      </c>
    </row>
    <row r="66" s="6" customFormat="1" ht="50" hidden="1" customHeight="1" spans="1:40">
      <c r="A66" s="37" t="s">
        <v>96</v>
      </c>
      <c r="B66" s="39" t="s">
        <v>115</v>
      </c>
      <c r="C66" s="37" t="str">
        <f>_xlfn.XLOOKUP(F66,'6月产品包'!B:B,'6月产品包'!H:H)</f>
        <v>银钱盒</v>
      </c>
      <c r="D66" s="38" t="str">
        <f>_xlfn.XLOOKUP(F66,'6月产品包'!B:B,'6月产品包'!O:O)</f>
        <v>迷你收银箱</v>
      </c>
      <c r="E66" s="38" t="s">
        <v>22</v>
      </c>
      <c r="F66" s="39" t="s">
        <v>23</v>
      </c>
      <c r="G66" s="49" t="s">
        <v>100</v>
      </c>
      <c r="H66" s="37" t="s">
        <v>101</v>
      </c>
      <c r="I66" s="37" t="str">
        <f>_xlfn.XLOOKUP($F66,'6月库存'!A:A,'6月库存'!B:B)</f>
        <v>商品清仓</v>
      </c>
      <c r="J66" s="12"/>
      <c r="K66" s="39">
        <f>_xlfn.XLOOKUP(E66,'[1]6月分配 '!$B:$B,'[1]6月分配 '!$K:$K)</f>
        <v>19186</v>
      </c>
      <c r="L66" s="12" t="str">
        <f t="shared" si="15"/>
        <v>是</v>
      </c>
      <c r="M66" s="40" t="str">
        <f>_xlfn.XLOOKUP(F66,'6月产品包'!B:B,'6月产品包'!J:J)</f>
        <v>2024-05-23</v>
      </c>
      <c r="N66" s="39" t="s">
        <v>155</v>
      </c>
      <c r="O66" s="37">
        <f>_xlfn.XLOOKUP(F66,'6月库存'!A:A,'6月库存'!R:R)</f>
        <v>1006</v>
      </c>
      <c r="P66" s="39">
        <f>_xlfn.XLOOKUP(F66,'6月产品包'!B:B,'6月产品包'!S:S)</f>
        <v>800</v>
      </c>
      <c r="Q66" s="39"/>
      <c r="R66" s="41">
        <f>_xlfn.XLOOKUP(F66,'6月产品包'!B:B,'6月产品包'!AD:AD)</f>
        <v>11.4724</v>
      </c>
      <c r="S66" s="39">
        <v>22</v>
      </c>
      <c r="T66" s="39">
        <f t="shared" si="16"/>
        <v>28</v>
      </c>
      <c r="U66" s="42">
        <f t="shared" si="20"/>
        <v>22.4</v>
      </c>
      <c r="V66" s="43">
        <v>0.2</v>
      </c>
      <c r="W66" s="44">
        <f t="shared" si="17"/>
        <v>0.487839285714286</v>
      </c>
      <c r="X66" s="44">
        <f t="shared" si="18"/>
        <v>0.295410995921977</v>
      </c>
      <c r="Y66" s="44">
        <v>0.04</v>
      </c>
      <c r="Z66" s="46">
        <v>0.1</v>
      </c>
      <c r="AA66" s="46">
        <v>0.049</v>
      </c>
      <c r="AB66" s="46">
        <f t="shared" si="19"/>
        <v>0.0241071428571429</v>
      </c>
      <c r="AC66" s="46">
        <v>0.06</v>
      </c>
      <c r="AD66" s="47"/>
      <c r="AF66" s="55" t="s">
        <v>114</v>
      </c>
      <c r="AG66" s="39">
        <f t="shared" si="6"/>
        <v>0</v>
      </c>
      <c r="AH66" s="39">
        <f t="shared" si="7"/>
        <v>0</v>
      </c>
      <c r="AI66" s="39">
        <f t="shared" si="8"/>
        <v>0</v>
      </c>
      <c r="AJ66" s="39">
        <f t="shared" si="9"/>
        <v>0</v>
      </c>
      <c r="AK66" s="39">
        <f t="shared" si="10"/>
        <v>0</v>
      </c>
      <c r="AL66" s="39">
        <f t="shared" si="11"/>
        <v>0</v>
      </c>
      <c r="AM66" s="39">
        <f t="shared" si="12"/>
        <v>0</v>
      </c>
      <c r="AN66" s="39">
        <f t="shared" si="13"/>
        <v>0</v>
      </c>
    </row>
    <row r="67" s="6" customFormat="1" ht="50" hidden="1" customHeight="1" spans="1:40">
      <c r="A67" s="37" t="s">
        <v>96</v>
      </c>
      <c r="B67" s="37" t="s">
        <v>115</v>
      </c>
      <c r="C67" s="37" t="str">
        <f>_xlfn.XLOOKUP(F67,'6月产品包'!B:B,'6月产品包'!H:H)</f>
        <v>银钱盒</v>
      </c>
      <c r="D67" s="38" t="str">
        <f>_xlfn.XLOOKUP(F67,'6月产品包'!B:B,'6月产品包'!O:O)</f>
        <v>迷你收银箱</v>
      </c>
      <c r="E67" s="38" t="s">
        <v>22</v>
      </c>
      <c r="F67" s="39" t="s">
        <v>25</v>
      </c>
      <c r="G67" s="49" t="s">
        <v>100</v>
      </c>
      <c r="H67" s="39" t="s">
        <v>101</v>
      </c>
      <c r="I67" s="37" t="str">
        <f>_xlfn.XLOOKUP($F67,'6月库存'!A:A,'6月库存'!B:B)</f>
        <v>正常销售</v>
      </c>
      <c r="J67" s="12"/>
      <c r="K67" s="39">
        <f>_xlfn.XLOOKUP(E67,'[1]6月分配 '!$B:$B,'[1]6月分配 '!$K:$K)</f>
        <v>19186</v>
      </c>
      <c r="L67" s="12" t="str">
        <f t="shared" si="15"/>
        <v>是</v>
      </c>
      <c r="M67" s="40" t="str">
        <f>_xlfn.XLOOKUP(F67,'6月产品包'!B:B,'6月产品包'!J:J)</f>
        <v>2025-11-18</v>
      </c>
      <c r="N67" s="39" t="s">
        <v>149</v>
      </c>
      <c r="O67" s="37">
        <f>_xlfn.XLOOKUP(F67,'6月库存'!A:A,'6月库存'!R:R)</f>
        <v>0</v>
      </c>
      <c r="P67" s="39">
        <f>_xlfn.XLOOKUP(F67,'6月产品包'!B:B,'6月产品包'!S:S)</f>
        <v>800</v>
      </c>
      <c r="Q67" s="39"/>
      <c r="R67" s="41">
        <f>_xlfn.XLOOKUP(F67,'6月产品包'!B:B,'6月产品包'!AD:AD)</f>
        <v>10.7068</v>
      </c>
      <c r="S67" s="39">
        <v>22</v>
      </c>
      <c r="T67" s="39">
        <f t="shared" si="16"/>
        <v>28</v>
      </c>
      <c r="U67" s="42">
        <f t="shared" si="20"/>
        <v>22.4</v>
      </c>
      <c r="V67" s="43">
        <v>0.2</v>
      </c>
      <c r="W67" s="44">
        <f t="shared" si="17"/>
        <v>0.522017857142857</v>
      </c>
      <c r="X67" s="44">
        <f t="shared" si="18"/>
        <v>0.342431091239621</v>
      </c>
      <c r="Y67" s="44">
        <v>0.04</v>
      </c>
      <c r="Z67" s="46">
        <v>0.1</v>
      </c>
      <c r="AA67" s="46">
        <v>0.049</v>
      </c>
      <c r="AB67" s="46">
        <f t="shared" si="19"/>
        <v>0.0241071428571429</v>
      </c>
      <c r="AC67" s="46">
        <v>0.06</v>
      </c>
      <c r="AD67" s="47"/>
      <c r="AF67" s="55" t="s">
        <v>114</v>
      </c>
      <c r="AG67" s="39">
        <f t="shared" ref="AG67:AG70" si="24">MAX(AH67:AN67)</f>
        <v>0</v>
      </c>
      <c r="AH67" s="39">
        <f t="shared" ref="AH67:AH70" si="25">IF(U67&gt;=50,MIN(MIN(U67*0.2,20)*0.3,6),0)</f>
        <v>0</v>
      </c>
      <c r="AI67" s="39">
        <f t="shared" ref="AI67:AI70" si="26">IF(U67&gt;=200,MIN(MIN(U67*0.18,70)*0.3,21),0)</f>
        <v>0</v>
      </c>
      <c r="AJ67" s="39">
        <f t="shared" ref="AJ67:AJ70" si="27">IF(U67&gt;=380,MIN(MIN(U67*0.28,350)*0.3,105),0)</f>
        <v>0</v>
      </c>
      <c r="AK67" s="39">
        <f t="shared" ref="AK67:AK70" si="28">IF(U67&gt;=380,MIN(MIN(U67*0.25,350)*0.3,105),0)</f>
        <v>0</v>
      </c>
      <c r="AL67" s="39">
        <f t="shared" ref="AL67:AL70" si="29">IF(U67&gt;=380,MIN(MIN(U67*0.22,300)*0.3,90),0)</f>
        <v>0</v>
      </c>
      <c r="AM67" s="39">
        <f t="shared" ref="AM67:AM70" si="30">IF(U67&gt;=250,MIN(MIN(U67*0.18,120)*0.3,36),0)</f>
        <v>0</v>
      </c>
      <c r="AN67" s="39">
        <f t="shared" ref="AN67:AN70" si="31">IF(U67&gt;=180,MIN(MIN(U67*0.15,60)*0.3,18),0)</f>
        <v>0</v>
      </c>
    </row>
    <row r="68" s="6" customFormat="1" ht="50" hidden="1" customHeight="1" spans="1:40">
      <c r="A68" s="37" t="s">
        <v>96</v>
      </c>
      <c r="B68" s="37" t="s">
        <v>115</v>
      </c>
      <c r="C68" s="37" t="str">
        <f>_xlfn.XLOOKUP(F68,'6月产品包'!B:B,'6月产品包'!H:H)</f>
        <v>收银箱</v>
      </c>
      <c r="D68" s="38" t="str">
        <f>_xlfn.XLOOKUP(F68,'6月产品包'!B:B,'6月产品包'!O:O)</f>
        <v>手提收银箱</v>
      </c>
      <c r="E68" s="38" t="s">
        <v>223</v>
      </c>
      <c r="F68" s="37" t="s">
        <v>224</v>
      </c>
      <c r="G68" s="39" t="e">
        <v>#N/A</v>
      </c>
      <c r="H68" s="37" t="s">
        <v>101</v>
      </c>
      <c r="I68" s="37" t="str">
        <f>_xlfn.XLOOKUP($F68,'6月库存'!A:A,'6月库存'!B:B)</f>
        <v>正常销售</v>
      </c>
      <c r="J68" s="12"/>
      <c r="K68" s="39">
        <f>_xlfn.XLOOKUP(E68,'[1]6月分配 '!$B:$B,'[1]6月分配 '!$K:$K)</f>
        <v>19070</v>
      </c>
      <c r="L68" s="12" t="str">
        <f t="shared" si="15"/>
        <v>是</v>
      </c>
      <c r="M68" s="40" t="str">
        <f>_xlfn.XLOOKUP(F68,'6月产品包'!B:B,'6月产品包'!J:J)</f>
        <v>2025-06-03</v>
      </c>
      <c r="N68" s="39" t="str">
        <f ca="1">IF(DATEDIF(M68,TODAY(),"m")&lt;6,"新品","老品")</f>
        <v>老品</v>
      </c>
      <c r="O68" s="37">
        <f>_xlfn.XLOOKUP(F68,'6月库存'!A:A,'6月库存'!R:R)</f>
        <v>1886</v>
      </c>
      <c r="P68" s="39">
        <f>_xlfn.XLOOKUP(F68,'6月产品包'!B:B,'6月产品包'!S:S)</f>
        <v>1800</v>
      </c>
      <c r="Q68" s="2">
        <v>2450</v>
      </c>
      <c r="R68" s="41">
        <f>_xlfn.XLOOKUP(F68,'6月产品包'!B:B,'6月产品包'!AD:AD)</f>
        <v>22.3474</v>
      </c>
      <c r="S68" s="39">
        <v>48</v>
      </c>
      <c r="T68" s="39">
        <f t="shared" si="16"/>
        <v>60</v>
      </c>
      <c r="U68" s="42">
        <f t="shared" si="20"/>
        <v>48</v>
      </c>
      <c r="V68" s="43">
        <v>0.2</v>
      </c>
      <c r="W68" s="44">
        <f t="shared" si="17"/>
        <v>0.534429166666667</v>
      </c>
      <c r="X68" s="44">
        <f t="shared" si="18"/>
        <v>0.387205221015685</v>
      </c>
      <c r="Y68" s="44">
        <v>0.04</v>
      </c>
      <c r="Z68" s="46">
        <v>0.1</v>
      </c>
      <c r="AA68" s="46">
        <v>0.049</v>
      </c>
      <c r="AB68" s="46">
        <f t="shared" si="19"/>
        <v>0.01125</v>
      </c>
      <c r="AC68" s="46">
        <v>0.04</v>
      </c>
      <c r="AD68" s="47"/>
      <c r="AF68" s="55" t="s">
        <v>114</v>
      </c>
      <c r="AG68" s="39">
        <f t="shared" si="24"/>
        <v>0</v>
      </c>
      <c r="AH68" s="39">
        <f t="shared" si="25"/>
        <v>0</v>
      </c>
      <c r="AI68" s="39">
        <f t="shared" si="26"/>
        <v>0</v>
      </c>
      <c r="AJ68" s="39">
        <f t="shared" si="27"/>
        <v>0</v>
      </c>
      <c r="AK68" s="39">
        <f t="shared" si="28"/>
        <v>0</v>
      </c>
      <c r="AL68" s="39">
        <f t="shared" si="29"/>
        <v>0</v>
      </c>
      <c r="AM68" s="39">
        <f t="shared" si="30"/>
        <v>0</v>
      </c>
      <c r="AN68" s="39">
        <f t="shared" si="31"/>
        <v>0</v>
      </c>
    </row>
    <row r="69" s="6" customFormat="1" ht="50" hidden="1" customHeight="1" spans="1:40">
      <c r="A69" s="37" t="s">
        <v>96</v>
      </c>
      <c r="B69" s="37" t="s">
        <v>115</v>
      </c>
      <c r="C69" s="37" t="str">
        <f>_xlfn.XLOOKUP(F69,'6月产品包'!B:B,'6月产品包'!H:H)</f>
        <v>收银箱</v>
      </c>
      <c r="D69" s="38" t="str">
        <f>_xlfn.XLOOKUP(F69,'6月产品包'!B:B,'6月产品包'!O:O)</f>
        <v>手提收银箱</v>
      </c>
      <c r="E69" s="38" t="s">
        <v>223</v>
      </c>
      <c r="F69" s="39" t="s">
        <v>225</v>
      </c>
      <c r="G69" s="39" t="e">
        <v>#N/A</v>
      </c>
      <c r="H69" s="39" t="s">
        <v>101</v>
      </c>
      <c r="I69" s="37" t="str">
        <f>_xlfn.XLOOKUP($F69,'6月库存'!A:A,'6月库存'!B:B)</f>
        <v>正常销售</v>
      </c>
      <c r="J69" s="12"/>
      <c r="K69" s="39">
        <f>_xlfn.XLOOKUP(E69,'[1]6月分配 '!$B:$B,'[1]6月分配 '!$K:$K)</f>
        <v>19070</v>
      </c>
      <c r="L69" s="12" t="str">
        <f t="shared" si="15"/>
        <v>是</v>
      </c>
      <c r="M69" s="40" t="str">
        <f>_xlfn.XLOOKUP(F69,'6月产品包'!B:B,'6月产品包'!J:J)</f>
        <v>2026-01-26</v>
      </c>
      <c r="N69" s="39" t="str">
        <f ca="1">IF(DATEDIF(M69,TODAY(),"m")&lt;6,"新品","老品")</f>
        <v>新品</v>
      </c>
      <c r="O69" s="37">
        <f>_xlfn.XLOOKUP(F69,'6月库存'!A:A,'6月库存'!R:R)</f>
        <v>0</v>
      </c>
      <c r="P69" s="39">
        <f>_xlfn.XLOOKUP(F69,'6月产品包'!B:B,'6月产品包'!S:S)</f>
        <v>1800</v>
      </c>
      <c r="Q69" s="2">
        <v>2450</v>
      </c>
      <c r="R69" s="41">
        <f>_xlfn.XLOOKUP(F69,'6月产品包'!B:B,'6月产品包'!AD:AD)</f>
        <v>22.707</v>
      </c>
      <c r="S69" s="39">
        <v>48</v>
      </c>
      <c r="T69" s="39">
        <f t="shared" si="16"/>
        <v>60</v>
      </c>
      <c r="U69" s="42">
        <f t="shared" si="20"/>
        <v>48</v>
      </c>
      <c r="V69" s="43">
        <v>0.2</v>
      </c>
      <c r="W69" s="44">
        <f t="shared" si="17"/>
        <v>0.5269375</v>
      </c>
      <c r="X69" s="44">
        <f t="shared" si="18"/>
        <v>0.369039679893298</v>
      </c>
      <c r="Y69" s="44">
        <v>0.04</v>
      </c>
      <c r="Z69" s="46">
        <v>0.09</v>
      </c>
      <c r="AA69" s="46">
        <v>0.049</v>
      </c>
      <c r="AB69" s="46">
        <f t="shared" si="19"/>
        <v>0.01125</v>
      </c>
      <c r="AC69" s="46">
        <v>0.06</v>
      </c>
      <c r="AD69" s="47"/>
      <c r="AE69" s="11"/>
      <c r="AF69" s="55" t="s">
        <v>114</v>
      </c>
      <c r="AG69" s="39">
        <f t="shared" si="24"/>
        <v>0</v>
      </c>
      <c r="AH69" s="39">
        <f t="shared" si="25"/>
        <v>0</v>
      </c>
      <c r="AI69" s="39">
        <f t="shared" si="26"/>
        <v>0</v>
      </c>
      <c r="AJ69" s="39">
        <f t="shared" si="27"/>
        <v>0</v>
      </c>
      <c r="AK69" s="39">
        <f t="shared" si="28"/>
        <v>0</v>
      </c>
      <c r="AL69" s="39">
        <f t="shared" si="29"/>
        <v>0</v>
      </c>
      <c r="AM69" s="39">
        <f t="shared" si="30"/>
        <v>0</v>
      </c>
      <c r="AN69" s="39">
        <f t="shared" si="31"/>
        <v>0</v>
      </c>
    </row>
    <row r="70" s="6" customFormat="1" ht="50" hidden="1" customHeight="1" spans="1:40">
      <c r="A70" s="39" t="str">
        <f>_xlfn.XLOOKUP(F70,'6月产品包'!B:B,'6月产品包'!F:F)</f>
        <v>办公安防</v>
      </c>
      <c r="B70" s="39" t="str">
        <f>_xlfn.XLOOKUP(F70,'6月产品包'!B:B,'6月产品包'!G:G)</f>
        <v>办公周边</v>
      </c>
      <c r="C70" s="37" t="str">
        <f>_xlfn.XLOOKUP(F70,'6月产品包'!B:B,'6月产品包'!H:H)</f>
        <v>收银箱</v>
      </c>
      <c r="D70" s="38" t="str">
        <f>_xlfn.XLOOKUP(F70,'6月产品包'!B:B,'6月产品包'!O:O)</f>
        <v>手提收银箱</v>
      </c>
      <c r="E70" s="38" t="str">
        <f>_xlfn.XLOOKUP(F70,'6月产品包'!B:B,'6月产品包'!C:C)</f>
        <v>3B-手提收银箱双层黑色</v>
      </c>
      <c r="F70" s="39" t="s">
        <v>226</v>
      </c>
      <c r="G70" s="11"/>
      <c r="H70" s="39" t="s">
        <v>101</v>
      </c>
      <c r="I70" s="39" t="str">
        <f>_xlfn.XLOOKUP($F70,'6月库存'!A:A,'6月库存'!B:B)</f>
        <v>等待开发</v>
      </c>
      <c r="J70" s="12"/>
      <c r="K70" s="39">
        <f>_xlfn.XLOOKUP(E70,'[1]6月分配 '!$B:$B,'[1]6月分配 '!$K:$K)</f>
        <v>19070</v>
      </c>
      <c r="L70" s="12" t="str">
        <f t="shared" si="15"/>
        <v>是</v>
      </c>
      <c r="M70" s="40" t="str">
        <f>_xlfn.XLOOKUP(F70,'6月产品包'!B:B,'6月产品包'!J:J)</f>
        <v>2026-05-05</v>
      </c>
      <c r="N70" s="39" t="s">
        <v>149</v>
      </c>
      <c r="O70" s="37">
        <f>_xlfn.XLOOKUP(F70,'6月库存'!A:A,'6月库存'!R:R)</f>
        <v>0</v>
      </c>
      <c r="P70" s="39">
        <f>_xlfn.XLOOKUP(F70,'6月产品包'!B:B,'6月产品包'!S:S)</f>
        <v>1800</v>
      </c>
      <c r="Q70" s="2">
        <v>2450</v>
      </c>
      <c r="R70" s="41">
        <f>_xlfn.XLOOKUP(F70,'6月产品包'!B:B,'6月产品包'!AD:AD)</f>
        <v>20.4566</v>
      </c>
      <c r="S70" s="39">
        <v>48</v>
      </c>
      <c r="T70" s="39">
        <f t="shared" si="16"/>
        <v>60</v>
      </c>
      <c r="U70" s="42">
        <f t="shared" si="20"/>
        <v>48</v>
      </c>
      <c r="V70" s="43">
        <v>6.2</v>
      </c>
      <c r="W70" s="44">
        <f t="shared" si="17"/>
        <v>0.573820833333333</v>
      </c>
      <c r="X70" s="44">
        <f t="shared" si="18"/>
        <v>0.417589112857306</v>
      </c>
      <c r="Y70" s="44">
        <v>0.038</v>
      </c>
      <c r="Z70" s="46">
        <v>0.09</v>
      </c>
      <c r="AA70" s="46">
        <v>0.049</v>
      </c>
      <c r="AB70" s="46">
        <f t="shared" si="19"/>
        <v>0.01125</v>
      </c>
      <c r="AC70" s="46">
        <v>0.08</v>
      </c>
      <c r="AD70" s="11"/>
      <c r="AE70" s="11"/>
      <c r="AF70" s="55" t="s">
        <v>114</v>
      </c>
      <c r="AG70" s="39">
        <f t="shared" si="24"/>
        <v>0</v>
      </c>
      <c r="AH70" s="39">
        <f t="shared" si="25"/>
        <v>0</v>
      </c>
      <c r="AI70" s="39">
        <f t="shared" si="26"/>
        <v>0</v>
      </c>
      <c r="AJ70" s="39">
        <f t="shared" si="27"/>
        <v>0</v>
      </c>
      <c r="AK70" s="39">
        <f t="shared" si="28"/>
        <v>0</v>
      </c>
      <c r="AL70" s="39">
        <f t="shared" si="29"/>
        <v>0</v>
      </c>
      <c r="AM70" s="39">
        <f t="shared" si="30"/>
        <v>0</v>
      </c>
      <c r="AN70" s="39">
        <f t="shared" si="31"/>
        <v>0</v>
      </c>
    </row>
    <row r="71" s="6" customFormat="1" ht="50" hidden="1" customHeight="1" spans="1:40">
      <c r="A71" s="37" t="s">
        <v>96</v>
      </c>
      <c r="B71" s="37" t="s">
        <v>97</v>
      </c>
      <c r="C71" s="37" t="str">
        <f>_xlfn.XLOOKUP(F71,'6月产品包'!B:B,'6月产品包'!H:H)</f>
        <v>球型智能门锁</v>
      </c>
      <c r="D71" s="38" t="str">
        <f>_xlfn.XLOOKUP(F71,'6月产品包'!B:B,'6月产品包'!O:O)</f>
        <v>可充电球形锁K06</v>
      </c>
      <c r="E71" s="38" t="s">
        <v>227</v>
      </c>
      <c r="F71" s="39" t="s">
        <v>228</v>
      </c>
      <c r="G71" s="39" t="e">
        <v>#N/A</v>
      </c>
      <c r="H71" s="39" t="s">
        <v>101</v>
      </c>
      <c r="I71" s="37" t="str">
        <f>_xlfn.XLOOKUP($F71,'6月库存'!A:A,'6月库存'!B:B)</f>
        <v>正常销售</v>
      </c>
      <c r="J71" s="12"/>
      <c r="K71" s="39">
        <f>_xlfn.XLOOKUP(E71,'[1]6月分配 '!$B:$B,'[1]6月分配 '!$K:$K)</f>
        <v>17701</v>
      </c>
      <c r="L71" s="12" t="str">
        <f t="shared" si="15"/>
        <v>是</v>
      </c>
      <c r="M71" s="40" t="str">
        <f>_xlfn.XLOOKUP(F71,'6月产品包'!B:B,'6月产品包'!J:J)</f>
        <v>2026-01-22</v>
      </c>
      <c r="N71" s="39" t="str">
        <f ca="1">IF(DATEDIF(M71,TODAY(),"m")&lt;6,"新品","老品")</f>
        <v>新品</v>
      </c>
      <c r="O71" s="37">
        <f>_xlfn.XLOOKUP(F71,'6月库存'!A:A,'6月库存'!R:R)</f>
        <v>120</v>
      </c>
      <c r="P71" s="39">
        <f>_xlfn.XLOOKUP(F71,'6月产品包'!B:B,'6月产品包'!S:S)</f>
        <v>872</v>
      </c>
      <c r="Q71" s="39"/>
      <c r="R71" s="41">
        <f>_xlfn.XLOOKUP(F71,'6月产品包'!B:B,'6月产品包'!AD:AD)</f>
        <v>57.043</v>
      </c>
      <c r="S71" s="39">
        <v>112</v>
      </c>
      <c r="T71" s="39">
        <f t="shared" si="16"/>
        <v>140</v>
      </c>
      <c r="U71" s="42">
        <f t="shared" si="20"/>
        <v>112</v>
      </c>
      <c r="V71" s="43">
        <v>0.2</v>
      </c>
      <c r="W71" s="44">
        <f t="shared" si="17"/>
        <v>0.4906875</v>
      </c>
      <c r="X71" s="44">
        <f t="shared" si="18"/>
        <v>0.328242027415328</v>
      </c>
      <c r="Y71" s="51">
        <v>0.038</v>
      </c>
      <c r="Z71" s="46">
        <v>0.09</v>
      </c>
      <c r="AA71" s="46">
        <v>0.049</v>
      </c>
      <c r="AB71" s="46">
        <f t="shared" si="19"/>
        <v>0.00482142857142857</v>
      </c>
      <c r="AC71" s="46">
        <v>0.06</v>
      </c>
      <c r="AD71" s="47"/>
      <c r="AE71" s="11"/>
      <c r="AF71" s="55" t="s">
        <v>114</v>
      </c>
      <c r="AG71" s="39">
        <f t="shared" ref="AG71:AG123" si="32">MAX(AH71:AN71)</f>
        <v>6</v>
      </c>
      <c r="AH71" s="39">
        <f t="shared" ref="AH71:AH123" si="33">IF(U71&gt;=50,MIN(MIN(U71*0.2,20)*0.3,6),0)</f>
        <v>6</v>
      </c>
      <c r="AI71" s="39">
        <f t="shared" ref="AI71:AI123" si="34">IF(U71&gt;=200,MIN(MIN(U71*0.18,70)*0.3,21),0)</f>
        <v>0</v>
      </c>
      <c r="AJ71" s="39">
        <f t="shared" ref="AJ71:AJ123" si="35">IF(U71&gt;=380,MIN(MIN(U71*0.28,350)*0.3,105),0)</f>
        <v>0</v>
      </c>
      <c r="AK71" s="39">
        <f t="shared" ref="AK71:AK123" si="36">IF(U71&gt;=380,MIN(MIN(U71*0.25,350)*0.3,105),0)</f>
        <v>0</v>
      </c>
      <c r="AL71" s="39">
        <f t="shared" ref="AL71:AL123" si="37">IF(U71&gt;=380,MIN(MIN(U71*0.22,300)*0.3,90),0)</f>
        <v>0</v>
      </c>
      <c r="AM71" s="39">
        <f t="shared" ref="AM71:AM123" si="38">IF(U71&gt;=250,MIN(MIN(U71*0.18,120)*0.3,36),0)</f>
        <v>0</v>
      </c>
      <c r="AN71" s="39">
        <f t="shared" ref="AN71:AN123" si="39">IF(U71&gt;=180,MIN(MIN(U71*0.15,60)*0.3,18),0)</f>
        <v>0</v>
      </c>
    </row>
    <row r="72" s="6" customFormat="1" ht="50" hidden="1" customHeight="1" spans="1:40">
      <c r="A72" s="37" t="s">
        <v>96</v>
      </c>
      <c r="B72" s="37" t="s">
        <v>186</v>
      </c>
      <c r="C72" s="37" t="str">
        <f>_xlfn.XLOOKUP(F72,'6月产品包'!B:B,'6月产品包'!H:H)</f>
        <v>白板</v>
      </c>
      <c r="D72" s="38" t="str">
        <f>_xlfn.XLOOKUP(F72,'6月产品包'!B:B,'6月产品包'!O:O)</f>
        <v>磁吸白板密度板夹层</v>
      </c>
      <c r="E72" s="38" t="s">
        <v>229</v>
      </c>
      <c r="F72" s="39" t="s">
        <v>230</v>
      </c>
      <c r="G72" s="39" t="s">
        <v>100</v>
      </c>
      <c r="H72" s="39" t="s">
        <v>101</v>
      </c>
      <c r="I72" s="37" t="str">
        <f>_xlfn.XLOOKUP($F72,'6月库存'!A:A,'6月库存'!B:B)</f>
        <v>正常销售</v>
      </c>
      <c r="J72" s="12"/>
      <c r="K72" s="39">
        <f>_xlfn.XLOOKUP(E72,'[1]6月分配 '!$B:$B,'[1]6月分配 '!$K:$K)</f>
        <v>17118</v>
      </c>
      <c r="L72" s="12" t="str">
        <f t="shared" si="15"/>
        <v>是</v>
      </c>
      <c r="M72" s="40" t="str">
        <f>_xlfn.XLOOKUP(F72,'6月产品包'!B:B,'6月产品包'!J:J)</f>
        <v>2025-10-27</v>
      </c>
      <c r="N72" s="39" t="s">
        <v>149</v>
      </c>
      <c r="O72" s="37">
        <f>_xlfn.XLOOKUP(F72,'6月库存'!A:A,'6月库存'!R:R)</f>
        <v>1788</v>
      </c>
      <c r="P72" s="39">
        <f>_xlfn.XLOOKUP(F72,'6月产品包'!B:B,'6月产品包'!S:S)</f>
        <v>3461</v>
      </c>
      <c r="Q72" s="39"/>
      <c r="R72" s="41">
        <f>_xlfn.XLOOKUP(F72,'6月产品包'!B:B,'6月产品包'!AD:AD)</f>
        <v>19.546</v>
      </c>
      <c r="S72" s="39">
        <v>42</v>
      </c>
      <c r="T72" s="39">
        <f t="shared" si="16"/>
        <v>53</v>
      </c>
      <c r="U72" s="42">
        <f t="shared" si="20"/>
        <v>42.4</v>
      </c>
      <c r="V72" s="43">
        <v>0.2</v>
      </c>
      <c r="W72" s="44">
        <f t="shared" si="17"/>
        <v>0.539009433962264</v>
      </c>
      <c r="X72" s="44">
        <f t="shared" si="18"/>
        <v>0.358187979405275</v>
      </c>
      <c r="Y72" s="44">
        <v>0.04</v>
      </c>
      <c r="Z72" s="46">
        <v>0.1</v>
      </c>
      <c r="AA72" s="46">
        <v>0.049</v>
      </c>
      <c r="AB72" s="46">
        <f t="shared" si="19"/>
        <v>0.0127358490566038</v>
      </c>
      <c r="AC72" s="46">
        <v>0.08</v>
      </c>
      <c r="AD72" s="58">
        <v>0.05</v>
      </c>
      <c r="AE72" s="58">
        <v>0.05</v>
      </c>
      <c r="AF72" s="55" t="s">
        <v>114</v>
      </c>
      <c r="AG72" s="39">
        <f t="shared" si="32"/>
        <v>0</v>
      </c>
      <c r="AH72" s="39">
        <f t="shared" si="33"/>
        <v>0</v>
      </c>
      <c r="AI72" s="39">
        <f t="shared" si="34"/>
        <v>0</v>
      </c>
      <c r="AJ72" s="39">
        <f t="shared" si="35"/>
        <v>0</v>
      </c>
      <c r="AK72" s="39">
        <f t="shared" si="36"/>
        <v>0</v>
      </c>
      <c r="AL72" s="39">
        <f t="shared" si="37"/>
        <v>0</v>
      </c>
      <c r="AM72" s="39">
        <f t="shared" si="38"/>
        <v>0</v>
      </c>
      <c r="AN72" s="39">
        <f t="shared" si="39"/>
        <v>0</v>
      </c>
    </row>
    <row r="73" s="6" customFormat="1" ht="50" hidden="1" customHeight="1" spans="1:40">
      <c r="A73" s="37" t="s">
        <v>96</v>
      </c>
      <c r="B73" s="37" t="s">
        <v>186</v>
      </c>
      <c r="C73" s="37" t="str">
        <f>_xlfn.XLOOKUP(F73,'6月产品包'!B:B,'6月产品包'!H:H)</f>
        <v>白板</v>
      </c>
      <c r="D73" s="38" t="str">
        <f>_xlfn.XLOOKUP(F73,'6月产品包'!B:B,'6月产品包'!O:O)</f>
        <v>橡胶白板</v>
      </c>
      <c r="E73" s="38" t="s">
        <v>231</v>
      </c>
      <c r="F73" s="37" t="s">
        <v>232</v>
      </c>
      <c r="G73" s="39" t="s">
        <v>126</v>
      </c>
      <c r="H73" s="37" t="s">
        <v>101</v>
      </c>
      <c r="I73" s="37" t="str">
        <f>_xlfn.XLOOKUP($F73,'6月库存'!A:A,'6月库存'!B:B)</f>
        <v>正常销售</v>
      </c>
      <c r="J73" s="12"/>
      <c r="K73" s="39" t="e">
        <f>_xlfn.XLOOKUP(E73,'[1]6月分配 '!$B:$B,'[1]6月分配 '!$K:$K)</f>
        <v>#N/A</v>
      </c>
      <c r="L73" s="12" t="str">
        <f t="shared" si="15"/>
        <v>否</v>
      </c>
      <c r="M73" s="40" t="str">
        <f>_xlfn.XLOOKUP(F73,'6月产品包'!B:B,'6月产品包'!J:J)</f>
        <v>2025-07-03</v>
      </c>
      <c r="N73" s="39" t="str">
        <f ca="1">IF(DATEDIF(M73,TODAY(),"m")&lt;6,"新品","老品")</f>
        <v>老品</v>
      </c>
      <c r="O73" s="37">
        <f>_xlfn.XLOOKUP(F73,'6月库存'!A:A,'6月库存'!R:R)</f>
        <v>150</v>
      </c>
      <c r="P73" s="39">
        <f>_xlfn.XLOOKUP(F73,'6月产品包'!B:B,'6月产品包'!S:S)</f>
        <v>1082</v>
      </c>
      <c r="Q73" s="39"/>
      <c r="R73" s="41">
        <f>_xlfn.XLOOKUP(F73,'6月产品包'!B:B,'6月产品包'!AD:AD)</f>
        <v>15.8862</v>
      </c>
      <c r="S73" s="39">
        <v>31</v>
      </c>
      <c r="T73" s="39">
        <f t="shared" si="16"/>
        <v>39</v>
      </c>
      <c r="U73" s="42">
        <f t="shared" si="20"/>
        <v>31.2</v>
      </c>
      <c r="V73" s="43">
        <v>0.2</v>
      </c>
      <c r="W73" s="44">
        <f t="shared" si="17"/>
        <v>0.490826923076923</v>
      </c>
      <c r="X73" s="44">
        <f t="shared" si="18"/>
        <v>0.28656499245527</v>
      </c>
      <c r="Y73" s="44">
        <v>0.04</v>
      </c>
      <c r="Z73" s="46">
        <v>0.1</v>
      </c>
      <c r="AA73" s="46">
        <v>0.049</v>
      </c>
      <c r="AB73" s="46">
        <f t="shared" si="19"/>
        <v>0.0173076923076923</v>
      </c>
      <c r="AC73" s="46">
        <v>0.08</v>
      </c>
      <c r="AD73" s="58">
        <v>0.05</v>
      </c>
      <c r="AE73" s="58">
        <v>0.05</v>
      </c>
      <c r="AF73" s="48" t="s">
        <v>102</v>
      </c>
      <c r="AG73" s="39">
        <f t="shared" si="32"/>
        <v>0</v>
      </c>
      <c r="AH73" s="39">
        <f t="shared" si="33"/>
        <v>0</v>
      </c>
      <c r="AI73" s="39">
        <f t="shared" si="34"/>
        <v>0</v>
      </c>
      <c r="AJ73" s="39">
        <f t="shared" si="35"/>
        <v>0</v>
      </c>
      <c r="AK73" s="39">
        <f t="shared" si="36"/>
        <v>0</v>
      </c>
      <c r="AL73" s="39">
        <f t="shared" si="37"/>
        <v>0</v>
      </c>
      <c r="AM73" s="39">
        <f t="shared" si="38"/>
        <v>0</v>
      </c>
      <c r="AN73" s="39">
        <f t="shared" si="39"/>
        <v>0</v>
      </c>
    </row>
    <row r="74" s="6" customFormat="1" ht="50" hidden="1" customHeight="1" spans="1:40">
      <c r="A74" s="39" t="str">
        <f>_xlfn.XLOOKUP(F74,'6月产品包'!B:B,'6月产品包'!F:F)</f>
        <v>办公安防</v>
      </c>
      <c r="B74" s="39" t="str">
        <f>_xlfn.XLOOKUP(F74,'6月产品包'!B:B,'6月产品包'!G:G)</f>
        <v>教学周边</v>
      </c>
      <c r="C74" s="37" t="str">
        <f>_xlfn.XLOOKUP(F74,'6月产品包'!B:B,'6月产品包'!H:H)</f>
        <v>白板</v>
      </c>
      <c r="D74" s="38" t="str">
        <f>_xlfn.XLOOKUP(F74,'6月产品包'!B:B,'6月产品包'!O:O)</f>
        <v>磁吸白板密度板夹层</v>
      </c>
      <c r="E74" s="38" t="str">
        <f>_xlfn.XLOOKUP(F74,'6月产品包'!B:B,'6月产品包'!C:C)</f>
        <v>3B-磁吸白板密度板夹层60cm*90cm</v>
      </c>
      <c r="F74" s="39" t="s">
        <v>233</v>
      </c>
      <c r="G74" s="39" t="s">
        <v>106</v>
      </c>
      <c r="H74" s="49" t="s">
        <v>101</v>
      </c>
      <c r="I74" s="37" t="str">
        <f>_xlfn.XLOOKUP($F74,'6月库存'!A:A,'6月库存'!B:B)</f>
        <v>等待开发</v>
      </c>
      <c r="J74" s="12"/>
      <c r="K74" s="39">
        <f>_xlfn.XLOOKUP(E74,'[1]6月分配 '!$B:$B,'[1]6月分配 '!$K:$K)</f>
        <v>17118</v>
      </c>
      <c r="L74" s="12" t="str">
        <f t="shared" si="15"/>
        <v>是</v>
      </c>
      <c r="M74" s="40" t="str">
        <f>_xlfn.XLOOKUP(F74,'6月产品包'!B:B,'6月产品包'!J:J)</f>
        <v>2026-04-28</v>
      </c>
      <c r="N74" s="39" t="s">
        <v>149</v>
      </c>
      <c r="O74" s="37">
        <f>_xlfn.XLOOKUP(F74,'6月库存'!A:A,'6月库存'!R:R)</f>
        <v>0</v>
      </c>
      <c r="P74" s="39">
        <f>_xlfn.XLOOKUP(F74,'6月产品包'!B:B,'6月产品包'!S:S)</f>
        <v>3461</v>
      </c>
      <c r="Q74" s="56"/>
      <c r="R74" s="41">
        <f>_xlfn.XLOOKUP(F74,'6月产品包'!B:B,'6月产品包'!AD:AD)</f>
        <v>19.6388</v>
      </c>
      <c r="S74" s="39">
        <v>42</v>
      </c>
      <c r="T74" s="39">
        <f t="shared" si="16"/>
        <v>53</v>
      </c>
      <c r="U74" s="42">
        <f t="shared" si="20"/>
        <v>42.4</v>
      </c>
      <c r="V74" s="43">
        <v>0.2</v>
      </c>
      <c r="W74" s="44">
        <f t="shared" si="17"/>
        <v>0.536820754716981</v>
      </c>
      <c r="X74" s="44">
        <f t="shared" si="18"/>
        <v>0.355140800672481</v>
      </c>
      <c r="Y74" s="44">
        <v>0.04</v>
      </c>
      <c r="Z74" s="46">
        <v>0.1</v>
      </c>
      <c r="AA74" s="46">
        <v>0.049</v>
      </c>
      <c r="AB74" s="46">
        <f t="shared" si="19"/>
        <v>0.0127358490566038</v>
      </c>
      <c r="AC74" s="46">
        <v>0.08</v>
      </c>
      <c r="AD74" s="58">
        <v>0.05</v>
      </c>
      <c r="AE74" s="58">
        <v>0.05</v>
      </c>
      <c r="AF74" s="55" t="s">
        <v>114</v>
      </c>
      <c r="AG74" s="39">
        <f t="shared" si="32"/>
        <v>0</v>
      </c>
      <c r="AH74" s="39">
        <f t="shared" si="33"/>
        <v>0</v>
      </c>
      <c r="AI74" s="39">
        <f t="shared" si="34"/>
        <v>0</v>
      </c>
      <c r="AJ74" s="39">
        <f t="shared" si="35"/>
        <v>0</v>
      </c>
      <c r="AK74" s="39">
        <f t="shared" si="36"/>
        <v>0</v>
      </c>
      <c r="AL74" s="39">
        <f t="shared" si="37"/>
        <v>0</v>
      </c>
      <c r="AM74" s="39">
        <f t="shared" si="38"/>
        <v>0</v>
      </c>
      <c r="AN74" s="39">
        <f t="shared" si="39"/>
        <v>0</v>
      </c>
    </row>
    <row r="75" s="6" customFormat="1" ht="50" hidden="1" customHeight="1" spans="1:40">
      <c r="A75" s="37" t="s">
        <v>96</v>
      </c>
      <c r="B75" s="37" t="s">
        <v>97</v>
      </c>
      <c r="C75" s="37" t="str">
        <f>_xlfn.XLOOKUP(F75,'6月产品包'!B:B,'6月产品包'!H:H)</f>
        <v>密码锁</v>
      </c>
      <c r="D75" s="38" t="str">
        <f>_xlfn.XLOOKUP(F75,'6月产品包'!B:B,'6月产品包'!O:O)</f>
        <v>玻璃门U型密码锁</v>
      </c>
      <c r="E75" s="38" t="s">
        <v>234</v>
      </c>
      <c r="F75" s="37" t="s">
        <v>235</v>
      </c>
      <c r="G75" s="39" t="e">
        <v>#N/A</v>
      </c>
      <c r="H75" s="37" t="s">
        <v>101</v>
      </c>
      <c r="I75" s="37" t="str">
        <f>_xlfn.XLOOKUP($F75,'6月库存'!A:A,'6月库存'!B:B)</f>
        <v>正常销售</v>
      </c>
      <c r="J75" s="12"/>
      <c r="K75" s="39" t="e">
        <f>_xlfn.XLOOKUP(E75,'[1]6月分配 '!$B:$B,'[1]6月分配 '!$K:$K)</f>
        <v>#N/A</v>
      </c>
      <c r="L75" s="12" t="str">
        <f t="shared" si="15"/>
        <v>否</v>
      </c>
      <c r="M75" s="40" t="str">
        <f>_xlfn.XLOOKUP(F75,'6月产品包'!B:B,'6月产品包'!J:J)</f>
        <v>2025-10-21</v>
      </c>
      <c r="N75" s="39" t="str">
        <f ca="1" t="shared" ref="N75:N84" si="40">IF(DATEDIF(M75,TODAY(),"m")&lt;6,"新品","老品")</f>
        <v>老品</v>
      </c>
      <c r="O75" s="37">
        <f>_xlfn.XLOOKUP(F75,'6月库存'!A:A,'6月库存'!R:R)</f>
        <v>1</v>
      </c>
      <c r="P75" s="39">
        <f>_xlfn.XLOOKUP(F75,'6月产品包'!B:B,'6月产品包'!S:S)</f>
        <v>1260</v>
      </c>
      <c r="Q75" s="39"/>
      <c r="R75" s="41">
        <f>_xlfn.XLOOKUP(F75,'6月产品包'!B:B,'6月产品包'!AD:AD)</f>
        <v>16.2516</v>
      </c>
      <c r="S75" s="39">
        <v>32</v>
      </c>
      <c r="T75" s="39">
        <f t="shared" si="16"/>
        <v>40</v>
      </c>
      <c r="U75" s="42">
        <f t="shared" si="20"/>
        <v>32</v>
      </c>
      <c r="V75" s="43">
        <v>0.2</v>
      </c>
      <c r="W75" s="44">
        <f t="shared" si="17"/>
        <v>0.4921375</v>
      </c>
      <c r="X75" s="44">
        <f t="shared" si="18"/>
        <v>0.295735829433177</v>
      </c>
      <c r="Y75" s="51">
        <v>0.038</v>
      </c>
      <c r="Z75" s="45">
        <v>0.115</v>
      </c>
      <c r="AA75" s="46">
        <v>0.049</v>
      </c>
      <c r="AB75" s="46">
        <f t="shared" si="19"/>
        <v>0.016875</v>
      </c>
      <c r="AC75" s="46">
        <v>0.06</v>
      </c>
      <c r="AD75" s="47"/>
      <c r="AE75" s="50"/>
      <c r="AF75" s="48" t="s">
        <v>102</v>
      </c>
      <c r="AG75" s="39">
        <f t="shared" si="32"/>
        <v>0</v>
      </c>
      <c r="AH75" s="39">
        <f t="shared" si="33"/>
        <v>0</v>
      </c>
      <c r="AI75" s="39">
        <f t="shared" si="34"/>
        <v>0</v>
      </c>
      <c r="AJ75" s="39">
        <f t="shared" si="35"/>
        <v>0</v>
      </c>
      <c r="AK75" s="39">
        <f t="shared" si="36"/>
        <v>0</v>
      </c>
      <c r="AL75" s="39">
        <f t="shared" si="37"/>
        <v>0</v>
      </c>
      <c r="AM75" s="39">
        <f t="shared" si="38"/>
        <v>0</v>
      </c>
      <c r="AN75" s="39">
        <f t="shared" si="39"/>
        <v>0</v>
      </c>
    </row>
    <row r="76" s="6" customFormat="1" ht="50" hidden="1" customHeight="1" spans="1:40">
      <c r="A76" s="37" t="s">
        <v>96</v>
      </c>
      <c r="B76" s="37" t="s">
        <v>103</v>
      </c>
      <c r="C76" s="37" t="str">
        <f>_xlfn.XLOOKUP(F76,'6月产品包'!B:B,'6月产品包'!H:H)</f>
        <v>启动电源</v>
      </c>
      <c r="D76" s="38" t="str">
        <f>_xlfn.XLOOKUP(F76,'6月产品包'!B:B,'6月产品包'!O:O)</f>
        <v>启动电源N20</v>
      </c>
      <c r="E76" s="38" t="s">
        <v>236</v>
      </c>
      <c r="F76" s="37" t="s">
        <v>237</v>
      </c>
      <c r="G76" s="39" t="s">
        <v>154</v>
      </c>
      <c r="H76" s="37" t="s">
        <v>107</v>
      </c>
      <c r="I76" s="37" t="str">
        <f>_xlfn.XLOOKUP($F76,'6月库存'!A:A,'6月库存'!B:B)</f>
        <v>正常销售</v>
      </c>
      <c r="J76" s="12"/>
      <c r="K76" s="39">
        <f>_xlfn.XLOOKUP(E76,'[1]6月分配 '!$B:$B,'[1]6月分配 '!$K:$K)</f>
        <v>15858</v>
      </c>
      <c r="L76" s="12" t="str">
        <f t="shared" si="15"/>
        <v>是</v>
      </c>
      <c r="M76" s="40" t="str">
        <f>_xlfn.XLOOKUP(F76,'6月产品包'!B:B,'6月产品包'!J:J)</f>
        <v>2025-09-27</v>
      </c>
      <c r="N76" s="39" t="str">
        <f ca="1" t="shared" si="40"/>
        <v>老品</v>
      </c>
      <c r="O76" s="37">
        <f>_xlfn.XLOOKUP(F76,'6月库存'!A:A,'6月库存'!R:R)</f>
        <v>53</v>
      </c>
      <c r="P76" s="39">
        <f>_xlfn.XLOOKUP(F76,'6月产品包'!B:B,'6月产品包'!S:S)</f>
        <v>1550</v>
      </c>
      <c r="Q76" s="39"/>
      <c r="R76" s="41">
        <f>_xlfn.XLOOKUP(F76,'6月产品包'!B:B,'6月产品包'!AD:AD)</f>
        <v>125.1398</v>
      </c>
      <c r="S76" s="39">
        <v>229</v>
      </c>
      <c r="T76" s="39">
        <f t="shared" si="16"/>
        <v>286</v>
      </c>
      <c r="U76" s="42">
        <f t="shared" si="20"/>
        <v>228.8</v>
      </c>
      <c r="V76" s="43">
        <v>0.2</v>
      </c>
      <c r="W76" s="44">
        <f t="shared" si="17"/>
        <v>0.453060314685315</v>
      </c>
      <c r="X76" s="44">
        <f t="shared" si="18"/>
        <v>0.266482769292812</v>
      </c>
      <c r="Y76" s="44">
        <v>0.038</v>
      </c>
      <c r="Z76" s="46">
        <v>0.105</v>
      </c>
      <c r="AA76" s="46">
        <v>0.049</v>
      </c>
      <c r="AB76" s="46">
        <f t="shared" si="19"/>
        <v>0.00236013986013986</v>
      </c>
      <c r="AC76" s="46">
        <v>0.06</v>
      </c>
      <c r="AD76" s="47"/>
      <c r="AE76" s="6"/>
      <c r="AF76" s="55" t="s">
        <v>114</v>
      </c>
      <c r="AG76" s="39">
        <f t="shared" si="32"/>
        <v>12.3552</v>
      </c>
      <c r="AH76" s="39">
        <f t="shared" si="33"/>
        <v>6</v>
      </c>
      <c r="AI76" s="39">
        <f t="shared" si="34"/>
        <v>12.3552</v>
      </c>
      <c r="AJ76" s="39">
        <f t="shared" si="35"/>
        <v>0</v>
      </c>
      <c r="AK76" s="39">
        <f t="shared" si="36"/>
        <v>0</v>
      </c>
      <c r="AL76" s="39">
        <f t="shared" si="37"/>
        <v>0</v>
      </c>
      <c r="AM76" s="39">
        <f t="shared" si="38"/>
        <v>0</v>
      </c>
      <c r="AN76" s="39">
        <f t="shared" si="39"/>
        <v>10.296</v>
      </c>
    </row>
    <row r="77" s="6" customFormat="1" ht="50" hidden="1" customHeight="1" spans="1:40">
      <c r="A77" s="37" t="s">
        <v>96</v>
      </c>
      <c r="B77" s="37" t="s">
        <v>97</v>
      </c>
      <c r="C77" s="37" t="str">
        <f>_xlfn.XLOOKUP(F77,'6月产品包'!B:B,'6月产品包'!H:H)</f>
        <v>密码锁</v>
      </c>
      <c r="D77" s="38" t="str">
        <f>_xlfn.XLOOKUP(F77,'6月产品包'!B:B,'6月产品包'!O:O)</f>
        <v>B1A五功能断桥铝锁带APP</v>
      </c>
      <c r="E77" s="38" t="s">
        <v>238</v>
      </c>
      <c r="F77" s="37" t="s">
        <v>239</v>
      </c>
      <c r="G77" s="39" t="s">
        <v>106</v>
      </c>
      <c r="H77" s="37" t="s">
        <v>101</v>
      </c>
      <c r="I77" s="37" t="str">
        <f>_xlfn.XLOOKUP($F77,'6月库存'!A:A,'6月库存'!B:B)</f>
        <v>正常销售</v>
      </c>
      <c r="J77" s="12"/>
      <c r="K77" s="39">
        <f>_xlfn.XLOOKUP(E77,'[1]6月分配 '!$B:$B,'[1]6月分配 '!$K:$K)</f>
        <v>15584</v>
      </c>
      <c r="L77" s="12" t="str">
        <f t="shared" si="15"/>
        <v>是</v>
      </c>
      <c r="M77" s="40" t="str">
        <f>_xlfn.XLOOKUP(F77,'6月产品包'!B:B,'6月产品包'!J:J)</f>
        <v>2025-10-30</v>
      </c>
      <c r="N77" s="39" t="str">
        <f ca="1" t="shared" si="40"/>
        <v>老品</v>
      </c>
      <c r="O77" s="37">
        <f>_xlfn.XLOOKUP(F77,'6月库存'!A:A,'6月库存'!R:R)</f>
        <v>87</v>
      </c>
      <c r="P77" s="39">
        <f>_xlfn.XLOOKUP(F77,'6月产品包'!B:B,'6月产品包'!S:S)</f>
        <v>1478</v>
      </c>
      <c r="Q77" s="39"/>
      <c r="R77" s="41">
        <f>_xlfn.XLOOKUP(F77,'6月产品包'!B:B,'6月产品包'!AD:AD)</f>
        <v>102.7122</v>
      </c>
      <c r="S77" s="39">
        <v>206</v>
      </c>
      <c r="T77" s="39">
        <f t="shared" si="16"/>
        <v>258</v>
      </c>
      <c r="U77" s="42">
        <f t="shared" si="20"/>
        <v>206.4</v>
      </c>
      <c r="V77" s="43">
        <v>0.2</v>
      </c>
      <c r="W77" s="44">
        <f t="shared" si="17"/>
        <v>0.502363372093023</v>
      </c>
      <c r="X77" s="44">
        <f t="shared" si="18"/>
        <v>0.323296649431558</v>
      </c>
      <c r="Y77" s="51">
        <v>0.038</v>
      </c>
      <c r="Z77" s="45">
        <v>0.115</v>
      </c>
      <c r="AA77" s="46">
        <v>0.049</v>
      </c>
      <c r="AB77" s="46">
        <f t="shared" si="19"/>
        <v>0.00261627906976744</v>
      </c>
      <c r="AC77" s="46">
        <v>0.06</v>
      </c>
      <c r="AD77" s="47"/>
      <c r="AE77" s="6"/>
      <c r="AF77" s="55" t="s">
        <v>114</v>
      </c>
      <c r="AG77" s="39">
        <f t="shared" si="32"/>
        <v>11.1456</v>
      </c>
      <c r="AH77" s="39">
        <f t="shared" si="33"/>
        <v>6</v>
      </c>
      <c r="AI77" s="39">
        <f t="shared" si="34"/>
        <v>11.1456</v>
      </c>
      <c r="AJ77" s="39">
        <f t="shared" si="35"/>
        <v>0</v>
      </c>
      <c r="AK77" s="39">
        <f t="shared" si="36"/>
        <v>0</v>
      </c>
      <c r="AL77" s="39">
        <f t="shared" si="37"/>
        <v>0</v>
      </c>
      <c r="AM77" s="39">
        <f t="shared" si="38"/>
        <v>0</v>
      </c>
      <c r="AN77" s="39">
        <f t="shared" si="39"/>
        <v>9.288</v>
      </c>
    </row>
    <row r="78" s="6" customFormat="1" ht="50" hidden="1" customHeight="1" spans="1:40">
      <c r="A78" s="37" t="s">
        <v>96</v>
      </c>
      <c r="B78" s="37" t="s">
        <v>115</v>
      </c>
      <c r="C78" s="37" t="str">
        <f>_xlfn.XLOOKUP(F78,'6月产品包'!B:B,'6月产品包'!H:H)</f>
        <v>碎纸机</v>
      </c>
      <c r="D78" s="38" t="str">
        <f>_xlfn.XLOOKUP(F78,'6月产品包'!B:B,'6月产品包'!O:O)</f>
        <v>碎纸机7L</v>
      </c>
      <c r="E78" s="38" t="s">
        <v>240</v>
      </c>
      <c r="F78" s="37" t="s">
        <v>241</v>
      </c>
      <c r="G78" s="39" t="e">
        <v>#N/A</v>
      </c>
      <c r="H78" s="37" t="s">
        <v>101</v>
      </c>
      <c r="I78" s="37" t="str">
        <f>_xlfn.XLOOKUP($F78,'6月库存'!A:A,'6月库存'!B:B)</f>
        <v>正常销售</v>
      </c>
      <c r="J78" s="12"/>
      <c r="K78" s="39">
        <f>_xlfn.XLOOKUP(E78,'[1]6月分配 '!$B:$B,'[1]6月分配 '!$K:$K)</f>
        <v>15417</v>
      </c>
      <c r="L78" s="12" t="str">
        <f t="shared" si="15"/>
        <v>是</v>
      </c>
      <c r="M78" s="40" t="str">
        <f>_xlfn.XLOOKUP(F78,'6月产品包'!B:B,'6月产品包'!J:J)</f>
        <v>2025-07-29</v>
      </c>
      <c r="N78" s="39" t="str">
        <f ca="1" t="shared" si="40"/>
        <v>老品</v>
      </c>
      <c r="O78" s="37">
        <f>_xlfn.XLOOKUP(F78,'6月库存'!A:A,'6月库存'!R:R)</f>
        <v>377</v>
      </c>
      <c r="P78" s="39">
        <f>_xlfn.XLOOKUP(F78,'6月产品包'!B:B,'6月产品包'!S:S)</f>
        <v>1710</v>
      </c>
      <c r="Q78" s="39"/>
      <c r="R78" s="41">
        <f>_xlfn.XLOOKUP(F78,'6月产品包'!B:B,'6月产品包'!AD:AD)</f>
        <v>43.4072</v>
      </c>
      <c r="S78" s="39">
        <v>82</v>
      </c>
      <c r="T78" s="39">
        <f t="shared" si="16"/>
        <v>103</v>
      </c>
      <c r="U78" s="42">
        <f t="shared" si="20"/>
        <v>82.4</v>
      </c>
      <c r="V78" s="43">
        <v>0.2</v>
      </c>
      <c r="W78" s="44">
        <f t="shared" si="17"/>
        <v>0.47321359223301</v>
      </c>
      <c r="X78" s="44">
        <f t="shared" si="18"/>
        <v>0.294274491441652</v>
      </c>
      <c r="Y78" s="44">
        <v>0.038</v>
      </c>
      <c r="Z78" s="46">
        <v>0.1</v>
      </c>
      <c r="AA78" s="46">
        <v>0.049</v>
      </c>
      <c r="AB78" s="46">
        <f t="shared" si="19"/>
        <v>0.00655339805825243</v>
      </c>
      <c r="AC78" s="46">
        <v>0.06</v>
      </c>
      <c r="AD78" s="47"/>
      <c r="AE78" s="6"/>
      <c r="AF78" s="55" t="s">
        <v>114</v>
      </c>
      <c r="AG78" s="39">
        <f t="shared" si="32"/>
        <v>4.944</v>
      </c>
      <c r="AH78" s="39">
        <f t="shared" si="33"/>
        <v>4.944</v>
      </c>
      <c r="AI78" s="39">
        <f t="shared" si="34"/>
        <v>0</v>
      </c>
      <c r="AJ78" s="39">
        <f t="shared" si="35"/>
        <v>0</v>
      </c>
      <c r="AK78" s="39">
        <f t="shared" si="36"/>
        <v>0</v>
      </c>
      <c r="AL78" s="39">
        <f t="shared" si="37"/>
        <v>0</v>
      </c>
      <c r="AM78" s="39">
        <f t="shared" si="38"/>
        <v>0</v>
      </c>
      <c r="AN78" s="39">
        <f t="shared" si="39"/>
        <v>0</v>
      </c>
    </row>
    <row r="79" s="6" customFormat="1" ht="50" hidden="1" customHeight="1" spans="1:40">
      <c r="A79" s="37" t="s">
        <v>108</v>
      </c>
      <c r="B79" s="37" t="s">
        <v>109</v>
      </c>
      <c r="C79" s="37" t="str">
        <f>_xlfn.XLOOKUP(F79,'6月产品包'!B:B,'6月产品包'!H:H)</f>
        <v>显示器支架</v>
      </c>
      <c r="D79" s="38" t="str">
        <f>_xlfn.XLOOKUP(F79,'6月产品包'!B:B,'6月产品包'!O:O)</f>
        <v>显示器桌面支架</v>
      </c>
      <c r="E79" s="38" t="s">
        <v>242</v>
      </c>
      <c r="F79" s="37" t="s">
        <v>243</v>
      </c>
      <c r="G79" s="39" t="e">
        <v>#N/A</v>
      </c>
      <c r="H79" s="37" t="s">
        <v>101</v>
      </c>
      <c r="I79" s="37" t="str">
        <f>_xlfn.XLOOKUP($F79,'6月库存'!A:A,'6月库存'!B:B)</f>
        <v>正常销售</v>
      </c>
      <c r="J79" s="12"/>
      <c r="K79" s="39">
        <f>_xlfn.XLOOKUP(E79,'[1]6月分配 '!$B:$B,'[1]6月分配 '!$K:$K)</f>
        <v>15268</v>
      </c>
      <c r="L79" s="12" t="str">
        <f t="shared" si="15"/>
        <v>是</v>
      </c>
      <c r="M79" s="40" t="str">
        <f>_xlfn.XLOOKUP(F79,'6月产品包'!B:B,'6月产品包'!J:J)</f>
        <v>2025-09-11</v>
      </c>
      <c r="N79" s="39" t="str">
        <f ca="1" t="shared" si="40"/>
        <v>老品</v>
      </c>
      <c r="O79" s="37">
        <f>_xlfn.XLOOKUP(F79,'6月库存'!A:A,'6月库存'!R:R)</f>
        <v>143</v>
      </c>
      <c r="P79" s="39">
        <f>_xlfn.XLOOKUP(F79,'6月产品包'!B:B,'6月产品包'!S:S)</f>
        <v>5300</v>
      </c>
      <c r="Q79" s="39"/>
      <c r="R79" s="41">
        <f>_xlfn.XLOOKUP(F79,'6月产品包'!B:B,'6月产品包'!AD:AD)</f>
        <v>51.939</v>
      </c>
      <c r="S79" s="39">
        <v>99</v>
      </c>
      <c r="T79" s="39">
        <f t="shared" si="16"/>
        <v>124</v>
      </c>
      <c r="U79" s="42">
        <f t="shared" si="20"/>
        <v>99.2</v>
      </c>
      <c r="V79" s="43">
        <v>0.2</v>
      </c>
      <c r="W79" s="44">
        <f t="shared" si="17"/>
        <v>0.476421370967742</v>
      </c>
      <c r="X79" s="44">
        <f t="shared" si="18"/>
        <v>0.292992954295484</v>
      </c>
      <c r="Y79" s="44">
        <v>0.04</v>
      </c>
      <c r="Z79" s="46">
        <v>0.105</v>
      </c>
      <c r="AA79" s="46">
        <v>0.049</v>
      </c>
      <c r="AB79" s="46">
        <f t="shared" si="19"/>
        <v>0.00544354838709677</v>
      </c>
      <c r="AC79" s="46">
        <v>0.06</v>
      </c>
      <c r="AD79" s="47"/>
      <c r="AE79" s="6"/>
      <c r="AF79" s="55" t="s">
        <v>114</v>
      </c>
      <c r="AG79" s="39">
        <f t="shared" si="32"/>
        <v>5.952</v>
      </c>
      <c r="AH79" s="39">
        <f t="shared" si="33"/>
        <v>5.952</v>
      </c>
      <c r="AI79" s="39">
        <f t="shared" si="34"/>
        <v>0</v>
      </c>
      <c r="AJ79" s="39">
        <f t="shared" si="35"/>
        <v>0</v>
      </c>
      <c r="AK79" s="39">
        <f t="shared" si="36"/>
        <v>0</v>
      </c>
      <c r="AL79" s="39">
        <f t="shared" si="37"/>
        <v>0</v>
      </c>
      <c r="AM79" s="39">
        <f t="shared" si="38"/>
        <v>0</v>
      </c>
      <c r="AN79" s="39">
        <f t="shared" si="39"/>
        <v>0</v>
      </c>
    </row>
    <row r="80" s="6" customFormat="1" ht="50" hidden="1" customHeight="1" spans="1:40">
      <c r="A80" s="39" t="str">
        <f>_xlfn.XLOOKUP(F80,'6月产品包'!B:B,'6月产品包'!F:F)</f>
        <v>3C数码</v>
      </c>
      <c r="B80" s="39" t="str">
        <f>_xlfn.XLOOKUP(F80,'6月产品包'!B:B,'6月产品包'!G:G)</f>
        <v>电视设备</v>
      </c>
      <c r="C80" s="37" t="str">
        <f>_xlfn.XLOOKUP(F80,'6月产品包'!B:B,'6月产品包'!H:H)</f>
        <v>电视支架</v>
      </c>
      <c r="D80" s="38" t="str">
        <f>_xlfn.XLOOKUP(F80,'6月产品包'!B:B,'6月产品包'!O:O)</f>
        <v>移动推车MY01</v>
      </c>
      <c r="E80" s="38" t="str">
        <f>_xlfn.XLOOKUP(F80,'6月产品包'!B:B,'6月产品包'!C:C)</f>
        <v>3C-单柱旋转移动推车MY01</v>
      </c>
      <c r="F80" s="39" t="s">
        <v>244</v>
      </c>
      <c r="G80" s="39" t="s">
        <v>106</v>
      </c>
      <c r="H80" s="39" t="s">
        <v>107</v>
      </c>
      <c r="I80" s="37" t="str">
        <f>_xlfn.XLOOKUP($F80,'6月库存'!A:A,'6月库存'!B:B)</f>
        <v>正常销售</v>
      </c>
      <c r="J80" s="12"/>
      <c r="K80" s="39">
        <f>_xlfn.XLOOKUP(E80,'[1]6月分配 '!$B:$B,'[1]6月分配 '!$K:$K)</f>
        <v>15034</v>
      </c>
      <c r="L80" s="12" t="str">
        <f t="shared" si="15"/>
        <v>是</v>
      </c>
      <c r="M80" s="40" t="str">
        <f>_xlfn.XLOOKUP(F80,'6月产品包'!B:B,'6月产品包'!J:J)</f>
        <v>2026-04-07</v>
      </c>
      <c r="N80" s="39" t="str">
        <f ca="1" t="shared" si="40"/>
        <v>新品</v>
      </c>
      <c r="O80" s="37">
        <f>_xlfn.XLOOKUP(F80,'6月库存'!A:A,'6月库存'!R:R)</f>
        <v>107</v>
      </c>
      <c r="P80" s="39">
        <f>_xlfn.XLOOKUP(F80,'6月产品包'!B:B,'6月产品包'!S:S)</f>
        <v>12300</v>
      </c>
      <c r="Q80" s="56"/>
      <c r="R80" s="41">
        <f>_xlfn.XLOOKUP(F80,'6月产品包'!B:B,'6月产品包'!AD:AD)</f>
        <v>78.5552</v>
      </c>
      <c r="S80" s="39">
        <v>149</v>
      </c>
      <c r="T80" s="39">
        <f t="shared" si="16"/>
        <v>186</v>
      </c>
      <c r="U80" s="42">
        <f t="shared" si="20"/>
        <v>148.8</v>
      </c>
      <c r="V80" s="43">
        <v>0.2</v>
      </c>
      <c r="W80" s="44">
        <f t="shared" si="17"/>
        <v>0.472075268817204</v>
      </c>
      <c r="X80" s="44">
        <f t="shared" si="18"/>
        <v>0.304786785893814</v>
      </c>
      <c r="Y80" s="51">
        <v>0.038</v>
      </c>
      <c r="Z80" s="46">
        <v>0.09</v>
      </c>
      <c r="AA80" s="46">
        <v>0.049</v>
      </c>
      <c r="AB80" s="46">
        <f t="shared" si="19"/>
        <v>0.00362903225806452</v>
      </c>
      <c r="AC80" s="46">
        <v>0.06</v>
      </c>
      <c r="AD80" s="11"/>
      <c r="AE80" s="11"/>
      <c r="AF80" s="55" t="s">
        <v>114</v>
      </c>
      <c r="AG80" s="39">
        <f t="shared" si="32"/>
        <v>6</v>
      </c>
      <c r="AH80" s="39">
        <f t="shared" si="33"/>
        <v>6</v>
      </c>
      <c r="AI80" s="39">
        <f t="shared" si="34"/>
        <v>0</v>
      </c>
      <c r="AJ80" s="39">
        <f t="shared" si="35"/>
        <v>0</v>
      </c>
      <c r="AK80" s="39">
        <f t="shared" si="36"/>
        <v>0</v>
      </c>
      <c r="AL80" s="39">
        <f t="shared" si="37"/>
        <v>0</v>
      </c>
      <c r="AM80" s="39">
        <f t="shared" si="38"/>
        <v>0</v>
      </c>
      <c r="AN80" s="39">
        <f t="shared" si="39"/>
        <v>0</v>
      </c>
    </row>
    <row r="81" s="6" customFormat="1" ht="50" hidden="1" customHeight="1" spans="1:40">
      <c r="A81" s="37" t="s">
        <v>96</v>
      </c>
      <c r="B81" s="37" t="s">
        <v>115</v>
      </c>
      <c r="C81" s="37" t="str">
        <f>_xlfn.XLOOKUP(F81,'6月产品包'!B:B,'6月产品包'!H:H)</f>
        <v>广告架</v>
      </c>
      <c r="D81" s="38" t="str">
        <f>_xlfn.XLOOKUP(F81,'6月产品包'!B:B,'6月产品包'!O:O)</f>
        <v>广告架kt板</v>
      </c>
      <c r="E81" s="38" t="s">
        <v>245</v>
      </c>
      <c r="F81" s="37" t="s">
        <v>246</v>
      </c>
      <c r="G81" s="39" t="s">
        <v>126</v>
      </c>
      <c r="H81" s="37" t="s">
        <v>101</v>
      </c>
      <c r="I81" s="37" t="str">
        <f>_xlfn.XLOOKUP($F81,'6月库存'!A:A,'6月库存'!B:B)</f>
        <v>正常销售</v>
      </c>
      <c r="J81" s="12"/>
      <c r="K81" s="39">
        <f>_xlfn.XLOOKUP(E81,'[1]6月分配 '!$B:$B,'[1]6月分配 '!$K:$K)</f>
        <v>14653</v>
      </c>
      <c r="L81" s="12" t="str">
        <f t="shared" si="15"/>
        <v>是</v>
      </c>
      <c r="M81" s="40" t="str">
        <f>_xlfn.XLOOKUP(F81,'6月产品包'!B:B,'6月产品包'!J:J)</f>
        <v>2025-10-09</v>
      </c>
      <c r="N81" s="39" t="str">
        <f ca="1" t="shared" si="40"/>
        <v>老品</v>
      </c>
      <c r="O81" s="37">
        <f>_xlfn.XLOOKUP(F81,'6月库存'!A:A,'6月库存'!R:R)</f>
        <v>209</v>
      </c>
      <c r="P81" s="39">
        <f>_xlfn.XLOOKUP(F81,'6月产品包'!B:B,'6月产品包'!S:S)</f>
        <v>1500</v>
      </c>
      <c r="Q81" s="39"/>
      <c r="R81" s="41">
        <f>_xlfn.XLOOKUP(F81,'6月产品包'!B:B,'6月产品包'!AD:AD)</f>
        <v>28.5186</v>
      </c>
      <c r="S81" s="39">
        <v>55</v>
      </c>
      <c r="T81" s="39">
        <f t="shared" si="16"/>
        <v>69</v>
      </c>
      <c r="U81" s="42">
        <f t="shared" si="20"/>
        <v>55.2</v>
      </c>
      <c r="V81" s="43">
        <v>0.2</v>
      </c>
      <c r="W81" s="44">
        <f t="shared" si="17"/>
        <v>0.483358695652174</v>
      </c>
      <c r="X81" s="44">
        <f t="shared" si="18"/>
        <v>0.30485842985843</v>
      </c>
      <c r="Y81" s="44">
        <v>0.038</v>
      </c>
      <c r="Z81" s="46">
        <v>0.1</v>
      </c>
      <c r="AA81" s="46">
        <v>0.049</v>
      </c>
      <c r="AB81" s="46">
        <f t="shared" si="19"/>
        <v>0.00978260869565217</v>
      </c>
      <c r="AC81" s="46">
        <v>0.06</v>
      </c>
      <c r="AD81" s="47"/>
      <c r="AE81" s="6"/>
      <c r="AF81" s="55" t="s">
        <v>114</v>
      </c>
      <c r="AG81" s="39">
        <f t="shared" si="32"/>
        <v>3.312</v>
      </c>
      <c r="AH81" s="39">
        <f t="shared" si="33"/>
        <v>3.312</v>
      </c>
      <c r="AI81" s="39">
        <f t="shared" si="34"/>
        <v>0</v>
      </c>
      <c r="AJ81" s="39">
        <f t="shared" si="35"/>
        <v>0</v>
      </c>
      <c r="AK81" s="39">
        <f t="shared" si="36"/>
        <v>0</v>
      </c>
      <c r="AL81" s="39">
        <f t="shared" si="37"/>
        <v>0</v>
      </c>
      <c r="AM81" s="39">
        <f t="shared" si="38"/>
        <v>0</v>
      </c>
      <c r="AN81" s="39">
        <f t="shared" si="39"/>
        <v>0</v>
      </c>
    </row>
    <row r="82" s="6" customFormat="1" ht="50" hidden="1" customHeight="1" spans="1:40">
      <c r="A82" s="37" t="s">
        <v>108</v>
      </c>
      <c r="B82" s="37" t="s">
        <v>109</v>
      </c>
      <c r="C82" s="37" t="str">
        <f>_xlfn.XLOOKUP(F82,'6月产品包'!B:B,'6月产品包'!H:H)</f>
        <v>无线蓝牙鼠标</v>
      </c>
      <c r="D82" s="38" t="str">
        <f>_xlfn.XLOOKUP(F82,'6月产品包'!B:B,'6月产品包'!O:O)</f>
        <v>蓝牙鼠标</v>
      </c>
      <c r="E82" s="38" t="s">
        <v>247</v>
      </c>
      <c r="F82" s="39" t="s">
        <v>248</v>
      </c>
      <c r="G82" s="39" t="s">
        <v>154</v>
      </c>
      <c r="H82" s="39" t="s">
        <v>107</v>
      </c>
      <c r="I82" s="37" t="str">
        <f>_xlfn.XLOOKUP($F82,'6月库存'!A:A,'6月库存'!B:B)</f>
        <v>商品清仓</v>
      </c>
      <c r="J82" s="12"/>
      <c r="K82" s="39" t="e">
        <f>_xlfn.XLOOKUP(E82,'[1]6月分配 '!$B:$B,'[1]6月分配 '!$K:$K)</f>
        <v>#N/A</v>
      </c>
      <c r="L82" s="12" t="str">
        <f t="shared" si="15"/>
        <v>否</v>
      </c>
      <c r="M82" s="40" t="str">
        <f>_xlfn.XLOOKUP(F82,'6月产品包'!B:B,'6月产品包'!J:J)</f>
        <v>2024-10-29</v>
      </c>
      <c r="N82" s="39" t="str">
        <f ca="1" t="shared" si="40"/>
        <v>老品</v>
      </c>
      <c r="O82" s="37">
        <f>_xlfn.XLOOKUP(F82,'6月库存'!A:A,'6月库存'!R:R)</f>
        <v>0</v>
      </c>
      <c r="P82" s="39">
        <f>_xlfn.XLOOKUP(F82,'6月产品包'!B:B,'6月产品包'!S:S)</f>
        <v>122</v>
      </c>
      <c r="Q82" s="39"/>
      <c r="R82" s="41">
        <f>_xlfn.XLOOKUP(F82,'6月产品包'!B:B,'6月产品包'!AD:AD)</f>
        <v>14.4594</v>
      </c>
      <c r="S82" s="39">
        <v>24.65</v>
      </c>
      <c r="T82" s="39">
        <f t="shared" si="16"/>
        <v>31</v>
      </c>
      <c r="U82" s="42">
        <f t="shared" si="20"/>
        <v>24.8</v>
      </c>
      <c r="V82" s="43">
        <v>0.2</v>
      </c>
      <c r="W82" s="44">
        <f t="shared" si="17"/>
        <v>0.416959677419355</v>
      </c>
      <c r="X82" s="44">
        <f t="shared" si="18"/>
        <v>0.200466690259223</v>
      </c>
      <c r="Y82" s="44">
        <v>0.04</v>
      </c>
      <c r="Z82" s="46">
        <v>0.1</v>
      </c>
      <c r="AA82" s="46">
        <v>0.049</v>
      </c>
      <c r="AB82" s="46">
        <f t="shared" si="19"/>
        <v>0.0217741935483871</v>
      </c>
      <c r="AC82" s="46">
        <v>0.06</v>
      </c>
      <c r="AD82" s="47"/>
      <c r="AE82" s="50"/>
      <c r="AF82" s="48" t="s">
        <v>102</v>
      </c>
      <c r="AG82" s="39">
        <f t="shared" si="32"/>
        <v>0</v>
      </c>
      <c r="AH82" s="39">
        <f t="shared" si="33"/>
        <v>0</v>
      </c>
      <c r="AI82" s="39">
        <f t="shared" si="34"/>
        <v>0</v>
      </c>
      <c r="AJ82" s="39">
        <f t="shared" si="35"/>
        <v>0</v>
      </c>
      <c r="AK82" s="39">
        <f t="shared" si="36"/>
        <v>0</v>
      </c>
      <c r="AL82" s="39">
        <f t="shared" si="37"/>
        <v>0</v>
      </c>
      <c r="AM82" s="39">
        <f t="shared" si="38"/>
        <v>0</v>
      </c>
      <c r="AN82" s="39">
        <f t="shared" si="39"/>
        <v>0</v>
      </c>
    </row>
    <row r="83" s="6" customFormat="1" ht="50" hidden="1" customHeight="1" spans="1:40">
      <c r="A83" s="37" t="s">
        <v>96</v>
      </c>
      <c r="B83" s="37" t="s">
        <v>127</v>
      </c>
      <c r="C83" s="37" t="str">
        <f>_xlfn.XLOOKUP(F83,'6月产品包'!B:B,'6月产品包'!H:H)</f>
        <v>保险箱</v>
      </c>
      <c r="D83" s="38" t="str">
        <f>_xlfn.XLOOKUP(F83,'6月产品包'!B:B,'6月产品包'!O:O)</f>
        <v>小尺寸保险箱</v>
      </c>
      <c r="E83" s="38" t="s">
        <v>249</v>
      </c>
      <c r="F83" s="39" t="s">
        <v>250</v>
      </c>
      <c r="G83" s="39" t="s">
        <v>100</v>
      </c>
      <c r="H83" s="39" t="s">
        <v>101</v>
      </c>
      <c r="I83" s="37" t="str">
        <f>_xlfn.XLOOKUP($F83,'6月库存'!A:A,'6月库存'!B:B)</f>
        <v>正常销售</v>
      </c>
      <c r="J83" s="12"/>
      <c r="K83" s="39">
        <f>_xlfn.XLOOKUP(E83,'[1]6月分配 '!$B:$B,'[1]6月分配 '!$K:$K)</f>
        <v>14593</v>
      </c>
      <c r="L83" s="12" t="str">
        <f t="shared" si="15"/>
        <v>是</v>
      </c>
      <c r="M83" s="40" t="str">
        <f>_xlfn.XLOOKUP(F83,'6月产品包'!B:B,'6月产品包'!J:J)</f>
        <v>2024-11-01</v>
      </c>
      <c r="N83" s="39" t="str">
        <f ca="1" t="shared" si="40"/>
        <v>老品</v>
      </c>
      <c r="O83" s="37">
        <f>_xlfn.XLOOKUP(F83,'6月库存'!A:A,'6月库存'!R:R)</f>
        <v>0</v>
      </c>
      <c r="P83" s="39">
        <f>_xlfn.XLOOKUP(F83,'6月产品包'!B:B,'6月产品包'!S:S)</f>
        <v>6575</v>
      </c>
      <c r="Q83" s="39"/>
      <c r="R83" s="41">
        <f>_xlfn.XLOOKUP(F83,'6月产品包'!B:B,'6月产品包'!AD:AD)</f>
        <v>85.8574</v>
      </c>
      <c r="S83" s="39">
        <v>169</v>
      </c>
      <c r="T83" s="39">
        <f t="shared" si="16"/>
        <v>211</v>
      </c>
      <c r="U83" s="42">
        <f t="shared" si="20"/>
        <v>168.8</v>
      </c>
      <c r="V83" s="43">
        <v>0.2</v>
      </c>
      <c r="W83" s="44">
        <f t="shared" si="17"/>
        <v>0.491366113744076</v>
      </c>
      <c r="X83" s="44">
        <f t="shared" si="18"/>
        <v>0.319827170978414</v>
      </c>
      <c r="Y83" s="52">
        <v>0.04</v>
      </c>
      <c r="Z83" s="46">
        <v>0.1</v>
      </c>
      <c r="AA83" s="46">
        <v>0.049</v>
      </c>
      <c r="AB83" s="46">
        <f t="shared" si="19"/>
        <v>0.00319905213270142</v>
      </c>
      <c r="AC83" s="46">
        <v>0.06</v>
      </c>
      <c r="AD83" s="46">
        <v>0.05</v>
      </c>
      <c r="AE83" s="46">
        <v>0.03</v>
      </c>
      <c r="AF83" s="55" t="s">
        <v>114</v>
      </c>
      <c r="AG83" s="39">
        <f t="shared" si="32"/>
        <v>6</v>
      </c>
      <c r="AH83" s="39">
        <f t="shared" si="33"/>
        <v>6</v>
      </c>
      <c r="AI83" s="39">
        <f t="shared" si="34"/>
        <v>0</v>
      </c>
      <c r="AJ83" s="39">
        <f t="shared" si="35"/>
        <v>0</v>
      </c>
      <c r="AK83" s="39">
        <f t="shared" si="36"/>
        <v>0</v>
      </c>
      <c r="AL83" s="39">
        <f t="shared" si="37"/>
        <v>0</v>
      </c>
      <c r="AM83" s="39">
        <f t="shared" si="38"/>
        <v>0</v>
      </c>
      <c r="AN83" s="39">
        <f t="shared" si="39"/>
        <v>0</v>
      </c>
    </row>
    <row r="84" s="6" customFormat="1" ht="50" hidden="1" customHeight="1" spans="1:40">
      <c r="A84" s="37" t="s">
        <v>96</v>
      </c>
      <c r="B84" s="37" t="s">
        <v>127</v>
      </c>
      <c r="C84" s="37" t="str">
        <f>_xlfn.XLOOKUP(F84,'6月产品包'!B:B,'6月产品包'!H:H)</f>
        <v>保险箱</v>
      </c>
      <c r="D84" s="38" t="str">
        <f>_xlfn.XLOOKUP(F84,'6月产品包'!B:B,'6月产品包'!O:O)</f>
        <v>小尺寸保险箱</v>
      </c>
      <c r="E84" s="38" t="s">
        <v>249</v>
      </c>
      <c r="F84" s="39" t="s">
        <v>251</v>
      </c>
      <c r="G84" s="39" t="s">
        <v>100</v>
      </c>
      <c r="H84" s="37" t="s">
        <v>101</v>
      </c>
      <c r="I84" s="37" t="str">
        <f>_xlfn.XLOOKUP($F84,'6月库存'!A:A,'6月库存'!B:B)</f>
        <v>正常销售</v>
      </c>
      <c r="J84" s="12"/>
      <c r="K84" s="39">
        <f>_xlfn.XLOOKUP(E84,'[1]6月分配 '!$B:$B,'[1]6月分配 '!$K:$K)</f>
        <v>14593</v>
      </c>
      <c r="L84" s="12" t="str">
        <f t="shared" si="15"/>
        <v>是</v>
      </c>
      <c r="M84" s="40" t="str">
        <f>_xlfn.XLOOKUP(F84,'6月产品包'!B:B,'6月产品包'!J:J)</f>
        <v>2024-11-21</v>
      </c>
      <c r="N84" s="39" t="str">
        <f ca="1" t="shared" si="40"/>
        <v>老品</v>
      </c>
      <c r="O84" s="37">
        <f>_xlfn.XLOOKUP(F84,'6月库存'!A:A,'6月库存'!R:R)</f>
        <v>349</v>
      </c>
      <c r="P84" s="39">
        <f>_xlfn.XLOOKUP(F84,'6月产品包'!B:B,'6月产品包'!S:S)</f>
        <v>6700</v>
      </c>
      <c r="Q84" s="39"/>
      <c r="R84" s="41">
        <f>_xlfn.XLOOKUP(F84,'6月产品包'!B:B,'6月产品包'!AD:AD)</f>
        <v>72.3434</v>
      </c>
      <c r="S84" s="39">
        <v>142</v>
      </c>
      <c r="T84" s="39">
        <f t="shared" si="16"/>
        <v>178</v>
      </c>
      <c r="U84" s="42">
        <f t="shared" si="20"/>
        <v>142.4</v>
      </c>
      <c r="V84" s="43">
        <v>0.2</v>
      </c>
      <c r="W84" s="44">
        <f t="shared" si="17"/>
        <v>0.491970505617978</v>
      </c>
      <c r="X84" s="44">
        <f t="shared" si="18"/>
        <v>0.320096163244438</v>
      </c>
      <c r="Y84" s="52">
        <v>0.04</v>
      </c>
      <c r="Z84" s="46">
        <v>0.1</v>
      </c>
      <c r="AA84" s="46">
        <v>0.049</v>
      </c>
      <c r="AB84" s="46">
        <f t="shared" si="19"/>
        <v>0.00379213483146067</v>
      </c>
      <c r="AC84" s="46">
        <v>0.06</v>
      </c>
      <c r="AD84" s="46">
        <v>0.05</v>
      </c>
      <c r="AE84" s="46">
        <v>0.03</v>
      </c>
      <c r="AF84" s="55" t="s">
        <v>114</v>
      </c>
      <c r="AG84" s="39">
        <f t="shared" si="32"/>
        <v>6</v>
      </c>
      <c r="AH84" s="39">
        <f t="shared" si="33"/>
        <v>6</v>
      </c>
      <c r="AI84" s="39">
        <f t="shared" si="34"/>
        <v>0</v>
      </c>
      <c r="AJ84" s="39">
        <f t="shared" si="35"/>
        <v>0</v>
      </c>
      <c r="AK84" s="39">
        <f t="shared" si="36"/>
        <v>0</v>
      </c>
      <c r="AL84" s="39">
        <f t="shared" si="37"/>
        <v>0</v>
      </c>
      <c r="AM84" s="39">
        <f t="shared" si="38"/>
        <v>0</v>
      </c>
      <c r="AN84" s="39">
        <f t="shared" si="39"/>
        <v>0</v>
      </c>
    </row>
    <row r="85" s="6" customFormat="1" ht="50" hidden="1" customHeight="1" spans="1:40">
      <c r="A85" s="37" t="s">
        <v>96</v>
      </c>
      <c r="B85" s="37" t="s">
        <v>186</v>
      </c>
      <c r="C85" s="37" t="str">
        <f>_xlfn.XLOOKUP(F85,'6月产品包'!B:B,'6月产品包'!H:H)</f>
        <v>白板</v>
      </c>
      <c r="D85" s="38" t="str">
        <f>_xlfn.XLOOKUP(F85,'6月产品包'!B:B,'6月产品包'!O:O)</f>
        <v>磁吸白板密度板夹层</v>
      </c>
      <c r="E85" s="38" t="s">
        <v>252</v>
      </c>
      <c r="F85" s="39" t="s">
        <v>253</v>
      </c>
      <c r="G85" s="39" t="s">
        <v>100</v>
      </c>
      <c r="H85" s="39" t="s">
        <v>101</v>
      </c>
      <c r="I85" s="37" t="str">
        <f>_xlfn.XLOOKUP($F85,'6月库存'!A:A,'6月库存'!B:B)</f>
        <v>正常销售</v>
      </c>
      <c r="J85" s="12"/>
      <c r="K85" s="39">
        <f>_xlfn.XLOOKUP(E85,'[1]6月分配 '!$B:$B,'[1]6月分配 '!$K:$K)</f>
        <v>14249</v>
      </c>
      <c r="L85" s="12" t="str">
        <f t="shared" ref="L85:L114" si="41">IF(ISNUMBER(K85),"是",IF(ISNA(K85),"否",""))</f>
        <v>是</v>
      </c>
      <c r="M85" s="40" t="str">
        <f>_xlfn.XLOOKUP(F85,'6月产品包'!B:B,'6月产品包'!J:J)</f>
        <v>2025-10-27</v>
      </c>
      <c r="N85" s="39" t="s">
        <v>149</v>
      </c>
      <c r="O85" s="37">
        <f>_xlfn.XLOOKUP(F85,'6月库存'!A:A,'6月库存'!R:R)</f>
        <v>838</v>
      </c>
      <c r="P85" s="39">
        <f>_xlfn.XLOOKUP(F85,'6月产品包'!B:B,'6月产品包'!S:S)</f>
        <v>6660</v>
      </c>
      <c r="Q85" s="39"/>
      <c r="R85" s="41">
        <f>_xlfn.XLOOKUP(F85,'6月产品包'!B:B,'6月产品包'!AD:AD)</f>
        <v>45.6634</v>
      </c>
      <c r="S85" s="39">
        <v>92</v>
      </c>
      <c r="T85" s="39">
        <f t="shared" ref="T85:T114" si="42">ROUND(S85*(1+0.25),0)</f>
        <v>115</v>
      </c>
      <c r="U85" s="42">
        <f t="shared" si="20"/>
        <v>92</v>
      </c>
      <c r="V85" s="43">
        <v>0.2</v>
      </c>
      <c r="W85" s="44">
        <f t="shared" ref="W85:W114" si="43">(U85-R85)/U85</f>
        <v>0.503658695652174</v>
      </c>
      <c r="X85" s="44">
        <f t="shared" ref="X85:X114" si="44">(U85*(1-Y85-Z85-AA85-AC85-AB85)-R85)/(U85*(1-Y85-Z85-AA85-AC85-AB85))</f>
        <v>0.315514450173882</v>
      </c>
      <c r="Y85" s="44">
        <v>0.04</v>
      </c>
      <c r="Z85" s="46">
        <v>0.1</v>
      </c>
      <c r="AA85" s="46">
        <v>0.049</v>
      </c>
      <c r="AB85" s="46">
        <f t="shared" ref="AB85:AB114" si="45">$AB$1/U85</f>
        <v>0.0058695652173913</v>
      </c>
      <c r="AC85" s="46">
        <v>0.08</v>
      </c>
      <c r="AD85" s="58">
        <v>0.05</v>
      </c>
      <c r="AE85" s="58">
        <v>0.05</v>
      </c>
      <c r="AF85" s="55" t="s">
        <v>114</v>
      </c>
      <c r="AG85" s="39">
        <f t="shared" si="32"/>
        <v>5.52</v>
      </c>
      <c r="AH85" s="39">
        <f t="shared" si="33"/>
        <v>5.52</v>
      </c>
      <c r="AI85" s="39">
        <f t="shared" si="34"/>
        <v>0</v>
      </c>
      <c r="AJ85" s="39">
        <f t="shared" si="35"/>
        <v>0</v>
      </c>
      <c r="AK85" s="39">
        <f t="shared" si="36"/>
        <v>0</v>
      </c>
      <c r="AL85" s="39">
        <f t="shared" si="37"/>
        <v>0</v>
      </c>
      <c r="AM85" s="39">
        <f t="shared" si="38"/>
        <v>0</v>
      </c>
      <c r="AN85" s="39">
        <f t="shared" si="39"/>
        <v>0</v>
      </c>
    </row>
    <row r="86" s="6" customFormat="1" ht="50" hidden="1" customHeight="1" spans="1:40">
      <c r="A86" s="39" t="str">
        <f>_xlfn.XLOOKUP(F86,'6月产品包'!B:B,'6月产品包'!F:F)</f>
        <v>3C数码</v>
      </c>
      <c r="B86" s="39" t="str">
        <f>_xlfn.XLOOKUP(F86,'6月产品包'!B:B,'6月产品包'!G:G)</f>
        <v>影像摄影</v>
      </c>
      <c r="C86" s="37" t="str">
        <f>_xlfn.XLOOKUP(F86,'6月产品包'!B:B,'6月产品包'!H:H)</f>
        <v>LED像素屏</v>
      </c>
      <c r="D86" s="38" t="str">
        <f>_xlfn.XLOOKUP(F86,'6月产品包'!B:B,'6月产品包'!O:O)</f>
        <v>互动屏</v>
      </c>
      <c r="E86" s="38" t="str">
        <f>_xlfn.XLOOKUP(F86,'6月产品包'!B:B,'6月产品包'!C:C)</f>
        <v>3C-led智能互动屏34.8cm*10.2cm</v>
      </c>
      <c r="F86" s="37" t="s">
        <v>254</v>
      </c>
      <c r="G86" s="39" t="s">
        <v>100</v>
      </c>
      <c r="H86" s="37" t="s">
        <v>107</v>
      </c>
      <c r="I86" s="37" t="str">
        <f>_xlfn.XLOOKUP($F86,'6月库存'!A:A,'6月库存'!B:B)</f>
        <v>正常销售</v>
      </c>
      <c r="J86" s="12"/>
      <c r="K86" s="39" t="e">
        <f>_xlfn.XLOOKUP(E86,'[1]6月分配 '!$B:$B,'[1]6月分配 '!$K:$K)</f>
        <v>#N/A</v>
      </c>
      <c r="L86" s="12" t="str">
        <f t="shared" si="41"/>
        <v>否</v>
      </c>
      <c r="M86" s="40" t="str">
        <f>_xlfn.XLOOKUP(F86,'6月产品包'!B:B,'6月产品包'!J:J)</f>
        <v>2025-07-10</v>
      </c>
      <c r="N86" s="39" t="str">
        <f ca="1">IF(DATEDIF(M86,TODAY(),"m")&lt;6,"新品","老品")</f>
        <v>老品</v>
      </c>
      <c r="O86" s="37">
        <f>_xlfn.XLOOKUP(F86,'6月库存'!A:A,'6月库存'!R:R)</f>
        <v>22</v>
      </c>
      <c r="P86" s="39">
        <f>_xlfn.XLOOKUP(F86,'6月产品包'!B:B,'6月产品包'!S:S)</f>
        <v>325</v>
      </c>
      <c r="Q86" s="39">
        <v>350</v>
      </c>
      <c r="R86" s="41">
        <f>_xlfn.XLOOKUP(F86,'6月产品包'!B:B,'6月产品包'!AD:AD)</f>
        <v>36.4762</v>
      </c>
      <c r="S86" s="39">
        <v>70</v>
      </c>
      <c r="T86" s="39">
        <f t="shared" si="42"/>
        <v>88</v>
      </c>
      <c r="U86" s="42">
        <f t="shared" si="20"/>
        <v>70.4</v>
      </c>
      <c r="V86" s="43">
        <v>0.2</v>
      </c>
      <c r="W86" s="44">
        <f t="shared" si="43"/>
        <v>0.481872159090909</v>
      </c>
      <c r="X86" s="44">
        <f t="shared" si="44"/>
        <v>0.295380086232209</v>
      </c>
      <c r="Y86" s="44">
        <v>0.038</v>
      </c>
      <c r="Z86" s="46">
        <v>0.11</v>
      </c>
      <c r="AA86" s="46">
        <v>0.049</v>
      </c>
      <c r="AB86" s="46">
        <f t="shared" si="45"/>
        <v>0.00767045454545455</v>
      </c>
      <c r="AC86" s="46">
        <v>0.06</v>
      </c>
      <c r="AD86" s="47"/>
      <c r="AE86" s="50"/>
      <c r="AF86" s="48" t="s">
        <v>102</v>
      </c>
      <c r="AG86" s="39">
        <f t="shared" si="32"/>
        <v>4.224</v>
      </c>
      <c r="AH86" s="39">
        <f t="shared" si="33"/>
        <v>4.224</v>
      </c>
      <c r="AI86" s="39">
        <f t="shared" si="34"/>
        <v>0</v>
      </c>
      <c r="AJ86" s="39">
        <f t="shared" si="35"/>
        <v>0</v>
      </c>
      <c r="AK86" s="39">
        <f t="shared" si="36"/>
        <v>0</v>
      </c>
      <c r="AL86" s="39">
        <f t="shared" si="37"/>
        <v>0</v>
      </c>
      <c r="AM86" s="39">
        <f t="shared" si="38"/>
        <v>0</v>
      </c>
      <c r="AN86" s="39">
        <f t="shared" si="39"/>
        <v>0</v>
      </c>
    </row>
    <row r="87" s="6" customFormat="1" ht="50" hidden="1" customHeight="1" spans="1:40">
      <c r="A87" s="39" t="str">
        <f>_xlfn.XLOOKUP(F87,'6月产品包'!B:B,'6月产品包'!F:F)</f>
        <v>办公安防</v>
      </c>
      <c r="B87" s="39" t="str">
        <f>_xlfn.XLOOKUP(F87,'6月产品包'!B:B,'6月产品包'!G:G)</f>
        <v>教学周边</v>
      </c>
      <c r="C87" s="37" t="str">
        <f>_xlfn.XLOOKUP(F87,'6月产品包'!B:B,'6月产品包'!H:H)</f>
        <v>白板</v>
      </c>
      <c r="D87" s="38" t="str">
        <f>_xlfn.XLOOKUP(F87,'6月产品包'!B:B,'6月产品包'!O:O)</f>
        <v>磁吸白板密度板夹层</v>
      </c>
      <c r="E87" s="38" t="str">
        <f>_xlfn.XLOOKUP(F87,'6月产品包'!B:B,'6月产品包'!C:C)</f>
        <v>3B-磁吸白板密度板夹层90cm*120cm</v>
      </c>
      <c r="F87" s="39" t="s">
        <v>255</v>
      </c>
      <c r="G87" s="39" t="s">
        <v>106</v>
      </c>
      <c r="H87" s="49" t="s">
        <v>101</v>
      </c>
      <c r="I87" s="37" t="str">
        <f>_xlfn.XLOOKUP($F87,'6月库存'!A:A,'6月库存'!B:B)</f>
        <v>等待开发</v>
      </c>
      <c r="J87" s="12"/>
      <c r="K87" s="39">
        <f>_xlfn.XLOOKUP(E87,'[1]6月分配 '!$B:$B,'[1]6月分配 '!$K:$K)</f>
        <v>14249</v>
      </c>
      <c r="L87" s="12" t="str">
        <f t="shared" si="41"/>
        <v>是</v>
      </c>
      <c r="M87" s="40" t="str">
        <f>_xlfn.XLOOKUP(F87,'6月产品包'!B:B,'6月产品包'!J:J)</f>
        <v>2026-04-16</v>
      </c>
      <c r="N87" s="39" t="s">
        <v>149</v>
      </c>
      <c r="O87" s="37">
        <f>_xlfn.XLOOKUP(F87,'6月库存'!A:A,'6月库存'!R:R)</f>
        <v>0</v>
      </c>
      <c r="P87" s="39">
        <f>_xlfn.XLOOKUP(F87,'6月产品包'!B:B,'6月产品包'!S:S)</f>
        <v>6660</v>
      </c>
      <c r="Q87" s="56"/>
      <c r="R87" s="41">
        <f>_xlfn.XLOOKUP(F87,'6月产品包'!B:B,'6月产品包'!AD:AD)</f>
        <v>44.2772</v>
      </c>
      <c r="S87" s="39">
        <v>92</v>
      </c>
      <c r="T87" s="39">
        <f t="shared" si="42"/>
        <v>115</v>
      </c>
      <c r="U87" s="42">
        <f t="shared" si="20"/>
        <v>92</v>
      </c>
      <c r="V87" s="43">
        <v>0.2</v>
      </c>
      <c r="W87" s="44">
        <f t="shared" si="43"/>
        <v>0.518726086956522</v>
      </c>
      <c r="X87" s="44">
        <f t="shared" si="44"/>
        <v>0.336293320542031</v>
      </c>
      <c r="Y87" s="44">
        <v>0.04</v>
      </c>
      <c r="Z87" s="46">
        <v>0.1</v>
      </c>
      <c r="AA87" s="46">
        <v>0.049</v>
      </c>
      <c r="AB87" s="46">
        <f t="shared" si="45"/>
        <v>0.0058695652173913</v>
      </c>
      <c r="AC87" s="46">
        <v>0.08</v>
      </c>
      <c r="AD87" s="58">
        <v>0.05</v>
      </c>
      <c r="AE87" s="58">
        <v>0.05</v>
      </c>
      <c r="AF87" s="55" t="s">
        <v>114</v>
      </c>
      <c r="AG87" s="39">
        <f t="shared" si="32"/>
        <v>5.52</v>
      </c>
      <c r="AH87" s="39">
        <f t="shared" si="33"/>
        <v>5.52</v>
      </c>
      <c r="AI87" s="39">
        <f t="shared" si="34"/>
        <v>0</v>
      </c>
      <c r="AJ87" s="39">
        <f t="shared" si="35"/>
        <v>0</v>
      </c>
      <c r="AK87" s="39">
        <f t="shared" si="36"/>
        <v>0</v>
      </c>
      <c r="AL87" s="39">
        <f t="shared" si="37"/>
        <v>0</v>
      </c>
      <c r="AM87" s="39">
        <f t="shared" si="38"/>
        <v>0</v>
      </c>
      <c r="AN87" s="39">
        <f t="shared" si="39"/>
        <v>0</v>
      </c>
    </row>
    <row r="88" s="6" customFormat="1" ht="50" hidden="1" customHeight="1" spans="1:40">
      <c r="A88" s="37" t="s">
        <v>96</v>
      </c>
      <c r="B88" s="37" t="s">
        <v>186</v>
      </c>
      <c r="C88" s="37" t="str">
        <f>_xlfn.XLOOKUP(F88,'6月产品包'!B:B,'6月产品包'!H:H)</f>
        <v>白板</v>
      </c>
      <c r="D88" s="38" t="str">
        <f>_xlfn.XLOOKUP(F88,'6月产品包'!B:B,'6月产品包'!O:O)</f>
        <v>涂鸦板</v>
      </c>
      <c r="E88" s="38" t="s">
        <v>256</v>
      </c>
      <c r="F88" s="37" t="s">
        <v>257</v>
      </c>
      <c r="G88" s="39" t="s">
        <v>126</v>
      </c>
      <c r="H88" s="37" t="s">
        <v>101</v>
      </c>
      <c r="I88" s="37" t="str">
        <f>_xlfn.XLOOKUP($F88,'6月库存'!A:A,'6月库存'!B:B)</f>
        <v>正常销售</v>
      </c>
      <c r="J88" s="12"/>
      <c r="K88" s="39" t="e">
        <f>_xlfn.XLOOKUP(E88,'[1]6月分配 '!$B:$B,'[1]6月分配 '!$K:$K)</f>
        <v>#N/A</v>
      </c>
      <c r="L88" s="12" t="str">
        <f t="shared" si="41"/>
        <v>否</v>
      </c>
      <c r="M88" s="40" t="str">
        <f>_xlfn.XLOOKUP(F88,'6月产品包'!B:B,'6月产品包'!J:J)</f>
        <v>2025-07-03</v>
      </c>
      <c r="N88" s="39" t="str">
        <f ca="1">IF(DATEDIF(M88,TODAY(),"m")&lt;6,"新品","老品")</f>
        <v>老品</v>
      </c>
      <c r="O88" s="37">
        <f>_xlfn.XLOOKUP(F88,'6月库存'!A:A,'6月库存'!R:R)</f>
        <v>0</v>
      </c>
      <c r="P88" s="39">
        <f>_xlfn.XLOOKUP(F88,'6月产品包'!B:B,'6月产品包'!S:S)</f>
        <v>320</v>
      </c>
      <c r="Q88" s="39"/>
      <c r="R88" s="41">
        <f>_xlfn.XLOOKUP(F88,'6月产品包'!B:B,'6月产品包'!AD:AD)</f>
        <v>5.1446</v>
      </c>
      <c r="S88" s="39">
        <v>11.05</v>
      </c>
      <c r="T88" s="39">
        <f t="shared" si="42"/>
        <v>14</v>
      </c>
      <c r="U88" s="42">
        <f t="shared" si="20"/>
        <v>11.2</v>
      </c>
      <c r="V88" s="43">
        <v>0.2</v>
      </c>
      <c r="W88" s="44">
        <f t="shared" si="43"/>
        <v>0.540660714285714</v>
      </c>
      <c r="X88" s="44">
        <f t="shared" si="44"/>
        <v>0.327257035254734</v>
      </c>
      <c r="Y88" s="44">
        <v>0.04</v>
      </c>
      <c r="Z88" s="46">
        <v>0.1</v>
      </c>
      <c r="AA88" s="46">
        <v>0.049</v>
      </c>
      <c r="AB88" s="46">
        <f t="shared" si="45"/>
        <v>0.0482142857142857</v>
      </c>
      <c r="AC88" s="46">
        <v>0.08</v>
      </c>
      <c r="AD88" s="58">
        <v>0.05</v>
      </c>
      <c r="AE88" s="58">
        <v>0.05</v>
      </c>
      <c r="AF88" s="48" t="s">
        <v>102</v>
      </c>
      <c r="AG88" s="39">
        <f t="shared" si="32"/>
        <v>0</v>
      </c>
      <c r="AH88" s="39">
        <f t="shared" si="33"/>
        <v>0</v>
      </c>
      <c r="AI88" s="39">
        <f t="shared" si="34"/>
        <v>0</v>
      </c>
      <c r="AJ88" s="39">
        <f t="shared" si="35"/>
        <v>0</v>
      </c>
      <c r="AK88" s="39">
        <f t="shared" si="36"/>
        <v>0</v>
      </c>
      <c r="AL88" s="39">
        <f t="shared" si="37"/>
        <v>0</v>
      </c>
      <c r="AM88" s="39">
        <f t="shared" si="38"/>
        <v>0</v>
      </c>
      <c r="AN88" s="39">
        <f t="shared" si="39"/>
        <v>0</v>
      </c>
    </row>
    <row r="89" s="6" customFormat="1" ht="50" hidden="1" customHeight="1" spans="1:40">
      <c r="A89" s="37" t="s">
        <v>96</v>
      </c>
      <c r="B89" s="37" t="s">
        <v>103</v>
      </c>
      <c r="C89" s="37" t="str">
        <f>_xlfn.XLOOKUP(F89,'6月产品包'!B:B,'6月产品包'!H:H)</f>
        <v>太阳能充电板</v>
      </c>
      <c r="D89" s="38" t="str">
        <f>_xlfn.XLOOKUP(F89,'6月产品包'!B:B,'6月产品包'!O:O)</f>
        <v>电源充电板</v>
      </c>
      <c r="E89" s="38" t="s">
        <v>258</v>
      </c>
      <c r="F89" s="37" t="s">
        <v>259</v>
      </c>
      <c r="G89" s="39" t="s">
        <v>106</v>
      </c>
      <c r="H89" s="37" t="s">
        <v>101</v>
      </c>
      <c r="I89" s="37" t="str">
        <f>_xlfn.XLOOKUP($F89,'6月库存'!A:A,'6月库存'!B:B)</f>
        <v>正常销售</v>
      </c>
      <c r="J89" s="12"/>
      <c r="K89" s="39" t="e">
        <f>_xlfn.XLOOKUP(E89,'[1]6月分配 '!$B:$B,'[1]6月分配 '!$K:$K)</f>
        <v>#N/A</v>
      </c>
      <c r="L89" s="12" t="str">
        <f t="shared" si="41"/>
        <v>否</v>
      </c>
      <c r="M89" s="40" t="str">
        <f>_xlfn.XLOOKUP(F89,'6月产品包'!B:B,'6月产品包'!J:J)</f>
        <v>2025-07-15</v>
      </c>
      <c r="N89" s="39" t="str">
        <f ca="1">IF(DATEDIF(M89,TODAY(),"m")&lt;6,"新品","老品")</f>
        <v>老品</v>
      </c>
      <c r="O89" s="37">
        <f>_xlfn.XLOOKUP(F89,'6月库存'!A:A,'6月库存'!R:R)</f>
        <v>0</v>
      </c>
      <c r="P89" s="39">
        <f>_xlfn.XLOOKUP(F89,'6月产品包'!B:B,'6月产品包'!S:S)</f>
        <v>845</v>
      </c>
      <c r="Q89" s="39"/>
      <c r="R89" s="41">
        <f>_xlfn.XLOOKUP(F89,'6月产品包'!B:B,'6月产品包'!AD:AD)</f>
        <v>13.3405</v>
      </c>
      <c r="S89" s="39">
        <v>26</v>
      </c>
      <c r="T89" s="39">
        <f t="shared" si="42"/>
        <v>33</v>
      </c>
      <c r="U89" s="42">
        <f t="shared" ref="U89:U123" si="46">$T89*(1-0.2)</f>
        <v>26.4</v>
      </c>
      <c r="V89" s="43">
        <v>0.2</v>
      </c>
      <c r="W89" s="44">
        <f t="shared" si="43"/>
        <v>0.49467803030303</v>
      </c>
      <c r="X89" s="44">
        <f t="shared" si="44"/>
        <v>0.305442750635178</v>
      </c>
      <c r="Y89" s="44">
        <v>0.038</v>
      </c>
      <c r="Z89" s="46">
        <v>0.105</v>
      </c>
      <c r="AA89" s="46">
        <v>0.049</v>
      </c>
      <c r="AB89" s="46">
        <f t="shared" si="45"/>
        <v>0.0204545454545455</v>
      </c>
      <c r="AC89" s="46">
        <v>0.06</v>
      </c>
      <c r="AD89" s="47"/>
      <c r="AE89" s="50"/>
      <c r="AF89" s="48" t="s">
        <v>102</v>
      </c>
      <c r="AG89" s="39">
        <f t="shared" si="32"/>
        <v>0</v>
      </c>
      <c r="AH89" s="39">
        <f t="shared" si="33"/>
        <v>0</v>
      </c>
      <c r="AI89" s="39">
        <f t="shared" si="34"/>
        <v>0</v>
      </c>
      <c r="AJ89" s="39">
        <f t="shared" si="35"/>
        <v>0</v>
      </c>
      <c r="AK89" s="39">
        <f t="shared" si="36"/>
        <v>0</v>
      </c>
      <c r="AL89" s="39">
        <f t="shared" si="37"/>
        <v>0</v>
      </c>
      <c r="AM89" s="39">
        <f t="shared" si="38"/>
        <v>0</v>
      </c>
      <c r="AN89" s="39">
        <f t="shared" si="39"/>
        <v>0</v>
      </c>
    </row>
    <row r="90" s="6" customFormat="1" ht="50" hidden="1" customHeight="1" spans="1:40">
      <c r="A90" s="37" t="s">
        <v>108</v>
      </c>
      <c r="B90" s="37" t="s">
        <v>146</v>
      </c>
      <c r="C90" s="37" t="str">
        <f>_xlfn.XLOOKUP(F90,'6月产品包'!B:B,'6月产品包'!H:H)</f>
        <v>有线麦克风</v>
      </c>
      <c r="D90" s="38" t="str">
        <f>_xlfn.XLOOKUP(F90,'6月产品包'!B:B,'6月产品包'!O:O)</f>
        <v>动圈麦克风</v>
      </c>
      <c r="E90" s="38" t="s">
        <v>260</v>
      </c>
      <c r="F90" s="39" t="s">
        <v>261</v>
      </c>
      <c r="G90" s="39" t="s">
        <v>262</v>
      </c>
      <c r="H90" s="39" t="s">
        <v>101</v>
      </c>
      <c r="I90" s="37" t="str">
        <f>_xlfn.XLOOKUP($F90,'6月库存'!A:A,'6月库存'!B:B)</f>
        <v>正常销售</v>
      </c>
      <c r="J90" s="12"/>
      <c r="K90" s="39">
        <f>_xlfn.XLOOKUP(E90,'[1]6月分配 '!$B:$B,'[1]6月分配 '!$K:$K)</f>
        <v>12515</v>
      </c>
      <c r="L90" s="12" t="str">
        <f t="shared" si="41"/>
        <v>是</v>
      </c>
      <c r="M90" s="40" t="str">
        <f>_xlfn.XLOOKUP(F90,'6月产品包'!B:B,'6月产品包'!J:J)</f>
        <v>2025-12-08</v>
      </c>
      <c r="N90" s="39" t="s">
        <v>149</v>
      </c>
      <c r="O90" s="37">
        <f>_xlfn.XLOOKUP(F90,'6月库存'!A:A,'6月库存'!R:R)</f>
        <v>65</v>
      </c>
      <c r="P90" s="39">
        <f>_xlfn.XLOOKUP(F90,'6月产品包'!B:B,'6月产品包'!S:S)</f>
        <v>1238</v>
      </c>
      <c r="Q90" s="39"/>
      <c r="R90" s="41">
        <f>_xlfn.XLOOKUP(F90,'6月产品包'!B:B,'6月产品包'!AD:AD)</f>
        <v>88.5196</v>
      </c>
      <c r="S90" s="39">
        <v>175</v>
      </c>
      <c r="T90" s="39">
        <f t="shared" si="42"/>
        <v>219</v>
      </c>
      <c r="U90" s="42">
        <f t="shared" si="46"/>
        <v>175.2</v>
      </c>
      <c r="V90" s="43">
        <v>0.2</v>
      </c>
      <c r="W90" s="44">
        <f t="shared" si="43"/>
        <v>0.494751141552511</v>
      </c>
      <c r="X90" s="44">
        <f t="shared" si="44"/>
        <v>0.319912845192656</v>
      </c>
      <c r="Y90" s="44">
        <v>0.04</v>
      </c>
      <c r="Z90" s="46">
        <v>0.105</v>
      </c>
      <c r="AA90" s="46">
        <v>0.049</v>
      </c>
      <c r="AB90" s="46">
        <f t="shared" si="45"/>
        <v>0.00308219178082192</v>
      </c>
      <c r="AC90" s="46">
        <v>0.06</v>
      </c>
      <c r="AD90" s="47"/>
      <c r="AE90" s="6"/>
      <c r="AF90" s="55" t="s">
        <v>114</v>
      </c>
      <c r="AG90" s="39">
        <f t="shared" si="32"/>
        <v>6</v>
      </c>
      <c r="AH90" s="39">
        <f t="shared" si="33"/>
        <v>6</v>
      </c>
      <c r="AI90" s="39">
        <f t="shared" si="34"/>
        <v>0</v>
      </c>
      <c r="AJ90" s="39">
        <f t="shared" si="35"/>
        <v>0</v>
      </c>
      <c r="AK90" s="39">
        <f t="shared" si="36"/>
        <v>0</v>
      </c>
      <c r="AL90" s="39">
        <f t="shared" si="37"/>
        <v>0</v>
      </c>
      <c r="AM90" s="39">
        <f t="shared" si="38"/>
        <v>0</v>
      </c>
      <c r="AN90" s="39">
        <f t="shared" si="39"/>
        <v>0</v>
      </c>
    </row>
    <row r="91" s="6" customFormat="1" ht="50" hidden="1" customHeight="1" spans="1:40">
      <c r="A91" s="37" t="s">
        <v>108</v>
      </c>
      <c r="B91" s="37" t="s">
        <v>146</v>
      </c>
      <c r="C91" s="37" t="str">
        <f>_xlfn.XLOOKUP(F91,'6月产品包'!B:B,'6月产品包'!H:H)</f>
        <v>音箱</v>
      </c>
      <c r="D91" s="38" t="str">
        <f>_xlfn.XLOOKUP(F91,'6月产品包'!B:B,'6月产品包'!O:O)</f>
        <v>长条桌面音箱</v>
      </c>
      <c r="E91" s="38" t="s">
        <v>263</v>
      </c>
      <c r="F91" s="39" t="s">
        <v>264</v>
      </c>
      <c r="G91" s="39" t="s">
        <v>100</v>
      </c>
      <c r="H91" s="37" t="s">
        <v>107</v>
      </c>
      <c r="I91" s="37" t="str">
        <f>_xlfn.XLOOKUP($F91,'6月库存'!A:A,'6月库存'!B:B)</f>
        <v>正常销售</v>
      </c>
      <c r="J91" s="12"/>
      <c r="K91" s="39">
        <f>_xlfn.XLOOKUP(E91,'[1]6月分配 '!$B:$B,'[1]6月分配 '!$K:$K)</f>
        <v>12466</v>
      </c>
      <c r="L91" s="12" t="str">
        <f t="shared" si="41"/>
        <v>是</v>
      </c>
      <c r="M91" s="40" t="str">
        <f>_xlfn.XLOOKUP(F91,'6月产品包'!B:B,'6月产品包'!J:J)</f>
        <v>2025-01-07</v>
      </c>
      <c r="N91" s="39" t="s">
        <v>155</v>
      </c>
      <c r="O91" s="37">
        <f>_xlfn.XLOOKUP(F91,'6月库存'!A:A,'6月库存'!R:R)</f>
        <v>1612</v>
      </c>
      <c r="P91" s="39">
        <f>_xlfn.XLOOKUP(F91,'6月产品包'!B:B,'6月产品包'!S:S)</f>
        <v>1355</v>
      </c>
      <c r="Q91" s="39"/>
      <c r="R91" s="41">
        <f>_xlfn.XLOOKUP(F91,'6月产品包'!B:B,'6月产品包'!AD:AD)</f>
        <v>36.5168</v>
      </c>
      <c r="S91" s="39">
        <v>70</v>
      </c>
      <c r="T91" s="39">
        <f t="shared" si="42"/>
        <v>88</v>
      </c>
      <c r="U91" s="42">
        <f t="shared" si="46"/>
        <v>70.4</v>
      </c>
      <c r="V91" s="43">
        <v>0.2</v>
      </c>
      <c r="W91" s="44">
        <f t="shared" si="43"/>
        <v>0.481295454545455</v>
      </c>
      <c r="X91" s="44">
        <f t="shared" si="44"/>
        <v>0.289766450388212</v>
      </c>
      <c r="Y91" s="44">
        <v>0.038</v>
      </c>
      <c r="Z91" s="46">
        <v>0.115</v>
      </c>
      <c r="AA91" s="46">
        <v>0.049</v>
      </c>
      <c r="AB91" s="46">
        <f t="shared" si="45"/>
        <v>0.00767045454545455</v>
      </c>
      <c r="AC91" s="46">
        <v>0.06</v>
      </c>
      <c r="AD91" s="47"/>
      <c r="AE91" s="6"/>
      <c r="AF91" s="55" t="s">
        <v>114</v>
      </c>
      <c r="AG91" s="39">
        <f t="shared" si="32"/>
        <v>4.224</v>
      </c>
      <c r="AH91" s="39">
        <f t="shared" si="33"/>
        <v>4.224</v>
      </c>
      <c r="AI91" s="39">
        <f t="shared" si="34"/>
        <v>0</v>
      </c>
      <c r="AJ91" s="39">
        <f t="shared" si="35"/>
        <v>0</v>
      </c>
      <c r="AK91" s="39">
        <f t="shared" si="36"/>
        <v>0</v>
      </c>
      <c r="AL91" s="39">
        <f t="shared" si="37"/>
        <v>0</v>
      </c>
      <c r="AM91" s="39">
        <f t="shared" si="38"/>
        <v>0</v>
      </c>
      <c r="AN91" s="39">
        <f t="shared" si="39"/>
        <v>0</v>
      </c>
    </row>
    <row r="92" s="6" customFormat="1" ht="50" hidden="1" customHeight="1" spans="1:40">
      <c r="A92" s="37" t="s">
        <v>96</v>
      </c>
      <c r="B92" s="37" t="s">
        <v>97</v>
      </c>
      <c r="C92" s="37" t="str">
        <f>_xlfn.XLOOKUP(F92,'6月产品包'!B:B,'6月产品包'!H:H)</f>
        <v>指纹锁</v>
      </c>
      <c r="D92" s="38" t="str">
        <f>_xlfn.XLOOKUP(F92,'6月产品包'!B:B,'6月产品包'!O:O)</f>
        <v>手柄门锁</v>
      </c>
      <c r="E92" s="38" t="s">
        <v>265</v>
      </c>
      <c r="F92" s="37" t="s">
        <v>266</v>
      </c>
      <c r="G92" s="39" t="s">
        <v>100</v>
      </c>
      <c r="H92" s="37" t="s">
        <v>101</v>
      </c>
      <c r="I92" s="37" t="str">
        <f>_xlfn.XLOOKUP($F92,'6月库存'!A:A,'6月库存'!B:B)</f>
        <v>正常销售</v>
      </c>
      <c r="J92" s="12"/>
      <c r="K92" s="39">
        <f>_xlfn.XLOOKUP(E92,'[1]6月分配 '!$B:$B,'[1]6月分配 '!$K:$K)</f>
        <v>12107</v>
      </c>
      <c r="L92" s="12" t="str">
        <f t="shared" si="41"/>
        <v>是</v>
      </c>
      <c r="M92" s="40" t="str">
        <f>_xlfn.XLOOKUP(F92,'6月产品包'!B:B,'6月产品包'!J:J)</f>
        <v>2024-11-12</v>
      </c>
      <c r="N92" s="39" t="str">
        <f ca="1" t="shared" ref="N92:N98" si="47">IF(DATEDIF(M92,TODAY(),"m")&lt;6,"新品","老品")</f>
        <v>老品</v>
      </c>
      <c r="O92" s="37">
        <f>_xlfn.XLOOKUP(F92,'6月库存'!A:A,'6月库存'!R:R)</f>
        <v>320</v>
      </c>
      <c r="P92" s="39">
        <f>_xlfn.XLOOKUP(F92,'6月产品包'!B:B,'6月产品包'!S:S)</f>
        <v>1134</v>
      </c>
      <c r="Q92" s="39"/>
      <c r="R92" s="41">
        <f>_xlfn.XLOOKUP(F92,'6月产品包'!B:B,'6月产品包'!AD:AD)</f>
        <v>43.3492</v>
      </c>
      <c r="S92" s="39">
        <v>78</v>
      </c>
      <c r="T92" s="39">
        <f t="shared" si="42"/>
        <v>98</v>
      </c>
      <c r="U92" s="42">
        <f t="shared" si="46"/>
        <v>78.4</v>
      </c>
      <c r="V92" s="43">
        <v>0.2</v>
      </c>
      <c r="W92" s="44">
        <f t="shared" si="43"/>
        <v>0.447076530612245</v>
      </c>
      <c r="X92" s="44">
        <f t="shared" si="44"/>
        <v>0.243722871219417</v>
      </c>
      <c r="Y92" s="44">
        <v>0.038</v>
      </c>
      <c r="Z92" s="45">
        <v>0.115</v>
      </c>
      <c r="AA92" s="46">
        <v>0.049</v>
      </c>
      <c r="AB92" s="46">
        <f t="shared" si="45"/>
        <v>0.00688775510204082</v>
      </c>
      <c r="AC92" s="46">
        <v>0.06</v>
      </c>
      <c r="AD92" s="47"/>
      <c r="AE92" s="6"/>
      <c r="AF92" s="55" t="s">
        <v>114</v>
      </c>
      <c r="AG92" s="39">
        <f t="shared" si="32"/>
        <v>4.704</v>
      </c>
      <c r="AH92" s="39">
        <f t="shared" si="33"/>
        <v>4.704</v>
      </c>
      <c r="AI92" s="39">
        <f t="shared" si="34"/>
        <v>0</v>
      </c>
      <c r="AJ92" s="39">
        <f t="shared" si="35"/>
        <v>0</v>
      </c>
      <c r="AK92" s="39">
        <f t="shared" si="36"/>
        <v>0</v>
      </c>
      <c r="AL92" s="39">
        <f t="shared" si="37"/>
        <v>0</v>
      </c>
      <c r="AM92" s="39">
        <f t="shared" si="38"/>
        <v>0</v>
      </c>
      <c r="AN92" s="39">
        <f t="shared" si="39"/>
        <v>0</v>
      </c>
    </row>
    <row r="93" s="6" customFormat="1" ht="50" hidden="1" customHeight="1" spans="1:40">
      <c r="A93" s="37" t="s">
        <v>96</v>
      </c>
      <c r="B93" s="37" t="s">
        <v>115</v>
      </c>
      <c r="C93" s="37" t="str">
        <f>_xlfn.XLOOKUP(F93,'6月产品包'!B:B,'6月产品包'!H:H)</f>
        <v>碎纸机</v>
      </c>
      <c r="D93" s="38" t="str">
        <f>_xlfn.XLOOKUP(F93,'6月产品包'!B:B,'6月产品包'!O:O)</f>
        <v>电动碎纸机</v>
      </c>
      <c r="E93" s="38" t="s">
        <v>267</v>
      </c>
      <c r="F93" s="37" t="s">
        <v>268</v>
      </c>
      <c r="G93" s="39" t="e">
        <v>#N/A</v>
      </c>
      <c r="H93" s="37" t="s">
        <v>101</v>
      </c>
      <c r="I93" s="37" t="str">
        <f>_xlfn.XLOOKUP($F93,'6月库存'!A:A,'6月库存'!B:B)</f>
        <v>正常销售</v>
      </c>
      <c r="J93" s="12"/>
      <c r="K93" s="39">
        <f>_xlfn.XLOOKUP(E93,'[1]6月分配 '!$B:$B,'[1]6月分配 '!$K:$K)</f>
        <v>11331</v>
      </c>
      <c r="L93" s="12" t="str">
        <f t="shared" si="41"/>
        <v>是</v>
      </c>
      <c r="M93" s="40" t="str">
        <f>_xlfn.XLOOKUP(F93,'6月产品包'!B:B,'6月产品包'!J:J)</f>
        <v>2024-09-03</v>
      </c>
      <c r="N93" s="39" t="str">
        <f ca="1" t="shared" si="47"/>
        <v>老品</v>
      </c>
      <c r="O93" s="37">
        <f>_xlfn.XLOOKUP(F93,'6月库存'!A:A,'6月库存'!R:R)</f>
        <v>385</v>
      </c>
      <c r="P93" s="39">
        <f>_xlfn.XLOOKUP(F93,'6月产品包'!B:B,'6月产品包'!S:S)</f>
        <v>1900</v>
      </c>
      <c r="Q93" s="39"/>
      <c r="R93" s="41">
        <f>_xlfn.XLOOKUP(F93,'6月产品包'!B:B,'6月产品包'!AD:AD)</f>
        <v>54.3112</v>
      </c>
      <c r="S93" s="39">
        <v>102</v>
      </c>
      <c r="T93" s="39">
        <f t="shared" si="42"/>
        <v>128</v>
      </c>
      <c r="U93" s="42">
        <f t="shared" si="46"/>
        <v>102.4</v>
      </c>
      <c r="V93" s="43">
        <v>0.2</v>
      </c>
      <c r="W93" s="44">
        <f t="shared" si="43"/>
        <v>0.4696171875</v>
      </c>
      <c r="X93" s="44">
        <f t="shared" si="44"/>
        <v>0.290672768496171</v>
      </c>
      <c r="Y93" s="44">
        <v>0.038</v>
      </c>
      <c r="Z93" s="46">
        <v>0.1</v>
      </c>
      <c r="AA93" s="46">
        <v>0.049</v>
      </c>
      <c r="AB93" s="46">
        <f t="shared" si="45"/>
        <v>0.0052734375</v>
      </c>
      <c r="AC93" s="46">
        <v>0.06</v>
      </c>
      <c r="AD93" s="47"/>
      <c r="AE93" s="6"/>
      <c r="AF93" s="55" t="s">
        <v>114</v>
      </c>
      <c r="AG93" s="39">
        <f t="shared" si="32"/>
        <v>6</v>
      </c>
      <c r="AH93" s="39">
        <f t="shared" si="33"/>
        <v>6</v>
      </c>
      <c r="AI93" s="39">
        <f t="shared" si="34"/>
        <v>0</v>
      </c>
      <c r="AJ93" s="39">
        <f t="shared" si="35"/>
        <v>0</v>
      </c>
      <c r="AK93" s="39">
        <f t="shared" si="36"/>
        <v>0</v>
      </c>
      <c r="AL93" s="39">
        <f t="shared" si="37"/>
        <v>0</v>
      </c>
      <c r="AM93" s="39">
        <f t="shared" si="38"/>
        <v>0</v>
      </c>
      <c r="AN93" s="39">
        <f t="shared" si="39"/>
        <v>0</v>
      </c>
    </row>
    <row r="94" s="6" customFormat="1" ht="50" hidden="1" customHeight="1" spans="1:40">
      <c r="A94" s="39" t="str">
        <f>_xlfn.XLOOKUP(F94,'6月产品包'!B:B,'6月产品包'!F:F)</f>
        <v>3C数码</v>
      </c>
      <c r="B94" s="39" t="str">
        <f>_xlfn.XLOOKUP(F94,'6月产品包'!B:B,'6月产品包'!G:G)</f>
        <v>影像摄影</v>
      </c>
      <c r="C94" s="37" t="str">
        <f>_xlfn.XLOOKUP(F94,'6月产品包'!B:B,'6月产品包'!H:H)</f>
        <v>数码相机</v>
      </c>
      <c r="D94" s="38" t="str">
        <f>_xlfn.XLOOKUP(F94,'6月产品包'!B:B,'6月产品包'!O:O)</f>
        <v>翻屏数码相机</v>
      </c>
      <c r="E94" s="38" t="str">
        <f>_xlfn.XLOOKUP(F94,'6月产品包'!B:B,'6月产品包'!C:C)</f>
        <v>3C-W1白色数码相机包含32gTF卡</v>
      </c>
      <c r="F94" s="37" t="s">
        <v>269</v>
      </c>
      <c r="G94" s="39" t="s">
        <v>154</v>
      </c>
      <c r="H94" s="37" t="s">
        <v>107</v>
      </c>
      <c r="I94" s="37" t="str">
        <f>_xlfn.XLOOKUP($F94,'6月库存'!A:A,'6月库存'!B:B)</f>
        <v>商品清仓</v>
      </c>
      <c r="J94" s="12"/>
      <c r="K94" s="39" t="e">
        <f>_xlfn.XLOOKUP(E94,'[1]6月分配 '!$B:$B,'[1]6月分配 '!$K:$K)</f>
        <v>#N/A</v>
      </c>
      <c r="L94" s="12" t="str">
        <f t="shared" si="41"/>
        <v>否</v>
      </c>
      <c r="M94" s="40" t="str">
        <f>_xlfn.XLOOKUP(F94,'6月产品包'!B:B,'6月产品包'!J:J)</f>
        <v>2025-03-15</v>
      </c>
      <c r="N94" s="39" t="str">
        <f ca="1" t="shared" si="47"/>
        <v>老品</v>
      </c>
      <c r="O94" s="37">
        <f>_xlfn.XLOOKUP(F94,'6月库存'!A:A,'6月库存'!R:R)</f>
        <v>3</v>
      </c>
      <c r="P94" s="39">
        <f>_xlfn.XLOOKUP(F94,'6月产品包'!B:B,'6月产品包'!S:S)</f>
        <v>460</v>
      </c>
      <c r="Q94" s="39"/>
      <c r="R94" s="41">
        <f>_xlfn.XLOOKUP(F94,'6月产品包'!B:B,'6月产品包'!AD:AD)</f>
        <v>135.4358</v>
      </c>
      <c r="S94" s="39">
        <v>265</v>
      </c>
      <c r="T94" s="39">
        <f t="shared" si="42"/>
        <v>331</v>
      </c>
      <c r="U94" s="42">
        <f t="shared" si="46"/>
        <v>264.8</v>
      </c>
      <c r="V94" s="43">
        <v>0.2</v>
      </c>
      <c r="W94" s="44">
        <f t="shared" si="43"/>
        <v>0.488535498489426</v>
      </c>
      <c r="X94" s="44">
        <f t="shared" si="44"/>
        <v>0.327870040257585</v>
      </c>
      <c r="Y94" s="51">
        <v>0.038</v>
      </c>
      <c r="Z94" s="46">
        <v>0.09</v>
      </c>
      <c r="AA94" s="46">
        <v>0.049</v>
      </c>
      <c r="AB94" s="46">
        <f t="shared" si="45"/>
        <v>0.0020392749244713</v>
      </c>
      <c r="AC94" s="46">
        <v>0.06</v>
      </c>
      <c r="AD94" s="47"/>
      <c r="AE94" s="50"/>
      <c r="AF94" s="48" t="s">
        <v>102</v>
      </c>
      <c r="AG94" s="39">
        <f t="shared" si="32"/>
        <v>14.2992</v>
      </c>
      <c r="AH94" s="39">
        <f t="shared" si="33"/>
        <v>6</v>
      </c>
      <c r="AI94" s="39">
        <f t="shared" si="34"/>
        <v>14.2992</v>
      </c>
      <c r="AJ94" s="39">
        <f t="shared" si="35"/>
        <v>0</v>
      </c>
      <c r="AK94" s="39">
        <f t="shared" si="36"/>
        <v>0</v>
      </c>
      <c r="AL94" s="39">
        <f t="shared" si="37"/>
        <v>0</v>
      </c>
      <c r="AM94" s="39">
        <f t="shared" si="38"/>
        <v>14.2992</v>
      </c>
      <c r="AN94" s="39">
        <f t="shared" si="39"/>
        <v>11.916</v>
      </c>
    </row>
    <row r="95" s="6" customFormat="1" ht="50" hidden="1" customHeight="1" spans="1:40">
      <c r="A95" s="37" t="s">
        <v>96</v>
      </c>
      <c r="B95" s="37" t="s">
        <v>115</v>
      </c>
      <c r="C95" s="37" t="str">
        <f>_xlfn.XLOOKUP(F95,'6月产品包'!B:B,'6月产品包'!H:H)</f>
        <v>广告架</v>
      </c>
      <c r="D95" s="38" t="str">
        <f>_xlfn.XLOOKUP(F95,'6月产品包'!B:B,'6月产品包'!O:O)</f>
        <v>广告架kt板</v>
      </c>
      <c r="E95" s="38" t="s">
        <v>270</v>
      </c>
      <c r="F95" s="37" t="s">
        <v>271</v>
      </c>
      <c r="G95" s="39" t="e">
        <v>#N/A</v>
      </c>
      <c r="H95" s="37" t="s">
        <v>101</v>
      </c>
      <c r="I95" s="37" t="str">
        <f>_xlfn.XLOOKUP($F95,'6月库存'!A:A,'6月库存'!B:B)</f>
        <v>正常销售</v>
      </c>
      <c r="J95" s="12"/>
      <c r="K95" s="39" t="e">
        <f>_xlfn.XLOOKUP(E95,'[1]6月分配 '!$B:$B,'[1]6月分配 '!$K:$K)</f>
        <v>#N/A</v>
      </c>
      <c r="L95" s="12" t="str">
        <f t="shared" si="41"/>
        <v>否</v>
      </c>
      <c r="M95" s="40" t="str">
        <f>_xlfn.XLOOKUP(F95,'6月产品包'!B:B,'6月产品包'!J:J)</f>
        <v>2025-10-09</v>
      </c>
      <c r="N95" s="39" t="str">
        <f ca="1" t="shared" si="47"/>
        <v>老品</v>
      </c>
      <c r="O95" s="37">
        <f>_xlfn.XLOOKUP(F95,'6月库存'!A:A,'6月库存'!R:R)</f>
        <v>2</v>
      </c>
      <c r="P95" s="39">
        <f>_xlfn.XLOOKUP(F95,'6月产品包'!B:B,'6月产品包'!S:S)</f>
        <v>4000</v>
      </c>
      <c r="Q95" s="39"/>
      <c r="R95" s="41">
        <f>_xlfn.XLOOKUP(F95,'6月产品包'!B:B,'6月产品包'!AD:AD)</f>
        <v>22.3706</v>
      </c>
      <c r="S95" s="39">
        <v>45</v>
      </c>
      <c r="T95" s="39">
        <f t="shared" si="42"/>
        <v>56</v>
      </c>
      <c r="U95" s="42">
        <f t="shared" si="46"/>
        <v>44.8</v>
      </c>
      <c r="V95" s="43">
        <v>0.2</v>
      </c>
      <c r="W95" s="44">
        <f t="shared" si="43"/>
        <v>0.50065625</v>
      </c>
      <c r="X95" s="44">
        <f t="shared" si="44"/>
        <v>0.326073072566457</v>
      </c>
      <c r="Y95" s="44">
        <v>0.038</v>
      </c>
      <c r="Z95" s="46">
        <v>0.1</v>
      </c>
      <c r="AA95" s="46">
        <v>0.049</v>
      </c>
      <c r="AB95" s="46">
        <f t="shared" si="45"/>
        <v>0.0120535714285714</v>
      </c>
      <c r="AC95" s="46">
        <v>0.06</v>
      </c>
      <c r="AD95" s="47"/>
      <c r="AF95" s="48" t="s">
        <v>102</v>
      </c>
      <c r="AG95" s="39">
        <f t="shared" si="32"/>
        <v>0</v>
      </c>
      <c r="AH95" s="39">
        <f t="shared" si="33"/>
        <v>0</v>
      </c>
      <c r="AI95" s="39">
        <f t="shared" si="34"/>
        <v>0</v>
      </c>
      <c r="AJ95" s="39">
        <f t="shared" si="35"/>
        <v>0</v>
      </c>
      <c r="AK95" s="39">
        <f t="shared" si="36"/>
        <v>0</v>
      </c>
      <c r="AL95" s="39">
        <f t="shared" si="37"/>
        <v>0</v>
      </c>
      <c r="AM95" s="39">
        <f t="shared" si="38"/>
        <v>0</v>
      </c>
      <c r="AN95" s="39">
        <f t="shared" si="39"/>
        <v>0</v>
      </c>
    </row>
    <row r="96" s="6" customFormat="1" ht="50" hidden="1" customHeight="1" spans="1:40">
      <c r="A96" s="37" t="s">
        <v>96</v>
      </c>
      <c r="B96" s="37" t="s">
        <v>186</v>
      </c>
      <c r="C96" s="37" t="str">
        <f>_xlfn.XLOOKUP(F96,'6月产品包'!B:B,'6月产品包'!H:H)</f>
        <v>白板</v>
      </c>
      <c r="D96" s="38" t="str">
        <f>_xlfn.XLOOKUP(F96,'6月产品包'!B:B,'6月产品包'!O:O)</f>
        <v>橡胶白板</v>
      </c>
      <c r="E96" s="38" t="s">
        <v>272</v>
      </c>
      <c r="F96" s="37" t="s">
        <v>273</v>
      </c>
      <c r="G96" s="39" t="s">
        <v>100</v>
      </c>
      <c r="H96" s="37" t="s">
        <v>101</v>
      </c>
      <c r="I96" s="37" t="str">
        <f>_xlfn.XLOOKUP($F96,'6月库存'!A:A,'6月库存'!B:B)</f>
        <v>正常销售</v>
      </c>
      <c r="J96" s="12"/>
      <c r="K96" s="39" t="e">
        <f>_xlfn.XLOOKUP(E96,'[1]6月分配 '!$B:$B,'[1]6月分配 '!$K:$K)</f>
        <v>#N/A</v>
      </c>
      <c r="L96" s="12" t="str">
        <f t="shared" si="41"/>
        <v>否</v>
      </c>
      <c r="M96" s="40" t="str">
        <f>_xlfn.XLOOKUP(F96,'6月产品包'!B:B,'6月产品包'!J:J)</f>
        <v>2025-07-03</v>
      </c>
      <c r="N96" s="39" t="str">
        <f ca="1" t="shared" si="47"/>
        <v>老品</v>
      </c>
      <c r="O96" s="37">
        <f>_xlfn.XLOOKUP(F96,'6月库存'!A:A,'6月库存'!R:R)</f>
        <v>0</v>
      </c>
      <c r="P96" s="39">
        <f>_xlfn.XLOOKUP(F96,'6月产品包'!B:B,'6月产品包'!S:S)</f>
        <v>908</v>
      </c>
      <c r="Q96" s="39"/>
      <c r="R96" s="41">
        <f>_xlfn.XLOOKUP(F96,'6月产品包'!B:B,'6月产品包'!AD:AD)</f>
        <v>12.2264</v>
      </c>
      <c r="S96" s="39">
        <v>23</v>
      </c>
      <c r="T96" s="39">
        <f t="shared" si="42"/>
        <v>29</v>
      </c>
      <c r="U96" s="42">
        <f t="shared" si="46"/>
        <v>23.2</v>
      </c>
      <c r="V96" s="43">
        <v>0.2</v>
      </c>
      <c r="W96" s="44">
        <f t="shared" si="43"/>
        <v>0.473</v>
      </c>
      <c r="X96" s="44">
        <f t="shared" si="44"/>
        <v>0.255359579029429</v>
      </c>
      <c r="Y96" s="44">
        <v>0.04</v>
      </c>
      <c r="Z96" s="46">
        <v>0.1</v>
      </c>
      <c r="AA96" s="46">
        <v>0.049</v>
      </c>
      <c r="AB96" s="46">
        <f t="shared" si="45"/>
        <v>0.0232758620689655</v>
      </c>
      <c r="AC96" s="46">
        <v>0.08</v>
      </c>
      <c r="AD96" s="58">
        <v>0.05</v>
      </c>
      <c r="AE96" s="58">
        <v>0.05</v>
      </c>
      <c r="AF96" s="48" t="s">
        <v>102</v>
      </c>
      <c r="AG96" s="39">
        <f t="shared" si="32"/>
        <v>0</v>
      </c>
      <c r="AH96" s="39">
        <f t="shared" si="33"/>
        <v>0</v>
      </c>
      <c r="AI96" s="39">
        <f t="shared" si="34"/>
        <v>0</v>
      </c>
      <c r="AJ96" s="39">
        <f t="shared" si="35"/>
        <v>0</v>
      </c>
      <c r="AK96" s="39">
        <f t="shared" si="36"/>
        <v>0</v>
      </c>
      <c r="AL96" s="39">
        <f t="shared" si="37"/>
        <v>0</v>
      </c>
      <c r="AM96" s="39">
        <f t="shared" si="38"/>
        <v>0</v>
      </c>
      <c r="AN96" s="39">
        <f t="shared" si="39"/>
        <v>0</v>
      </c>
    </row>
    <row r="97" s="6" customFormat="1" ht="50" hidden="1" customHeight="1" spans="1:40">
      <c r="A97" s="37" t="s">
        <v>96</v>
      </c>
      <c r="B97" s="37" t="s">
        <v>115</v>
      </c>
      <c r="C97" s="37" t="str">
        <f>_xlfn.XLOOKUP(F97,'6月产品包'!B:B,'6月产品包'!H:H)</f>
        <v>金属制品机柜</v>
      </c>
      <c r="D97" s="38" t="str">
        <f>_xlfn.XLOOKUP(F97,'6月产品包'!B:B,'6月产品包'!O:O)</f>
        <v>交换机机柜</v>
      </c>
      <c r="E97" s="38" t="s">
        <v>274</v>
      </c>
      <c r="F97" s="37" t="s">
        <v>275</v>
      </c>
      <c r="G97" s="39" t="e">
        <v>#N/A</v>
      </c>
      <c r="H97" s="37" t="s">
        <v>101</v>
      </c>
      <c r="I97" s="37" t="str">
        <f>_xlfn.XLOOKUP($F97,'6月库存'!A:A,'6月库存'!B:B)</f>
        <v>正常销售</v>
      </c>
      <c r="J97" s="12"/>
      <c r="K97" s="39">
        <f>_xlfn.XLOOKUP(E97,'[1]6月分配 '!$B:$B,'[1]6月分配 '!$K:$K)</f>
        <v>10946</v>
      </c>
      <c r="L97" s="12" t="str">
        <f t="shared" si="41"/>
        <v>是</v>
      </c>
      <c r="M97" s="40" t="str">
        <f>_xlfn.XLOOKUP(F97,'6月产品包'!B:B,'6月产品包'!J:J)</f>
        <v>2025-07-26</v>
      </c>
      <c r="N97" s="39" t="str">
        <f ca="1" t="shared" si="47"/>
        <v>老品</v>
      </c>
      <c r="O97" s="37">
        <f>_xlfn.XLOOKUP(F97,'6月库存'!A:A,'6月库存'!R:R)</f>
        <v>86</v>
      </c>
      <c r="P97" s="39">
        <f>_xlfn.XLOOKUP(F97,'6月产品包'!B:B,'6月产品包'!S:S)</f>
        <v>11700</v>
      </c>
      <c r="Q97" s="39"/>
      <c r="R97" s="41">
        <f>_xlfn.XLOOKUP(F97,'6月产品包'!B:B,'6月产品包'!AD:AD)</f>
        <v>72.1462</v>
      </c>
      <c r="S97" s="39">
        <v>150</v>
      </c>
      <c r="T97" s="39">
        <f t="shared" si="42"/>
        <v>188</v>
      </c>
      <c r="U97" s="42">
        <f t="shared" si="46"/>
        <v>150.4</v>
      </c>
      <c r="V97" s="43">
        <v>0.2</v>
      </c>
      <c r="W97" s="44">
        <f t="shared" si="43"/>
        <v>0.520304521276596</v>
      </c>
      <c r="X97" s="44">
        <f t="shared" si="44"/>
        <v>0.359902121528295</v>
      </c>
      <c r="Y97" s="44">
        <v>0.038</v>
      </c>
      <c r="Z97" s="46">
        <v>0.1</v>
      </c>
      <c r="AA97" s="46">
        <v>0.049</v>
      </c>
      <c r="AB97" s="46">
        <f t="shared" si="45"/>
        <v>0.00359042553191489</v>
      </c>
      <c r="AC97" s="46">
        <v>0.06</v>
      </c>
      <c r="AD97" s="47"/>
      <c r="AF97" s="55" t="s">
        <v>114</v>
      </c>
      <c r="AG97" s="39">
        <f t="shared" si="32"/>
        <v>6</v>
      </c>
      <c r="AH97" s="39">
        <f t="shared" si="33"/>
        <v>6</v>
      </c>
      <c r="AI97" s="39">
        <f t="shared" si="34"/>
        <v>0</v>
      </c>
      <c r="AJ97" s="39">
        <f t="shared" si="35"/>
        <v>0</v>
      </c>
      <c r="AK97" s="39">
        <f t="shared" si="36"/>
        <v>0</v>
      </c>
      <c r="AL97" s="39">
        <f t="shared" si="37"/>
        <v>0</v>
      </c>
      <c r="AM97" s="39">
        <f t="shared" si="38"/>
        <v>0</v>
      </c>
      <c r="AN97" s="39">
        <f t="shared" si="39"/>
        <v>0</v>
      </c>
    </row>
    <row r="98" s="6" customFormat="1" ht="50" hidden="1" customHeight="1" spans="1:40">
      <c r="A98" s="37" t="s">
        <v>108</v>
      </c>
      <c r="B98" s="37" t="s">
        <v>109</v>
      </c>
      <c r="C98" s="37" t="str">
        <f>_xlfn.XLOOKUP(F98,'6月产品包'!B:B,'6月产品包'!H:H)</f>
        <v>鼠标垫</v>
      </c>
      <c r="D98" s="38" t="str">
        <f>_xlfn.XLOOKUP(F98,'6月产品包'!B:B,'6月产品包'!O:O)</f>
        <v>RGB鼠标垫</v>
      </c>
      <c r="E98" s="38" t="s">
        <v>276</v>
      </c>
      <c r="F98" s="37" t="s">
        <v>277</v>
      </c>
      <c r="G98" s="39" t="s">
        <v>126</v>
      </c>
      <c r="H98" s="37" t="s">
        <v>101</v>
      </c>
      <c r="I98" s="37" t="str">
        <f>_xlfn.XLOOKUP($F98,'6月库存'!A:A,'6月库存'!B:B)</f>
        <v>正常销售</v>
      </c>
      <c r="J98" s="12"/>
      <c r="K98" s="39" t="e">
        <f>_xlfn.XLOOKUP(E98,'[1]6月分配 '!$B:$B,'[1]6月分配 '!$K:$K)</f>
        <v>#N/A</v>
      </c>
      <c r="L98" s="12" t="str">
        <f t="shared" si="41"/>
        <v>否</v>
      </c>
      <c r="M98" s="40" t="str">
        <f>_xlfn.XLOOKUP(F98,'6月产品包'!B:B,'6月产品包'!J:J)</f>
        <v>2025-01-07</v>
      </c>
      <c r="N98" s="39" t="str">
        <f ca="1" t="shared" si="47"/>
        <v>老品</v>
      </c>
      <c r="O98" s="37">
        <f>_xlfn.XLOOKUP(F98,'6月库存'!A:A,'6月库存'!R:R)</f>
        <v>15</v>
      </c>
      <c r="P98" s="39">
        <f>_xlfn.XLOOKUP(F98,'6月产品包'!B:B,'6月产品包'!S:S)</f>
        <v>525</v>
      </c>
      <c r="Q98" s="39"/>
      <c r="R98" s="41">
        <f>_xlfn.XLOOKUP(F98,'6月产品包'!B:B,'6月产品包'!AD:AD)</f>
        <v>9.5932</v>
      </c>
      <c r="S98" s="39">
        <v>18</v>
      </c>
      <c r="T98" s="39">
        <f t="shared" si="42"/>
        <v>23</v>
      </c>
      <c r="U98" s="42">
        <f t="shared" si="46"/>
        <v>18.4</v>
      </c>
      <c r="V98" s="43">
        <v>0.2</v>
      </c>
      <c r="W98" s="44">
        <f t="shared" si="43"/>
        <v>0.478630434782609</v>
      </c>
      <c r="X98" s="44">
        <f t="shared" si="44"/>
        <v>0.272492871443305</v>
      </c>
      <c r="Y98" s="44">
        <v>0.04</v>
      </c>
      <c r="Z98" s="46">
        <v>0.105</v>
      </c>
      <c r="AA98" s="46">
        <v>0.049</v>
      </c>
      <c r="AB98" s="46">
        <f t="shared" si="45"/>
        <v>0.0293478260869565</v>
      </c>
      <c r="AC98" s="46">
        <v>0.06</v>
      </c>
      <c r="AD98" s="47"/>
      <c r="AF98" s="48" t="s">
        <v>102</v>
      </c>
      <c r="AG98" s="39">
        <f t="shared" si="32"/>
        <v>0</v>
      </c>
      <c r="AH98" s="39">
        <f t="shared" si="33"/>
        <v>0</v>
      </c>
      <c r="AI98" s="39">
        <f t="shared" si="34"/>
        <v>0</v>
      </c>
      <c r="AJ98" s="39">
        <f t="shared" si="35"/>
        <v>0</v>
      </c>
      <c r="AK98" s="39">
        <f t="shared" si="36"/>
        <v>0</v>
      </c>
      <c r="AL98" s="39">
        <f t="shared" si="37"/>
        <v>0</v>
      </c>
      <c r="AM98" s="39">
        <f t="shared" si="38"/>
        <v>0</v>
      </c>
      <c r="AN98" s="39">
        <f t="shared" si="39"/>
        <v>0</v>
      </c>
    </row>
    <row r="99" s="6" customFormat="1" ht="50" hidden="1" customHeight="1" spans="1:40">
      <c r="A99" s="37" t="s">
        <v>108</v>
      </c>
      <c r="B99" s="37" t="s">
        <v>278</v>
      </c>
      <c r="C99" s="37" t="str">
        <f>_xlfn.XLOOKUP(F99,'6月产品包'!B:B,'6月产品包'!H:H)</f>
        <v>游戏手柄</v>
      </c>
      <c r="D99" s="38" t="str">
        <f>_xlfn.XLOOKUP(F99,'6月产品包'!B:B,'6月产品包'!O:O)</f>
        <v>X3游戏手柄</v>
      </c>
      <c r="E99" s="38" t="s">
        <v>279</v>
      </c>
      <c r="F99" s="39" t="s">
        <v>280</v>
      </c>
      <c r="G99" s="39" t="s">
        <v>100</v>
      </c>
      <c r="H99" s="37" t="s">
        <v>107</v>
      </c>
      <c r="I99" s="37" t="str">
        <f>_xlfn.XLOOKUP($F99,'6月库存'!A:A,'6月库存'!B:B)</f>
        <v>正常销售</v>
      </c>
      <c r="J99" s="12"/>
      <c r="K99" s="39">
        <f>_xlfn.XLOOKUP(E99,'[1]6月分配 '!$B:$B,'[1]6月分配 '!$K:$K)</f>
        <v>9965</v>
      </c>
      <c r="L99" s="12" t="str">
        <f t="shared" si="41"/>
        <v>是</v>
      </c>
      <c r="M99" s="40" t="str">
        <f>_xlfn.XLOOKUP(F99,'6月产品包'!B:B,'6月产品包'!J:J)</f>
        <v>2024-06-01</v>
      </c>
      <c r="N99" s="39" t="s">
        <v>155</v>
      </c>
      <c r="O99" s="37">
        <f>_xlfn.XLOOKUP(F99,'6月库存'!A:A,'6月库存'!R:R)</f>
        <v>998</v>
      </c>
      <c r="P99" s="39">
        <f>_xlfn.XLOOKUP(F99,'6月产品包'!B:B,'6月产品包'!S:S)</f>
        <v>250</v>
      </c>
      <c r="Q99" s="39"/>
      <c r="R99" s="41">
        <f>_xlfn.XLOOKUP(F99,'6月产品包'!B:B,'6月产品包'!AD:AD)</f>
        <v>14.4652</v>
      </c>
      <c r="S99" s="39">
        <v>28</v>
      </c>
      <c r="T99" s="39">
        <f t="shared" si="42"/>
        <v>35</v>
      </c>
      <c r="U99" s="42">
        <f t="shared" si="46"/>
        <v>28</v>
      </c>
      <c r="V99" s="43">
        <v>0.2</v>
      </c>
      <c r="W99" s="44">
        <f t="shared" si="43"/>
        <v>0.483385714285714</v>
      </c>
      <c r="X99" s="44">
        <f t="shared" si="44"/>
        <v>0.286162652980655</v>
      </c>
      <c r="Y99" s="44">
        <v>0.038</v>
      </c>
      <c r="Z99" s="46">
        <v>0.09</v>
      </c>
      <c r="AA99" s="46">
        <v>0.049</v>
      </c>
      <c r="AB99" s="46">
        <f t="shared" si="45"/>
        <v>0.0192857142857143</v>
      </c>
      <c r="AC99" s="46">
        <v>0.08</v>
      </c>
      <c r="AD99" s="50">
        <v>0.08</v>
      </c>
      <c r="AE99" s="58">
        <v>0.05</v>
      </c>
      <c r="AF99" s="55" t="s">
        <v>114</v>
      </c>
      <c r="AG99" s="39">
        <f t="shared" si="32"/>
        <v>0</v>
      </c>
      <c r="AH99" s="39">
        <f t="shared" si="33"/>
        <v>0</v>
      </c>
      <c r="AI99" s="39">
        <f t="shared" si="34"/>
        <v>0</v>
      </c>
      <c r="AJ99" s="39">
        <f t="shared" si="35"/>
        <v>0</v>
      </c>
      <c r="AK99" s="39">
        <f t="shared" si="36"/>
        <v>0</v>
      </c>
      <c r="AL99" s="39">
        <f t="shared" si="37"/>
        <v>0</v>
      </c>
      <c r="AM99" s="39">
        <f t="shared" si="38"/>
        <v>0</v>
      </c>
      <c r="AN99" s="39">
        <f t="shared" si="39"/>
        <v>0</v>
      </c>
    </row>
    <row r="100" s="6" customFormat="1" ht="50" hidden="1" customHeight="1" spans="1:40">
      <c r="A100" s="37" t="s">
        <v>108</v>
      </c>
      <c r="B100" s="56" t="s">
        <v>109</v>
      </c>
      <c r="C100" s="37" t="str">
        <f>_xlfn.XLOOKUP(F100,'6月产品包'!B:B,'6月产品包'!H:H)</f>
        <v>电视支架</v>
      </c>
      <c r="D100" s="38" t="str">
        <f>_xlfn.XLOOKUP(F100,'6月产品包'!B:B,'6月产品包'!O:O)</f>
        <v>显示器桌面支架</v>
      </c>
      <c r="E100" s="38" t="s">
        <v>281</v>
      </c>
      <c r="F100" s="37" t="s">
        <v>282</v>
      </c>
      <c r="G100" s="39" t="e">
        <v>#N/A</v>
      </c>
      <c r="H100" s="37" t="s">
        <v>101</v>
      </c>
      <c r="I100" s="37" t="str">
        <f>_xlfn.XLOOKUP($F100,'6月库存'!A:A,'6月库存'!B:B)</f>
        <v>正常销售</v>
      </c>
      <c r="J100" s="12"/>
      <c r="K100" s="39">
        <f>_xlfn.XLOOKUP(E100,'[1]6月分配 '!$B:$B,'[1]6月分配 '!$K:$K)</f>
        <v>9777</v>
      </c>
      <c r="L100" s="12" t="str">
        <f t="shared" si="41"/>
        <v>是</v>
      </c>
      <c r="M100" s="40" t="str">
        <f>_xlfn.XLOOKUP(F100,'6月产品包'!B:B,'6月产品包'!J:J)</f>
        <v>2025-09-18</v>
      </c>
      <c r="N100" s="39" t="str">
        <f ca="1" t="shared" ref="N100:N123" si="48">IF(DATEDIF(M100,TODAY(),"m")&lt;6,"新品","老品")</f>
        <v>老品</v>
      </c>
      <c r="O100" s="37">
        <f>_xlfn.XLOOKUP(F100,'6月库存'!A:A,'6月库存'!R:R)</f>
        <v>56</v>
      </c>
      <c r="P100" s="39">
        <f>_xlfn.XLOOKUP(F100,'6月产品包'!B:B,'6月产品包'!S:S)</f>
        <v>6890</v>
      </c>
      <c r="Q100" s="39"/>
      <c r="R100" s="41">
        <f>_xlfn.XLOOKUP(F100,'6月产品包'!B:B,'6月产品包'!AD:AD)</f>
        <v>72.6972</v>
      </c>
      <c r="S100" s="39">
        <v>140</v>
      </c>
      <c r="T100" s="39">
        <f t="shared" si="42"/>
        <v>175</v>
      </c>
      <c r="U100" s="42">
        <f t="shared" si="46"/>
        <v>140</v>
      </c>
      <c r="V100" s="43">
        <v>0.2</v>
      </c>
      <c r="W100" s="44">
        <f t="shared" si="43"/>
        <v>0.480734285714286</v>
      </c>
      <c r="X100" s="44">
        <f t="shared" si="44"/>
        <v>0.304066628374497</v>
      </c>
      <c r="Y100" s="51">
        <v>0.038</v>
      </c>
      <c r="Z100" s="46">
        <v>0.103</v>
      </c>
      <c r="AA100" s="46">
        <v>0.049</v>
      </c>
      <c r="AB100" s="46">
        <f t="shared" si="45"/>
        <v>0.00385714285714286</v>
      </c>
      <c r="AC100" s="46">
        <v>0.06</v>
      </c>
      <c r="AD100" s="47"/>
      <c r="AF100" s="55" t="s">
        <v>114</v>
      </c>
      <c r="AG100" s="39">
        <f t="shared" si="32"/>
        <v>6</v>
      </c>
      <c r="AH100" s="39">
        <f t="shared" si="33"/>
        <v>6</v>
      </c>
      <c r="AI100" s="39">
        <f t="shared" si="34"/>
        <v>0</v>
      </c>
      <c r="AJ100" s="39">
        <f t="shared" si="35"/>
        <v>0</v>
      </c>
      <c r="AK100" s="39">
        <f t="shared" si="36"/>
        <v>0</v>
      </c>
      <c r="AL100" s="39">
        <f t="shared" si="37"/>
        <v>0</v>
      </c>
      <c r="AM100" s="39">
        <f t="shared" si="38"/>
        <v>0</v>
      </c>
      <c r="AN100" s="39">
        <f t="shared" si="39"/>
        <v>0</v>
      </c>
    </row>
    <row r="101" s="6" customFormat="1" ht="50" hidden="1" customHeight="1" spans="1:40">
      <c r="A101" s="37" t="s">
        <v>96</v>
      </c>
      <c r="B101" s="37" t="s">
        <v>97</v>
      </c>
      <c r="C101" s="37" t="str">
        <f>_xlfn.XLOOKUP(F101,'6月产品包'!B:B,'6月产品包'!H:H)</f>
        <v>橡胶减速带</v>
      </c>
      <c r="D101" s="38" t="str">
        <f>_xlfn.XLOOKUP(F101,'6月产品包'!B:B,'6月产品包'!O:O)</f>
        <v>道路减速带</v>
      </c>
      <c r="E101" s="38" t="s">
        <v>283</v>
      </c>
      <c r="F101" s="37" t="s">
        <v>284</v>
      </c>
      <c r="G101" s="39" t="s">
        <v>126</v>
      </c>
      <c r="H101" s="37" t="s">
        <v>107</v>
      </c>
      <c r="I101" s="37" t="str">
        <f>_xlfn.XLOOKUP($F101,'6月库存'!A:A,'6月库存'!B:B)</f>
        <v>正常销售</v>
      </c>
      <c r="J101" s="12"/>
      <c r="K101" s="39">
        <f>_xlfn.XLOOKUP(E101,'[1]6月分配 '!$B:$B,'[1]6月分配 '!$K:$K)</f>
        <v>9671</v>
      </c>
      <c r="L101" s="12" t="str">
        <f t="shared" si="41"/>
        <v>是</v>
      </c>
      <c r="M101" s="40" t="str">
        <f>_xlfn.XLOOKUP(F101,'6月产品包'!B:B,'6月产品包'!J:J)</f>
        <v>2025-07-03</v>
      </c>
      <c r="N101" s="39" t="str">
        <f ca="1" t="shared" si="48"/>
        <v>老品</v>
      </c>
      <c r="O101" s="37">
        <f>_xlfn.XLOOKUP(F101,'6月库存'!A:A,'6月库存'!R:R)</f>
        <v>355</v>
      </c>
      <c r="P101" s="39">
        <f>_xlfn.XLOOKUP(F101,'6月产品包'!B:B,'6月产品包'!S:S)</f>
        <v>5500</v>
      </c>
      <c r="Q101" s="39"/>
      <c r="R101" s="41">
        <f>_xlfn.XLOOKUP(F101,'6月产品包'!B:B,'6月产品包'!AD:AD)</f>
        <v>18.4208</v>
      </c>
      <c r="S101" s="39">
        <v>35</v>
      </c>
      <c r="T101" s="39">
        <f t="shared" si="42"/>
        <v>44</v>
      </c>
      <c r="U101" s="42">
        <f t="shared" si="46"/>
        <v>35.2</v>
      </c>
      <c r="V101" s="43">
        <v>0.2</v>
      </c>
      <c r="W101" s="44">
        <f t="shared" si="43"/>
        <v>0.476681818181818</v>
      </c>
      <c r="X101" s="44">
        <f t="shared" si="44"/>
        <v>0.29056906060326</v>
      </c>
      <c r="Y101" s="51">
        <v>0.038</v>
      </c>
      <c r="Z101" s="46">
        <v>0.1</v>
      </c>
      <c r="AA101" s="46">
        <v>0.049</v>
      </c>
      <c r="AB101" s="46">
        <f t="shared" si="45"/>
        <v>0.0153409090909091</v>
      </c>
      <c r="AC101" s="46">
        <v>0.06</v>
      </c>
      <c r="AD101" s="47"/>
      <c r="AF101" s="55" t="s">
        <v>114</v>
      </c>
      <c r="AG101" s="39">
        <f t="shared" si="32"/>
        <v>0</v>
      </c>
      <c r="AH101" s="39">
        <f t="shared" si="33"/>
        <v>0</v>
      </c>
      <c r="AI101" s="39">
        <f t="shared" si="34"/>
        <v>0</v>
      </c>
      <c r="AJ101" s="39">
        <f t="shared" si="35"/>
        <v>0</v>
      </c>
      <c r="AK101" s="39">
        <f t="shared" si="36"/>
        <v>0</v>
      </c>
      <c r="AL101" s="39">
        <f t="shared" si="37"/>
        <v>0</v>
      </c>
      <c r="AM101" s="39">
        <f t="shared" si="38"/>
        <v>0</v>
      </c>
      <c r="AN101" s="39">
        <f t="shared" si="39"/>
        <v>0</v>
      </c>
    </row>
    <row r="102" s="6" customFormat="1" ht="50" hidden="1" customHeight="1" spans="1:40">
      <c r="A102" s="37" t="s">
        <v>108</v>
      </c>
      <c r="B102" s="37" t="s">
        <v>109</v>
      </c>
      <c r="C102" s="37" t="str">
        <f>_xlfn.XLOOKUP(F102,'6月产品包'!B:B,'6月产品包'!H:H)</f>
        <v>电脑机箱</v>
      </c>
      <c r="D102" s="38" t="str">
        <f>_xlfn.XLOOKUP(F102,'6月产品包'!B:B,'6月产品包'!O:O)</f>
        <v>电脑机箱T8风扇款</v>
      </c>
      <c r="E102" s="38" t="s">
        <v>285</v>
      </c>
      <c r="F102" s="39" t="s">
        <v>286</v>
      </c>
      <c r="G102" s="39" t="s">
        <v>106</v>
      </c>
      <c r="H102" s="39" t="s">
        <v>101</v>
      </c>
      <c r="I102" s="37" t="str">
        <f>_xlfn.XLOOKUP($F102,'6月库存'!A:A,'6月库存'!B:B)</f>
        <v>正常销售</v>
      </c>
      <c r="J102" s="12"/>
      <c r="K102" s="39">
        <f>_xlfn.XLOOKUP(E102,'[1]6月分配 '!$B:$B,'[1]6月分配 '!$K:$K)</f>
        <v>9248</v>
      </c>
      <c r="L102" s="12" t="str">
        <f t="shared" si="41"/>
        <v>是</v>
      </c>
      <c r="M102" s="40" t="str">
        <f>_xlfn.XLOOKUP(F102,'6月产品包'!B:B,'6月产品包'!J:J)</f>
        <v>2025-12-23</v>
      </c>
      <c r="N102" s="39" t="str">
        <f ca="1" t="shared" si="48"/>
        <v>新品</v>
      </c>
      <c r="O102" s="37">
        <f>_xlfn.XLOOKUP(F102,'6月库存'!A:A,'6月库存'!R:R)</f>
        <v>93</v>
      </c>
      <c r="P102" s="39">
        <f>_xlfn.XLOOKUP(F102,'6月产品包'!B:B,'6月产品包'!S:S)</f>
        <v>3500</v>
      </c>
      <c r="Q102" s="39"/>
      <c r="R102" s="41">
        <f>_xlfn.XLOOKUP(F102,'6月产品包'!B:B,'6月产品包'!AD:AD)</f>
        <v>48.5402</v>
      </c>
      <c r="S102" s="15">
        <v>90</v>
      </c>
      <c r="T102" s="39">
        <f t="shared" si="42"/>
        <v>113</v>
      </c>
      <c r="U102" s="42">
        <f t="shared" si="46"/>
        <v>90.4</v>
      </c>
      <c r="V102" s="43">
        <v>0.2</v>
      </c>
      <c r="W102" s="44">
        <f t="shared" si="43"/>
        <v>0.463050884955752</v>
      </c>
      <c r="X102" s="44">
        <f t="shared" si="44"/>
        <v>0.292581905095022</v>
      </c>
      <c r="Y102" s="52">
        <v>0.04</v>
      </c>
      <c r="Z102" s="46">
        <v>0.086</v>
      </c>
      <c r="AA102" s="46">
        <v>0.049</v>
      </c>
      <c r="AB102" s="46">
        <f t="shared" si="45"/>
        <v>0.00597345132743363</v>
      </c>
      <c r="AC102" s="46">
        <v>0.06</v>
      </c>
      <c r="AD102" s="47"/>
      <c r="AF102" s="55" t="s">
        <v>114</v>
      </c>
      <c r="AG102" s="39">
        <f t="shared" si="32"/>
        <v>5.424</v>
      </c>
      <c r="AH102" s="39">
        <f t="shared" si="33"/>
        <v>5.424</v>
      </c>
      <c r="AI102" s="39">
        <f t="shared" si="34"/>
        <v>0</v>
      </c>
      <c r="AJ102" s="39">
        <f t="shared" si="35"/>
        <v>0</v>
      </c>
      <c r="AK102" s="39">
        <f t="shared" si="36"/>
        <v>0</v>
      </c>
      <c r="AL102" s="39">
        <f t="shared" si="37"/>
        <v>0</v>
      </c>
      <c r="AM102" s="39">
        <f t="shared" si="38"/>
        <v>0</v>
      </c>
      <c r="AN102" s="39">
        <f t="shared" si="39"/>
        <v>0</v>
      </c>
    </row>
    <row r="103" s="6" customFormat="1" ht="50" hidden="1" customHeight="1" spans="1:40">
      <c r="A103" s="37" t="s">
        <v>96</v>
      </c>
      <c r="B103" s="37" t="s">
        <v>127</v>
      </c>
      <c r="C103" s="37" t="str">
        <f>_xlfn.XLOOKUP(F103,'6月产品包'!B:B,'6月产品包'!H:H)</f>
        <v>保险箱</v>
      </c>
      <c r="D103" s="38" t="str">
        <f>_xlfn.XLOOKUP(F103,'6月产品包'!B:B,'6月产品包'!O:O)</f>
        <v>大尺寸保险箱</v>
      </c>
      <c r="E103" s="38" t="s">
        <v>287</v>
      </c>
      <c r="F103" s="39" t="s">
        <v>288</v>
      </c>
      <c r="G103" s="39" t="s">
        <v>154</v>
      </c>
      <c r="H103" s="37" t="s">
        <v>101</v>
      </c>
      <c r="I103" s="37" t="str">
        <f>_xlfn.XLOOKUP($F103,'6月库存'!A:A,'6月库存'!B:B)</f>
        <v>正常销售</v>
      </c>
      <c r="J103" s="12"/>
      <c r="K103" s="39">
        <f>_xlfn.XLOOKUP(E103,'[1]6月分配 '!$B:$B,'[1]6月分配 '!$K:$K)</f>
        <v>9012</v>
      </c>
      <c r="L103" s="12" t="str">
        <f t="shared" si="41"/>
        <v>是</v>
      </c>
      <c r="M103" s="40" t="str">
        <f>_xlfn.XLOOKUP(F103,'6月产品包'!B:B,'6月产品包'!J:J)</f>
        <v>2025-03-15</v>
      </c>
      <c r="N103" s="39" t="str">
        <f ca="1" t="shared" si="48"/>
        <v>老品</v>
      </c>
      <c r="O103" s="37">
        <f>_xlfn.XLOOKUP(F103,'6月库存'!A:A,'6月库存'!R:R)</f>
        <v>22</v>
      </c>
      <c r="P103" s="39">
        <f>_xlfn.XLOOKUP(F103,'6月产品包'!B:B,'6月产品包'!S:S)</f>
        <v>35000</v>
      </c>
      <c r="Q103" s="39"/>
      <c r="R103" s="41">
        <f>_xlfn.XLOOKUP(F103,'6月产品包'!B:B,'6月产品包'!AD:AD)</f>
        <v>387.1848</v>
      </c>
      <c r="S103" s="39">
        <v>499</v>
      </c>
      <c r="T103" s="39">
        <f t="shared" si="42"/>
        <v>624</v>
      </c>
      <c r="U103" s="42">
        <f t="shared" si="46"/>
        <v>499.2</v>
      </c>
      <c r="V103" s="43">
        <v>0.2</v>
      </c>
      <c r="W103" s="44">
        <f t="shared" si="43"/>
        <v>0.224389423076923</v>
      </c>
      <c r="X103" s="44">
        <f t="shared" si="44"/>
        <v>-0.034260143733612</v>
      </c>
      <c r="Y103" s="52">
        <v>0.04</v>
      </c>
      <c r="Z103" s="46">
        <v>0.1</v>
      </c>
      <c r="AA103" s="46">
        <v>0.049</v>
      </c>
      <c r="AB103" s="46">
        <f t="shared" si="45"/>
        <v>0.00108173076923077</v>
      </c>
      <c r="AC103" s="46">
        <v>0.06</v>
      </c>
      <c r="AD103" s="49"/>
      <c r="AF103" s="55" t="s">
        <v>114</v>
      </c>
      <c r="AG103" s="39">
        <f t="shared" si="32"/>
        <v>41.9328</v>
      </c>
      <c r="AH103" s="39">
        <f t="shared" si="33"/>
        <v>6</v>
      </c>
      <c r="AI103" s="39">
        <f t="shared" si="34"/>
        <v>21</v>
      </c>
      <c r="AJ103" s="39">
        <f t="shared" si="35"/>
        <v>41.9328</v>
      </c>
      <c r="AK103" s="39">
        <f t="shared" si="36"/>
        <v>37.44</v>
      </c>
      <c r="AL103" s="39">
        <f t="shared" si="37"/>
        <v>32.9472</v>
      </c>
      <c r="AM103" s="39">
        <f t="shared" si="38"/>
        <v>26.9568</v>
      </c>
      <c r="AN103" s="39">
        <f t="shared" si="39"/>
        <v>18</v>
      </c>
    </row>
    <row r="104" s="6" customFormat="1" ht="50" hidden="1" customHeight="1" spans="1:40">
      <c r="A104" s="39" t="str">
        <f>_xlfn.XLOOKUP(F104,'6月产品包'!B:B,'6月产品包'!F:F)</f>
        <v>3C数码</v>
      </c>
      <c r="B104" s="39" t="str">
        <f>_xlfn.XLOOKUP(F104,'6月产品包'!B:B,'6月产品包'!G:G)</f>
        <v>影像摄影</v>
      </c>
      <c r="C104" s="37" t="str">
        <f>_xlfn.XLOOKUP(F104,'6月产品包'!B:B,'6月产品包'!H:H)</f>
        <v>投影幕布</v>
      </c>
      <c r="D104" s="38" t="str">
        <f>_xlfn.XLOOKUP(F104,'6月产品包'!B:B,'6月产品包'!O:O)</f>
        <v>16:09电动幕布</v>
      </c>
      <c r="E104" s="38" t="str">
        <f>_xlfn.XLOOKUP(F104,'6月产品包'!B:B,'6月产品包'!C:C)</f>
        <v>3C-84寸16比9电子限位白塑电动幕布</v>
      </c>
      <c r="F104" s="37" t="s">
        <v>289</v>
      </c>
      <c r="G104" s="39" t="s">
        <v>106</v>
      </c>
      <c r="H104" s="37" t="s">
        <v>101</v>
      </c>
      <c r="I104" s="37" t="str">
        <f>_xlfn.XLOOKUP($F104,'6月库存'!A:A,'6月库存'!B:B)</f>
        <v>正常销售</v>
      </c>
      <c r="J104" s="12"/>
      <c r="K104" s="39" t="e">
        <f>_xlfn.XLOOKUP(E104,'[1]6月分配 '!$B:$B,'[1]6月分配 '!$K:$K)</f>
        <v>#N/A</v>
      </c>
      <c r="L104" s="12" t="str">
        <f t="shared" si="41"/>
        <v>否</v>
      </c>
      <c r="M104" s="40" t="str">
        <f>_xlfn.XLOOKUP(F104,'6月产品包'!B:B,'6月产品包'!J:J)</f>
        <v>2025-08-21</v>
      </c>
      <c r="N104" s="39" t="str">
        <f ca="1" t="shared" si="48"/>
        <v>老品</v>
      </c>
      <c r="O104" s="37">
        <f>_xlfn.XLOOKUP(F104,'6月库存'!A:A,'6月库存'!R:R)</f>
        <v>13</v>
      </c>
      <c r="P104" s="39">
        <f>_xlfn.XLOOKUP(F104,'6月产品包'!B:B,'6月产品包'!S:S)</f>
        <v>5750</v>
      </c>
      <c r="Q104" s="39"/>
      <c r="R104" s="41">
        <f>_xlfn.XLOOKUP(F104,'6月产品包'!B:B,'6月产品包'!AD:AD)</f>
        <v>100.4618</v>
      </c>
      <c r="S104" s="39">
        <v>185</v>
      </c>
      <c r="T104" s="39">
        <f t="shared" si="42"/>
        <v>231</v>
      </c>
      <c r="U104" s="42">
        <f t="shared" si="46"/>
        <v>184.8</v>
      </c>
      <c r="V104" s="43">
        <v>0.2</v>
      </c>
      <c r="W104" s="44">
        <f t="shared" si="43"/>
        <v>0.456375541125541</v>
      </c>
      <c r="X104" s="44">
        <f t="shared" si="44"/>
        <v>0.260453289988987</v>
      </c>
      <c r="Y104" s="44">
        <v>0.038</v>
      </c>
      <c r="Z104" s="46">
        <v>0.115</v>
      </c>
      <c r="AA104" s="46">
        <v>0.049</v>
      </c>
      <c r="AB104" s="46">
        <f t="shared" si="45"/>
        <v>0.00292207792207792</v>
      </c>
      <c r="AC104" s="46">
        <v>0.06</v>
      </c>
      <c r="AD104" s="47"/>
      <c r="AF104" s="48" t="s">
        <v>102</v>
      </c>
      <c r="AG104" s="39">
        <f t="shared" si="32"/>
        <v>8.316</v>
      </c>
      <c r="AH104" s="39">
        <f t="shared" si="33"/>
        <v>6</v>
      </c>
      <c r="AI104" s="39">
        <f t="shared" si="34"/>
        <v>0</v>
      </c>
      <c r="AJ104" s="39">
        <f t="shared" si="35"/>
        <v>0</v>
      </c>
      <c r="AK104" s="39">
        <f t="shared" si="36"/>
        <v>0</v>
      </c>
      <c r="AL104" s="39">
        <f t="shared" si="37"/>
        <v>0</v>
      </c>
      <c r="AM104" s="39">
        <f t="shared" si="38"/>
        <v>0</v>
      </c>
      <c r="AN104" s="39">
        <f t="shared" si="39"/>
        <v>8.316</v>
      </c>
    </row>
    <row r="105" s="6" customFormat="1" ht="50" hidden="1" customHeight="1" spans="1:40">
      <c r="A105" s="37" t="s">
        <v>108</v>
      </c>
      <c r="B105" s="37" t="s">
        <v>206</v>
      </c>
      <c r="C105" s="37" t="str">
        <f>_xlfn.XLOOKUP(F105,'6月产品包'!B:B,'6月产品包'!H:H)</f>
        <v>自拍杆</v>
      </c>
      <c r="D105" s="38" t="str">
        <f>_xlfn.XLOOKUP(F105,'6月产品包'!B:B,'6月产品包'!O:O)</f>
        <v>跟拍自动支撑自拍杆Q625</v>
      </c>
      <c r="E105" s="38" t="s">
        <v>290</v>
      </c>
      <c r="F105" s="39" t="s">
        <v>291</v>
      </c>
      <c r="G105" s="39" t="e">
        <v>#N/A</v>
      </c>
      <c r="H105" s="39" t="s">
        <v>101</v>
      </c>
      <c r="I105" s="37" t="str">
        <f>_xlfn.XLOOKUP($F105,'6月库存'!A:A,'6月库存'!B:B)</f>
        <v>正常销售</v>
      </c>
      <c r="J105" s="12"/>
      <c r="K105" s="39">
        <f>_xlfn.XLOOKUP(E105,'[1]6月分配 '!$B:$B,'[1]6月分配 '!$K:$K)</f>
        <v>8850</v>
      </c>
      <c r="L105" s="12" t="str">
        <f t="shared" si="41"/>
        <v>是</v>
      </c>
      <c r="M105" s="40" t="str">
        <f>_xlfn.XLOOKUP(F105,'6月产品包'!B:B,'6月产品包'!J:J)</f>
        <v>2026-01-10</v>
      </c>
      <c r="N105" s="39" t="str">
        <f ca="1" t="shared" si="48"/>
        <v>新品</v>
      </c>
      <c r="O105" s="37">
        <f>_xlfn.XLOOKUP(F105,'6月库存'!A:A,'6月库存'!R:R)</f>
        <v>78</v>
      </c>
      <c r="P105" s="39">
        <f>_xlfn.XLOOKUP(F105,'6月产品包'!B:B,'6月产品包'!S:S)</f>
        <v>851</v>
      </c>
      <c r="Q105" s="39"/>
      <c r="R105" s="41">
        <f>_xlfn.XLOOKUP(F105,'6月产品包'!B:B,'6月产品包'!AD:AD)</f>
        <v>46.2434</v>
      </c>
      <c r="S105" s="39">
        <v>85</v>
      </c>
      <c r="T105" s="39">
        <f t="shared" si="42"/>
        <v>106</v>
      </c>
      <c r="U105" s="42">
        <f t="shared" si="46"/>
        <v>84.8</v>
      </c>
      <c r="V105" s="43">
        <v>0.2</v>
      </c>
      <c r="W105" s="44">
        <f t="shared" si="43"/>
        <v>0.454676886792453</v>
      </c>
      <c r="X105" s="44">
        <f t="shared" si="44"/>
        <v>0.279275712878571</v>
      </c>
      <c r="Y105" s="51">
        <v>0.038</v>
      </c>
      <c r="Z105" s="46">
        <v>0.09</v>
      </c>
      <c r="AA105" s="46">
        <v>0.049</v>
      </c>
      <c r="AB105" s="46">
        <f t="shared" si="45"/>
        <v>0.00636792452830189</v>
      </c>
      <c r="AC105" s="46">
        <v>0.06</v>
      </c>
      <c r="AD105" s="47"/>
      <c r="AF105" s="55" t="s">
        <v>114</v>
      </c>
      <c r="AG105" s="39">
        <f t="shared" si="32"/>
        <v>5.088</v>
      </c>
      <c r="AH105" s="39">
        <f t="shared" si="33"/>
        <v>5.088</v>
      </c>
      <c r="AI105" s="39">
        <f t="shared" si="34"/>
        <v>0</v>
      </c>
      <c r="AJ105" s="39">
        <f t="shared" si="35"/>
        <v>0</v>
      </c>
      <c r="AK105" s="39">
        <f t="shared" si="36"/>
        <v>0</v>
      </c>
      <c r="AL105" s="39">
        <f t="shared" si="37"/>
        <v>0</v>
      </c>
      <c r="AM105" s="39">
        <f t="shared" si="38"/>
        <v>0</v>
      </c>
      <c r="AN105" s="39">
        <f t="shared" si="39"/>
        <v>0</v>
      </c>
    </row>
    <row r="106" s="6" customFormat="1" ht="50" hidden="1" customHeight="1" spans="1:40">
      <c r="A106" s="37" t="s">
        <v>96</v>
      </c>
      <c r="B106" s="37" t="s">
        <v>115</v>
      </c>
      <c r="C106" s="37" t="str">
        <f>_xlfn.XLOOKUP(F106,'6月产品包'!B:B,'6月产品包'!H:H)</f>
        <v>打印机</v>
      </c>
      <c r="D106" s="38" t="str">
        <f>_xlfn.XLOOKUP(F106,'6月产品包'!B:B,'6月产品包'!O:O)</f>
        <v>小票打印机</v>
      </c>
      <c r="E106" s="38" t="s">
        <v>292</v>
      </c>
      <c r="F106" s="37" t="s">
        <v>293</v>
      </c>
      <c r="G106" s="39" t="e">
        <v>#N/A</v>
      </c>
      <c r="H106" s="37" t="s">
        <v>101</v>
      </c>
      <c r="I106" s="37" t="str">
        <f>_xlfn.XLOOKUP($F106,'6月库存'!A:A,'6月库存'!B:B)</f>
        <v>等待开发</v>
      </c>
      <c r="J106" s="12"/>
      <c r="K106" s="39" t="e">
        <f>_xlfn.XLOOKUP(E106,'[1]6月分配 '!$B:$B,'[1]6月分配 '!$K:$K)</f>
        <v>#N/A</v>
      </c>
      <c r="L106" s="12" t="str">
        <f t="shared" si="41"/>
        <v>否</v>
      </c>
      <c r="M106" s="40" t="str">
        <f>_xlfn.XLOOKUP(F106,'6月产品包'!B:B,'6月产品包'!J:J)</f>
        <v>2025-11-04</v>
      </c>
      <c r="N106" s="39" t="str">
        <f ca="1" t="shared" si="48"/>
        <v>老品</v>
      </c>
      <c r="O106" s="37">
        <f>_xlfn.XLOOKUP(F106,'6月库存'!A:A,'6月库存'!R:R)</f>
        <v>0</v>
      </c>
      <c r="P106" s="39">
        <f>_xlfn.XLOOKUP(F106,'6月产品包'!B:B,'6月产品包'!S:S)</f>
        <v>562</v>
      </c>
      <c r="Q106" s="39"/>
      <c r="R106" s="41">
        <f>_xlfn.XLOOKUP(F106,'6月产品包'!B:B,'6月产品包'!AD:AD)</f>
        <v>28.9362</v>
      </c>
      <c r="S106" s="39">
        <v>56</v>
      </c>
      <c r="T106" s="39">
        <f t="shared" si="42"/>
        <v>70</v>
      </c>
      <c r="U106" s="42">
        <f t="shared" si="46"/>
        <v>56</v>
      </c>
      <c r="V106" s="43">
        <v>0.2</v>
      </c>
      <c r="W106" s="44">
        <f t="shared" si="43"/>
        <v>0.483282142857143</v>
      </c>
      <c r="X106" s="44">
        <f t="shared" si="44"/>
        <v>0.303010887368725</v>
      </c>
      <c r="Y106" s="44">
        <v>0.04</v>
      </c>
      <c r="Z106" s="46">
        <v>0.1</v>
      </c>
      <c r="AA106" s="46">
        <v>0.049</v>
      </c>
      <c r="AB106" s="46">
        <f t="shared" si="45"/>
        <v>0.00964285714285714</v>
      </c>
      <c r="AC106" s="46">
        <v>0.06</v>
      </c>
      <c r="AD106" s="47"/>
      <c r="AF106" s="48" t="s">
        <v>102</v>
      </c>
      <c r="AG106" s="39">
        <f t="shared" si="32"/>
        <v>3.36</v>
      </c>
      <c r="AH106" s="39">
        <f t="shared" si="33"/>
        <v>3.36</v>
      </c>
      <c r="AI106" s="39">
        <f t="shared" si="34"/>
        <v>0</v>
      </c>
      <c r="AJ106" s="39">
        <f t="shared" si="35"/>
        <v>0</v>
      </c>
      <c r="AK106" s="39">
        <f t="shared" si="36"/>
        <v>0</v>
      </c>
      <c r="AL106" s="39">
        <f t="shared" si="37"/>
        <v>0</v>
      </c>
      <c r="AM106" s="39">
        <f t="shared" si="38"/>
        <v>0</v>
      </c>
      <c r="AN106" s="39">
        <f t="shared" si="39"/>
        <v>0</v>
      </c>
    </row>
    <row r="107" s="6" customFormat="1" ht="50" hidden="1" customHeight="1" spans="1:40">
      <c r="A107" s="37" t="s">
        <v>108</v>
      </c>
      <c r="B107" s="37" t="s">
        <v>168</v>
      </c>
      <c r="C107" s="37" t="str">
        <f>_xlfn.XLOOKUP(F107,'6月产品包'!B:B,'6月产品包'!H:H)</f>
        <v>电视支架</v>
      </c>
      <c r="D107" s="38" t="str">
        <f>_xlfn.XLOOKUP(F107,'6月产品包'!B:B,'6月产品包'!O:O)</f>
        <v>移动电视支架</v>
      </c>
      <c r="E107" s="38" t="s">
        <v>294</v>
      </c>
      <c r="F107" s="39" t="s">
        <v>52</v>
      </c>
      <c r="G107" s="39" t="s">
        <v>100</v>
      </c>
      <c r="H107" s="37" t="s">
        <v>101</v>
      </c>
      <c r="I107" s="37" t="str">
        <f>_xlfn.XLOOKUP($F107,'6月库存'!A:A,'6月库存'!B:B)</f>
        <v>正常销售</v>
      </c>
      <c r="J107" s="12"/>
      <c r="K107" s="39">
        <f>_xlfn.XLOOKUP(E107,'[1]6月分配 '!$B:$B,'[1]6月分配 '!$K:$K)</f>
        <v>8384</v>
      </c>
      <c r="L107" s="12" t="str">
        <f t="shared" si="41"/>
        <v>是</v>
      </c>
      <c r="M107" s="40" t="str">
        <f>_xlfn.XLOOKUP(F107,'6月产品包'!B:B,'6月产品包'!J:J)</f>
        <v>2024-01-01</v>
      </c>
      <c r="N107" s="39" t="str">
        <f ca="1" t="shared" si="48"/>
        <v>老品</v>
      </c>
      <c r="O107" s="37">
        <f>_xlfn.XLOOKUP(F107,'6月库存'!A:A,'6月库存'!R:R)</f>
        <v>374</v>
      </c>
      <c r="P107" s="39">
        <f>_xlfn.XLOOKUP(F107,'6月产品包'!B:B,'6月产品包'!S:S)</f>
        <v>9300</v>
      </c>
      <c r="Q107" s="39"/>
      <c r="R107" s="41">
        <f>_xlfn.XLOOKUP(F107,'6月产品包'!B:B,'6月产品包'!AD:AD)</f>
        <v>57.8898</v>
      </c>
      <c r="S107" s="39">
        <v>102</v>
      </c>
      <c r="T107" s="39">
        <f t="shared" si="42"/>
        <v>128</v>
      </c>
      <c r="U107" s="42">
        <f t="shared" si="46"/>
        <v>102.4</v>
      </c>
      <c r="V107" s="43">
        <v>0.2</v>
      </c>
      <c r="W107" s="44">
        <f t="shared" si="43"/>
        <v>0.434669921875</v>
      </c>
      <c r="X107" s="44">
        <f t="shared" si="44"/>
        <v>0.253912814855293</v>
      </c>
      <c r="Y107" s="51">
        <v>0.038</v>
      </c>
      <c r="Z107" s="46">
        <v>0.09</v>
      </c>
      <c r="AA107" s="46">
        <v>0.049</v>
      </c>
      <c r="AB107" s="46">
        <f t="shared" si="45"/>
        <v>0.0052734375</v>
      </c>
      <c r="AC107" s="46">
        <v>0.06</v>
      </c>
      <c r="AD107" s="47"/>
      <c r="AF107" s="55" t="s">
        <v>114</v>
      </c>
      <c r="AG107" s="39">
        <f t="shared" si="32"/>
        <v>6</v>
      </c>
      <c r="AH107" s="39">
        <f t="shared" si="33"/>
        <v>6</v>
      </c>
      <c r="AI107" s="39">
        <f t="shared" si="34"/>
        <v>0</v>
      </c>
      <c r="AJ107" s="39">
        <f t="shared" si="35"/>
        <v>0</v>
      </c>
      <c r="AK107" s="39">
        <f t="shared" si="36"/>
        <v>0</v>
      </c>
      <c r="AL107" s="39">
        <f t="shared" si="37"/>
        <v>0</v>
      </c>
      <c r="AM107" s="39">
        <f t="shared" si="38"/>
        <v>0</v>
      </c>
      <c r="AN107" s="39">
        <f t="shared" si="39"/>
        <v>0</v>
      </c>
    </row>
    <row r="108" s="6" customFormat="1" ht="50" hidden="1" customHeight="1" spans="1:40">
      <c r="A108" s="37" t="s">
        <v>96</v>
      </c>
      <c r="B108" s="37" t="s">
        <v>115</v>
      </c>
      <c r="C108" s="37" t="str">
        <f>_xlfn.XLOOKUP(F108,'6月产品包'!B:B,'6月产品包'!H:H)</f>
        <v>点钞机</v>
      </c>
      <c r="D108" s="38" t="str">
        <f>_xlfn.XLOOKUP(F108,'6月产品包'!B:B,'6月产品包'!O:O)</f>
        <v>997型外币点钞机</v>
      </c>
      <c r="E108" s="38" t="s">
        <v>295</v>
      </c>
      <c r="F108" s="39" t="s">
        <v>296</v>
      </c>
      <c r="G108" s="39" t="e">
        <v>#N/A</v>
      </c>
      <c r="H108" s="39" t="s">
        <v>101</v>
      </c>
      <c r="I108" s="37" t="str">
        <f>_xlfn.XLOOKUP($F108,'6月库存'!A:A,'6月库存'!B:B)</f>
        <v>正常销售</v>
      </c>
      <c r="J108" s="12"/>
      <c r="K108" s="39">
        <f>_xlfn.XLOOKUP(E108,'[1]6月分配 '!$B:$B,'[1]6月分配 '!$K:$K)</f>
        <v>8101</v>
      </c>
      <c r="L108" s="12" t="str">
        <f t="shared" si="41"/>
        <v>是</v>
      </c>
      <c r="M108" s="40" t="str">
        <f>_xlfn.XLOOKUP(F108,'6月产品包'!B:B,'6月产品包'!J:J)</f>
        <v>2025-11-18</v>
      </c>
      <c r="N108" s="39" t="str">
        <f ca="1" t="shared" si="48"/>
        <v>老品</v>
      </c>
      <c r="O108" s="37">
        <f>_xlfn.XLOOKUP(F108,'6月库存'!A:A,'6月库存'!R:R)</f>
        <v>44</v>
      </c>
      <c r="P108" s="39">
        <f>_xlfn.XLOOKUP(F108,'6月产品包'!B:B,'6月产品包'!S:S)</f>
        <v>12000</v>
      </c>
      <c r="Q108" s="39"/>
      <c r="R108" s="41">
        <f>_xlfn.XLOOKUP(F108,'6月产品包'!B:B,'6月产品包'!AD:AD)</f>
        <v>234.9174</v>
      </c>
      <c r="S108" s="39">
        <v>468</v>
      </c>
      <c r="T108" s="39">
        <f t="shared" si="42"/>
        <v>585</v>
      </c>
      <c r="U108" s="42">
        <f t="shared" si="46"/>
        <v>468</v>
      </c>
      <c r="V108" s="43">
        <v>0.2</v>
      </c>
      <c r="W108" s="44">
        <f t="shared" si="43"/>
        <v>0.498039743589744</v>
      </c>
      <c r="X108" s="44">
        <f t="shared" si="44"/>
        <v>0.332363072096037</v>
      </c>
      <c r="Y108" s="44">
        <v>0.038</v>
      </c>
      <c r="Z108" s="46">
        <v>0.1</v>
      </c>
      <c r="AA108" s="46">
        <v>0.049</v>
      </c>
      <c r="AB108" s="46">
        <f t="shared" si="45"/>
        <v>0.00115384615384615</v>
      </c>
      <c r="AC108" s="46">
        <v>0.06</v>
      </c>
      <c r="AD108" s="49"/>
      <c r="AF108" s="55" t="s">
        <v>114</v>
      </c>
      <c r="AG108" s="39">
        <f t="shared" si="32"/>
        <v>39.312</v>
      </c>
      <c r="AH108" s="39">
        <f t="shared" si="33"/>
        <v>6</v>
      </c>
      <c r="AI108" s="39">
        <f t="shared" si="34"/>
        <v>21</v>
      </c>
      <c r="AJ108" s="39">
        <f t="shared" si="35"/>
        <v>39.312</v>
      </c>
      <c r="AK108" s="39">
        <f t="shared" si="36"/>
        <v>35.1</v>
      </c>
      <c r="AL108" s="39">
        <f t="shared" si="37"/>
        <v>30.888</v>
      </c>
      <c r="AM108" s="39">
        <f t="shared" si="38"/>
        <v>25.272</v>
      </c>
      <c r="AN108" s="39">
        <f t="shared" si="39"/>
        <v>18</v>
      </c>
    </row>
    <row r="109" s="6" customFormat="1" ht="50" hidden="1" customHeight="1" spans="1:40">
      <c r="A109" s="37" t="s">
        <v>96</v>
      </c>
      <c r="B109" s="37" t="s">
        <v>97</v>
      </c>
      <c r="C109" s="37" t="str">
        <f>_xlfn.XLOOKUP(F109,'6月产品包'!B:B,'6月产品包'!H:H)</f>
        <v>智能锁</v>
      </c>
      <c r="D109" s="38" t="str">
        <f>_xlfn.XLOOKUP(F109,'6月产品包'!B:B,'6月产品包'!O:O)</f>
        <v>U9五功能玻璃门智能锁带TUYAAPP</v>
      </c>
      <c r="E109" s="38" t="s">
        <v>297</v>
      </c>
      <c r="F109" s="37" t="s">
        <v>298</v>
      </c>
      <c r="G109" s="39" t="e">
        <v>#N/A</v>
      </c>
      <c r="H109" s="37" t="s">
        <v>101</v>
      </c>
      <c r="I109" s="37" t="str">
        <f>_xlfn.XLOOKUP($F109,'6月库存'!A:A,'6月库存'!B:B)</f>
        <v>正常销售</v>
      </c>
      <c r="J109" s="12"/>
      <c r="K109" s="39">
        <f>_xlfn.XLOOKUP(E109,'[1]6月分配 '!$B:$B,'[1]6月分配 '!$K:$K)</f>
        <v>7934</v>
      </c>
      <c r="L109" s="12" t="str">
        <f t="shared" si="41"/>
        <v>是</v>
      </c>
      <c r="M109" s="40" t="str">
        <f>_xlfn.XLOOKUP(F109,'6月产品包'!B:B,'6月产品包'!J:J)</f>
        <v>2025-10-30</v>
      </c>
      <c r="N109" s="39" t="str">
        <f ca="1" t="shared" si="48"/>
        <v>老品</v>
      </c>
      <c r="O109" s="37">
        <f>_xlfn.XLOOKUP(F109,'6月库存'!A:A,'6月库存'!R:R)</f>
        <v>60</v>
      </c>
      <c r="P109" s="39">
        <f>_xlfn.XLOOKUP(F109,'6月产品包'!B:B,'6月产品包'!S:S)</f>
        <v>1467</v>
      </c>
      <c r="Q109" s="39"/>
      <c r="R109" s="41">
        <f>_xlfn.XLOOKUP(F109,'6月产品包'!B:B,'6月产品包'!AD:AD)</f>
        <v>54.781</v>
      </c>
      <c r="S109" s="39">
        <v>109</v>
      </c>
      <c r="T109" s="39">
        <f t="shared" si="42"/>
        <v>136</v>
      </c>
      <c r="U109" s="42">
        <f t="shared" si="46"/>
        <v>108.8</v>
      </c>
      <c r="V109" s="43">
        <v>0.2</v>
      </c>
      <c r="W109" s="44">
        <f t="shared" si="43"/>
        <v>0.496498161764706</v>
      </c>
      <c r="X109" s="44">
        <f t="shared" si="44"/>
        <v>0.313128805432678</v>
      </c>
      <c r="Y109" s="51">
        <v>0.038</v>
      </c>
      <c r="Z109" s="45">
        <v>0.115</v>
      </c>
      <c r="AA109" s="46">
        <v>0.049</v>
      </c>
      <c r="AB109" s="46">
        <f t="shared" si="45"/>
        <v>0.00496323529411765</v>
      </c>
      <c r="AC109" s="46">
        <v>0.06</v>
      </c>
      <c r="AD109" s="47"/>
      <c r="AE109" s="6"/>
      <c r="AF109" s="55" t="s">
        <v>114</v>
      </c>
      <c r="AG109" s="39">
        <f t="shared" si="32"/>
        <v>6</v>
      </c>
      <c r="AH109" s="39">
        <f t="shared" si="33"/>
        <v>6</v>
      </c>
      <c r="AI109" s="39">
        <f t="shared" si="34"/>
        <v>0</v>
      </c>
      <c r="AJ109" s="39">
        <f t="shared" si="35"/>
        <v>0</v>
      </c>
      <c r="AK109" s="39">
        <f t="shared" si="36"/>
        <v>0</v>
      </c>
      <c r="AL109" s="39">
        <f t="shared" si="37"/>
        <v>0</v>
      </c>
      <c r="AM109" s="39">
        <f t="shared" si="38"/>
        <v>0</v>
      </c>
      <c r="AN109" s="39">
        <f t="shared" si="39"/>
        <v>0</v>
      </c>
    </row>
    <row r="110" s="6" customFormat="1" ht="50" hidden="1" customHeight="1" spans="1:40">
      <c r="A110" s="37" t="s">
        <v>96</v>
      </c>
      <c r="B110" s="37" t="s">
        <v>103</v>
      </c>
      <c r="C110" s="37" t="str">
        <f>_xlfn.XLOOKUP(F110,'6月产品包'!B:B,'6月产品包'!H:H)</f>
        <v>便携储能电源</v>
      </c>
      <c r="D110" s="38" t="str">
        <f>_xlfn.XLOOKUP(F110,'6月产品包'!B:B,'6月产品包'!O:O)</f>
        <v>JY004电源</v>
      </c>
      <c r="E110" s="38" t="s">
        <v>299</v>
      </c>
      <c r="F110" s="37" t="s">
        <v>40</v>
      </c>
      <c r="G110" s="39" t="s">
        <v>126</v>
      </c>
      <c r="H110" s="37" t="s">
        <v>107</v>
      </c>
      <c r="I110" s="37" t="str">
        <f>_xlfn.XLOOKUP($F110,'6月库存'!A:A,'6月库存'!B:B)</f>
        <v>商品清仓</v>
      </c>
      <c r="J110" s="12"/>
      <c r="K110" s="39" t="e">
        <f>_xlfn.XLOOKUP(E110,'[1]6月分配 '!$B:$B,'[1]6月分配 '!$K:$K)</f>
        <v>#N/A</v>
      </c>
      <c r="L110" s="12" t="str">
        <f t="shared" si="41"/>
        <v>否</v>
      </c>
      <c r="M110" s="40" t="str">
        <f>_xlfn.XLOOKUP(F110,'6月产品包'!B:B,'6月产品包'!J:J)</f>
        <v>2025-09-11</v>
      </c>
      <c r="N110" s="39" t="str">
        <f ca="1" t="shared" si="48"/>
        <v>老品</v>
      </c>
      <c r="O110" s="37">
        <f>_xlfn.XLOOKUP(F110,'6月库存'!A:A,'6月库存'!R:R)</f>
        <v>6</v>
      </c>
      <c r="P110" s="39">
        <f>_xlfn.XLOOKUP(F110,'6月产品包'!B:B,'6月产品包'!S:S)</f>
        <v>4738</v>
      </c>
      <c r="Q110" s="39">
        <v>8100</v>
      </c>
      <c r="R110" s="41">
        <f>_xlfn.XLOOKUP(F110,'6月产品包'!B:B,'6月产品包'!AD:AD)</f>
        <v>189.6898</v>
      </c>
      <c r="S110" s="39">
        <v>399</v>
      </c>
      <c r="T110" s="39">
        <f t="shared" si="42"/>
        <v>499</v>
      </c>
      <c r="U110" s="42">
        <f t="shared" si="46"/>
        <v>399.2</v>
      </c>
      <c r="V110" s="43">
        <v>0.2</v>
      </c>
      <c r="W110" s="44">
        <f t="shared" si="43"/>
        <v>0.524825150300601</v>
      </c>
      <c r="X110" s="44">
        <f t="shared" si="44"/>
        <v>0.363588600477217</v>
      </c>
      <c r="Y110" s="44">
        <v>0.038</v>
      </c>
      <c r="Z110" s="46">
        <v>0.105</v>
      </c>
      <c r="AA110" s="46">
        <v>0.049</v>
      </c>
      <c r="AB110" s="46">
        <f t="shared" si="45"/>
        <v>0.00135270541082164</v>
      </c>
      <c r="AC110" s="46">
        <v>0.06</v>
      </c>
      <c r="AD110" s="49"/>
      <c r="AF110" s="48" t="s">
        <v>102</v>
      </c>
      <c r="AG110" s="39">
        <f t="shared" si="32"/>
        <v>33.5328</v>
      </c>
      <c r="AH110" s="39">
        <f t="shared" si="33"/>
        <v>6</v>
      </c>
      <c r="AI110" s="39">
        <f t="shared" si="34"/>
        <v>21</v>
      </c>
      <c r="AJ110" s="39">
        <f t="shared" si="35"/>
        <v>33.5328</v>
      </c>
      <c r="AK110" s="39">
        <f t="shared" si="36"/>
        <v>29.94</v>
      </c>
      <c r="AL110" s="39">
        <f t="shared" si="37"/>
        <v>26.3472</v>
      </c>
      <c r="AM110" s="39">
        <f t="shared" si="38"/>
        <v>21.5568</v>
      </c>
      <c r="AN110" s="39">
        <f t="shared" si="39"/>
        <v>17.964</v>
      </c>
    </row>
    <row r="111" s="6" customFormat="1" ht="50" hidden="1" customHeight="1" spans="1:40">
      <c r="A111" s="37" t="s">
        <v>96</v>
      </c>
      <c r="B111" s="37" t="s">
        <v>115</v>
      </c>
      <c r="C111" s="37" t="str">
        <f>_xlfn.XLOOKUP(F111,'6月产品包'!B:B,'6月产品包'!H:H)</f>
        <v>打印机</v>
      </c>
      <c r="D111" s="38" t="str">
        <f>_xlfn.XLOOKUP(F111,'6月产品包'!B:B,'6月产品包'!O:O)</f>
        <v>小票打印机</v>
      </c>
      <c r="E111" s="38" t="s">
        <v>300</v>
      </c>
      <c r="F111" s="37" t="s">
        <v>301</v>
      </c>
      <c r="G111" s="39" t="e">
        <v>#N/A</v>
      </c>
      <c r="H111" s="37" t="s">
        <v>101</v>
      </c>
      <c r="I111" s="37" t="str">
        <f>_xlfn.XLOOKUP($F111,'6月库存'!A:A,'6月库存'!B:B)</f>
        <v>正常销售</v>
      </c>
      <c r="J111" s="12"/>
      <c r="K111" s="39" t="e">
        <f>_xlfn.XLOOKUP(E111,'[1]6月分配 '!$B:$B,'[1]6月分配 '!$K:$K)</f>
        <v>#N/A</v>
      </c>
      <c r="L111" s="12" t="str">
        <f t="shared" si="41"/>
        <v>否</v>
      </c>
      <c r="M111" s="40" t="str">
        <f>_xlfn.XLOOKUP(F111,'6月产品包'!B:B,'6月产品包'!J:J)</f>
        <v>2025-03-01</v>
      </c>
      <c r="N111" s="39" t="str">
        <f ca="1" t="shared" si="48"/>
        <v>老品</v>
      </c>
      <c r="O111" s="37">
        <f>_xlfn.XLOOKUP(F111,'6月库存'!A:A,'6月库存'!R:R)</f>
        <v>7</v>
      </c>
      <c r="P111" s="39">
        <f>_xlfn.XLOOKUP(F111,'6月产品包'!B:B,'6月产品包'!S:S)</f>
        <v>350</v>
      </c>
      <c r="Q111" s="39"/>
      <c r="R111" s="41">
        <f>_xlfn.XLOOKUP(F111,'6月产品包'!B:B,'6月产品包'!AD:AD)</f>
        <v>33.3442</v>
      </c>
      <c r="S111" s="39">
        <v>65</v>
      </c>
      <c r="T111" s="39">
        <f t="shared" si="42"/>
        <v>81</v>
      </c>
      <c r="U111" s="42">
        <f t="shared" si="46"/>
        <v>64.8</v>
      </c>
      <c r="V111" s="43">
        <v>0.2</v>
      </c>
      <c r="W111" s="44">
        <f t="shared" si="43"/>
        <v>0.485429012345679</v>
      </c>
      <c r="X111" s="44">
        <f t="shared" si="44"/>
        <v>0.307130627036372</v>
      </c>
      <c r="Y111" s="44">
        <v>0.04</v>
      </c>
      <c r="Z111" s="46">
        <v>0.1</v>
      </c>
      <c r="AA111" s="46">
        <v>0.049</v>
      </c>
      <c r="AB111" s="46">
        <f t="shared" si="45"/>
        <v>0.00833333333333333</v>
      </c>
      <c r="AC111" s="46">
        <v>0.06</v>
      </c>
      <c r="AD111" s="47"/>
      <c r="AF111" s="48" t="s">
        <v>102</v>
      </c>
      <c r="AG111" s="39">
        <f t="shared" si="32"/>
        <v>3.888</v>
      </c>
      <c r="AH111" s="39">
        <f t="shared" si="33"/>
        <v>3.888</v>
      </c>
      <c r="AI111" s="39">
        <f t="shared" si="34"/>
        <v>0</v>
      </c>
      <c r="AJ111" s="39">
        <f t="shared" si="35"/>
        <v>0</v>
      </c>
      <c r="AK111" s="39">
        <f t="shared" si="36"/>
        <v>0</v>
      </c>
      <c r="AL111" s="39">
        <f t="shared" si="37"/>
        <v>0</v>
      </c>
      <c r="AM111" s="39">
        <f t="shared" si="38"/>
        <v>0</v>
      </c>
      <c r="AN111" s="39">
        <f t="shared" si="39"/>
        <v>0</v>
      </c>
    </row>
    <row r="112" s="6" customFormat="1" ht="50" hidden="1" customHeight="1" spans="1:40">
      <c r="A112" s="39" t="str">
        <f>_xlfn.XLOOKUP(F112,'6月产品包'!B:B,'6月产品包'!F:F)</f>
        <v>3C数码</v>
      </c>
      <c r="B112" s="39" t="str">
        <f>_xlfn.XLOOKUP(F112,'6月产品包'!B:B,'6月产品包'!G:G)</f>
        <v>影像摄影</v>
      </c>
      <c r="C112" s="37" t="str">
        <f>_xlfn.XLOOKUP(F112,'6月产品包'!B:B,'6月产品包'!H:H)</f>
        <v>投影仪支架</v>
      </c>
      <c r="D112" s="38" t="str">
        <f>_xlfn.XLOOKUP(F112,'6月产品包'!B:B,'6月产品包'!O:O)</f>
        <v>投影仪支架系列</v>
      </c>
      <c r="E112" s="38" t="str">
        <f>_xlfn.XLOOKUP(F112,'6月产品包'!B:B,'6月产品包'!C:C)</f>
        <v>3C-投影仪支架1.2米</v>
      </c>
      <c r="F112" s="37" t="s">
        <v>302</v>
      </c>
      <c r="G112" s="39" t="s">
        <v>126</v>
      </c>
      <c r="H112" s="39" t="s">
        <v>101</v>
      </c>
      <c r="I112" s="37" t="str">
        <f>_xlfn.XLOOKUP($F112,'6月库存'!A:A,'6月库存'!B:B)</f>
        <v>正常销售</v>
      </c>
      <c r="J112" s="12"/>
      <c r="K112" s="39">
        <f>_xlfn.XLOOKUP(E112,'[1]6月分配 '!$B:$B,'[1]6月分配 '!$K:$K)</f>
        <v>7828</v>
      </c>
      <c r="L112" s="12" t="str">
        <f t="shared" si="41"/>
        <v>是</v>
      </c>
      <c r="M112" s="40" t="str">
        <f>_xlfn.XLOOKUP(F112,'6月产品包'!B:B,'6月产品包'!J:J)</f>
        <v>2024-01-09</v>
      </c>
      <c r="N112" s="39" t="str">
        <f ca="1" t="shared" si="48"/>
        <v>老品</v>
      </c>
      <c r="O112" s="37">
        <f>_xlfn.XLOOKUP(F112,'6月库存'!A:A,'6月库存'!R:R)</f>
        <v>326</v>
      </c>
      <c r="P112" s="39">
        <f>_xlfn.XLOOKUP(F112,'6月产品包'!B:B,'6月产品包'!S:S)</f>
        <v>670</v>
      </c>
      <c r="Q112" s="39"/>
      <c r="R112" s="41">
        <f>_xlfn.XLOOKUP(F112,'6月产品包'!B:B,'6月产品包'!AD:AD)</f>
        <v>10.1906</v>
      </c>
      <c r="S112" s="39">
        <v>23</v>
      </c>
      <c r="T112" s="39">
        <f t="shared" si="42"/>
        <v>29</v>
      </c>
      <c r="U112" s="42">
        <f t="shared" si="46"/>
        <v>23.2</v>
      </c>
      <c r="V112" s="43">
        <v>0.2</v>
      </c>
      <c r="W112" s="44">
        <f t="shared" si="43"/>
        <v>0.56075</v>
      </c>
      <c r="X112" s="44">
        <f t="shared" si="44"/>
        <v>0.385427220533604</v>
      </c>
      <c r="Y112" s="44">
        <v>0.038</v>
      </c>
      <c r="Z112" s="46">
        <v>0.115</v>
      </c>
      <c r="AA112" s="46">
        <v>0.049</v>
      </c>
      <c r="AB112" s="46">
        <f t="shared" si="45"/>
        <v>0.0232758620689655</v>
      </c>
      <c r="AC112" s="46">
        <v>0.06</v>
      </c>
      <c r="AD112" s="47"/>
      <c r="AF112" s="55" t="s">
        <v>114</v>
      </c>
      <c r="AG112" s="39">
        <f t="shared" si="32"/>
        <v>0</v>
      </c>
      <c r="AH112" s="39">
        <f t="shared" si="33"/>
        <v>0</v>
      </c>
      <c r="AI112" s="39">
        <f t="shared" si="34"/>
        <v>0</v>
      </c>
      <c r="AJ112" s="39">
        <f t="shared" si="35"/>
        <v>0</v>
      </c>
      <c r="AK112" s="39">
        <f t="shared" si="36"/>
        <v>0</v>
      </c>
      <c r="AL112" s="39">
        <f t="shared" si="37"/>
        <v>0</v>
      </c>
      <c r="AM112" s="39">
        <f t="shared" si="38"/>
        <v>0</v>
      </c>
      <c r="AN112" s="39">
        <f t="shared" si="39"/>
        <v>0</v>
      </c>
    </row>
    <row r="113" s="6" customFormat="1" ht="50" hidden="1" customHeight="1" spans="1:40">
      <c r="A113" s="39" t="str">
        <f>_xlfn.XLOOKUP(F113,'6月产品包'!B:B,'6月产品包'!F:F)</f>
        <v>3C数码</v>
      </c>
      <c r="B113" s="39" t="str">
        <f>_xlfn.XLOOKUP(F113,'6月产品包'!B:B,'6月产品包'!G:G)</f>
        <v>影像摄影</v>
      </c>
      <c r="C113" s="37" t="str">
        <f>_xlfn.XLOOKUP(F113,'6月产品包'!B:B,'6月产品包'!H:H)</f>
        <v>摄影器材支架</v>
      </c>
      <c r="D113" s="38" t="str">
        <f>_xlfn.XLOOKUP(F113,'6月产品包'!B:B,'6月产品包'!O:O)</f>
        <v>投影仪支架系列</v>
      </c>
      <c r="E113" s="38" t="str">
        <f>_xlfn.XLOOKUP(F113,'6月产品包'!B:B,'6月产品包'!C:C)</f>
        <v>3C-加粗2.1米三角支架</v>
      </c>
      <c r="F113" s="37" t="s">
        <v>303</v>
      </c>
      <c r="G113" s="39" t="s">
        <v>126</v>
      </c>
      <c r="H113" s="37" t="s">
        <v>101</v>
      </c>
      <c r="I113" s="37" t="str">
        <f>_xlfn.XLOOKUP($F113,'6月库存'!A:A,'6月库存'!B:B)</f>
        <v>正常销售</v>
      </c>
      <c r="J113" s="12"/>
      <c r="K113" s="39" t="e">
        <f>_xlfn.XLOOKUP(E113,'[1]6月分配 '!$B:$B,'[1]6月分配 '!$K:$K)</f>
        <v>#N/A</v>
      </c>
      <c r="L113" s="12" t="str">
        <f t="shared" si="41"/>
        <v>否</v>
      </c>
      <c r="M113" s="40" t="str">
        <f>_xlfn.XLOOKUP(F113,'6月产品包'!B:B,'6月产品包'!J:J)</f>
        <v>2023-12-16</v>
      </c>
      <c r="N113" s="39" t="str">
        <f ca="1" t="shared" si="48"/>
        <v>老品</v>
      </c>
      <c r="O113" s="37">
        <f>_xlfn.XLOOKUP(F113,'6月库存'!A:A,'6月库存'!R:R)</f>
        <v>0</v>
      </c>
      <c r="P113" s="39">
        <f>_xlfn.XLOOKUP(F113,'6月产品包'!B:B,'6月产品包'!S:S)</f>
        <v>567</v>
      </c>
      <c r="Q113" s="39"/>
      <c r="R113" s="41">
        <f>_xlfn.XLOOKUP(F113,'6月产品包'!B:B,'6月产品包'!AD:AD)</f>
        <v>7.7256</v>
      </c>
      <c r="S113" s="39">
        <v>15</v>
      </c>
      <c r="T113" s="39">
        <f t="shared" si="42"/>
        <v>19</v>
      </c>
      <c r="U113" s="42">
        <f t="shared" si="46"/>
        <v>15.2</v>
      </c>
      <c r="V113" s="43">
        <v>0.2</v>
      </c>
      <c r="W113" s="44">
        <f t="shared" si="43"/>
        <v>0.491736842105263</v>
      </c>
      <c r="X113" s="44">
        <f t="shared" si="44"/>
        <v>0.276466621712745</v>
      </c>
      <c r="Y113" s="44">
        <v>0.038</v>
      </c>
      <c r="Z113" s="46">
        <v>0.115</v>
      </c>
      <c r="AA113" s="46">
        <v>0.049</v>
      </c>
      <c r="AB113" s="46">
        <f t="shared" si="45"/>
        <v>0.0355263157894737</v>
      </c>
      <c r="AC113" s="46">
        <v>0.06</v>
      </c>
      <c r="AD113" s="47"/>
      <c r="AF113" s="48" t="s">
        <v>102</v>
      </c>
      <c r="AG113" s="39">
        <f t="shared" si="32"/>
        <v>0</v>
      </c>
      <c r="AH113" s="39">
        <f t="shared" si="33"/>
        <v>0</v>
      </c>
      <c r="AI113" s="39">
        <f t="shared" si="34"/>
        <v>0</v>
      </c>
      <c r="AJ113" s="39">
        <f t="shared" si="35"/>
        <v>0</v>
      </c>
      <c r="AK113" s="39">
        <f t="shared" si="36"/>
        <v>0</v>
      </c>
      <c r="AL113" s="39">
        <f t="shared" si="37"/>
        <v>0</v>
      </c>
      <c r="AM113" s="39">
        <f t="shared" si="38"/>
        <v>0</v>
      </c>
      <c r="AN113" s="39">
        <f t="shared" si="39"/>
        <v>0</v>
      </c>
    </row>
    <row r="114" s="6" customFormat="1" ht="50" hidden="1" customHeight="1" spans="1:40">
      <c r="A114" s="37" t="s">
        <v>96</v>
      </c>
      <c r="B114" s="37" t="s">
        <v>115</v>
      </c>
      <c r="C114" s="37" t="str">
        <f>_xlfn.XLOOKUP(F114,'6月产品包'!B:B,'6月产品包'!H:H)</f>
        <v>收银箱</v>
      </c>
      <c r="D114" s="38" t="str">
        <f>_xlfn.XLOOKUP(F114,'6月产品包'!B:B,'6月产品包'!O:O)</f>
        <v>手提收银箱</v>
      </c>
      <c r="E114" s="38" t="s">
        <v>304</v>
      </c>
      <c r="F114" s="37" t="s">
        <v>305</v>
      </c>
      <c r="G114" s="39" t="e">
        <v>#N/A</v>
      </c>
      <c r="H114" s="37" t="s">
        <v>101</v>
      </c>
      <c r="I114" s="37" t="str">
        <f>_xlfn.XLOOKUP($F114,'6月库存'!A:A,'6月库存'!B:B)</f>
        <v>商品清仓</v>
      </c>
      <c r="J114" s="12"/>
      <c r="K114" s="39" t="e">
        <f>_xlfn.XLOOKUP(E114,'[1]6月分配 '!$B:$B,'[1]6月分配 '!$K:$K)</f>
        <v>#N/A</v>
      </c>
      <c r="L114" s="12" t="str">
        <f t="shared" si="41"/>
        <v>否</v>
      </c>
      <c r="M114" s="40" t="str">
        <f>_xlfn.XLOOKUP(F114,'6月产品包'!B:B,'6月产品包'!J:J)</f>
        <v>2024-01-01</v>
      </c>
      <c r="N114" s="39" t="str">
        <f ca="1" t="shared" si="48"/>
        <v>老品</v>
      </c>
      <c r="O114" s="37">
        <f>_xlfn.XLOOKUP(F114,'6月库存'!A:A,'6月库存'!R:R)</f>
        <v>0</v>
      </c>
      <c r="P114" s="39">
        <f>_xlfn.XLOOKUP(F114,'6月产品包'!B:B,'6月产品包'!S:S)</f>
        <v>1800</v>
      </c>
      <c r="Q114" s="2">
        <v>2450</v>
      </c>
      <c r="R114" s="41">
        <f>_xlfn.XLOOKUP(F114,'6月产品包'!B:B,'6月产品包'!AD:AD)</f>
        <v>26.2276</v>
      </c>
      <c r="S114" s="39">
        <v>51</v>
      </c>
      <c r="T114" s="39">
        <f t="shared" si="42"/>
        <v>64</v>
      </c>
      <c r="U114" s="42">
        <f t="shared" si="46"/>
        <v>51.2</v>
      </c>
      <c r="V114" s="43">
        <v>0.2</v>
      </c>
      <c r="W114" s="44">
        <f t="shared" si="43"/>
        <v>0.4877421875</v>
      </c>
      <c r="X114" s="44">
        <f t="shared" si="44"/>
        <v>0.308183333685032</v>
      </c>
      <c r="Y114" s="44">
        <v>0.04</v>
      </c>
      <c r="Z114" s="46">
        <v>0.1</v>
      </c>
      <c r="AA114" s="46">
        <v>0.049</v>
      </c>
      <c r="AB114" s="46">
        <f t="shared" si="45"/>
        <v>0.010546875</v>
      </c>
      <c r="AC114" s="46">
        <v>0.06</v>
      </c>
      <c r="AD114" s="47"/>
      <c r="AF114" s="48" t="s">
        <v>102</v>
      </c>
      <c r="AG114" s="39">
        <f t="shared" si="32"/>
        <v>3.072</v>
      </c>
      <c r="AH114" s="39">
        <f t="shared" si="33"/>
        <v>3.072</v>
      </c>
      <c r="AI114" s="39">
        <f t="shared" si="34"/>
        <v>0</v>
      </c>
      <c r="AJ114" s="39">
        <f t="shared" si="35"/>
        <v>0</v>
      </c>
      <c r="AK114" s="39">
        <f t="shared" si="36"/>
        <v>0</v>
      </c>
      <c r="AL114" s="39">
        <f t="shared" si="37"/>
        <v>0</v>
      </c>
      <c r="AM114" s="39">
        <f t="shared" si="38"/>
        <v>0</v>
      </c>
      <c r="AN114" s="39">
        <f t="shared" si="39"/>
        <v>0</v>
      </c>
    </row>
    <row r="115" s="6" customFormat="1" ht="50" hidden="1" customHeight="1" spans="1:40">
      <c r="A115" s="37" t="s">
        <v>108</v>
      </c>
      <c r="B115" s="37" t="s">
        <v>109</v>
      </c>
      <c r="C115" s="37" t="str">
        <f>_xlfn.XLOOKUP(F115,'6月产品包'!B:B,'6月产品包'!H:H)</f>
        <v>显示器支架</v>
      </c>
      <c r="D115" s="38" t="str">
        <f>_xlfn.XLOOKUP(F115,'6月产品包'!B:B,'6月产品包'!O:O)</f>
        <v>双臂显示器支架</v>
      </c>
      <c r="E115" s="38" t="s">
        <v>166</v>
      </c>
      <c r="F115" s="37" t="s">
        <v>306</v>
      </c>
      <c r="G115" s="39" t="s">
        <v>100</v>
      </c>
      <c r="H115" s="37" t="s">
        <v>101</v>
      </c>
      <c r="I115" s="37" t="str">
        <f>_xlfn.XLOOKUP($F115,'6月库存'!A:A,'6月库存'!B:B)</f>
        <v>正常销售</v>
      </c>
      <c r="J115" s="12"/>
      <c r="K115" s="39" t="e">
        <f>_xlfn.XLOOKUP(E115,'[1]6月分配 '!$B:$B,'[1]6月分配 '!$K:$K)</f>
        <v>#N/A</v>
      </c>
      <c r="L115" s="12" t="str">
        <f t="shared" ref="L115:L150" si="49">IF(ISNUMBER(K115),"是",IF(ISNA(K115),"否",""))</f>
        <v>否</v>
      </c>
      <c r="M115" s="40" t="str">
        <f>_xlfn.XLOOKUP(F115,'6月产品包'!B:B,'6月产品包'!J:J)</f>
        <v>2025-04-29</v>
      </c>
      <c r="N115" s="39" t="str">
        <f ca="1" t="shared" si="48"/>
        <v>老品</v>
      </c>
      <c r="O115" s="37">
        <f>_xlfn.XLOOKUP(F115,'6月库存'!A:A,'6月库存'!R:R)</f>
        <v>0</v>
      </c>
      <c r="P115" s="39">
        <f>_xlfn.XLOOKUP(F115,'6月产品包'!B:B,'6月产品包'!S:S)</f>
        <v>4560</v>
      </c>
      <c r="Q115" s="39"/>
      <c r="R115" s="41">
        <f>_xlfn.XLOOKUP(F115,'6月产品包'!B:B,'6月产品包'!AD:AD)</f>
        <v>45.9766</v>
      </c>
      <c r="S115" s="39">
        <v>85</v>
      </c>
      <c r="T115" s="39">
        <f t="shared" ref="T115:T150" si="50">ROUND(S115*(1+0.25),0)</f>
        <v>106</v>
      </c>
      <c r="U115" s="42">
        <f t="shared" si="46"/>
        <v>84.8</v>
      </c>
      <c r="V115" s="43">
        <v>0.2</v>
      </c>
      <c r="W115" s="44">
        <f t="shared" ref="W115:W150" si="51">(U115-R115)/U115</f>
        <v>0.457823113207547</v>
      </c>
      <c r="X115" s="44">
        <f t="shared" ref="X115:X150" si="52">(U115*(1-Y115-Z115-AA115-AC115-AB115)-R115)/(U115*(1-Y115-Z115-AA115-AC115-AB115))</f>
        <v>0.268940887639449</v>
      </c>
      <c r="Y115" s="44">
        <v>0.038</v>
      </c>
      <c r="Z115" s="46">
        <v>0.105</v>
      </c>
      <c r="AA115" s="46">
        <v>0.049</v>
      </c>
      <c r="AB115" s="46">
        <f t="shared" ref="AB115:AB150" si="53">$AB$1/U115</f>
        <v>0.00636792452830189</v>
      </c>
      <c r="AC115" s="46">
        <v>0.06</v>
      </c>
      <c r="AD115" s="47"/>
      <c r="AF115" s="48" t="s">
        <v>102</v>
      </c>
      <c r="AG115" s="39">
        <f t="shared" si="32"/>
        <v>5.088</v>
      </c>
      <c r="AH115" s="39">
        <f t="shared" si="33"/>
        <v>5.088</v>
      </c>
      <c r="AI115" s="39">
        <f t="shared" si="34"/>
        <v>0</v>
      </c>
      <c r="AJ115" s="39">
        <f t="shared" si="35"/>
        <v>0</v>
      </c>
      <c r="AK115" s="39">
        <f t="shared" si="36"/>
        <v>0</v>
      </c>
      <c r="AL115" s="39">
        <f t="shared" si="37"/>
        <v>0</v>
      </c>
      <c r="AM115" s="39">
        <f t="shared" si="38"/>
        <v>0</v>
      </c>
      <c r="AN115" s="39">
        <f t="shared" si="39"/>
        <v>0</v>
      </c>
    </row>
    <row r="116" s="6" customFormat="1" ht="50" hidden="1" customHeight="1" spans="1:40">
      <c r="A116" s="39" t="str">
        <f>_xlfn.XLOOKUP(F116,'6月产品包'!B:B,'6月产品包'!F:F)</f>
        <v>3C数码</v>
      </c>
      <c r="B116" s="39" t="str">
        <f>_xlfn.XLOOKUP(F116,'6月产品包'!B:B,'6月产品包'!G:G)</f>
        <v>影像摄影</v>
      </c>
      <c r="C116" s="37" t="str">
        <f>_xlfn.XLOOKUP(F116,'6月产品包'!B:B,'6月产品包'!H:H)</f>
        <v>投影仪支架</v>
      </c>
      <c r="D116" s="38" t="str">
        <f>_xlfn.XLOOKUP(F116,'6月产品包'!B:B,'6月产品包'!O:O)</f>
        <v>投影仪支架系列</v>
      </c>
      <c r="E116" s="38" t="str">
        <f>_xlfn.XLOOKUP(F116,'6月产品包'!B:B,'6月产品包'!C:C)</f>
        <v>3C-投影仪支架1.2米</v>
      </c>
      <c r="F116" s="37" t="s">
        <v>307</v>
      </c>
      <c r="G116" s="39" t="s">
        <v>126</v>
      </c>
      <c r="H116" s="37" t="s">
        <v>101</v>
      </c>
      <c r="I116" s="37" t="str">
        <f>_xlfn.XLOOKUP($F116,'6月库存'!A:A,'6月库存'!B:B)</f>
        <v>正常销售</v>
      </c>
      <c r="J116" s="12"/>
      <c r="K116" s="39">
        <f>_xlfn.XLOOKUP(E116,'[1]6月分配 '!$B:$B,'[1]6月分配 '!$K:$K)</f>
        <v>7828</v>
      </c>
      <c r="L116" s="12" t="str">
        <f t="shared" si="49"/>
        <v>是</v>
      </c>
      <c r="M116" s="40" t="str">
        <f>_xlfn.XLOOKUP(F116,'6月产品包'!B:B,'6月产品包'!J:J)</f>
        <v>2025-03-15</v>
      </c>
      <c r="N116" s="39" t="str">
        <f ca="1" t="shared" si="48"/>
        <v>老品</v>
      </c>
      <c r="O116" s="37">
        <f>_xlfn.XLOOKUP(F116,'6月库存'!A:A,'6月库存'!R:R)</f>
        <v>113</v>
      </c>
      <c r="P116" s="39">
        <f>_xlfn.XLOOKUP(F116,'6月产品包'!B:B,'6月产品包'!S:S)</f>
        <v>700</v>
      </c>
      <c r="Q116" s="39"/>
      <c r="R116" s="41">
        <f>_xlfn.XLOOKUP(F116,'6月产品包'!B:B,'6月产品包'!AD:AD)</f>
        <v>10.7764</v>
      </c>
      <c r="S116" s="39">
        <v>21</v>
      </c>
      <c r="T116" s="39">
        <f t="shared" si="50"/>
        <v>26</v>
      </c>
      <c r="U116" s="42">
        <f t="shared" si="46"/>
        <v>20.8</v>
      </c>
      <c r="V116" s="43">
        <v>0.2</v>
      </c>
      <c r="W116" s="44">
        <f t="shared" si="51"/>
        <v>0.481903846153846</v>
      </c>
      <c r="X116" s="44">
        <f t="shared" si="52"/>
        <v>0.272376168098093</v>
      </c>
      <c r="Y116" s="44">
        <v>0.038</v>
      </c>
      <c r="Z116" s="46">
        <v>0.115</v>
      </c>
      <c r="AA116" s="46">
        <v>0.049</v>
      </c>
      <c r="AB116" s="46">
        <f t="shared" si="53"/>
        <v>0.0259615384615385</v>
      </c>
      <c r="AC116" s="46">
        <v>0.06</v>
      </c>
      <c r="AD116" s="47"/>
      <c r="AF116" s="55" t="s">
        <v>114</v>
      </c>
      <c r="AG116" s="39">
        <f t="shared" si="32"/>
        <v>0</v>
      </c>
      <c r="AH116" s="39">
        <f t="shared" si="33"/>
        <v>0</v>
      </c>
      <c r="AI116" s="39">
        <f t="shared" si="34"/>
        <v>0</v>
      </c>
      <c r="AJ116" s="39">
        <f t="shared" si="35"/>
        <v>0</v>
      </c>
      <c r="AK116" s="39">
        <f t="shared" si="36"/>
        <v>0</v>
      </c>
      <c r="AL116" s="39">
        <f t="shared" si="37"/>
        <v>0</v>
      </c>
      <c r="AM116" s="39">
        <f t="shared" si="38"/>
        <v>0</v>
      </c>
      <c r="AN116" s="39">
        <f t="shared" si="39"/>
        <v>0</v>
      </c>
    </row>
    <row r="117" s="6" customFormat="1" ht="50" hidden="1" customHeight="1" spans="1:40">
      <c r="A117" s="37" t="s">
        <v>108</v>
      </c>
      <c r="B117" s="37" t="s">
        <v>109</v>
      </c>
      <c r="C117" s="37" t="str">
        <f>_xlfn.XLOOKUP(F117,'6月产品包'!B:B,'6月产品包'!H:H)</f>
        <v>显示器支架</v>
      </c>
      <c r="D117" s="38" t="str">
        <f>_xlfn.XLOOKUP(F117,'6月产品包'!B:B,'6月产品包'!O:O)</f>
        <v>气钢双臂显示器支架</v>
      </c>
      <c r="E117" s="38" t="s">
        <v>308</v>
      </c>
      <c r="F117" s="37" t="s">
        <v>309</v>
      </c>
      <c r="G117" s="39" t="s">
        <v>100</v>
      </c>
      <c r="H117" s="37" t="s">
        <v>101</v>
      </c>
      <c r="I117" s="37" t="str">
        <f>_xlfn.XLOOKUP($F117,'6月库存'!A:A,'6月库存'!B:B)</f>
        <v>正常销售</v>
      </c>
      <c r="J117" s="12"/>
      <c r="K117" s="39" t="e">
        <f>_xlfn.XLOOKUP(E117,'[1]6月分配 '!$B:$B,'[1]6月分配 '!$K:$K)</f>
        <v>#N/A</v>
      </c>
      <c r="L117" s="12" t="str">
        <f t="shared" si="49"/>
        <v>否</v>
      </c>
      <c r="M117" s="40" t="str">
        <f>_xlfn.XLOOKUP(F117,'6月产品包'!B:B,'6月产品包'!J:J)</f>
        <v>2024-10-10</v>
      </c>
      <c r="N117" s="39" t="str">
        <f ca="1" t="shared" si="48"/>
        <v>老品</v>
      </c>
      <c r="O117" s="37">
        <f>_xlfn.XLOOKUP(F117,'6月库存'!A:A,'6月库存'!R:R)</f>
        <v>340</v>
      </c>
      <c r="P117" s="39">
        <f>_xlfn.XLOOKUP(F117,'6月产品包'!B:B,'6月产品包'!S:S)</f>
        <v>3802</v>
      </c>
      <c r="Q117" s="39"/>
      <c r="R117" s="41">
        <f>_xlfn.XLOOKUP(F117,'6月产品包'!B:B,'6月产品包'!AD:AD)</f>
        <v>55.3668</v>
      </c>
      <c r="S117" s="39">
        <v>113</v>
      </c>
      <c r="T117" s="39">
        <f t="shared" si="50"/>
        <v>141</v>
      </c>
      <c r="U117" s="42">
        <f t="shared" si="46"/>
        <v>112.8</v>
      </c>
      <c r="V117" s="43">
        <v>0.2</v>
      </c>
      <c r="W117" s="44">
        <f t="shared" si="51"/>
        <v>0.509159574468085</v>
      </c>
      <c r="X117" s="44">
        <f t="shared" si="52"/>
        <v>0.339569436889869</v>
      </c>
      <c r="Y117" s="44">
        <v>0.038</v>
      </c>
      <c r="Z117" s="46">
        <v>0.105</v>
      </c>
      <c r="AA117" s="46">
        <v>0.049</v>
      </c>
      <c r="AB117" s="46">
        <f t="shared" si="53"/>
        <v>0.00478723404255319</v>
      </c>
      <c r="AC117" s="46">
        <v>0.06</v>
      </c>
      <c r="AD117" s="47"/>
      <c r="AF117" s="48" t="s">
        <v>102</v>
      </c>
      <c r="AG117" s="39">
        <f t="shared" si="32"/>
        <v>6</v>
      </c>
      <c r="AH117" s="39">
        <f t="shared" si="33"/>
        <v>6</v>
      </c>
      <c r="AI117" s="39">
        <f t="shared" si="34"/>
        <v>0</v>
      </c>
      <c r="AJ117" s="39">
        <f t="shared" si="35"/>
        <v>0</v>
      </c>
      <c r="AK117" s="39">
        <f t="shared" si="36"/>
        <v>0</v>
      </c>
      <c r="AL117" s="39">
        <f t="shared" si="37"/>
        <v>0</v>
      </c>
      <c r="AM117" s="39">
        <f t="shared" si="38"/>
        <v>0</v>
      </c>
      <c r="AN117" s="39">
        <f t="shared" si="39"/>
        <v>0</v>
      </c>
    </row>
    <row r="118" s="6" customFormat="1" ht="50" hidden="1" customHeight="1" spans="1:40">
      <c r="A118" s="37" t="s">
        <v>108</v>
      </c>
      <c r="B118" s="37" t="s">
        <v>109</v>
      </c>
      <c r="C118" s="37" t="str">
        <f>_xlfn.XLOOKUP(F118,'6月产品包'!B:B,'6月产品包'!H:H)</f>
        <v>显示器支架</v>
      </c>
      <c r="D118" s="38" t="str">
        <f>_xlfn.XLOOKUP(F118,'6月产品包'!B:B,'6月产品包'!O:O)</f>
        <v>气弹簧支架</v>
      </c>
      <c r="E118" s="38" t="s">
        <v>310</v>
      </c>
      <c r="F118" s="37" t="s">
        <v>311</v>
      </c>
      <c r="G118" s="39" t="s">
        <v>154</v>
      </c>
      <c r="H118" s="37" t="s">
        <v>101</v>
      </c>
      <c r="I118" s="37" t="str">
        <f>_xlfn.XLOOKUP($F118,'6月库存'!A:A,'6月库存'!B:B)</f>
        <v>正常销售</v>
      </c>
      <c r="J118" s="12"/>
      <c r="K118" s="39" t="e">
        <f>_xlfn.XLOOKUP(E118,'[1]6月分配 '!$B:$B,'[1]6月分配 '!$K:$K)</f>
        <v>#N/A</v>
      </c>
      <c r="L118" s="12" t="str">
        <f t="shared" si="49"/>
        <v>否</v>
      </c>
      <c r="M118" s="40" t="str">
        <f>_xlfn.XLOOKUP(F118,'6月产品包'!B:B,'6月产品包'!J:J)</f>
        <v>2025-09-11</v>
      </c>
      <c r="N118" s="39" t="str">
        <f ca="1" t="shared" si="48"/>
        <v>老品</v>
      </c>
      <c r="O118" s="37">
        <f>_xlfn.XLOOKUP(F118,'6月库存'!A:A,'6月库存'!R:R)</f>
        <v>41</v>
      </c>
      <c r="P118" s="39">
        <f>_xlfn.XLOOKUP(F118,'6月产品包'!B:B,'6月产品包'!S:S)</f>
        <v>4500</v>
      </c>
      <c r="Q118" s="39"/>
      <c r="R118" s="41">
        <f>_xlfn.XLOOKUP(F118,'6月产品包'!B:B,'6月产品包'!AD:AD)</f>
        <v>71.8272</v>
      </c>
      <c r="S118" s="39">
        <v>135</v>
      </c>
      <c r="T118" s="39">
        <f t="shared" si="50"/>
        <v>169</v>
      </c>
      <c r="U118" s="42">
        <f t="shared" si="46"/>
        <v>135.2</v>
      </c>
      <c r="V118" s="43">
        <v>0.2</v>
      </c>
      <c r="W118" s="44">
        <f t="shared" si="51"/>
        <v>0.468733727810651</v>
      </c>
      <c r="X118" s="44">
        <f t="shared" si="52"/>
        <v>0.285938108909867</v>
      </c>
      <c r="Y118" s="44">
        <v>0.038</v>
      </c>
      <c r="Z118" s="46">
        <v>0.105</v>
      </c>
      <c r="AA118" s="46">
        <v>0.049</v>
      </c>
      <c r="AB118" s="46">
        <f t="shared" si="53"/>
        <v>0.00399408284023669</v>
      </c>
      <c r="AC118" s="46">
        <v>0.06</v>
      </c>
      <c r="AD118" s="47"/>
      <c r="AF118" s="48" t="s">
        <v>102</v>
      </c>
      <c r="AG118" s="39">
        <f t="shared" si="32"/>
        <v>6</v>
      </c>
      <c r="AH118" s="39">
        <f t="shared" si="33"/>
        <v>6</v>
      </c>
      <c r="AI118" s="39">
        <f t="shared" si="34"/>
        <v>0</v>
      </c>
      <c r="AJ118" s="39">
        <f t="shared" si="35"/>
        <v>0</v>
      </c>
      <c r="AK118" s="39">
        <f t="shared" si="36"/>
        <v>0</v>
      </c>
      <c r="AL118" s="39">
        <f t="shared" si="37"/>
        <v>0</v>
      </c>
      <c r="AM118" s="39">
        <f t="shared" si="38"/>
        <v>0</v>
      </c>
      <c r="AN118" s="39">
        <f t="shared" si="39"/>
        <v>0</v>
      </c>
    </row>
    <row r="119" s="6" customFormat="1" ht="50" hidden="1" customHeight="1" spans="1:40">
      <c r="A119" s="37" t="s">
        <v>108</v>
      </c>
      <c r="B119" s="37" t="s">
        <v>109</v>
      </c>
      <c r="C119" s="37" t="str">
        <f>_xlfn.XLOOKUP(F119,'6月产品包'!B:B,'6月产品包'!H:H)</f>
        <v>显示器支架</v>
      </c>
      <c r="D119" s="38" t="str">
        <f>_xlfn.XLOOKUP(F119,'6月产品包'!B:B,'6月产品包'!O:O)</f>
        <v>单臂显示器支架</v>
      </c>
      <c r="E119" s="38" t="s">
        <v>312</v>
      </c>
      <c r="F119" s="37" t="s">
        <v>313</v>
      </c>
      <c r="G119" s="39" t="s">
        <v>100</v>
      </c>
      <c r="H119" s="39" t="s">
        <v>101</v>
      </c>
      <c r="I119" s="37" t="str">
        <f>_xlfn.XLOOKUP($F119,'6月库存'!A:A,'6月库存'!B:B)</f>
        <v>正常销售</v>
      </c>
      <c r="J119" s="12"/>
      <c r="K119" s="39" t="e">
        <f>_xlfn.XLOOKUP(E119,'[1]6月分配 '!$B:$B,'[1]6月分配 '!$K:$K)</f>
        <v>#N/A</v>
      </c>
      <c r="L119" s="12" t="str">
        <f t="shared" si="49"/>
        <v>否</v>
      </c>
      <c r="M119" s="40" t="str">
        <f>_xlfn.XLOOKUP(F119,'6月产品包'!B:B,'6月产品包'!J:J)</f>
        <v>2024-01-01</v>
      </c>
      <c r="N119" s="39" t="str">
        <f ca="1" t="shared" si="48"/>
        <v>老品</v>
      </c>
      <c r="O119" s="37">
        <f>_xlfn.XLOOKUP(F119,'6月库存'!A:A,'6月库存'!R:R)</f>
        <v>2</v>
      </c>
      <c r="P119" s="39">
        <f>_xlfn.XLOOKUP(F119,'6月产品包'!B:B,'6月产品包'!S:S)</f>
        <v>2038</v>
      </c>
      <c r="Q119" s="39"/>
      <c r="R119" s="41">
        <f>_xlfn.XLOOKUP(F119,'6月产品包'!B:B,'6月产品包'!AD:AD)</f>
        <v>24.3252</v>
      </c>
      <c r="S119" s="39">
        <v>45</v>
      </c>
      <c r="T119" s="39">
        <f t="shared" si="50"/>
        <v>56</v>
      </c>
      <c r="U119" s="42">
        <f t="shared" si="46"/>
        <v>44.8</v>
      </c>
      <c r="V119" s="43">
        <v>0.2</v>
      </c>
      <c r="W119" s="44">
        <f t="shared" si="51"/>
        <v>0.457026785714286</v>
      </c>
      <c r="X119" s="44">
        <f t="shared" si="52"/>
        <v>0.260200481740104</v>
      </c>
      <c r="Y119" s="44">
        <v>0.04</v>
      </c>
      <c r="Z119" s="46">
        <v>0.105</v>
      </c>
      <c r="AA119" s="46">
        <v>0.049</v>
      </c>
      <c r="AB119" s="46">
        <f t="shared" si="53"/>
        <v>0.0120535714285714</v>
      </c>
      <c r="AC119" s="46">
        <v>0.06</v>
      </c>
      <c r="AD119" s="47"/>
      <c r="AF119" s="48" t="s">
        <v>102</v>
      </c>
      <c r="AG119" s="39">
        <f t="shared" si="32"/>
        <v>0</v>
      </c>
      <c r="AH119" s="39">
        <f t="shared" si="33"/>
        <v>0</v>
      </c>
      <c r="AI119" s="39">
        <f t="shared" si="34"/>
        <v>0</v>
      </c>
      <c r="AJ119" s="39">
        <f t="shared" si="35"/>
        <v>0</v>
      </c>
      <c r="AK119" s="39">
        <f t="shared" si="36"/>
        <v>0</v>
      </c>
      <c r="AL119" s="39">
        <f t="shared" si="37"/>
        <v>0</v>
      </c>
      <c r="AM119" s="39">
        <f t="shared" si="38"/>
        <v>0</v>
      </c>
      <c r="AN119" s="39">
        <f t="shared" si="39"/>
        <v>0</v>
      </c>
    </row>
    <row r="120" s="6" customFormat="1" ht="50" hidden="1" customHeight="1" spans="1:40">
      <c r="A120" s="37" t="s">
        <v>108</v>
      </c>
      <c r="B120" s="37" t="s">
        <v>109</v>
      </c>
      <c r="C120" s="37" t="str">
        <f>_xlfn.XLOOKUP(F120,'6月产品包'!B:B,'6月产品包'!H:H)</f>
        <v>显示器支架</v>
      </c>
      <c r="D120" s="38" t="str">
        <f>_xlfn.XLOOKUP(F120,'6月产品包'!B:B,'6月产品包'!O:O)</f>
        <v>单臂显示器支架</v>
      </c>
      <c r="E120" s="38" t="s">
        <v>312</v>
      </c>
      <c r="F120" s="37" t="s">
        <v>314</v>
      </c>
      <c r="G120" s="39" t="s">
        <v>100</v>
      </c>
      <c r="H120" s="37" t="s">
        <v>101</v>
      </c>
      <c r="I120" s="37" t="str">
        <f>_xlfn.XLOOKUP($F120,'6月库存'!A:A,'6月库存'!B:B)</f>
        <v>正常销售</v>
      </c>
      <c r="J120" s="12"/>
      <c r="K120" s="39" t="e">
        <f>_xlfn.XLOOKUP(E120,'[1]6月分配 '!$B:$B,'[1]6月分配 '!$K:$K)</f>
        <v>#N/A</v>
      </c>
      <c r="L120" s="12" t="str">
        <f t="shared" si="49"/>
        <v>否</v>
      </c>
      <c r="M120" s="40" t="str">
        <f>_xlfn.XLOOKUP(F120,'6月产品包'!B:B,'6月产品包'!J:J)</f>
        <v>2025-05-15</v>
      </c>
      <c r="N120" s="39" t="str">
        <f ca="1" t="shared" si="48"/>
        <v>老品</v>
      </c>
      <c r="O120" s="37">
        <f>_xlfn.XLOOKUP(F120,'6月库存'!A:A,'6月库存'!R:R)</f>
        <v>0</v>
      </c>
      <c r="P120" s="39">
        <f>_xlfn.XLOOKUP(F120,'6月产品包'!B:B,'6月产品包'!S:S)</f>
        <v>2300</v>
      </c>
      <c r="Q120" s="39"/>
      <c r="R120" s="41">
        <f>_xlfn.XLOOKUP(F120,'6月产品包'!B:B,'6月产品包'!AD:AD)</f>
        <v>26.2218</v>
      </c>
      <c r="S120" s="39">
        <v>51</v>
      </c>
      <c r="T120" s="39">
        <f t="shared" si="50"/>
        <v>64</v>
      </c>
      <c r="U120" s="42">
        <f t="shared" si="46"/>
        <v>51.2</v>
      </c>
      <c r="V120" s="43">
        <v>0.2</v>
      </c>
      <c r="W120" s="44">
        <f t="shared" si="51"/>
        <v>0.48785546875</v>
      </c>
      <c r="X120" s="44">
        <f t="shared" si="52"/>
        <v>0.303634026641739</v>
      </c>
      <c r="Y120" s="44">
        <v>0.04</v>
      </c>
      <c r="Z120" s="46">
        <v>0.105</v>
      </c>
      <c r="AA120" s="46">
        <v>0.049</v>
      </c>
      <c r="AB120" s="46">
        <f t="shared" si="53"/>
        <v>0.010546875</v>
      </c>
      <c r="AC120" s="46">
        <v>0.06</v>
      </c>
      <c r="AD120" s="47"/>
      <c r="AF120" s="48" t="s">
        <v>102</v>
      </c>
      <c r="AG120" s="39">
        <f t="shared" si="32"/>
        <v>3.072</v>
      </c>
      <c r="AH120" s="39">
        <f t="shared" si="33"/>
        <v>3.072</v>
      </c>
      <c r="AI120" s="39">
        <f t="shared" si="34"/>
        <v>0</v>
      </c>
      <c r="AJ120" s="39">
        <f t="shared" si="35"/>
        <v>0</v>
      </c>
      <c r="AK120" s="39">
        <f t="shared" si="36"/>
        <v>0</v>
      </c>
      <c r="AL120" s="39">
        <f t="shared" si="37"/>
        <v>0</v>
      </c>
      <c r="AM120" s="39">
        <f t="shared" si="38"/>
        <v>0</v>
      </c>
      <c r="AN120" s="39">
        <f t="shared" si="39"/>
        <v>0</v>
      </c>
    </row>
    <row r="121" s="6" customFormat="1" ht="50" hidden="1" customHeight="1" spans="1:40">
      <c r="A121" s="39" t="str">
        <f>_xlfn.XLOOKUP(F121,'6月产品包'!B:B,'6月产品包'!F:F)</f>
        <v>3C数码</v>
      </c>
      <c r="B121" s="39" t="str">
        <f>_xlfn.XLOOKUP(F121,'6月产品包'!B:B,'6月产品包'!G:G)</f>
        <v>影像摄影</v>
      </c>
      <c r="C121" s="37" t="str">
        <f>_xlfn.XLOOKUP(F121,'6月产品包'!B:B,'6月产品包'!H:H)</f>
        <v>摄影器材支架</v>
      </c>
      <c r="D121" s="38" t="str">
        <f>_xlfn.XLOOKUP(F121,'6月产品包'!B:B,'6月产品包'!O:O)</f>
        <v>投影仪支架系列</v>
      </c>
      <c r="E121" s="38" t="str">
        <f>_xlfn.XLOOKUP(F121,'6月产品包'!B:B,'6月产品包'!C:C)</f>
        <v>3C-加粗2.1米三角支架</v>
      </c>
      <c r="F121" s="37" t="s">
        <v>315</v>
      </c>
      <c r="G121" s="39" t="s">
        <v>126</v>
      </c>
      <c r="H121" s="39" t="s">
        <v>101</v>
      </c>
      <c r="I121" s="37" t="str">
        <f>_xlfn.XLOOKUP($F121,'6月库存'!A:A,'6月库存'!B:B)</f>
        <v>商品清仓</v>
      </c>
      <c r="J121" s="12"/>
      <c r="K121" s="39" t="e">
        <f>_xlfn.XLOOKUP(E121,'[1]6月分配 '!$B:$B,'[1]6月分配 '!$K:$K)</f>
        <v>#N/A</v>
      </c>
      <c r="L121" s="12" t="str">
        <f t="shared" si="49"/>
        <v>否</v>
      </c>
      <c r="M121" s="40" t="str">
        <f>_xlfn.XLOOKUP(F121,'6月产品包'!B:B,'6月产品包'!J:J)</f>
        <v>2025-09-11</v>
      </c>
      <c r="N121" s="39" t="str">
        <f ca="1" t="shared" si="48"/>
        <v>老品</v>
      </c>
      <c r="O121" s="37">
        <f>_xlfn.XLOOKUP(F121,'6月库存'!A:A,'6月库存'!R:R)</f>
        <v>6</v>
      </c>
      <c r="P121" s="39">
        <f>_xlfn.XLOOKUP(F121,'6月产品包'!B:B,'6月产品包'!S:S)</f>
        <v>500</v>
      </c>
      <c r="Q121" s="39"/>
      <c r="R121" s="41">
        <f>_xlfn.XLOOKUP(F121,'6月产品包'!B:B,'6月产品包'!AD:AD)</f>
        <v>7.7836</v>
      </c>
      <c r="S121" s="39">
        <v>15</v>
      </c>
      <c r="T121" s="39">
        <f t="shared" si="50"/>
        <v>19</v>
      </c>
      <c r="U121" s="42">
        <f t="shared" si="46"/>
        <v>15.2</v>
      </c>
      <c r="V121" s="43">
        <v>0.2</v>
      </c>
      <c r="W121" s="44">
        <f t="shared" si="51"/>
        <v>0.487921052631579</v>
      </c>
      <c r="X121" s="44">
        <f t="shared" si="52"/>
        <v>0.271034689443321</v>
      </c>
      <c r="Y121" s="44">
        <v>0.038</v>
      </c>
      <c r="Z121" s="46">
        <v>0.115</v>
      </c>
      <c r="AA121" s="46">
        <v>0.049</v>
      </c>
      <c r="AB121" s="46">
        <f t="shared" si="53"/>
        <v>0.0355263157894737</v>
      </c>
      <c r="AC121" s="46">
        <v>0.06</v>
      </c>
      <c r="AD121" s="47"/>
      <c r="AF121" s="48" t="s">
        <v>102</v>
      </c>
      <c r="AG121" s="39">
        <f t="shared" si="32"/>
        <v>0</v>
      </c>
      <c r="AH121" s="39">
        <f t="shared" si="33"/>
        <v>0</v>
      </c>
      <c r="AI121" s="39">
        <f t="shared" si="34"/>
        <v>0</v>
      </c>
      <c r="AJ121" s="39">
        <f t="shared" si="35"/>
        <v>0</v>
      </c>
      <c r="AK121" s="39">
        <f t="shared" si="36"/>
        <v>0</v>
      </c>
      <c r="AL121" s="39">
        <f t="shared" si="37"/>
        <v>0</v>
      </c>
      <c r="AM121" s="39">
        <f t="shared" si="38"/>
        <v>0</v>
      </c>
      <c r="AN121" s="39">
        <f t="shared" si="39"/>
        <v>0</v>
      </c>
    </row>
    <row r="122" s="6" customFormat="1" ht="50" hidden="1" customHeight="1" spans="1:40">
      <c r="A122" s="39" t="str">
        <f>_xlfn.XLOOKUP(F122,'6月产品包'!B:B,'6月产品包'!F:F)</f>
        <v>3C数码</v>
      </c>
      <c r="B122" s="39" t="str">
        <f>_xlfn.XLOOKUP(F122,'6月产品包'!B:B,'6月产品包'!G:G)</f>
        <v>影像摄影</v>
      </c>
      <c r="C122" s="37" t="str">
        <f>_xlfn.XLOOKUP(F122,'6月产品包'!B:B,'6月产品包'!H:H)</f>
        <v>投影仪支架</v>
      </c>
      <c r="D122" s="38" t="str">
        <f>_xlfn.XLOOKUP(F122,'6月产品包'!B:B,'6月产品包'!O:O)</f>
        <v>投影仪支架系列</v>
      </c>
      <c r="E122" s="38" t="str">
        <f>_xlfn.XLOOKUP(F122,'6月产品包'!B:B,'6月产品包'!C:C)</f>
        <v>3C-投影仪支架云台32cm*25cm</v>
      </c>
      <c r="F122" s="37" t="s">
        <v>316</v>
      </c>
      <c r="G122" s="39" t="s">
        <v>126</v>
      </c>
      <c r="H122" s="39" t="s">
        <v>101</v>
      </c>
      <c r="I122" s="37" t="str">
        <f>_xlfn.XLOOKUP($F122,'6月库存'!A:A,'6月库存'!B:B)</f>
        <v>正常销售</v>
      </c>
      <c r="J122" s="12"/>
      <c r="K122" s="39" t="e">
        <f>_xlfn.XLOOKUP(E122,'[1]6月分配 '!$B:$B,'[1]6月分配 '!$K:$K)</f>
        <v>#N/A</v>
      </c>
      <c r="L122" s="12" t="str">
        <f t="shared" si="49"/>
        <v>否</v>
      </c>
      <c r="M122" s="40" t="str">
        <f>_xlfn.XLOOKUP(F122,'6月产品包'!B:B,'6月产品包'!J:J)</f>
        <v>2024-01-01</v>
      </c>
      <c r="N122" s="39" t="str">
        <f ca="1" t="shared" si="48"/>
        <v>老品</v>
      </c>
      <c r="O122" s="37">
        <f>_xlfn.XLOOKUP(F122,'6月库存'!A:A,'6月库存'!R:R)</f>
        <v>8</v>
      </c>
      <c r="P122" s="39">
        <f>_xlfn.XLOOKUP(F122,'6月产品包'!B:B,'6月产品包'!S:S)</f>
        <v>860</v>
      </c>
      <c r="Q122" s="39"/>
      <c r="R122" s="41">
        <f>_xlfn.XLOOKUP(F122,'6月产品包'!B:B,'6月产品包'!AD:AD)</f>
        <v>7.0992</v>
      </c>
      <c r="S122" s="39">
        <v>15</v>
      </c>
      <c r="T122" s="39">
        <f t="shared" si="50"/>
        <v>19</v>
      </c>
      <c r="U122" s="42">
        <f t="shared" si="46"/>
        <v>15.2</v>
      </c>
      <c r="V122" s="43">
        <v>0.2</v>
      </c>
      <c r="W122" s="44">
        <f t="shared" si="51"/>
        <v>0.532947368421053</v>
      </c>
      <c r="X122" s="44">
        <f t="shared" si="52"/>
        <v>0.335131490222522</v>
      </c>
      <c r="Y122" s="44">
        <v>0.038</v>
      </c>
      <c r="Z122" s="46">
        <v>0.115</v>
      </c>
      <c r="AA122" s="46">
        <v>0.049</v>
      </c>
      <c r="AB122" s="46">
        <f t="shared" si="53"/>
        <v>0.0355263157894737</v>
      </c>
      <c r="AC122" s="46">
        <v>0.06</v>
      </c>
      <c r="AD122" s="47"/>
      <c r="AF122" s="48" t="s">
        <v>102</v>
      </c>
      <c r="AG122" s="39">
        <f t="shared" si="32"/>
        <v>0</v>
      </c>
      <c r="AH122" s="39">
        <f t="shared" si="33"/>
        <v>0</v>
      </c>
      <c r="AI122" s="39">
        <f t="shared" si="34"/>
        <v>0</v>
      </c>
      <c r="AJ122" s="39">
        <f t="shared" si="35"/>
        <v>0</v>
      </c>
      <c r="AK122" s="39">
        <f t="shared" si="36"/>
        <v>0</v>
      </c>
      <c r="AL122" s="39">
        <f t="shared" si="37"/>
        <v>0</v>
      </c>
      <c r="AM122" s="39">
        <f t="shared" si="38"/>
        <v>0</v>
      </c>
      <c r="AN122" s="39">
        <f t="shared" si="39"/>
        <v>0</v>
      </c>
    </row>
    <row r="123" s="6" customFormat="1" ht="50" hidden="1" customHeight="1" spans="1:40">
      <c r="A123" s="37" t="s">
        <v>96</v>
      </c>
      <c r="B123" s="37" t="s">
        <v>97</v>
      </c>
      <c r="C123" s="37" t="str">
        <f>_xlfn.XLOOKUP(F123,'6月产品包'!B:B,'6月产品包'!H:H)</f>
        <v>路由器</v>
      </c>
      <c r="D123" s="38" t="str">
        <f>_xlfn.XLOOKUP(F123,'6月产品包'!B:B,'6月产品包'!O:O)</f>
        <v>306C路由器</v>
      </c>
      <c r="E123" s="38" t="s">
        <v>317</v>
      </c>
      <c r="F123" s="37" t="s">
        <v>318</v>
      </c>
      <c r="G123" s="39" t="e">
        <v>#N/A</v>
      </c>
      <c r="H123" s="37" t="s">
        <v>107</v>
      </c>
      <c r="I123" s="37" t="str">
        <f>_xlfn.XLOOKUP($F123,'6月库存'!A:A,'6月库存'!B:B)</f>
        <v>商品清仓</v>
      </c>
      <c r="J123" s="12"/>
      <c r="K123" s="39">
        <f>_xlfn.XLOOKUP(E123,'[1]6月分配 '!$B:$B,'[1]6月分配 '!$K:$K)</f>
        <v>7713</v>
      </c>
      <c r="L123" s="12" t="str">
        <f t="shared" si="49"/>
        <v>是</v>
      </c>
      <c r="M123" s="40" t="str">
        <f>_xlfn.XLOOKUP(F123,'6月产品包'!B:B,'6月产品包'!J:J)</f>
        <v>2024-12-26</v>
      </c>
      <c r="N123" s="39" t="str">
        <f ca="1" t="shared" si="48"/>
        <v>老品</v>
      </c>
      <c r="O123" s="37">
        <f>_xlfn.XLOOKUP(F123,'6月库存'!A:A,'6月库存'!R:R)</f>
        <v>47</v>
      </c>
      <c r="P123" s="39">
        <f>_xlfn.XLOOKUP(F123,'6月产品包'!B:B,'6月产品包'!S:S)</f>
        <v>389</v>
      </c>
      <c r="Q123" s="39"/>
      <c r="R123" s="41">
        <f>_xlfn.XLOOKUP(F123,'6月产品包'!B:B,'6月产品包'!AD:AD)</f>
        <v>63.4578</v>
      </c>
      <c r="S123" s="39">
        <v>132</v>
      </c>
      <c r="T123" s="39">
        <f t="shared" si="50"/>
        <v>165</v>
      </c>
      <c r="U123" s="42">
        <f t="shared" si="46"/>
        <v>132</v>
      </c>
      <c r="V123" s="43">
        <v>0.2</v>
      </c>
      <c r="W123" s="44">
        <f t="shared" si="51"/>
        <v>0.519259090909091</v>
      </c>
      <c r="X123" s="44">
        <f t="shared" si="52"/>
        <v>0.353763900769889</v>
      </c>
      <c r="Y123" s="51">
        <v>0.038</v>
      </c>
      <c r="Z123" s="46">
        <v>0.105</v>
      </c>
      <c r="AA123" s="46">
        <v>0.049</v>
      </c>
      <c r="AB123" s="46">
        <f t="shared" si="53"/>
        <v>0.00409090909090909</v>
      </c>
      <c r="AC123" s="46">
        <v>0.06</v>
      </c>
      <c r="AD123" s="47"/>
      <c r="AF123" s="48" t="s">
        <v>114</v>
      </c>
      <c r="AG123" s="39">
        <f t="shared" si="32"/>
        <v>6</v>
      </c>
      <c r="AH123" s="39">
        <f t="shared" si="33"/>
        <v>6</v>
      </c>
      <c r="AI123" s="39">
        <f t="shared" si="34"/>
        <v>0</v>
      </c>
      <c r="AJ123" s="39">
        <f t="shared" si="35"/>
        <v>0</v>
      </c>
      <c r="AK123" s="39">
        <f t="shared" si="36"/>
        <v>0</v>
      </c>
      <c r="AL123" s="39">
        <f t="shared" si="37"/>
        <v>0</v>
      </c>
      <c r="AM123" s="39">
        <f t="shared" si="38"/>
        <v>0</v>
      </c>
      <c r="AN123" s="39">
        <f t="shared" si="39"/>
        <v>0</v>
      </c>
    </row>
    <row r="124" s="6" customFormat="1" ht="50" hidden="1" customHeight="1" spans="1:40">
      <c r="A124" s="37" t="s">
        <v>108</v>
      </c>
      <c r="B124" s="37" t="s">
        <v>206</v>
      </c>
      <c r="C124" s="37" t="str">
        <f>_xlfn.XLOOKUP(F124,'6月产品包'!B:B,'6月产品包'!H:H)</f>
        <v>展示台</v>
      </c>
      <c r="D124" s="38" t="str">
        <f>_xlfn.XLOOKUP(F124,'6月产品包'!B:B,'6月产品包'!O:O)</f>
        <v>插电式展示台</v>
      </c>
      <c r="E124" s="38" t="s">
        <v>319</v>
      </c>
      <c r="F124" s="37" t="s">
        <v>320</v>
      </c>
      <c r="G124" s="39" t="s">
        <v>100</v>
      </c>
      <c r="H124" s="37" t="s">
        <v>107</v>
      </c>
      <c r="I124" s="37" t="str">
        <f>_xlfn.XLOOKUP($F124,'6月库存'!A:A,'6月库存'!B:B)</f>
        <v>正常销售</v>
      </c>
      <c r="J124" s="12"/>
      <c r="K124" s="39" t="e">
        <f>_xlfn.XLOOKUP(E124,'[1]6月分配 '!$B:$B,'[1]6月分配 '!$K:$K)</f>
        <v>#N/A</v>
      </c>
      <c r="L124" s="12" t="str">
        <f t="shared" si="49"/>
        <v>否</v>
      </c>
      <c r="M124" s="40" t="str">
        <f>_xlfn.XLOOKUP(F124,'6月产品包'!B:B,'6月产品包'!J:J)</f>
        <v>2024-07-18</v>
      </c>
      <c r="N124" s="39" t="str">
        <f ca="1" t="shared" ref="N124:N138" si="54">IF(DATEDIF(M124,TODAY(),"m")&lt;6,"新品","老品")</f>
        <v>老品</v>
      </c>
      <c r="O124" s="37">
        <f>_xlfn.XLOOKUP(F124,'6月库存'!A:A,'6月库存'!R:R)</f>
        <v>295</v>
      </c>
      <c r="P124" s="39">
        <f>_xlfn.XLOOKUP(F124,'6月产品包'!B:B,'6月产品包'!S:S)</f>
        <v>470</v>
      </c>
      <c r="Q124" s="39"/>
      <c r="R124" s="41">
        <f>_xlfn.XLOOKUP(F124,'6月产品包'!B:B,'6月产品包'!AD:AD)</f>
        <v>14.8538</v>
      </c>
      <c r="S124" s="39">
        <v>28</v>
      </c>
      <c r="T124" s="39">
        <f t="shared" si="50"/>
        <v>35</v>
      </c>
      <c r="U124" s="42">
        <f t="shared" ref="U124:U138" si="55">$T124*(1-0.2)</f>
        <v>28</v>
      </c>
      <c r="V124" s="43">
        <v>0.2</v>
      </c>
      <c r="W124" s="44">
        <f t="shared" si="51"/>
        <v>0.469507142857143</v>
      </c>
      <c r="X124" s="44">
        <f t="shared" si="52"/>
        <v>0.272015291119388</v>
      </c>
      <c r="Y124" s="53">
        <v>0.038</v>
      </c>
      <c r="Z124" s="46">
        <v>0.105</v>
      </c>
      <c r="AA124" s="46">
        <v>0.049</v>
      </c>
      <c r="AB124" s="46">
        <f t="shared" si="53"/>
        <v>0.0192857142857143</v>
      </c>
      <c r="AC124" s="46">
        <v>0.06</v>
      </c>
      <c r="AD124" s="47"/>
      <c r="AF124" s="48" t="s">
        <v>102</v>
      </c>
      <c r="AG124" s="39">
        <f t="shared" ref="AG124:AG138" si="56">MAX(AH124:AN124)</f>
        <v>0</v>
      </c>
      <c r="AH124" s="39">
        <f t="shared" ref="AH124:AH138" si="57">IF(U124&gt;=50,MIN(MIN(U124*0.2,20)*0.3,6),0)</f>
        <v>0</v>
      </c>
      <c r="AI124" s="39">
        <f t="shared" ref="AI124:AI138" si="58">IF(U124&gt;=200,MIN(MIN(U124*0.18,70)*0.3,21),0)</f>
        <v>0</v>
      </c>
      <c r="AJ124" s="39">
        <f t="shared" ref="AJ124:AJ138" si="59">IF(U124&gt;=380,MIN(MIN(U124*0.28,350)*0.3,105),0)</f>
        <v>0</v>
      </c>
      <c r="AK124" s="39">
        <f t="shared" ref="AK124:AK138" si="60">IF(U124&gt;=380,MIN(MIN(U124*0.25,350)*0.3,105),0)</f>
        <v>0</v>
      </c>
      <c r="AL124" s="39">
        <f t="shared" ref="AL124:AL138" si="61">IF(U124&gt;=380,MIN(MIN(U124*0.22,300)*0.3,90),0)</f>
        <v>0</v>
      </c>
      <c r="AM124" s="39">
        <f t="shared" ref="AM124:AM138" si="62">IF(U124&gt;=250,MIN(MIN(U124*0.18,120)*0.3,36),0)</f>
        <v>0</v>
      </c>
      <c r="AN124" s="39">
        <f t="shared" ref="AN124:AN138" si="63">IF(U124&gt;=180,MIN(MIN(U124*0.15,60)*0.3,18),0)</f>
        <v>0</v>
      </c>
    </row>
    <row r="125" s="6" customFormat="1" ht="50" hidden="1" customHeight="1" spans="1:40">
      <c r="A125" s="39" t="str">
        <f>_xlfn.XLOOKUP(F125,'6月产品包'!B:B,'6月产品包'!F:F)</f>
        <v>3C数码</v>
      </c>
      <c r="B125" s="39" t="str">
        <f>_xlfn.XLOOKUP(F125,'6月产品包'!B:B,'6月产品包'!G:G)</f>
        <v>游戏娱乐</v>
      </c>
      <c r="C125" s="37" t="str">
        <f>_xlfn.XLOOKUP(F125,'6月产品包'!B:B,'6月产品包'!H:H)</f>
        <v>游戏手柄</v>
      </c>
      <c r="D125" s="38" t="str">
        <f>_xlfn.XLOOKUP(F125,'6月产品包'!B:B,'6月产品包'!O:O)</f>
        <v>PRO蓝牙RGB无线拉伸手机游戏手柄</v>
      </c>
      <c r="E125" s="38" t="s">
        <v>321</v>
      </c>
      <c r="F125" s="39" t="s">
        <v>322</v>
      </c>
      <c r="G125" s="39" t="s">
        <v>106</v>
      </c>
      <c r="H125" s="37" t="s">
        <v>107</v>
      </c>
      <c r="I125" s="37" t="str">
        <f>_xlfn.XLOOKUP($F125,'6月库存'!A:A,'6月库存'!B:B)</f>
        <v>正常销售</v>
      </c>
      <c r="J125" s="12"/>
      <c r="K125" s="39">
        <f>_xlfn.XLOOKUP(E125,'[1]6月分配 '!$B:$B,'[1]6月分配 '!$K:$K)</f>
        <v>7712</v>
      </c>
      <c r="L125" s="12" t="str">
        <f t="shared" si="49"/>
        <v>是</v>
      </c>
      <c r="M125" s="40" t="str">
        <f>_xlfn.XLOOKUP(F125,'6月产品包'!B:B,'6月产品包'!J:J)</f>
        <v>2025-09-27</v>
      </c>
      <c r="N125" s="37" t="s">
        <v>149</v>
      </c>
      <c r="O125" s="37">
        <f>_xlfn.XLOOKUP(F125,'6月库存'!A:A,'6月库存'!R:R)</f>
        <v>0</v>
      </c>
      <c r="P125" s="39">
        <f>_xlfn.XLOOKUP(F125,'6月产品包'!B:B,'6月产品包'!S:S)</f>
        <v>600</v>
      </c>
      <c r="Q125" s="39"/>
      <c r="R125" s="41">
        <f>_xlfn.XLOOKUP(F125,'6月产品包'!B:B,'6月产品包'!AD:AD)</f>
        <v>59.218</v>
      </c>
      <c r="S125" s="39">
        <v>125</v>
      </c>
      <c r="T125" s="39">
        <f t="shared" si="50"/>
        <v>156</v>
      </c>
      <c r="U125" s="42">
        <f t="shared" si="55"/>
        <v>124.8</v>
      </c>
      <c r="V125" s="43">
        <v>0.2</v>
      </c>
      <c r="W125" s="44">
        <f t="shared" si="51"/>
        <v>0.525496794871795</v>
      </c>
      <c r="X125" s="44">
        <f t="shared" si="52"/>
        <v>0.357627589319032</v>
      </c>
      <c r="Y125" s="44">
        <v>0.038</v>
      </c>
      <c r="Z125" s="46">
        <v>0.09</v>
      </c>
      <c r="AA125" s="46">
        <v>0.049</v>
      </c>
      <c r="AB125" s="46">
        <f t="shared" si="53"/>
        <v>0.00432692307692308</v>
      </c>
      <c r="AC125" s="46">
        <v>0.08</v>
      </c>
      <c r="AD125" s="58">
        <v>0.08</v>
      </c>
      <c r="AE125" s="58">
        <v>0.05</v>
      </c>
      <c r="AF125" s="48" t="s">
        <v>114</v>
      </c>
      <c r="AG125" s="39">
        <f t="shared" si="56"/>
        <v>6</v>
      </c>
      <c r="AH125" s="39">
        <f t="shared" si="57"/>
        <v>6</v>
      </c>
      <c r="AI125" s="39">
        <f t="shared" si="58"/>
        <v>0</v>
      </c>
      <c r="AJ125" s="39">
        <f t="shared" si="59"/>
        <v>0</v>
      </c>
      <c r="AK125" s="39">
        <f t="shared" si="60"/>
        <v>0</v>
      </c>
      <c r="AL125" s="39">
        <f t="shared" si="61"/>
        <v>0</v>
      </c>
      <c r="AM125" s="39">
        <f t="shared" si="62"/>
        <v>0</v>
      </c>
      <c r="AN125" s="39">
        <f t="shared" si="63"/>
        <v>0</v>
      </c>
    </row>
    <row r="126" s="6" customFormat="1" ht="50" hidden="1" customHeight="1" spans="1:40">
      <c r="A126" s="37" t="s">
        <v>108</v>
      </c>
      <c r="B126" s="37" t="s">
        <v>206</v>
      </c>
      <c r="C126" s="37" t="str">
        <f>_xlfn.XLOOKUP(F126,'6月产品包'!B:B,'6月产品包'!H:H)</f>
        <v>展示台</v>
      </c>
      <c r="D126" s="38" t="str">
        <f>_xlfn.XLOOKUP(F126,'6月产品包'!B:B,'6月产品包'!O:O)</f>
        <v>插电式展示台</v>
      </c>
      <c r="E126" s="38" t="s">
        <v>323</v>
      </c>
      <c r="F126" s="37" t="s">
        <v>324</v>
      </c>
      <c r="G126" s="39" t="s">
        <v>100</v>
      </c>
      <c r="H126" s="37" t="s">
        <v>107</v>
      </c>
      <c r="I126" s="37" t="str">
        <f>_xlfn.XLOOKUP($F126,'6月库存'!A:A,'6月库存'!B:B)</f>
        <v>正常销售</v>
      </c>
      <c r="J126" s="12"/>
      <c r="K126" s="39" t="e">
        <f>_xlfn.XLOOKUP(E126,'[1]6月分配 '!$B:$B,'[1]6月分配 '!$K:$K)</f>
        <v>#N/A</v>
      </c>
      <c r="L126" s="12" t="str">
        <f t="shared" si="49"/>
        <v>否</v>
      </c>
      <c r="M126" s="40" t="str">
        <f>_xlfn.XLOOKUP(F126,'6月产品包'!B:B,'6月产品包'!J:J)</f>
        <v>2024-07-18</v>
      </c>
      <c r="N126" s="39" t="str">
        <f ca="1" t="shared" si="54"/>
        <v>老品</v>
      </c>
      <c r="O126" s="37">
        <f>_xlfn.XLOOKUP(F126,'6月库存'!A:A,'6月库存'!R:R)</f>
        <v>4</v>
      </c>
      <c r="P126" s="39">
        <f>_xlfn.XLOOKUP(F126,'6月产品包'!B:B,'6月产品包'!S:S)</f>
        <v>470</v>
      </c>
      <c r="Q126" s="39"/>
      <c r="R126" s="41">
        <f>_xlfn.XLOOKUP(F126,'6月产品包'!B:B,'6月产品包'!AD:AD)</f>
        <v>14.8538</v>
      </c>
      <c r="S126" s="39">
        <v>28</v>
      </c>
      <c r="T126" s="39">
        <f t="shared" si="50"/>
        <v>35</v>
      </c>
      <c r="U126" s="42">
        <f t="shared" si="55"/>
        <v>28</v>
      </c>
      <c r="V126" s="43">
        <v>0.2</v>
      </c>
      <c r="W126" s="44">
        <f t="shared" si="51"/>
        <v>0.469507142857143</v>
      </c>
      <c r="X126" s="44">
        <f t="shared" si="52"/>
        <v>0.272015291119388</v>
      </c>
      <c r="Y126" s="44">
        <v>0.038</v>
      </c>
      <c r="Z126" s="46">
        <v>0.105</v>
      </c>
      <c r="AA126" s="46">
        <v>0.049</v>
      </c>
      <c r="AB126" s="46">
        <f t="shared" si="53"/>
        <v>0.0192857142857143</v>
      </c>
      <c r="AC126" s="46">
        <v>0.06</v>
      </c>
      <c r="AD126" s="47"/>
      <c r="AF126" s="48" t="s">
        <v>102</v>
      </c>
      <c r="AG126" s="39">
        <f t="shared" si="56"/>
        <v>0</v>
      </c>
      <c r="AH126" s="39">
        <f t="shared" si="57"/>
        <v>0</v>
      </c>
      <c r="AI126" s="39">
        <f t="shared" si="58"/>
        <v>0</v>
      </c>
      <c r="AJ126" s="39">
        <f t="shared" si="59"/>
        <v>0</v>
      </c>
      <c r="AK126" s="39">
        <f t="shared" si="60"/>
        <v>0</v>
      </c>
      <c r="AL126" s="39">
        <f t="shared" si="61"/>
        <v>0</v>
      </c>
      <c r="AM126" s="39">
        <f t="shared" si="62"/>
        <v>0</v>
      </c>
      <c r="AN126" s="39">
        <f t="shared" si="63"/>
        <v>0</v>
      </c>
    </row>
    <row r="127" s="6" customFormat="1" ht="50" hidden="1" customHeight="1" spans="1:40">
      <c r="A127" s="37" t="s">
        <v>108</v>
      </c>
      <c r="B127" s="37" t="s">
        <v>206</v>
      </c>
      <c r="C127" s="37" t="str">
        <f>_xlfn.XLOOKUP(F127,'6月产品包'!B:B,'6月产品包'!H:H)</f>
        <v>展示台</v>
      </c>
      <c r="D127" s="38" t="str">
        <f>_xlfn.XLOOKUP(F127,'6月产品包'!B:B,'6月产品包'!O:O)</f>
        <v>插电式展示台</v>
      </c>
      <c r="E127" s="38" t="s">
        <v>325</v>
      </c>
      <c r="F127" s="37" t="s">
        <v>326</v>
      </c>
      <c r="G127" s="39" t="s">
        <v>100</v>
      </c>
      <c r="H127" s="37" t="s">
        <v>107</v>
      </c>
      <c r="I127" s="37" t="str">
        <f>_xlfn.XLOOKUP($F127,'6月库存'!A:A,'6月库存'!B:B)</f>
        <v>正常销售</v>
      </c>
      <c r="J127" s="12"/>
      <c r="K127" s="39" t="e">
        <f>_xlfn.XLOOKUP(E127,'[1]6月分配 '!$B:$B,'[1]6月分配 '!$K:$K)</f>
        <v>#N/A</v>
      </c>
      <c r="L127" s="12" t="str">
        <f t="shared" si="49"/>
        <v>否</v>
      </c>
      <c r="M127" s="40" t="str">
        <f>_xlfn.XLOOKUP(F127,'6月产品包'!B:B,'6月产品包'!J:J)</f>
        <v>2024-09-12</v>
      </c>
      <c r="N127" s="39" t="str">
        <f ca="1" t="shared" si="54"/>
        <v>老品</v>
      </c>
      <c r="O127" s="37">
        <f>_xlfn.XLOOKUP(F127,'6月库存'!A:A,'6月库存'!R:R)</f>
        <v>228</v>
      </c>
      <c r="P127" s="39">
        <f>_xlfn.XLOOKUP(F127,'6月产品包'!B:B,'6月产品包'!S:S)</f>
        <v>250</v>
      </c>
      <c r="Q127" s="39"/>
      <c r="R127" s="41">
        <f>_xlfn.XLOOKUP(F127,'6月产品包'!B:B,'6月产品包'!AD:AD)</f>
        <v>9.5874</v>
      </c>
      <c r="S127" s="39">
        <v>21</v>
      </c>
      <c r="T127" s="39">
        <f t="shared" si="50"/>
        <v>26</v>
      </c>
      <c r="U127" s="42">
        <f t="shared" si="55"/>
        <v>20.8</v>
      </c>
      <c r="V127" s="43">
        <v>0.2</v>
      </c>
      <c r="W127" s="44">
        <f t="shared" si="51"/>
        <v>0.539067307692308</v>
      </c>
      <c r="X127" s="44">
        <f t="shared" si="52"/>
        <v>0.361623075693816</v>
      </c>
      <c r="Y127" s="44">
        <v>0.038</v>
      </c>
      <c r="Z127" s="46">
        <v>0.105</v>
      </c>
      <c r="AA127" s="46">
        <v>0.049</v>
      </c>
      <c r="AB127" s="46">
        <f t="shared" si="53"/>
        <v>0.0259615384615385</v>
      </c>
      <c r="AC127" s="46">
        <v>0.06</v>
      </c>
      <c r="AD127" s="47"/>
      <c r="AF127" s="48" t="s">
        <v>102</v>
      </c>
      <c r="AG127" s="39">
        <f t="shared" si="56"/>
        <v>0</v>
      </c>
      <c r="AH127" s="39">
        <f t="shared" si="57"/>
        <v>0</v>
      </c>
      <c r="AI127" s="39">
        <f t="shared" si="58"/>
        <v>0</v>
      </c>
      <c r="AJ127" s="39">
        <f t="shared" si="59"/>
        <v>0</v>
      </c>
      <c r="AK127" s="39">
        <f t="shared" si="60"/>
        <v>0</v>
      </c>
      <c r="AL127" s="39">
        <f t="shared" si="61"/>
        <v>0</v>
      </c>
      <c r="AM127" s="39">
        <f t="shared" si="62"/>
        <v>0</v>
      </c>
      <c r="AN127" s="39">
        <f t="shared" si="63"/>
        <v>0</v>
      </c>
    </row>
    <row r="128" s="6" customFormat="1" ht="50" hidden="1" customHeight="1" spans="1:40">
      <c r="A128" s="39" t="str">
        <f>_xlfn.XLOOKUP(F128,'6月产品包'!B:B,'6月产品包'!F:F)</f>
        <v>3C数码</v>
      </c>
      <c r="B128" s="39" t="str">
        <f>_xlfn.XLOOKUP(F128,'6月产品包'!B:B,'6月产品包'!G:G)</f>
        <v>游戏娱乐</v>
      </c>
      <c r="C128" s="37" t="str">
        <f>_xlfn.XLOOKUP(F128,'6月产品包'!B:B,'6月产品包'!H:H)</f>
        <v>游戏手柄</v>
      </c>
      <c r="D128" s="38" t="str">
        <f>_xlfn.XLOOKUP(F128,'6月产品包'!B:B,'6月产品包'!O:O)</f>
        <v>PRO蓝牙RGB无线拉伸手机游戏手柄</v>
      </c>
      <c r="E128" s="38" t="str">
        <f>_xlfn.XLOOKUP(F128,'6月产品包'!B:B,'6月产品包'!C:C)</f>
        <v>3C-PRO蓝牙RGB无线拉伸手机游戏手柄STK7011</v>
      </c>
      <c r="F128" s="39" t="s">
        <v>327</v>
      </c>
      <c r="G128" s="39" t="s">
        <v>106</v>
      </c>
      <c r="H128" s="39" t="s">
        <v>107</v>
      </c>
      <c r="I128" s="37" t="str">
        <f>_xlfn.XLOOKUP($F128,'6月库存'!A:A,'6月库存'!B:B)</f>
        <v>正常销售</v>
      </c>
      <c r="J128" s="12"/>
      <c r="K128" s="39">
        <f>_xlfn.XLOOKUP(E128,'[1]6月分配 '!$B:$B,'[1]6月分配 '!$K:$K)</f>
        <v>7712</v>
      </c>
      <c r="L128" s="12" t="str">
        <f t="shared" si="49"/>
        <v>是</v>
      </c>
      <c r="M128" s="40" t="str">
        <f>_xlfn.XLOOKUP(F128,'6月产品包'!B:B,'6月产品包'!J:J)</f>
        <v>2026-04-14</v>
      </c>
      <c r="N128" s="39" t="s">
        <v>149</v>
      </c>
      <c r="O128" s="37">
        <f>_xlfn.XLOOKUP(F128,'6月库存'!A:A,'6月库存'!R:R)</f>
        <v>106</v>
      </c>
      <c r="P128" s="39">
        <f>_xlfn.XLOOKUP(F128,'6月产品包'!B:B,'6月产品包'!S:S)</f>
        <v>600</v>
      </c>
      <c r="Q128" s="56"/>
      <c r="R128" s="41">
        <f>_xlfn.XLOOKUP(F128,'6月产品包'!B:B,'6月产品包'!AD:AD)</f>
        <v>58.087</v>
      </c>
      <c r="S128" s="39">
        <v>125</v>
      </c>
      <c r="T128" s="39">
        <f t="shared" si="50"/>
        <v>156</v>
      </c>
      <c r="U128" s="42">
        <f t="shared" si="55"/>
        <v>124.8</v>
      </c>
      <c r="V128" s="43">
        <v>0.2</v>
      </c>
      <c r="W128" s="44">
        <f t="shared" si="51"/>
        <v>0.534559294871795</v>
      </c>
      <c r="X128" s="44">
        <f t="shared" si="52"/>
        <v>0.369896210286984</v>
      </c>
      <c r="Y128" s="44">
        <v>0.038</v>
      </c>
      <c r="Z128" s="46">
        <v>0.09</v>
      </c>
      <c r="AA128" s="46">
        <v>0.049</v>
      </c>
      <c r="AB128" s="46">
        <f t="shared" si="53"/>
        <v>0.00432692307692308</v>
      </c>
      <c r="AC128" s="46">
        <v>0.08</v>
      </c>
      <c r="AD128" s="58">
        <v>0.08</v>
      </c>
      <c r="AE128" s="58">
        <v>0.05</v>
      </c>
      <c r="AF128" s="48" t="s">
        <v>114</v>
      </c>
      <c r="AG128" s="39">
        <f t="shared" si="56"/>
        <v>6</v>
      </c>
      <c r="AH128" s="39">
        <f t="shared" si="57"/>
        <v>6</v>
      </c>
      <c r="AI128" s="39">
        <f t="shared" si="58"/>
        <v>0</v>
      </c>
      <c r="AJ128" s="39">
        <f t="shared" si="59"/>
        <v>0</v>
      </c>
      <c r="AK128" s="39">
        <f t="shared" si="60"/>
        <v>0</v>
      </c>
      <c r="AL128" s="39">
        <f t="shared" si="61"/>
        <v>0</v>
      </c>
      <c r="AM128" s="39">
        <f t="shared" si="62"/>
        <v>0</v>
      </c>
      <c r="AN128" s="39">
        <f t="shared" si="63"/>
        <v>0</v>
      </c>
    </row>
    <row r="129" s="6" customFormat="1" ht="50" hidden="1" customHeight="1" spans="1:40">
      <c r="A129" s="37" t="s">
        <v>96</v>
      </c>
      <c r="B129" s="37" t="s">
        <v>115</v>
      </c>
      <c r="C129" s="37" t="str">
        <f>_xlfn.XLOOKUP(F129,'6月产品包'!B:B,'6月产品包'!H:H)</f>
        <v>扫码枪</v>
      </c>
      <c r="D129" s="38" t="str">
        <f>_xlfn.XLOOKUP(F129,'6月产品包'!B:B,'6月产品包'!O:O)</f>
        <v>二维扫描枪</v>
      </c>
      <c r="E129" s="38" t="s">
        <v>328</v>
      </c>
      <c r="F129" s="37" t="s">
        <v>329</v>
      </c>
      <c r="G129" s="39" t="e">
        <v>#N/A</v>
      </c>
      <c r="H129" s="37" t="s">
        <v>107</v>
      </c>
      <c r="I129" s="37" t="str">
        <f>_xlfn.XLOOKUP($F129,'6月库存'!A:A,'6月库存'!B:B)</f>
        <v>商品清仓</v>
      </c>
      <c r="J129" s="12"/>
      <c r="K129" s="39" t="e">
        <f>_xlfn.XLOOKUP(E129,'[1]6月分配 '!$B:$B,'[1]6月分配 '!$K:$K)</f>
        <v>#N/A</v>
      </c>
      <c r="L129" s="12" t="str">
        <f t="shared" si="49"/>
        <v>否</v>
      </c>
      <c r="M129" s="40" t="str">
        <f>_xlfn.XLOOKUP(F129,'6月产品包'!B:B,'6月产品包'!J:J)</f>
        <v>2024-08-13</v>
      </c>
      <c r="N129" s="39" t="str">
        <f ca="1" t="shared" si="54"/>
        <v>老品</v>
      </c>
      <c r="O129" s="37">
        <f>_xlfn.XLOOKUP(F129,'6月库存'!A:A,'6月库存'!R:R)</f>
        <v>0</v>
      </c>
      <c r="P129" s="39">
        <f>_xlfn.XLOOKUP(F129,'6月产品包'!B:B,'6月产品包'!S:S)</f>
        <v>260</v>
      </c>
      <c r="Q129" s="39"/>
      <c r="R129" s="41">
        <f>_xlfn.XLOOKUP(F129,'6月产品包'!B:B,'6月产品包'!AD:AD)</f>
        <v>24.592</v>
      </c>
      <c r="S129" s="39">
        <v>47</v>
      </c>
      <c r="T129" s="39">
        <f t="shared" si="50"/>
        <v>59</v>
      </c>
      <c r="U129" s="42">
        <f t="shared" si="55"/>
        <v>47.2</v>
      </c>
      <c r="V129" s="43">
        <v>0.2</v>
      </c>
      <c r="W129" s="44">
        <f t="shared" si="51"/>
        <v>0.478983050847458</v>
      </c>
      <c r="X129" s="44">
        <f t="shared" si="52"/>
        <v>0.32472211238522</v>
      </c>
      <c r="Y129" s="44">
        <v>0.038</v>
      </c>
      <c r="Z129" s="46">
        <v>0.1</v>
      </c>
      <c r="AA129" s="46">
        <v>0.049</v>
      </c>
      <c r="AB129" s="46">
        <f t="shared" si="53"/>
        <v>0.0114406779661017</v>
      </c>
      <c r="AC129" s="46">
        <v>0.03</v>
      </c>
      <c r="AD129" s="47"/>
      <c r="AF129" s="48" t="s">
        <v>102</v>
      </c>
      <c r="AG129" s="39">
        <f t="shared" si="56"/>
        <v>0</v>
      </c>
      <c r="AH129" s="39">
        <f t="shared" si="57"/>
        <v>0</v>
      </c>
      <c r="AI129" s="39">
        <f t="shared" si="58"/>
        <v>0</v>
      </c>
      <c r="AJ129" s="39">
        <f t="shared" si="59"/>
        <v>0</v>
      </c>
      <c r="AK129" s="39">
        <f t="shared" si="60"/>
        <v>0</v>
      </c>
      <c r="AL129" s="39">
        <f t="shared" si="61"/>
        <v>0</v>
      </c>
      <c r="AM129" s="39">
        <f t="shared" si="62"/>
        <v>0</v>
      </c>
      <c r="AN129" s="39">
        <f t="shared" si="63"/>
        <v>0</v>
      </c>
    </row>
    <row r="130" s="6" customFormat="1" ht="50" hidden="1" customHeight="1" spans="1:40">
      <c r="A130" s="37" t="s">
        <v>96</v>
      </c>
      <c r="B130" s="37" t="s">
        <v>115</v>
      </c>
      <c r="C130" s="37" t="str">
        <f>_xlfn.XLOOKUP(F130,'6月产品包'!B:B,'6月产品包'!H:H)</f>
        <v>扫码枪</v>
      </c>
      <c r="D130" s="38" t="str">
        <f>_xlfn.XLOOKUP(F130,'6月产品包'!B:B,'6月产品包'!O:O)</f>
        <v>二维扫描枪</v>
      </c>
      <c r="E130" s="38" t="s">
        <v>330</v>
      </c>
      <c r="F130" s="37" t="s">
        <v>331</v>
      </c>
      <c r="G130" s="39" t="e">
        <v>#N/A</v>
      </c>
      <c r="H130" s="37" t="s">
        <v>107</v>
      </c>
      <c r="I130" s="37" t="str">
        <f>_xlfn.XLOOKUP($F130,'6月库存'!A:A,'6月库存'!B:B)</f>
        <v>商品清仓</v>
      </c>
      <c r="J130" s="12"/>
      <c r="K130" s="39" t="e">
        <f>_xlfn.XLOOKUP(E130,'[1]6月分配 '!$B:$B,'[1]6月分配 '!$K:$K)</f>
        <v>#N/A</v>
      </c>
      <c r="L130" s="12" t="str">
        <f t="shared" si="49"/>
        <v>否</v>
      </c>
      <c r="M130" s="40" t="str">
        <f>_xlfn.XLOOKUP(F130,'6月产品包'!B:B,'6月产品包'!J:J)</f>
        <v>2024-08-13</v>
      </c>
      <c r="N130" s="39" t="str">
        <f ca="1" t="shared" si="54"/>
        <v>老品</v>
      </c>
      <c r="O130" s="37">
        <f>_xlfn.XLOOKUP(F130,'6月库存'!A:A,'6月库存'!R:R)</f>
        <v>0</v>
      </c>
      <c r="P130" s="39">
        <f>_xlfn.XLOOKUP(F130,'6月产品包'!B:B,'6月产品包'!S:S)</f>
        <v>220</v>
      </c>
      <c r="Q130" s="39"/>
      <c r="R130" s="41">
        <f>_xlfn.XLOOKUP(F130,'6月产品包'!B:B,'6月产品包'!AD:AD)</f>
        <v>38.7092</v>
      </c>
      <c r="S130" s="39">
        <v>72</v>
      </c>
      <c r="T130" s="39">
        <f t="shared" si="50"/>
        <v>90</v>
      </c>
      <c r="U130" s="42">
        <f t="shared" si="55"/>
        <v>72</v>
      </c>
      <c r="V130" s="43">
        <v>0.2</v>
      </c>
      <c r="W130" s="44">
        <f t="shared" si="51"/>
        <v>0.462372222222222</v>
      </c>
      <c r="X130" s="44">
        <f t="shared" si="52"/>
        <v>0.306734006734007</v>
      </c>
      <c r="Y130" s="44">
        <v>0.038</v>
      </c>
      <c r="Z130" s="46">
        <v>0.1</v>
      </c>
      <c r="AA130" s="46">
        <v>0.049</v>
      </c>
      <c r="AB130" s="46">
        <f t="shared" si="53"/>
        <v>0.0075</v>
      </c>
      <c r="AC130" s="46">
        <v>0.03</v>
      </c>
      <c r="AD130" s="47"/>
      <c r="AF130" s="48" t="s">
        <v>102</v>
      </c>
      <c r="AG130" s="39">
        <f t="shared" si="56"/>
        <v>4.32</v>
      </c>
      <c r="AH130" s="39">
        <f t="shared" si="57"/>
        <v>4.32</v>
      </c>
      <c r="AI130" s="39">
        <f t="shared" si="58"/>
        <v>0</v>
      </c>
      <c r="AJ130" s="39">
        <f t="shared" si="59"/>
        <v>0</v>
      </c>
      <c r="AK130" s="39">
        <f t="shared" si="60"/>
        <v>0</v>
      </c>
      <c r="AL130" s="39">
        <f t="shared" si="61"/>
        <v>0</v>
      </c>
      <c r="AM130" s="39">
        <f t="shared" si="62"/>
        <v>0</v>
      </c>
      <c r="AN130" s="39">
        <f t="shared" si="63"/>
        <v>0</v>
      </c>
    </row>
    <row r="131" s="6" customFormat="1" ht="50" hidden="1" customHeight="1" spans="1:40">
      <c r="A131" s="37" t="s">
        <v>96</v>
      </c>
      <c r="B131" s="37" t="s">
        <v>115</v>
      </c>
      <c r="C131" s="37" t="str">
        <f>_xlfn.XLOOKUP(F131,'6月产品包'!B:B,'6月产品包'!H:H)</f>
        <v>扫码枪</v>
      </c>
      <c r="D131" s="38" t="str">
        <f>_xlfn.XLOOKUP(F131,'6月产品包'!B:B,'6月产品包'!O:O)</f>
        <v>二维扫描枪</v>
      </c>
      <c r="E131" s="38" t="s">
        <v>332</v>
      </c>
      <c r="F131" s="37" t="s">
        <v>333</v>
      </c>
      <c r="G131" s="39" t="e">
        <v>#N/A</v>
      </c>
      <c r="H131" s="37" t="s">
        <v>107</v>
      </c>
      <c r="I131" s="37" t="str">
        <f>_xlfn.XLOOKUP($F131,'6月库存'!A:A,'6月库存'!B:B)</f>
        <v>正常销售</v>
      </c>
      <c r="J131" s="12"/>
      <c r="K131" s="39" t="e">
        <f>_xlfn.XLOOKUP(E131,'[1]6月分配 '!$B:$B,'[1]6月分配 '!$K:$K)</f>
        <v>#N/A</v>
      </c>
      <c r="L131" s="12" t="str">
        <f t="shared" si="49"/>
        <v>否</v>
      </c>
      <c r="M131" s="40" t="str">
        <f>_xlfn.XLOOKUP(F131,'6月产品包'!B:B,'6月产品包'!J:J)</f>
        <v>2024-08-13</v>
      </c>
      <c r="N131" s="39" t="str">
        <f ca="1" t="shared" si="54"/>
        <v>老品</v>
      </c>
      <c r="O131" s="37">
        <f>_xlfn.XLOOKUP(F131,'6月库存'!A:A,'6月库存'!R:R)</f>
        <v>0</v>
      </c>
      <c r="P131" s="39">
        <f>_xlfn.XLOOKUP(F131,'6月产品包'!B:B,'6月产品包'!S:S)</f>
        <v>260</v>
      </c>
      <c r="Q131" s="39"/>
      <c r="R131" s="41">
        <f>_xlfn.XLOOKUP(F131,'6月产品包'!B:B,'6月产品包'!AD:AD)</f>
        <v>42.5546</v>
      </c>
      <c r="S131" s="39">
        <v>80</v>
      </c>
      <c r="T131" s="39">
        <f t="shared" si="50"/>
        <v>100</v>
      </c>
      <c r="U131" s="42">
        <f t="shared" si="55"/>
        <v>80</v>
      </c>
      <c r="V131" s="43">
        <v>0.2</v>
      </c>
      <c r="W131" s="44">
        <f t="shared" si="51"/>
        <v>0.4680675</v>
      </c>
      <c r="X131" s="44">
        <f t="shared" si="52"/>
        <v>0.314740740740741</v>
      </c>
      <c r="Y131" s="44">
        <v>0.038</v>
      </c>
      <c r="Z131" s="46">
        <v>0.1</v>
      </c>
      <c r="AA131" s="46">
        <v>0.049</v>
      </c>
      <c r="AB131" s="46">
        <f t="shared" si="53"/>
        <v>0.00675</v>
      </c>
      <c r="AC131" s="46">
        <v>0.03</v>
      </c>
      <c r="AD131" s="47"/>
      <c r="AF131" s="48" t="s">
        <v>102</v>
      </c>
      <c r="AG131" s="39">
        <f t="shared" si="56"/>
        <v>4.8</v>
      </c>
      <c r="AH131" s="39">
        <f t="shared" si="57"/>
        <v>4.8</v>
      </c>
      <c r="AI131" s="39">
        <f t="shared" si="58"/>
        <v>0</v>
      </c>
      <c r="AJ131" s="39">
        <f t="shared" si="59"/>
        <v>0</v>
      </c>
      <c r="AK131" s="39">
        <f t="shared" si="60"/>
        <v>0</v>
      </c>
      <c r="AL131" s="39">
        <f t="shared" si="61"/>
        <v>0</v>
      </c>
      <c r="AM131" s="39">
        <f t="shared" si="62"/>
        <v>0</v>
      </c>
      <c r="AN131" s="39">
        <f t="shared" si="63"/>
        <v>0</v>
      </c>
    </row>
    <row r="132" s="6" customFormat="1" ht="50" hidden="1" customHeight="1" spans="1:40">
      <c r="A132" s="37" t="s">
        <v>108</v>
      </c>
      <c r="B132" s="37" t="s">
        <v>146</v>
      </c>
      <c r="C132" s="37" t="str">
        <f>_xlfn.XLOOKUP(F132,'6月产品包'!B:B,'6月产品包'!H:H)</f>
        <v>有线麦克风</v>
      </c>
      <c r="D132" s="38" t="str">
        <f>_xlfn.XLOOKUP(F132,'6月产品包'!B:B,'6月产品包'!O:O)</f>
        <v>RGB全透明动圈降噪桌面麦克风</v>
      </c>
      <c r="E132" s="38" t="s">
        <v>334</v>
      </c>
      <c r="F132" s="39" t="s">
        <v>335</v>
      </c>
      <c r="G132" s="39" t="s">
        <v>262</v>
      </c>
      <c r="H132" s="39" t="s">
        <v>101</v>
      </c>
      <c r="I132" s="37" t="str">
        <f>_xlfn.XLOOKUP($F132,'6月库存'!A:A,'6月库存'!B:B)</f>
        <v>正常销售</v>
      </c>
      <c r="J132" s="12"/>
      <c r="K132" s="39">
        <f>_xlfn.XLOOKUP(E132,'[1]6月分配 '!$B:$B,'[1]6月分配 '!$K:$K)</f>
        <v>7706</v>
      </c>
      <c r="L132" s="12" t="str">
        <f t="shared" si="49"/>
        <v>是</v>
      </c>
      <c r="M132" s="40" t="str">
        <f>_xlfn.XLOOKUP(F132,'6月产品包'!B:B,'6月产品包'!J:J)</f>
        <v>2025-12-08</v>
      </c>
      <c r="N132" s="39" t="s">
        <v>149</v>
      </c>
      <c r="O132" s="37">
        <f>_xlfn.XLOOKUP(F132,'6月库存'!A:A,'6月库存'!R:R)</f>
        <v>68</v>
      </c>
      <c r="P132" s="39">
        <f>_xlfn.XLOOKUP(F132,'6月产品包'!B:B,'6月产品包'!S:S)</f>
        <v>569</v>
      </c>
      <c r="Q132" s="39"/>
      <c r="R132" s="41">
        <f>_xlfn.XLOOKUP(F132,'6月产品包'!B:B,'6月产品包'!AD:AD)</f>
        <v>46.5566</v>
      </c>
      <c r="S132" s="39">
        <v>93</v>
      </c>
      <c r="T132" s="39">
        <f t="shared" si="50"/>
        <v>116</v>
      </c>
      <c r="U132" s="42">
        <f t="shared" si="55"/>
        <v>92.8</v>
      </c>
      <c r="V132" s="43">
        <v>0.2</v>
      </c>
      <c r="W132" s="44">
        <f t="shared" si="51"/>
        <v>0.4983125</v>
      </c>
      <c r="X132" s="44">
        <f t="shared" si="52"/>
        <v>0.322209734338058</v>
      </c>
      <c r="Y132" s="44">
        <v>0.04</v>
      </c>
      <c r="Z132" s="46">
        <v>0.105</v>
      </c>
      <c r="AA132" s="46">
        <v>0.049</v>
      </c>
      <c r="AB132" s="46">
        <f t="shared" si="53"/>
        <v>0.00581896551724138</v>
      </c>
      <c r="AC132" s="46">
        <v>0.06</v>
      </c>
      <c r="AD132" s="47"/>
      <c r="AF132" s="48" t="s">
        <v>114</v>
      </c>
      <c r="AG132" s="39">
        <f t="shared" si="56"/>
        <v>5.568</v>
      </c>
      <c r="AH132" s="39">
        <f t="shared" si="57"/>
        <v>5.568</v>
      </c>
      <c r="AI132" s="39">
        <f t="shared" si="58"/>
        <v>0</v>
      </c>
      <c r="AJ132" s="39">
        <f t="shared" si="59"/>
        <v>0</v>
      </c>
      <c r="AK132" s="39">
        <f t="shared" si="60"/>
        <v>0</v>
      </c>
      <c r="AL132" s="39">
        <f t="shared" si="61"/>
        <v>0</v>
      </c>
      <c r="AM132" s="39">
        <f t="shared" si="62"/>
        <v>0</v>
      </c>
      <c r="AN132" s="39">
        <f t="shared" si="63"/>
        <v>0</v>
      </c>
    </row>
    <row r="133" s="6" customFormat="1" ht="50" hidden="1" customHeight="1" spans="1:40">
      <c r="A133" s="37" t="s">
        <v>96</v>
      </c>
      <c r="B133" s="37" t="s">
        <v>97</v>
      </c>
      <c r="C133" s="37" t="str">
        <f>_xlfn.XLOOKUP(F133,'6月产品包'!B:B,'6月产品包'!H:H)</f>
        <v>密码锁</v>
      </c>
      <c r="D133" s="38" t="str">
        <f>_xlfn.XLOOKUP(F133,'6月产品包'!B:B,'6月产品包'!O:O)</f>
        <v>R5A房间门锁单锁舌四功能不带APP</v>
      </c>
      <c r="E133" s="38" t="s">
        <v>336</v>
      </c>
      <c r="F133" s="37" t="s">
        <v>337</v>
      </c>
      <c r="G133" s="39" t="s">
        <v>106</v>
      </c>
      <c r="H133" s="37" t="s">
        <v>101</v>
      </c>
      <c r="I133" s="37" t="str">
        <f>_xlfn.XLOOKUP($F133,'6月库存'!A:A,'6月库存'!B:B)</f>
        <v>正常销售</v>
      </c>
      <c r="J133" s="12"/>
      <c r="K133" s="39">
        <f>_xlfn.XLOOKUP(E133,'[1]6月分配 '!$B:$B,'[1]6月分配 '!$K:$K)</f>
        <v>7465</v>
      </c>
      <c r="L133" s="12" t="str">
        <f t="shared" si="49"/>
        <v>是</v>
      </c>
      <c r="M133" s="40" t="str">
        <f>_xlfn.XLOOKUP(F133,'6月产品包'!B:B,'6月产品包'!J:J)</f>
        <v>2025-10-30</v>
      </c>
      <c r="N133" s="39" t="str">
        <f ca="1">IF(DATEDIF(M133,TODAY(),"m")&lt;6,"新品","老品")</f>
        <v>老品</v>
      </c>
      <c r="O133" s="37">
        <f>_xlfn.XLOOKUP(F133,'6月库存'!A:A,'6月库存'!R:R)</f>
        <v>58</v>
      </c>
      <c r="P133" s="39">
        <f>_xlfn.XLOOKUP(F133,'6月产品包'!B:B,'6月产品包'!S:S)</f>
        <v>1559</v>
      </c>
      <c r="Q133" s="39"/>
      <c r="R133" s="41">
        <f>_xlfn.XLOOKUP(F133,'6月产品包'!B:B,'6月产品包'!AD:AD)</f>
        <v>74.0138</v>
      </c>
      <c r="S133" s="39">
        <v>150</v>
      </c>
      <c r="T133" s="39">
        <f t="shared" si="50"/>
        <v>188</v>
      </c>
      <c r="U133" s="42">
        <f t="shared" si="55"/>
        <v>150.4</v>
      </c>
      <c r="V133" s="43">
        <v>0.2</v>
      </c>
      <c r="W133" s="44">
        <f t="shared" si="51"/>
        <v>0.507886968085106</v>
      </c>
      <c r="X133" s="44">
        <f t="shared" si="52"/>
        <v>0.329920184835119</v>
      </c>
      <c r="Y133" s="51">
        <v>0.038</v>
      </c>
      <c r="Z133" s="45">
        <v>0.115</v>
      </c>
      <c r="AA133" s="46">
        <v>0.049</v>
      </c>
      <c r="AB133" s="46">
        <f t="shared" si="53"/>
        <v>0.00359042553191489</v>
      </c>
      <c r="AC133" s="46">
        <v>0.06</v>
      </c>
      <c r="AD133" s="47"/>
      <c r="AF133" s="48" t="s">
        <v>114</v>
      </c>
      <c r="AG133" s="39">
        <f t="shared" si="56"/>
        <v>6</v>
      </c>
      <c r="AH133" s="39">
        <f t="shared" si="57"/>
        <v>6</v>
      </c>
      <c r="AI133" s="39">
        <f t="shared" si="58"/>
        <v>0</v>
      </c>
      <c r="AJ133" s="39">
        <f t="shared" si="59"/>
        <v>0</v>
      </c>
      <c r="AK133" s="39">
        <f t="shared" si="60"/>
        <v>0</v>
      </c>
      <c r="AL133" s="39">
        <f t="shared" si="61"/>
        <v>0</v>
      </c>
      <c r="AM133" s="39">
        <f t="shared" si="62"/>
        <v>0</v>
      </c>
      <c r="AN133" s="39">
        <f t="shared" si="63"/>
        <v>0</v>
      </c>
    </row>
    <row r="134" s="6" customFormat="1" ht="50" hidden="1" customHeight="1" spans="1:40">
      <c r="A134" s="39" t="str">
        <f>_xlfn.XLOOKUP(F134,'6月产品包'!B:B,'6月产品包'!F:F)</f>
        <v>3C数码</v>
      </c>
      <c r="B134" s="39" t="str">
        <f>_xlfn.XLOOKUP(F134,'6月产品包'!B:B,'6月产品包'!G:G)</f>
        <v>影像摄影</v>
      </c>
      <c r="C134" s="37" t="str">
        <f>_xlfn.XLOOKUP(F134,'6月产品包'!B:B,'6月产品包'!H:H)</f>
        <v>投影仪</v>
      </c>
      <c r="D134" s="38" t="str">
        <f>_xlfn.XLOOKUP(F134,'6月产品包'!B:B,'6月产品包'!O:O)</f>
        <v>投影仪圆筒款</v>
      </c>
      <c r="E134" s="38" t="str">
        <f>_xlfn.XLOOKUP(F134,'6月产品包'!B:B,'6月产品包'!C:C)</f>
        <v>3C-圆筒投影仪白色</v>
      </c>
      <c r="F134" s="37" t="s">
        <v>338</v>
      </c>
      <c r="G134" s="39" t="s">
        <v>154</v>
      </c>
      <c r="H134" s="37" t="s">
        <v>107</v>
      </c>
      <c r="I134" s="37" t="str">
        <f>_xlfn.XLOOKUP($F134,'6月库存'!A:A,'6月库存'!B:B)</f>
        <v>商品清仓</v>
      </c>
      <c r="J134" s="12"/>
      <c r="K134" s="39">
        <f>_xlfn.XLOOKUP(E134,'[1]6月分配 '!$B:$B,'[1]6月分配 '!$K:$K)</f>
        <v>7297</v>
      </c>
      <c r="L134" s="12" t="str">
        <f t="shared" si="49"/>
        <v>是</v>
      </c>
      <c r="M134" s="40" t="str">
        <f>_xlfn.XLOOKUP(F134,'6月产品包'!B:B,'6月产品包'!J:J)</f>
        <v>2024-02-27</v>
      </c>
      <c r="N134" s="39" t="str">
        <f ca="1">IF(DATEDIF(M134,TODAY(),"m")&lt;6,"新品","老品")</f>
        <v>老品</v>
      </c>
      <c r="O134" s="37">
        <f>_xlfn.XLOOKUP(F134,'6月库存'!A:A,'6月库存'!R:R)</f>
        <v>45</v>
      </c>
      <c r="P134" s="39">
        <f>_xlfn.XLOOKUP(F134,'6月产品包'!B:B,'6月产品包'!S:S)</f>
        <v>845</v>
      </c>
      <c r="Q134" s="39"/>
      <c r="R134" s="41">
        <f>_xlfn.XLOOKUP(F134,'6月产品包'!B:B,'6月产品包'!AD:AD)</f>
        <v>99.6092</v>
      </c>
      <c r="S134" s="39">
        <v>175</v>
      </c>
      <c r="T134" s="39">
        <f t="shared" si="50"/>
        <v>219</v>
      </c>
      <c r="U134" s="42">
        <f t="shared" si="55"/>
        <v>175.2</v>
      </c>
      <c r="V134" s="43">
        <v>0.2</v>
      </c>
      <c r="W134" s="44">
        <f t="shared" si="51"/>
        <v>0.431454337899543</v>
      </c>
      <c r="X134" s="44">
        <f t="shared" si="52"/>
        <v>0.224270913157518</v>
      </c>
      <c r="Y134" s="44">
        <v>0.04</v>
      </c>
      <c r="Z134" s="46">
        <v>0.115</v>
      </c>
      <c r="AA134" s="46">
        <v>0.049</v>
      </c>
      <c r="AB134" s="46">
        <f t="shared" si="53"/>
        <v>0.00308219178082192</v>
      </c>
      <c r="AC134" s="46">
        <v>0.06</v>
      </c>
      <c r="AD134" s="47"/>
      <c r="AF134" s="48" t="s">
        <v>114</v>
      </c>
      <c r="AG134" s="39">
        <f t="shared" si="56"/>
        <v>6</v>
      </c>
      <c r="AH134" s="39">
        <f t="shared" si="57"/>
        <v>6</v>
      </c>
      <c r="AI134" s="39">
        <f t="shared" si="58"/>
        <v>0</v>
      </c>
      <c r="AJ134" s="39">
        <f t="shared" si="59"/>
        <v>0</v>
      </c>
      <c r="AK134" s="39">
        <f t="shared" si="60"/>
        <v>0</v>
      </c>
      <c r="AL134" s="39">
        <f t="shared" si="61"/>
        <v>0</v>
      </c>
      <c r="AM134" s="39">
        <f t="shared" si="62"/>
        <v>0</v>
      </c>
      <c r="AN134" s="39">
        <f t="shared" si="63"/>
        <v>0</v>
      </c>
    </row>
    <row r="135" s="6" customFormat="1" ht="50" hidden="1" customHeight="1" spans="1:40">
      <c r="A135" s="37" t="s">
        <v>108</v>
      </c>
      <c r="B135" s="37" t="s">
        <v>206</v>
      </c>
      <c r="C135" s="37" t="str">
        <f>_xlfn.XLOOKUP(F135,'6月产品包'!B:B,'6月产品包'!H:H)</f>
        <v>耳机</v>
      </c>
      <c r="D135" s="38" t="str">
        <f>_xlfn.XLOOKUP(F135,'6月产品包'!B:B,'6月产品包'!O:O)</f>
        <v>无线三模耳机K90W</v>
      </c>
      <c r="E135" s="38" t="s">
        <v>339</v>
      </c>
      <c r="F135" s="37" t="s">
        <v>340</v>
      </c>
      <c r="G135" s="39" t="s">
        <v>126</v>
      </c>
      <c r="H135" s="37" t="s">
        <v>107</v>
      </c>
      <c r="I135" s="37" t="str">
        <f>_xlfn.XLOOKUP($F135,'6月库存'!A:A,'6月库存'!B:B)</f>
        <v>正常销售</v>
      </c>
      <c r="J135" s="12"/>
      <c r="K135" s="39">
        <f>_xlfn.XLOOKUP(E135,'[1]6月分配 '!$B:$B,'[1]6月分配 '!$K:$K)</f>
        <v>6996</v>
      </c>
      <c r="L135" s="12" t="str">
        <f t="shared" si="49"/>
        <v>是</v>
      </c>
      <c r="M135" s="40" t="str">
        <f>_xlfn.XLOOKUP(F135,'6月产品包'!B:B,'6月产品包'!J:J)</f>
        <v>2025-08-28</v>
      </c>
      <c r="N135" s="39" t="str">
        <f ca="1">IF(DATEDIF(M135,TODAY(),"m")&lt;6,"新品","老品")</f>
        <v>老品</v>
      </c>
      <c r="O135" s="37">
        <f>_xlfn.XLOOKUP(F135,'6月库存'!A:A,'6月库存'!R:R)</f>
        <v>73</v>
      </c>
      <c r="P135" s="39">
        <f>_xlfn.XLOOKUP(F135,'6月产品包'!B:B,'6月产品包'!S:S)</f>
        <v>395</v>
      </c>
      <c r="Q135" s="39"/>
      <c r="R135" s="41">
        <f>_xlfn.XLOOKUP(F135,'6月产品包'!B:B,'6月产品包'!AD:AD)</f>
        <v>43.6334</v>
      </c>
      <c r="S135" s="39">
        <v>86</v>
      </c>
      <c r="T135" s="39">
        <f t="shared" si="50"/>
        <v>108</v>
      </c>
      <c r="U135" s="42">
        <f t="shared" si="55"/>
        <v>86.4</v>
      </c>
      <c r="V135" s="43">
        <v>0.2</v>
      </c>
      <c r="W135" s="44">
        <f t="shared" si="51"/>
        <v>0.494983796296296</v>
      </c>
      <c r="X135" s="44">
        <f t="shared" si="52"/>
        <v>0.3098514469372</v>
      </c>
      <c r="Y135" s="44">
        <v>0.038</v>
      </c>
      <c r="Z135" s="46">
        <v>0.115</v>
      </c>
      <c r="AA135" s="46">
        <v>0.049</v>
      </c>
      <c r="AB135" s="46">
        <f t="shared" si="53"/>
        <v>0.00625</v>
      </c>
      <c r="AC135" s="46">
        <v>0.06</v>
      </c>
      <c r="AD135" s="47"/>
      <c r="AE135" s="50"/>
      <c r="AF135" s="48" t="s">
        <v>114</v>
      </c>
      <c r="AG135" s="39">
        <f t="shared" si="56"/>
        <v>5.184</v>
      </c>
      <c r="AH135" s="39">
        <f t="shared" si="57"/>
        <v>5.184</v>
      </c>
      <c r="AI135" s="39">
        <f t="shared" si="58"/>
        <v>0</v>
      </c>
      <c r="AJ135" s="39">
        <f t="shared" si="59"/>
        <v>0</v>
      </c>
      <c r="AK135" s="39">
        <f t="shared" si="60"/>
        <v>0</v>
      </c>
      <c r="AL135" s="39">
        <f t="shared" si="61"/>
        <v>0</v>
      </c>
      <c r="AM135" s="39">
        <f t="shared" si="62"/>
        <v>0</v>
      </c>
      <c r="AN135" s="39">
        <f t="shared" si="63"/>
        <v>0</v>
      </c>
    </row>
    <row r="136" s="6" customFormat="1" ht="50" hidden="1" customHeight="1" spans="1:40">
      <c r="A136" s="37" t="s">
        <v>96</v>
      </c>
      <c r="B136" s="37" t="s">
        <v>115</v>
      </c>
      <c r="C136" s="37" t="str">
        <f>_xlfn.XLOOKUP(F136,'6月产品包'!B:B,'6月产品包'!H:H)</f>
        <v>收银箱</v>
      </c>
      <c r="D136" s="38" t="str">
        <f>_xlfn.XLOOKUP(F136,'6月产品包'!B:B,'6月产品包'!O:O)</f>
        <v>商超收银箱</v>
      </c>
      <c r="E136" s="38" t="s">
        <v>341</v>
      </c>
      <c r="F136" s="37" t="s">
        <v>342</v>
      </c>
      <c r="G136" s="39" t="e">
        <v>#N/A</v>
      </c>
      <c r="H136" s="37" t="s">
        <v>101</v>
      </c>
      <c r="I136" s="37" t="str">
        <f>_xlfn.XLOOKUP($F136,'6月库存'!A:A,'6月库存'!B:B)</f>
        <v>正常销售</v>
      </c>
      <c r="J136" s="12"/>
      <c r="K136" s="39" t="e">
        <f>_xlfn.XLOOKUP(E136,'[1]6月分配 '!$B:$B,'[1]6月分配 '!$K:$K)</f>
        <v>#N/A</v>
      </c>
      <c r="L136" s="12" t="str">
        <f t="shared" si="49"/>
        <v>否</v>
      </c>
      <c r="M136" s="40" t="str">
        <f>_xlfn.XLOOKUP(F136,'6月产品包'!B:B,'6月产品包'!J:J)</f>
        <v>2024-11-21</v>
      </c>
      <c r="N136" s="39" t="str">
        <f ca="1" t="shared" si="54"/>
        <v>老品</v>
      </c>
      <c r="O136" s="37">
        <f>_xlfn.XLOOKUP(F136,'6月库存'!A:A,'6月库存'!R:R)</f>
        <v>520</v>
      </c>
      <c r="P136" s="39">
        <f>_xlfn.XLOOKUP(F136,'6月产品包'!B:B,'6月产品包'!S:S)</f>
        <v>4000</v>
      </c>
      <c r="Q136" s="39"/>
      <c r="R136" s="41">
        <f>_xlfn.XLOOKUP(F136,'6月产品包'!B:B,'6月产品包'!AD:AD)</f>
        <v>45.6808</v>
      </c>
      <c r="S136" s="39">
        <v>95</v>
      </c>
      <c r="T136" s="39">
        <f t="shared" si="50"/>
        <v>119</v>
      </c>
      <c r="U136" s="42">
        <f t="shared" si="55"/>
        <v>95.2</v>
      </c>
      <c r="V136" s="43">
        <v>0.2</v>
      </c>
      <c r="W136" s="44">
        <f t="shared" si="51"/>
        <v>0.520159663865546</v>
      </c>
      <c r="X136" s="44">
        <f t="shared" si="52"/>
        <v>0.356202223374749</v>
      </c>
      <c r="Y136" s="44">
        <v>0.04</v>
      </c>
      <c r="Z136" s="46">
        <v>0.1</v>
      </c>
      <c r="AA136" s="46">
        <v>0.049</v>
      </c>
      <c r="AB136" s="46">
        <f t="shared" si="53"/>
        <v>0.00567226890756303</v>
      </c>
      <c r="AC136" s="46">
        <v>0.06</v>
      </c>
      <c r="AD136" s="47"/>
      <c r="AF136" s="48" t="s">
        <v>102</v>
      </c>
      <c r="AG136" s="39">
        <f t="shared" si="56"/>
        <v>5.712</v>
      </c>
      <c r="AH136" s="39">
        <f t="shared" si="57"/>
        <v>5.712</v>
      </c>
      <c r="AI136" s="39">
        <f t="shared" si="58"/>
        <v>0</v>
      </c>
      <c r="AJ136" s="39">
        <f t="shared" si="59"/>
        <v>0</v>
      </c>
      <c r="AK136" s="39">
        <f t="shared" si="60"/>
        <v>0</v>
      </c>
      <c r="AL136" s="39">
        <f t="shared" si="61"/>
        <v>0</v>
      </c>
      <c r="AM136" s="39">
        <f t="shared" si="62"/>
        <v>0</v>
      </c>
      <c r="AN136" s="39">
        <f t="shared" si="63"/>
        <v>0</v>
      </c>
    </row>
    <row r="137" s="6" customFormat="1" ht="50" hidden="1" customHeight="1" spans="1:40">
      <c r="A137" s="37" t="s">
        <v>96</v>
      </c>
      <c r="B137" s="37" t="s">
        <v>115</v>
      </c>
      <c r="C137" s="37" t="str">
        <f>_xlfn.XLOOKUP(F137,'6月产品包'!B:B,'6月产品包'!H:H)</f>
        <v>收银箱</v>
      </c>
      <c r="D137" s="38" t="str">
        <f>_xlfn.XLOOKUP(F137,'6月产品包'!B:B,'6月产品包'!O:O)</f>
        <v>商超收银箱</v>
      </c>
      <c r="E137" s="38" t="s">
        <v>343</v>
      </c>
      <c r="F137" s="37" t="s">
        <v>344</v>
      </c>
      <c r="G137" s="39" t="e">
        <v>#N/A</v>
      </c>
      <c r="H137" s="37" t="s">
        <v>101</v>
      </c>
      <c r="I137" s="37" t="str">
        <f>_xlfn.XLOOKUP($F137,'6月库存'!A:A,'6月库存'!B:B)</f>
        <v>正常销售</v>
      </c>
      <c r="J137" s="12"/>
      <c r="K137" s="39" t="e">
        <f>_xlfn.XLOOKUP(E137,'[1]6月分配 '!$B:$B,'[1]6月分配 '!$K:$K)</f>
        <v>#N/A</v>
      </c>
      <c r="L137" s="12" t="str">
        <f t="shared" si="49"/>
        <v>否</v>
      </c>
      <c r="M137" s="40" t="str">
        <f>_xlfn.XLOOKUP(F137,'6月产品包'!B:B,'6月产品包'!J:J)</f>
        <v>2024-11-21</v>
      </c>
      <c r="N137" s="39" t="str">
        <f ca="1" t="shared" si="54"/>
        <v>老品</v>
      </c>
      <c r="O137" s="37">
        <f>_xlfn.XLOOKUP(F137,'6月库存'!A:A,'6月库存'!R:R)</f>
        <v>428</v>
      </c>
      <c r="P137" s="39">
        <f>_xlfn.XLOOKUP(F137,'6月产品包'!B:B,'6月产品包'!S:S)</f>
        <v>5100</v>
      </c>
      <c r="Q137" s="39"/>
      <c r="R137" s="41">
        <f>_xlfn.XLOOKUP(F137,'6月产品包'!B:B,'6月产品包'!AD:AD)</f>
        <v>65.7256</v>
      </c>
      <c r="S137" s="39">
        <v>119</v>
      </c>
      <c r="T137" s="39">
        <f t="shared" si="50"/>
        <v>149</v>
      </c>
      <c r="U137" s="42">
        <f t="shared" si="55"/>
        <v>119.2</v>
      </c>
      <c r="V137" s="43">
        <v>0.2</v>
      </c>
      <c r="W137" s="44">
        <f t="shared" si="51"/>
        <v>0.448610738255034</v>
      </c>
      <c r="X137" s="44">
        <f t="shared" si="52"/>
        <v>0.261337481119183</v>
      </c>
      <c r="Y137" s="44">
        <v>0.04</v>
      </c>
      <c r="Z137" s="46">
        <v>0.1</v>
      </c>
      <c r="AA137" s="46">
        <v>0.049</v>
      </c>
      <c r="AB137" s="46">
        <f t="shared" si="53"/>
        <v>0.00453020134228188</v>
      </c>
      <c r="AC137" s="46">
        <v>0.06</v>
      </c>
      <c r="AD137" s="47"/>
      <c r="AF137" s="48" t="s">
        <v>102</v>
      </c>
      <c r="AG137" s="39">
        <f t="shared" si="56"/>
        <v>6</v>
      </c>
      <c r="AH137" s="39">
        <f t="shared" si="57"/>
        <v>6</v>
      </c>
      <c r="AI137" s="39">
        <f t="shared" si="58"/>
        <v>0</v>
      </c>
      <c r="AJ137" s="39">
        <f t="shared" si="59"/>
        <v>0</v>
      </c>
      <c r="AK137" s="39">
        <f t="shared" si="60"/>
        <v>0</v>
      </c>
      <c r="AL137" s="39">
        <f t="shared" si="61"/>
        <v>0</v>
      </c>
      <c r="AM137" s="39">
        <f t="shared" si="62"/>
        <v>0</v>
      </c>
      <c r="AN137" s="39">
        <f t="shared" si="63"/>
        <v>0</v>
      </c>
    </row>
    <row r="138" s="6" customFormat="1" ht="50" hidden="1" customHeight="1" spans="1:40">
      <c r="A138" s="39" t="str">
        <f>_xlfn.XLOOKUP(F138,'6月产品包'!B:B,'6月产品包'!F:F)</f>
        <v>3C数码</v>
      </c>
      <c r="B138" s="39" t="str">
        <f>_xlfn.XLOOKUP(F138,'6月产品包'!B:B,'6月产品包'!G:G)</f>
        <v>影像摄影</v>
      </c>
      <c r="C138" s="37" t="str">
        <f>_xlfn.XLOOKUP(F138,'6月产品包'!B:B,'6月产品包'!H:H)</f>
        <v>三脚架</v>
      </c>
      <c r="D138" s="38" t="str">
        <f>_xlfn.XLOOKUP(F138,'6月产品包'!B:B,'6月产品包'!O:O)</f>
        <v>相机三脚架160cm</v>
      </c>
      <c r="E138" s="38" t="str">
        <f>_xlfn.XLOOKUP(F138,'6月产品包'!B:B,'6月产品包'!C:C)</f>
        <v>3C-相机三脚架160cm</v>
      </c>
      <c r="F138" s="37" t="s">
        <v>345</v>
      </c>
      <c r="G138" s="39" t="s">
        <v>154</v>
      </c>
      <c r="H138" s="37" t="s">
        <v>101</v>
      </c>
      <c r="I138" s="37" t="str">
        <f>_xlfn.XLOOKUP($F138,'6月库存'!A:A,'6月库存'!B:B)</f>
        <v>商品清仓</v>
      </c>
      <c r="J138" s="12"/>
      <c r="K138" s="39">
        <f>_xlfn.XLOOKUP(E138,'[1]6月分配 '!$B:$B,'[1]6月分配 '!$K:$K)</f>
        <v>6692</v>
      </c>
      <c r="L138" s="12" t="str">
        <f t="shared" si="49"/>
        <v>是</v>
      </c>
      <c r="M138" s="40" t="str">
        <f>_xlfn.XLOOKUP(F138,'6月产品包'!B:B,'6月产品包'!J:J)</f>
        <v>2025-08-26</v>
      </c>
      <c r="N138" s="39" t="str">
        <f ca="1" t="shared" si="54"/>
        <v>老品</v>
      </c>
      <c r="O138" s="37">
        <f>_xlfn.XLOOKUP(F138,'6月库存'!A:A,'6月库存'!R:R)</f>
        <v>107</v>
      </c>
      <c r="P138" s="39">
        <f>_xlfn.XLOOKUP(F138,'6月产品包'!B:B,'6月产品包'!S:S)</f>
        <v>540</v>
      </c>
      <c r="Q138" s="39"/>
      <c r="R138" s="41">
        <f>_xlfn.XLOOKUP(F138,'6月产品包'!B:B,'6月产品包'!AD:AD)</f>
        <v>25.7056</v>
      </c>
      <c r="S138" s="39">
        <v>51</v>
      </c>
      <c r="T138" s="39">
        <f t="shared" si="50"/>
        <v>64</v>
      </c>
      <c r="U138" s="42">
        <f t="shared" si="55"/>
        <v>51.2</v>
      </c>
      <c r="V138" s="43">
        <v>0.2</v>
      </c>
      <c r="W138" s="44">
        <f t="shared" si="51"/>
        <v>0.4979375</v>
      </c>
      <c r="X138" s="44">
        <f t="shared" si="52"/>
        <v>0.323778858092893</v>
      </c>
      <c r="Y138" s="51">
        <v>0.038</v>
      </c>
      <c r="Z138" s="46">
        <v>0.1</v>
      </c>
      <c r="AA138" s="46">
        <v>0.049</v>
      </c>
      <c r="AB138" s="46">
        <f t="shared" si="53"/>
        <v>0.010546875</v>
      </c>
      <c r="AC138" s="46">
        <v>0.06</v>
      </c>
      <c r="AD138" s="47"/>
      <c r="AF138" s="48" t="s">
        <v>114</v>
      </c>
      <c r="AG138" s="39">
        <f t="shared" si="56"/>
        <v>3.072</v>
      </c>
      <c r="AH138" s="39">
        <f t="shared" si="57"/>
        <v>3.072</v>
      </c>
      <c r="AI138" s="39">
        <f t="shared" si="58"/>
        <v>0</v>
      </c>
      <c r="AJ138" s="39">
        <f t="shared" si="59"/>
        <v>0</v>
      </c>
      <c r="AK138" s="39">
        <f t="shared" si="60"/>
        <v>0</v>
      </c>
      <c r="AL138" s="39">
        <f t="shared" si="61"/>
        <v>0</v>
      </c>
      <c r="AM138" s="39">
        <f t="shared" si="62"/>
        <v>0</v>
      </c>
      <c r="AN138" s="39">
        <f t="shared" si="63"/>
        <v>0</v>
      </c>
    </row>
    <row r="139" s="6" customFormat="1" ht="50" hidden="1" customHeight="1" spans="1:40">
      <c r="A139" s="39" t="str">
        <f>_xlfn.XLOOKUP(F139,'6月产品包'!B:B,'6月产品包'!F:F)</f>
        <v>3C数码</v>
      </c>
      <c r="B139" s="39" t="str">
        <f>_xlfn.XLOOKUP(F139,'6月产品包'!B:B,'6月产品包'!G:G)</f>
        <v>影像摄影</v>
      </c>
      <c r="C139" s="37" t="str">
        <f>_xlfn.XLOOKUP(F139,'6月产品包'!B:B,'6月产品包'!H:H)</f>
        <v>投影仪支架</v>
      </c>
      <c r="D139" s="38" t="str">
        <f>_xlfn.XLOOKUP(F139,'6月产品包'!B:B,'6月产品包'!O:O)</f>
        <v>投影仪支架系列</v>
      </c>
      <c r="E139" s="38" t="str">
        <f>_xlfn.XLOOKUP(F139,'6月产品包'!B:B,'6月产品包'!C:C)</f>
        <v>3C-投影仪支架云台32cm*25cm</v>
      </c>
      <c r="F139" s="37" t="s">
        <v>346</v>
      </c>
      <c r="G139" s="39" t="s">
        <v>126</v>
      </c>
      <c r="H139" s="37" t="s">
        <v>101</v>
      </c>
      <c r="I139" s="37" t="str">
        <f>_xlfn.XLOOKUP($F139,'6月库存'!A:A,'6月库存'!B:B)</f>
        <v>正常销售</v>
      </c>
      <c r="J139" s="12"/>
      <c r="K139" s="39" t="e">
        <f>_xlfn.XLOOKUP(E139,'[1]6月分配 '!$B:$B,'[1]6月分配 '!$K:$K)</f>
        <v>#N/A</v>
      </c>
      <c r="L139" s="12" t="str">
        <f t="shared" si="49"/>
        <v>否</v>
      </c>
      <c r="M139" s="40" t="str">
        <f>_xlfn.XLOOKUP(F139,'6月产品包'!B:B,'6月产品包'!J:J)</f>
        <v>2025-03-15</v>
      </c>
      <c r="N139" s="39" t="str">
        <f ca="1" t="shared" ref="N138:N174" si="64">IF(DATEDIF(M139,TODAY(),"m")&lt;6,"新品","老品")</f>
        <v>老品</v>
      </c>
      <c r="O139" s="37">
        <f>_xlfn.XLOOKUP(F139,'6月库存'!A:A,'6月库存'!R:R)</f>
        <v>0</v>
      </c>
      <c r="P139" s="39">
        <f>_xlfn.XLOOKUP(F139,'6月产品包'!B:B,'6月产品包'!S:S)</f>
        <v>600</v>
      </c>
      <c r="Q139" s="39"/>
      <c r="R139" s="41">
        <f>_xlfn.XLOOKUP(F139,'6月产品包'!B:B,'6月产品包'!AD:AD)</f>
        <v>7.511</v>
      </c>
      <c r="S139" s="39">
        <v>15</v>
      </c>
      <c r="T139" s="39">
        <f t="shared" si="50"/>
        <v>19</v>
      </c>
      <c r="U139" s="42">
        <f t="shared" ref="U138:U202" si="65">$T139*(1-0.2)</f>
        <v>15.2</v>
      </c>
      <c r="V139" s="43">
        <v>0.2</v>
      </c>
      <c r="W139" s="44">
        <f t="shared" si="51"/>
        <v>0.505855263157895</v>
      </c>
      <c r="X139" s="44">
        <f t="shared" si="52"/>
        <v>0.296564771109613</v>
      </c>
      <c r="Y139" s="44">
        <v>0.038</v>
      </c>
      <c r="Z139" s="46">
        <v>0.115</v>
      </c>
      <c r="AA139" s="46">
        <v>0.049</v>
      </c>
      <c r="AB139" s="46">
        <f t="shared" si="53"/>
        <v>0.0355263157894737</v>
      </c>
      <c r="AC139" s="46">
        <v>0.06</v>
      </c>
      <c r="AD139" s="47"/>
      <c r="AF139" s="48" t="s">
        <v>102</v>
      </c>
      <c r="AG139" s="39">
        <f t="shared" ref="AG138:AG199" si="66">MAX(AH139:AN139)</f>
        <v>0</v>
      </c>
      <c r="AH139" s="39">
        <f t="shared" ref="AH138:AH199" si="67">IF(U139&gt;=50,MIN(MIN(U139*0.2,20)*0.3,6),0)</f>
        <v>0</v>
      </c>
      <c r="AI139" s="39">
        <f t="shared" ref="AI138:AI199" si="68">IF(U139&gt;=200,MIN(MIN(U139*0.18,70)*0.3,21),0)</f>
        <v>0</v>
      </c>
      <c r="AJ139" s="39">
        <f t="shared" ref="AJ138:AJ199" si="69">IF(U139&gt;=380,MIN(MIN(U139*0.28,350)*0.3,105),0)</f>
        <v>0</v>
      </c>
      <c r="AK139" s="39">
        <f t="shared" ref="AK138:AK199" si="70">IF(U139&gt;=380,MIN(MIN(U139*0.25,350)*0.3,105),0)</f>
        <v>0</v>
      </c>
      <c r="AL139" s="39">
        <f t="shared" ref="AL138:AL199" si="71">IF(U139&gt;=380,MIN(MIN(U139*0.22,300)*0.3,90),0)</f>
        <v>0</v>
      </c>
      <c r="AM139" s="39">
        <f t="shared" ref="AM138:AM199" si="72">IF(U139&gt;=250,MIN(MIN(U139*0.18,120)*0.3,36),0)</f>
        <v>0</v>
      </c>
      <c r="AN139" s="39">
        <f t="shared" ref="AN138:AN199" si="73">IF(U139&gt;=180,MIN(MIN(U139*0.15,60)*0.3,18),0)</f>
        <v>0</v>
      </c>
    </row>
    <row r="140" s="6" customFormat="1" ht="50" hidden="1" customHeight="1" spans="1:40">
      <c r="A140" s="37" t="s">
        <v>108</v>
      </c>
      <c r="B140" s="37" t="s">
        <v>168</v>
      </c>
      <c r="C140" s="37" t="str">
        <f>_xlfn.XLOOKUP(F140,'6月产品包'!B:B,'6月产品包'!H:H)</f>
        <v>电视支架</v>
      </c>
      <c r="D140" s="38" t="str">
        <f>_xlfn.XLOOKUP(F140,'6月产品包'!B:B,'6月产品包'!O:O)</f>
        <v>壁挂电视支架</v>
      </c>
      <c r="E140" s="38" t="s">
        <v>347</v>
      </c>
      <c r="F140" s="39" t="s">
        <v>348</v>
      </c>
      <c r="G140" s="39" t="s">
        <v>126</v>
      </c>
      <c r="H140" s="37" t="s">
        <v>101</v>
      </c>
      <c r="I140" s="37" t="str">
        <f>_xlfn.XLOOKUP($F140,'6月库存'!A:A,'6月库存'!B:B)</f>
        <v>正常销售</v>
      </c>
      <c r="J140" s="12"/>
      <c r="K140" s="39">
        <f>_xlfn.XLOOKUP(E140,'[1]6月分配 '!$B:$B,'[1]6月分配 '!$K:$K)</f>
        <v>6623</v>
      </c>
      <c r="L140" s="12" t="str">
        <f t="shared" si="49"/>
        <v>是</v>
      </c>
      <c r="M140" s="40" t="str">
        <f>_xlfn.XLOOKUP(F140,'6月产品包'!B:B,'6月产品包'!J:J)</f>
        <v>2024-01-01</v>
      </c>
      <c r="N140" s="39" t="str">
        <f ca="1" t="shared" si="64"/>
        <v>老品</v>
      </c>
      <c r="O140" s="37">
        <f>_xlfn.XLOOKUP(F140,'6月库存'!A:A,'6月库存'!R:R)</f>
        <v>1224</v>
      </c>
      <c r="P140" s="39">
        <f>_xlfn.XLOOKUP(F140,'6月产品包'!B:B,'6月产品包'!S:S)</f>
        <v>470</v>
      </c>
      <c r="Q140" s="39"/>
      <c r="R140" s="41">
        <f>_xlfn.XLOOKUP(F140,'6月产品包'!B:B,'6月产品包'!AD:AD)</f>
        <v>4.35</v>
      </c>
      <c r="S140" s="39">
        <v>8</v>
      </c>
      <c r="T140" s="39">
        <f t="shared" si="50"/>
        <v>10</v>
      </c>
      <c r="U140" s="42">
        <f t="shared" si="65"/>
        <v>8</v>
      </c>
      <c r="V140" s="43">
        <v>0.2</v>
      </c>
      <c r="W140" s="44">
        <f t="shared" si="51"/>
        <v>0.45625</v>
      </c>
      <c r="X140" s="44">
        <f t="shared" si="52"/>
        <v>0.218188353702372</v>
      </c>
      <c r="Y140" s="44">
        <v>0.038</v>
      </c>
      <c r="Z140" s="46">
        <v>0.09</v>
      </c>
      <c r="AA140" s="46">
        <v>0.049</v>
      </c>
      <c r="AB140" s="46">
        <f t="shared" si="53"/>
        <v>0.0675</v>
      </c>
      <c r="AC140" s="46">
        <v>0.06</v>
      </c>
      <c r="AD140" s="47"/>
      <c r="AF140" s="48" t="s">
        <v>114</v>
      </c>
      <c r="AG140" s="39">
        <f t="shared" si="66"/>
        <v>0</v>
      </c>
      <c r="AH140" s="39">
        <f t="shared" si="67"/>
        <v>0</v>
      </c>
      <c r="AI140" s="39">
        <f t="shared" si="68"/>
        <v>0</v>
      </c>
      <c r="AJ140" s="39">
        <f t="shared" si="69"/>
        <v>0</v>
      </c>
      <c r="AK140" s="39">
        <f t="shared" si="70"/>
        <v>0</v>
      </c>
      <c r="AL140" s="39">
        <f t="shared" si="71"/>
        <v>0</v>
      </c>
      <c r="AM140" s="39">
        <f t="shared" si="72"/>
        <v>0</v>
      </c>
      <c r="AN140" s="39">
        <f t="shared" si="73"/>
        <v>0</v>
      </c>
    </row>
    <row r="141" s="6" customFormat="1" ht="50" hidden="1" customHeight="1" spans="1:40">
      <c r="A141" s="37" t="s">
        <v>108</v>
      </c>
      <c r="B141" s="37" t="s">
        <v>109</v>
      </c>
      <c r="C141" s="37" t="str">
        <f>_xlfn.XLOOKUP(F141,'6月产品包'!B:B,'6月产品包'!H:H)</f>
        <v>显示器支架</v>
      </c>
      <c r="D141" s="38" t="str">
        <f>_xlfn.XLOOKUP(F141,'6月产品包'!B:B,'6月产品包'!O:O)</f>
        <v>双臂显示器支架</v>
      </c>
      <c r="E141" s="38" t="s">
        <v>349</v>
      </c>
      <c r="F141" s="37" t="s">
        <v>350</v>
      </c>
      <c r="G141" s="39" t="s">
        <v>100</v>
      </c>
      <c r="H141" s="39" t="s">
        <v>101</v>
      </c>
      <c r="I141" s="37" t="str">
        <f>_xlfn.XLOOKUP($F141,'6月库存'!A:A,'6月库存'!B:B)</f>
        <v>正常销售</v>
      </c>
      <c r="J141" s="12"/>
      <c r="K141" s="39" t="e">
        <f>_xlfn.XLOOKUP(E141,'[1]6月分配 '!$B:$B,'[1]6月分配 '!$K:$K)</f>
        <v>#N/A</v>
      </c>
      <c r="L141" s="12" t="str">
        <f t="shared" si="49"/>
        <v>否</v>
      </c>
      <c r="M141" s="40" t="str">
        <f>_xlfn.XLOOKUP(F141,'6月产品包'!B:B,'6月产品包'!J:J)</f>
        <v>2024-01-01</v>
      </c>
      <c r="N141" s="39" t="str">
        <f ca="1" t="shared" si="64"/>
        <v>老品</v>
      </c>
      <c r="O141" s="37">
        <f>_xlfn.XLOOKUP(F141,'6月库存'!A:A,'6月库存'!R:R)</f>
        <v>2</v>
      </c>
      <c r="P141" s="39">
        <f>_xlfn.XLOOKUP(F141,'6月产品包'!B:B,'6月产品包'!S:S)</f>
        <v>2772</v>
      </c>
      <c r="Q141" s="39"/>
      <c r="R141" s="41">
        <f>_xlfn.XLOOKUP(F141,'6月产品包'!B:B,'6月产品包'!AD:AD)</f>
        <v>29.8758</v>
      </c>
      <c r="S141" s="39">
        <v>57</v>
      </c>
      <c r="T141" s="39">
        <f t="shared" si="50"/>
        <v>71</v>
      </c>
      <c r="U141" s="42">
        <f t="shared" si="65"/>
        <v>56.8</v>
      </c>
      <c r="V141" s="43">
        <v>0.2</v>
      </c>
      <c r="W141" s="44">
        <f t="shared" si="51"/>
        <v>0.474017605633803</v>
      </c>
      <c r="X141" s="44">
        <f t="shared" si="52"/>
        <v>0.287762477828848</v>
      </c>
      <c r="Y141" s="44">
        <v>0.038</v>
      </c>
      <c r="Z141" s="46">
        <v>0.105</v>
      </c>
      <c r="AA141" s="46">
        <v>0.049</v>
      </c>
      <c r="AB141" s="46">
        <f t="shared" si="53"/>
        <v>0.00950704225352113</v>
      </c>
      <c r="AC141" s="46">
        <v>0.06</v>
      </c>
      <c r="AD141" s="47"/>
      <c r="AF141" s="48" t="s">
        <v>102</v>
      </c>
      <c r="AG141" s="39">
        <f t="shared" si="66"/>
        <v>3.408</v>
      </c>
      <c r="AH141" s="39">
        <f t="shared" si="67"/>
        <v>3.408</v>
      </c>
      <c r="AI141" s="39">
        <f t="shared" si="68"/>
        <v>0</v>
      </c>
      <c r="AJ141" s="39">
        <f t="shared" si="69"/>
        <v>0</v>
      </c>
      <c r="AK141" s="39">
        <f t="shared" si="70"/>
        <v>0</v>
      </c>
      <c r="AL141" s="39">
        <f t="shared" si="71"/>
        <v>0</v>
      </c>
      <c r="AM141" s="39">
        <f t="shared" si="72"/>
        <v>0</v>
      </c>
      <c r="AN141" s="39">
        <f t="shared" si="73"/>
        <v>0</v>
      </c>
    </row>
    <row r="142" s="6" customFormat="1" ht="50" hidden="1" customHeight="1" spans="1:40">
      <c r="A142" s="37" t="s">
        <v>108</v>
      </c>
      <c r="B142" s="37" t="s">
        <v>109</v>
      </c>
      <c r="C142" s="37" t="str">
        <f>_xlfn.XLOOKUP(F142,'6月产品包'!B:B,'6月产品包'!H:H)</f>
        <v>显示器支架</v>
      </c>
      <c r="D142" s="38" t="str">
        <f>_xlfn.XLOOKUP(F142,'6月产品包'!B:B,'6月产品包'!O:O)</f>
        <v>双臂显示器支架</v>
      </c>
      <c r="E142" s="38" t="s">
        <v>349</v>
      </c>
      <c r="F142" s="37" t="s">
        <v>351</v>
      </c>
      <c r="G142" s="39" t="s">
        <v>100</v>
      </c>
      <c r="H142" s="37" t="s">
        <v>101</v>
      </c>
      <c r="I142" s="37" t="str">
        <f>_xlfn.XLOOKUP($F142,'6月库存'!A:A,'6月库存'!B:B)</f>
        <v>正常销售</v>
      </c>
      <c r="J142" s="12"/>
      <c r="K142" s="39" t="e">
        <f>_xlfn.XLOOKUP(E142,'[1]6月分配 '!$B:$B,'[1]6月分配 '!$K:$K)</f>
        <v>#N/A</v>
      </c>
      <c r="L142" s="12" t="str">
        <f t="shared" si="49"/>
        <v>否</v>
      </c>
      <c r="M142" s="40" t="str">
        <f>_xlfn.XLOOKUP(F142,'6月产品包'!B:B,'6月产品包'!J:J)</f>
        <v>2025-05-27</v>
      </c>
      <c r="N142" s="39" t="str">
        <f ca="1" t="shared" si="64"/>
        <v>老品</v>
      </c>
      <c r="O142" s="37">
        <f>_xlfn.XLOOKUP(F142,'6月库存'!A:A,'6月库存'!R:R)</f>
        <v>0</v>
      </c>
      <c r="P142" s="39">
        <f>_xlfn.XLOOKUP(F142,'6月产品包'!B:B,'6月产品包'!S:S)</f>
        <v>3025</v>
      </c>
      <c r="Q142" s="39"/>
      <c r="R142" s="41">
        <f>_xlfn.XLOOKUP(F142,'6月产品包'!B:B,'6月产品包'!AD:AD)</f>
        <v>30.2818</v>
      </c>
      <c r="S142" s="39">
        <v>57</v>
      </c>
      <c r="T142" s="39">
        <f t="shared" si="50"/>
        <v>71</v>
      </c>
      <c r="U142" s="42">
        <f t="shared" si="65"/>
        <v>56.8</v>
      </c>
      <c r="V142" s="43">
        <v>0.2</v>
      </c>
      <c r="W142" s="44">
        <f t="shared" si="51"/>
        <v>0.466869718309859</v>
      </c>
      <c r="X142" s="44">
        <f t="shared" si="52"/>
        <v>0.278083458890393</v>
      </c>
      <c r="Y142" s="44">
        <v>0.038</v>
      </c>
      <c r="Z142" s="46">
        <v>0.105</v>
      </c>
      <c r="AA142" s="46">
        <v>0.049</v>
      </c>
      <c r="AB142" s="46">
        <f t="shared" si="53"/>
        <v>0.00950704225352113</v>
      </c>
      <c r="AC142" s="46">
        <v>0.06</v>
      </c>
      <c r="AD142" s="47"/>
      <c r="AF142" s="48" t="s">
        <v>102</v>
      </c>
      <c r="AG142" s="39">
        <f t="shared" si="66"/>
        <v>3.408</v>
      </c>
      <c r="AH142" s="39">
        <f t="shared" si="67"/>
        <v>3.408</v>
      </c>
      <c r="AI142" s="39">
        <f t="shared" si="68"/>
        <v>0</v>
      </c>
      <c r="AJ142" s="39">
        <f t="shared" si="69"/>
        <v>0</v>
      </c>
      <c r="AK142" s="39">
        <f t="shared" si="70"/>
        <v>0</v>
      </c>
      <c r="AL142" s="39">
        <f t="shared" si="71"/>
        <v>0</v>
      </c>
      <c r="AM142" s="39">
        <f t="shared" si="72"/>
        <v>0</v>
      </c>
      <c r="AN142" s="39">
        <f t="shared" si="73"/>
        <v>0</v>
      </c>
    </row>
    <row r="143" s="6" customFormat="1" ht="50" hidden="1" customHeight="1" spans="1:40">
      <c r="A143" s="37" t="s">
        <v>108</v>
      </c>
      <c r="B143" s="37" t="s">
        <v>109</v>
      </c>
      <c r="C143" s="37" t="str">
        <f>_xlfn.XLOOKUP(F143,'6月产品包'!B:B,'6月产品包'!H:H)</f>
        <v>显示器支架</v>
      </c>
      <c r="D143" s="38" t="str">
        <f>_xlfn.XLOOKUP(F143,'6月产品包'!B:B,'6月产品包'!O:O)</f>
        <v>电脑显示器支架单臂</v>
      </c>
      <c r="E143" s="38" t="s">
        <v>352</v>
      </c>
      <c r="F143" s="37" t="s">
        <v>353</v>
      </c>
      <c r="G143" s="39" t="s">
        <v>106</v>
      </c>
      <c r="H143" s="37" t="s">
        <v>101</v>
      </c>
      <c r="I143" s="37" t="str">
        <f>_xlfn.XLOOKUP($F143,'6月库存'!A:A,'6月库存'!B:B)</f>
        <v>正常销售</v>
      </c>
      <c r="J143" s="12"/>
      <c r="K143" s="39" t="e">
        <f>_xlfn.XLOOKUP(E143,'[1]6月分配 '!$B:$B,'[1]6月分配 '!$K:$K)</f>
        <v>#N/A</v>
      </c>
      <c r="L143" s="12" t="str">
        <f t="shared" si="49"/>
        <v>否</v>
      </c>
      <c r="M143" s="40" t="str">
        <f>_xlfn.XLOOKUP(F143,'6月产品包'!B:B,'6月产品包'!J:J)</f>
        <v>2025-10-27</v>
      </c>
      <c r="N143" s="39" t="str">
        <f ca="1" t="shared" si="64"/>
        <v>老品</v>
      </c>
      <c r="O143" s="37">
        <f>_xlfn.XLOOKUP(F143,'6月库存'!A:A,'6月库存'!R:R)</f>
        <v>148</v>
      </c>
      <c r="P143" s="39">
        <f>_xlfn.XLOOKUP(F143,'6月产品包'!B:B,'6月产品包'!S:S)</f>
        <v>2350</v>
      </c>
      <c r="Q143" s="39"/>
      <c r="R143" s="41">
        <f>_xlfn.XLOOKUP(F143,'6月产品包'!B:B,'6月产品包'!AD:AD)</f>
        <v>34.8638</v>
      </c>
      <c r="S143" s="39">
        <v>65.45</v>
      </c>
      <c r="T143" s="39">
        <f t="shared" si="50"/>
        <v>82</v>
      </c>
      <c r="U143" s="42">
        <f t="shared" si="65"/>
        <v>65.6</v>
      </c>
      <c r="V143" s="43">
        <v>0.2</v>
      </c>
      <c r="W143" s="44">
        <f t="shared" si="51"/>
        <v>0.468539634146342</v>
      </c>
      <c r="X143" s="44">
        <f t="shared" si="52"/>
        <v>0.281585367864031</v>
      </c>
      <c r="Y143" s="44">
        <v>0.038</v>
      </c>
      <c r="Z143" s="46">
        <v>0.105</v>
      </c>
      <c r="AA143" s="46">
        <v>0.049</v>
      </c>
      <c r="AB143" s="46">
        <f t="shared" si="53"/>
        <v>0.00823170731707317</v>
      </c>
      <c r="AC143" s="46">
        <v>0.06</v>
      </c>
      <c r="AD143" s="47"/>
      <c r="AF143" s="48" t="s">
        <v>102</v>
      </c>
      <c r="AG143" s="39">
        <f t="shared" si="66"/>
        <v>3.936</v>
      </c>
      <c r="AH143" s="39">
        <f t="shared" si="67"/>
        <v>3.936</v>
      </c>
      <c r="AI143" s="39">
        <f t="shared" si="68"/>
        <v>0</v>
      </c>
      <c r="AJ143" s="39">
        <f t="shared" si="69"/>
        <v>0</v>
      </c>
      <c r="AK143" s="39">
        <f t="shared" si="70"/>
        <v>0</v>
      </c>
      <c r="AL143" s="39">
        <f t="shared" si="71"/>
        <v>0</v>
      </c>
      <c r="AM143" s="39">
        <f t="shared" si="72"/>
        <v>0</v>
      </c>
      <c r="AN143" s="39">
        <f t="shared" si="73"/>
        <v>0</v>
      </c>
    </row>
    <row r="144" s="6" customFormat="1" ht="50" hidden="1" customHeight="1" spans="1:40">
      <c r="A144" s="37" t="s">
        <v>108</v>
      </c>
      <c r="B144" s="37" t="s">
        <v>109</v>
      </c>
      <c r="C144" s="37" t="str">
        <f>_xlfn.XLOOKUP(F144,'6月产品包'!B:B,'6月产品包'!H:H)</f>
        <v>显示器支架</v>
      </c>
      <c r="D144" s="38" t="str">
        <f>_xlfn.XLOOKUP(F144,'6月产品包'!B:B,'6月产品包'!O:O)</f>
        <v>弹簧单臂支架</v>
      </c>
      <c r="E144" s="38" t="s">
        <v>354</v>
      </c>
      <c r="F144" s="37" t="s">
        <v>355</v>
      </c>
      <c r="G144" s="39" t="s">
        <v>106</v>
      </c>
      <c r="H144" s="37" t="s">
        <v>101</v>
      </c>
      <c r="I144" s="37" t="str">
        <f>_xlfn.XLOOKUP($F144,'6月库存'!A:A,'6月库存'!B:B)</f>
        <v>正常销售</v>
      </c>
      <c r="J144" s="12"/>
      <c r="K144" s="39" t="e">
        <f>_xlfn.XLOOKUP(E144,'[1]6月分配 '!$B:$B,'[1]6月分配 '!$K:$K)</f>
        <v>#N/A</v>
      </c>
      <c r="L144" s="12" t="str">
        <f t="shared" si="49"/>
        <v>否</v>
      </c>
      <c r="M144" s="40" t="str">
        <f>_xlfn.XLOOKUP(F144,'6月产品包'!B:B,'6月产品包'!J:J)</f>
        <v>2025-09-11</v>
      </c>
      <c r="N144" s="39" t="str">
        <f ca="1" t="shared" si="64"/>
        <v>老品</v>
      </c>
      <c r="O144" s="37">
        <f>_xlfn.XLOOKUP(F144,'6月库存'!A:A,'6月库存'!R:R)</f>
        <v>0</v>
      </c>
      <c r="P144" s="39">
        <f>_xlfn.XLOOKUP(F144,'6月产品包'!B:B,'6月产品包'!S:S)</f>
        <v>2650</v>
      </c>
      <c r="Q144" s="39"/>
      <c r="R144" s="41">
        <f>_xlfn.XLOOKUP(F144,'6月产品包'!B:B,'6月产品包'!AD:AD)</f>
        <v>56.5964</v>
      </c>
      <c r="S144" s="39">
        <v>110</v>
      </c>
      <c r="T144" s="39">
        <f t="shared" si="50"/>
        <v>138</v>
      </c>
      <c r="U144" s="42">
        <f t="shared" si="65"/>
        <v>110.4</v>
      </c>
      <c r="V144" s="43">
        <v>0.2</v>
      </c>
      <c r="W144" s="44">
        <f t="shared" si="51"/>
        <v>0.487351449275362</v>
      </c>
      <c r="X144" s="44">
        <f t="shared" si="52"/>
        <v>0.308268066840711</v>
      </c>
      <c r="Y144" s="44">
        <v>0.04</v>
      </c>
      <c r="Z144" s="46">
        <v>0.105</v>
      </c>
      <c r="AA144" s="46">
        <v>0.049</v>
      </c>
      <c r="AB144" s="46">
        <f t="shared" si="53"/>
        <v>0.00489130434782609</v>
      </c>
      <c r="AC144" s="46">
        <v>0.06</v>
      </c>
      <c r="AD144" s="47"/>
      <c r="AF144" s="48" t="s">
        <v>102</v>
      </c>
      <c r="AG144" s="39">
        <f t="shared" si="66"/>
        <v>6</v>
      </c>
      <c r="AH144" s="39">
        <f t="shared" si="67"/>
        <v>6</v>
      </c>
      <c r="AI144" s="39">
        <f t="shared" si="68"/>
        <v>0</v>
      </c>
      <c r="AJ144" s="39">
        <f t="shared" si="69"/>
        <v>0</v>
      </c>
      <c r="AK144" s="39">
        <f t="shared" si="70"/>
        <v>0</v>
      </c>
      <c r="AL144" s="39">
        <f t="shared" si="71"/>
        <v>0</v>
      </c>
      <c r="AM144" s="39">
        <f t="shared" si="72"/>
        <v>0</v>
      </c>
      <c r="AN144" s="39">
        <f t="shared" si="73"/>
        <v>0</v>
      </c>
    </row>
    <row r="145" s="6" customFormat="1" ht="50" hidden="1" customHeight="1" spans="1:40">
      <c r="A145" s="37" t="s">
        <v>108</v>
      </c>
      <c r="B145" s="37" t="s">
        <v>109</v>
      </c>
      <c r="C145" s="37" t="str">
        <f>_xlfn.XLOOKUP(F145,'6月产品包'!B:B,'6月产品包'!H:H)</f>
        <v>显示器支架</v>
      </c>
      <c r="D145" s="38" t="str">
        <f>_xlfn.XLOOKUP(F145,'6月产品包'!B:B,'6月产品包'!O:O)</f>
        <v>增高显示器支架</v>
      </c>
      <c r="E145" s="38" t="s">
        <v>356</v>
      </c>
      <c r="F145" s="37" t="s">
        <v>357</v>
      </c>
      <c r="G145" s="39" t="s">
        <v>126</v>
      </c>
      <c r="H145" s="37" t="s">
        <v>101</v>
      </c>
      <c r="I145" s="37" t="str">
        <f>_xlfn.XLOOKUP($F145,'6月库存'!A:A,'6月库存'!B:B)</f>
        <v>正常销售</v>
      </c>
      <c r="J145" s="12"/>
      <c r="K145" s="39" t="e">
        <f>_xlfn.XLOOKUP(E145,'[1]6月分配 '!$B:$B,'[1]6月分配 '!$K:$K)</f>
        <v>#N/A</v>
      </c>
      <c r="L145" s="12" t="str">
        <f t="shared" si="49"/>
        <v>否</v>
      </c>
      <c r="M145" s="40" t="str">
        <f>_xlfn.XLOOKUP(F145,'6月产品包'!B:B,'6月产品包'!J:J)</f>
        <v>2024-01-01</v>
      </c>
      <c r="N145" s="39" t="str">
        <f ca="1" t="shared" si="64"/>
        <v>老品</v>
      </c>
      <c r="O145" s="37">
        <f>_xlfn.XLOOKUP(F145,'6月库存'!A:A,'6月库存'!R:R)</f>
        <v>117</v>
      </c>
      <c r="P145" s="39">
        <f>_xlfn.XLOOKUP(F145,'6月产品包'!B:B,'6月产品包'!S:S)</f>
        <v>900</v>
      </c>
      <c r="Q145" s="39"/>
      <c r="R145" s="41">
        <f>_xlfn.XLOOKUP(F145,'6月产品包'!B:B,'6月产品包'!AD:AD)</f>
        <v>10.9968</v>
      </c>
      <c r="S145" s="39">
        <v>21</v>
      </c>
      <c r="T145" s="39">
        <f t="shared" si="50"/>
        <v>26</v>
      </c>
      <c r="U145" s="42">
        <f t="shared" si="65"/>
        <v>20.8</v>
      </c>
      <c r="V145" s="43">
        <v>0.2</v>
      </c>
      <c r="W145" s="44">
        <f t="shared" si="51"/>
        <v>0.471307692307692</v>
      </c>
      <c r="X145" s="44">
        <f t="shared" si="52"/>
        <v>0.265744351263287</v>
      </c>
      <c r="Y145" s="44">
        <v>0.04</v>
      </c>
      <c r="Z145" s="46">
        <v>0.105</v>
      </c>
      <c r="AA145" s="46">
        <v>0.049</v>
      </c>
      <c r="AB145" s="46">
        <f t="shared" si="53"/>
        <v>0.0259615384615385</v>
      </c>
      <c r="AC145" s="46">
        <v>0.06</v>
      </c>
      <c r="AD145" s="47"/>
      <c r="AF145" s="48" t="s">
        <v>102</v>
      </c>
      <c r="AG145" s="39">
        <f t="shared" si="66"/>
        <v>0</v>
      </c>
      <c r="AH145" s="39">
        <f t="shared" si="67"/>
        <v>0</v>
      </c>
      <c r="AI145" s="39">
        <f t="shared" si="68"/>
        <v>0</v>
      </c>
      <c r="AJ145" s="39">
        <f t="shared" si="69"/>
        <v>0</v>
      </c>
      <c r="AK145" s="39">
        <f t="shared" si="70"/>
        <v>0</v>
      </c>
      <c r="AL145" s="39">
        <f t="shared" si="71"/>
        <v>0</v>
      </c>
      <c r="AM145" s="39">
        <f t="shared" si="72"/>
        <v>0</v>
      </c>
      <c r="AN145" s="39">
        <f t="shared" si="73"/>
        <v>0</v>
      </c>
    </row>
    <row r="146" s="6" customFormat="1" ht="50" hidden="1" customHeight="1" spans="1:40">
      <c r="A146" s="37" t="s">
        <v>96</v>
      </c>
      <c r="B146" s="37" t="s">
        <v>115</v>
      </c>
      <c r="C146" s="37" t="str">
        <f>_xlfn.XLOOKUP(F146,'6月产品包'!B:B,'6月产品包'!H:H)</f>
        <v>广告支架</v>
      </c>
      <c r="D146" s="38" t="str">
        <f>_xlfn.XLOOKUP(F146,'6月产品包'!B:B,'6月产品包'!O:O)</f>
        <v>手提款展示架</v>
      </c>
      <c r="E146" s="38" t="s">
        <v>358</v>
      </c>
      <c r="F146" s="37" t="s">
        <v>359</v>
      </c>
      <c r="G146" s="39" t="e">
        <v>#N/A</v>
      </c>
      <c r="H146" s="37" t="s">
        <v>101</v>
      </c>
      <c r="I146" s="37" t="str">
        <f>_xlfn.XLOOKUP($F146,'6月库存'!A:A,'6月库存'!B:B)</f>
        <v>正常销售</v>
      </c>
      <c r="J146" s="12"/>
      <c r="K146" s="39" t="e">
        <f>_xlfn.XLOOKUP(E146,'[1]6月分配 '!$B:$B,'[1]6月分配 '!$K:$K)</f>
        <v>#N/A</v>
      </c>
      <c r="L146" s="12" t="str">
        <f t="shared" si="49"/>
        <v>否</v>
      </c>
      <c r="M146" s="40" t="str">
        <f>_xlfn.XLOOKUP(F146,'6月产品包'!B:B,'6月产品包'!J:J)</f>
        <v>2025-09-18</v>
      </c>
      <c r="N146" s="39" t="str">
        <f ca="1" t="shared" si="64"/>
        <v>老品</v>
      </c>
      <c r="O146" s="37">
        <f>_xlfn.XLOOKUP(F146,'6月库存'!A:A,'6月库存'!R:R)</f>
        <v>4</v>
      </c>
      <c r="P146" s="39">
        <f>_xlfn.XLOOKUP(F146,'6月产品包'!B:B,'6月产品包'!S:S)</f>
        <v>1500</v>
      </c>
      <c r="Q146" s="39"/>
      <c r="R146" s="41">
        <f>_xlfn.XLOOKUP(F146,'6月产品包'!B:B,'6月产品包'!AD:AD)</f>
        <v>15.7818</v>
      </c>
      <c r="S146" s="39">
        <v>32</v>
      </c>
      <c r="T146" s="39">
        <f t="shared" si="50"/>
        <v>40</v>
      </c>
      <c r="U146" s="42">
        <f t="shared" si="65"/>
        <v>32</v>
      </c>
      <c r="V146" s="43">
        <v>0.2</v>
      </c>
      <c r="W146" s="44">
        <f t="shared" si="51"/>
        <v>0.50681875</v>
      </c>
      <c r="X146" s="44">
        <f t="shared" si="52"/>
        <v>0.330030565461029</v>
      </c>
      <c r="Y146" s="44">
        <v>0.038</v>
      </c>
      <c r="Z146" s="46">
        <v>0.1</v>
      </c>
      <c r="AA146" s="46">
        <v>0.049</v>
      </c>
      <c r="AB146" s="46">
        <f t="shared" si="53"/>
        <v>0.016875</v>
      </c>
      <c r="AC146" s="46">
        <v>0.06</v>
      </c>
      <c r="AD146" s="47"/>
      <c r="AF146" s="48" t="s">
        <v>102</v>
      </c>
      <c r="AG146" s="39">
        <f t="shared" si="66"/>
        <v>0</v>
      </c>
      <c r="AH146" s="39">
        <f t="shared" si="67"/>
        <v>0</v>
      </c>
      <c r="AI146" s="39">
        <f t="shared" si="68"/>
        <v>0</v>
      </c>
      <c r="AJ146" s="39">
        <f t="shared" si="69"/>
        <v>0</v>
      </c>
      <c r="AK146" s="39">
        <f t="shared" si="70"/>
        <v>0</v>
      </c>
      <c r="AL146" s="39">
        <f t="shared" si="71"/>
        <v>0</v>
      </c>
      <c r="AM146" s="39">
        <f t="shared" si="72"/>
        <v>0</v>
      </c>
      <c r="AN146" s="39">
        <f t="shared" si="73"/>
        <v>0</v>
      </c>
    </row>
    <row r="147" s="6" customFormat="1" ht="50" hidden="1" customHeight="1" spans="1:40">
      <c r="A147" s="37" t="s">
        <v>96</v>
      </c>
      <c r="B147" s="37" t="s">
        <v>115</v>
      </c>
      <c r="C147" s="37" t="str">
        <f>_xlfn.XLOOKUP(F147,'6月产品包'!B:B,'6月产品包'!H:H)</f>
        <v>打印机</v>
      </c>
      <c r="D147" s="38" t="str">
        <f>_xlfn.XLOOKUP(F147,'6月产品包'!B:B,'6月产品包'!O:O)</f>
        <v>小票打印机</v>
      </c>
      <c r="E147" s="38" t="s">
        <v>360</v>
      </c>
      <c r="F147" s="37" t="s">
        <v>361</v>
      </c>
      <c r="G147" s="39" t="e">
        <v>#N/A</v>
      </c>
      <c r="H147" s="37" t="s">
        <v>101</v>
      </c>
      <c r="I147" s="37" t="str">
        <f>_xlfn.XLOOKUP($F147,'6月库存'!A:A,'6月库存'!B:B)</f>
        <v>正常销售</v>
      </c>
      <c r="J147" s="12"/>
      <c r="K147" s="39">
        <f>_xlfn.XLOOKUP(E147,'[1]6月分配 '!$B:$B,'[1]6月分配 '!$K:$K)</f>
        <v>6546</v>
      </c>
      <c r="L147" s="12" t="str">
        <f t="shared" si="49"/>
        <v>是</v>
      </c>
      <c r="M147" s="40" t="str">
        <f>_xlfn.XLOOKUP(F147,'6月产品包'!B:B,'6月产品包'!J:J)</f>
        <v>2024-08-02</v>
      </c>
      <c r="N147" s="39" t="str">
        <f ca="1" t="shared" si="64"/>
        <v>老品</v>
      </c>
      <c r="O147" s="37">
        <f>_xlfn.XLOOKUP(F147,'6月库存'!A:A,'6月库存'!R:R)</f>
        <v>900</v>
      </c>
      <c r="P147" s="39">
        <f>_xlfn.XLOOKUP(F147,'6月产品包'!B:B,'6月产品包'!S:S)</f>
        <v>625</v>
      </c>
      <c r="Q147" s="39"/>
      <c r="R147" s="41">
        <f>_xlfn.XLOOKUP(F147,'6月产品包'!B:B,'6月产品包'!AD:AD)</f>
        <v>28.7042</v>
      </c>
      <c r="S147" s="39">
        <v>56</v>
      </c>
      <c r="T147" s="39">
        <f t="shared" si="50"/>
        <v>70</v>
      </c>
      <c r="U147" s="42">
        <f t="shared" si="65"/>
        <v>56</v>
      </c>
      <c r="V147" s="43">
        <v>0.2</v>
      </c>
      <c r="W147" s="44">
        <f t="shared" si="51"/>
        <v>0.487425</v>
      </c>
      <c r="X147" s="44">
        <f t="shared" si="52"/>
        <v>0.308599094325079</v>
      </c>
      <c r="Y147" s="44">
        <v>0.04</v>
      </c>
      <c r="Z147" s="46">
        <v>0.1</v>
      </c>
      <c r="AA147" s="46">
        <v>0.049</v>
      </c>
      <c r="AB147" s="46">
        <f t="shared" si="53"/>
        <v>0.00964285714285714</v>
      </c>
      <c r="AC147" s="46">
        <v>0.06</v>
      </c>
      <c r="AD147" s="47"/>
      <c r="AF147" s="55" t="s">
        <v>114</v>
      </c>
      <c r="AG147" s="39">
        <f t="shared" si="66"/>
        <v>3.36</v>
      </c>
      <c r="AH147" s="39">
        <f t="shared" si="67"/>
        <v>3.36</v>
      </c>
      <c r="AI147" s="39">
        <f t="shared" si="68"/>
        <v>0</v>
      </c>
      <c r="AJ147" s="39">
        <f t="shared" si="69"/>
        <v>0</v>
      </c>
      <c r="AK147" s="39">
        <f t="shared" si="70"/>
        <v>0</v>
      </c>
      <c r="AL147" s="39">
        <f t="shared" si="71"/>
        <v>0</v>
      </c>
      <c r="AM147" s="39">
        <f t="shared" si="72"/>
        <v>0</v>
      </c>
      <c r="AN147" s="39">
        <f t="shared" si="73"/>
        <v>0</v>
      </c>
    </row>
    <row r="148" s="6" customFormat="1" ht="50" hidden="1" customHeight="1" spans="1:40">
      <c r="A148" s="37" t="s">
        <v>108</v>
      </c>
      <c r="B148" s="37" t="s">
        <v>109</v>
      </c>
      <c r="C148" s="37" t="str">
        <f>_xlfn.XLOOKUP(F148,'6月产品包'!B:B,'6月产品包'!H:H)</f>
        <v>显示器支架</v>
      </c>
      <c r="D148" s="38" t="str">
        <f>_xlfn.XLOOKUP(F148,'6月产品包'!B:B,'6月产品包'!O:O)</f>
        <v>增高显示器支架</v>
      </c>
      <c r="E148" s="38" t="s">
        <v>356</v>
      </c>
      <c r="F148" s="37" t="s">
        <v>362</v>
      </c>
      <c r="G148" s="39" t="s">
        <v>126</v>
      </c>
      <c r="H148" s="39" t="s">
        <v>101</v>
      </c>
      <c r="I148" s="37" t="str">
        <f>_xlfn.XLOOKUP($F148,'6月库存'!A:A,'6月库存'!B:B)</f>
        <v>等待开发</v>
      </c>
      <c r="J148" s="12"/>
      <c r="K148" s="39" t="e">
        <f>_xlfn.XLOOKUP(E148,'[1]6月分配 '!$B:$B,'[1]6月分配 '!$K:$K)</f>
        <v>#N/A</v>
      </c>
      <c r="L148" s="12" t="str">
        <f t="shared" si="49"/>
        <v>否</v>
      </c>
      <c r="M148" s="40" t="str">
        <f>_xlfn.XLOOKUP(F148,'6月产品包'!B:B,'6月产品包'!J:J)</f>
        <v>2025-04-29</v>
      </c>
      <c r="N148" s="39" t="str">
        <f ca="1" t="shared" si="64"/>
        <v>老品</v>
      </c>
      <c r="O148" s="37">
        <f>_xlfn.XLOOKUP(F148,'6月库存'!A:A,'6月库存'!R:R)</f>
        <v>0</v>
      </c>
      <c r="P148" s="39">
        <f>_xlfn.XLOOKUP(F148,'6月产品包'!B:B,'6月产品包'!S:S)</f>
        <v>840</v>
      </c>
      <c r="Q148" s="39"/>
      <c r="R148" s="41">
        <f>_xlfn.XLOOKUP(F148,'6月产品包'!B:B,'6月产品包'!AD:AD)</f>
        <v>11.0722</v>
      </c>
      <c r="S148" s="39">
        <v>21</v>
      </c>
      <c r="T148" s="39">
        <f t="shared" si="50"/>
        <v>26</v>
      </c>
      <c r="U148" s="42">
        <f t="shared" si="65"/>
        <v>20.8</v>
      </c>
      <c r="V148" s="43">
        <v>0.2</v>
      </c>
      <c r="W148" s="44">
        <f t="shared" si="51"/>
        <v>0.467682692307692</v>
      </c>
      <c r="X148" s="44">
        <f t="shared" si="52"/>
        <v>0.260709897975536</v>
      </c>
      <c r="Y148" s="44">
        <v>0.04</v>
      </c>
      <c r="Z148" s="46">
        <v>0.105</v>
      </c>
      <c r="AA148" s="46">
        <v>0.049</v>
      </c>
      <c r="AB148" s="46">
        <f t="shared" si="53"/>
        <v>0.0259615384615385</v>
      </c>
      <c r="AC148" s="46">
        <v>0.06</v>
      </c>
      <c r="AD148" s="47"/>
      <c r="AF148" s="48" t="s">
        <v>102</v>
      </c>
      <c r="AG148" s="39">
        <f t="shared" si="66"/>
        <v>0</v>
      </c>
      <c r="AH148" s="39">
        <f t="shared" si="67"/>
        <v>0</v>
      </c>
      <c r="AI148" s="39">
        <f t="shared" si="68"/>
        <v>0</v>
      </c>
      <c r="AJ148" s="39">
        <f t="shared" si="69"/>
        <v>0</v>
      </c>
      <c r="AK148" s="39">
        <f t="shared" si="70"/>
        <v>0</v>
      </c>
      <c r="AL148" s="39">
        <f t="shared" si="71"/>
        <v>0</v>
      </c>
      <c r="AM148" s="39">
        <f t="shared" si="72"/>
        <v>0</v>
      </c>
      <c r="AN148" s="39">
        <f t="shared" si="73"/>
        <v>0</v>
      </c>
    </row>
    <row r="149" s="6" customFormat="1" ht="50" hidden="1" customHeight="1" spans="1:40">
      <c r="A149" s="37" t="s">
        <v>108</v>
      </c>
      <c r="B149" s="37" t="s">
        <v>109</v>
      </c>
      <c r="C149" s="37" t="str">
        <f>_xlfn.XLOOKUP(F149,'6月产品包'!B:B,'6月产品包'!H:H)</f>
        <v>显示器支架</v>
      </c>
      <c r="D149" s="38" t="str">
        <f>_xlfn.XLOOKUP(F149,'6月产品包'!B:B,'6月产品包'!O:O)</f>
        <v>增高显示器支架</v>
      </c>
      <c r="E149" s="38" t="s">
        <v>363</v>
      </c>
      <c r="F149" s="37" t="s">
        <v>364</v>
      </c>
      <c r="G149" s="39" t="s">
        <v>126</v>
      </c>
      <c r="H149" s="37" t="s">
        <v>101</v>
      </c>
      <c r="I149" s="37" t="str">
        <f>_xlfn.XLOOKUP($F149,'6月库存'!A:A,'6月库存'!B:B)</f>
        <v>正常销售</v>
      </c>
      <c r="J149" s="12"/>
      <c r="K149" s="39" t="e">
        <f>_xlfn.XLOOKUP(E149,'[1]6月分配 '!$B:$B,'[1]6月分配 '!$K:$K)</f>
        <v>#N/A</v>
      </c>
      <c r="L149" s="12" t="str">
        <f t="shared" si="49"/>
        <v>否</v>
      </c>
      <c r="M149" s="40" t="str">
        <f>_xlfn.XLOOKUP(F149,'6月产品包'!B:B,'6月产品包'!J:J)</f>
        <v>2024-01-01</v>
      </c>
      <c r="N149" s="39" t="str">
        <f ca="1" t="shared" si="64"/>
        <v>老品</v>
      </c>
      <c r="O149" s="37">
        <f>_xlfn.XLOOKUP(F149,'6月库存'!A:A,'6月库存'!R:R)</f>
        <v>34</v>
      </c>
      <c r="P149" s="39">
        <f>_xlfn.XLOOKUP(F149,'6月产品包'!B:B,'6月产品包'!S:S)</f>
        <v>1194</v>
      </c>
      <c r="Q149" s="39"/>
      <c r="R149" s="41">
        <f>_xlfn.XLOOKUP(F149,'6月产品包'!B:B,'6月产品包'!AD:AD)</f>
        <v>15.4512</v>
      </c>
      <c r="S149" s="39">
        <v>30</v>
      </c>
      <c r="T149" s="39">
        <f t="shared" si="50"/>
        <v>38</v>
      </c>
      <c r="U149" s="42">
        <f t="shared" si="65"/>
        <v>30.4</v>
      </c>
      <c r="V149" s="43">
        <v>0.2</v>
      </c>
      <c r="W149" s="44">
        <f t="shared" si="51"/>
        <v>0.491736842105263</v>
      </c>
      <c r="X149" s="44">
        <f t="shared" si="52"/>
        <v>0.302063383080981</v>
      </c>
      <c r="Y149" s="44">
        <v>0.04</v>
      </c>
      <c r="Z149" s="46">
        <v>0.105</v>
      </c>
      <c r="AA149" s="46">
        <v>0.049</v>
      </c>
      <c r="AB149" s="46">
        <f t="shared" si="53"/>
        <v>0.0177631578947368</v>
      </c>
      <c r="AC149" s="46">
        <v>0.06</v>
      </c>
      <c r="AD149" s="47"/>
      <c r="AF149" s="48" t="s">
        <v>102</v>
      </c>
      <c r="AG149" s="39">
        <f t="shared" si="66"/>
        <v>0</v>
      </c>
      <c r="AH149" s="39">
        <f t="shared" si="67"/>
        <v>0</v>
      </c>
      <c r="AI149" s="39">
        <f t="shared" si="68"/>
        <v>0</v>
      </c>
      <c r="AJ149" s="39">
        <f t="shared" si="69"/>
        <v>0</v>
      </c>
      <c r="AK149" s="39">
        <f t="shared" si="70"/>
        <v>0</v>
      </c>
      <c r="AL149" s="39">
        <f t="shared" si="71"/>
        <v>0</v>
      </c>
      <c r="AM149" s="39">
        <f t="shared" si="72"/>
        <v>0</v>
      </c>
      <c r="AN149" s="39">
        <f t="shared" si="73"/>
        <v>0</v>
      </c>
    </row>
    <row r="150" s="6" customFormat="1" ht="50" hidden="1" customHeight="1" spans="1:40">
      <c r="A150" s="37" t="s">
        <v>96</v>
      </c>
      <c r="B150" s="37" t="s">
        <v>115</v>
      </c>
      <c r="C150" s="37" t="str">
        <f>_xlfn.XLOOKUP(F150,'6月产品包'!B:B,'6月产品包'!H:H)</f>
        <v>打印机</v>
      </c>
      <c r="D150" s="38" t="str">
        <f>_xlfn.XLOOKUP(F150,'6月产品包'!B:B,'6月产品包'!O:O)</f>
        <v>小票打印机</v>
      </c>
      <c r="E150" s="38" t="s">
        <v>360</v>
      </c>
      <c r="F150" s="37" t="s">
        <v>365</v>
      </c>
      <c r="G150" s="39" t="e">
        <v>#N/A</v>
      </c>
      <c r="H150" s="37" t="s">
        <v>101</v>
      </c>
      <c r="I150" s="37" t="str">
        <f>_xlfn.XLOOKUP($F150,'6月库存'!A:A,'6月库存'!B:B)</f>
        <v>正常销售</v>
      </c>
      <c r="J150" s="12"/>
      <c r="K150" s="39">
        <f>_xlfn.XLOOKUP(E150,'[1]6月分配 '!$B:$B,'[1]6月分配 '!$K:$K)</f>
        <v>6546</v>
      </c>
      <c r="L150" s="12" t="str">
        <f t="shared" si="49"/>
        <v>是</v>
      </c>
      <c r="M150" s="40" t="str">
        <f>_xlfn.XLOOKUP(F150,'6月产品包'!B:B,'6月产品包'!J:J)</f>
        <v>2025-11-04</v>
      </c>
      <c r="N150" s="39" t="str">
        <f ca="1" t="shared" si="64"/>
        <v>老品</v>
      </c>
      <c r="O150" s="37">
        <f>_xlfn.XLOOKUP(F150,'6月库存'!A:A,'6月库存'!R:R)</f>
        <v>520</v>
      </c>
      <c r="P150" s="39">
        <f>_xlfn.XLOOKUP(F150,'6月产品包'!B:B,'6月产品包'!S:S)</f>
        <v>562</v>
      </c>
      <c r="Q150" s="39"/>
      <c r="R150" s="41">
        <f>_xlfn.XLOOKUP(F150,'6月产品包'!B:B,'6月产品包'!AD:AD)</f>
        <v>28.9362</v>
      </c>
      <c r="S150" s="39">
        <v>56</v>
      </c>
      <c r="T150" s="39">
        <f t="shared" si="50"/>
        <v>70</v>
      </c>
      <c r="U150" s="42">
        <f t="shared" si="65"/>
        <v>56</v>
      </c>
      <c r="V150" s="43">
        <v>0.2</v>
      </c>
      <c r="W150" s="44">
        <f t="shared" si="51"/>
        <v>0.483282142857143</v>
      </c>
      <c r="X150" s="44">
        <f t="shared" si="52"/>
        <v>0.303010887368725</v>
      </c>
      <c r="Y150" s="44">
        <v>0.04</v>
      </c>
      <c r="Z150" s="46">
        <v>0.1</v>
      </c>
      <c r="AA150" s="46">
        <v>0.049</v>
      </c>
      <c r="AB150" s="46">
        <f t="shared" si="53"/>
        <v>0.00964285714285714</v>
      </c>
      <c r="AC150" s="46">
        <v>0.06</v>
      </c>
      <c r="AD150" s="47"/>
      <c r="AF150" s="55" t="s">
        <v>114</v>
      </c>
      <c r="AG150" s="39">
        <f t="shared" si="66"/>
        <v>3.36</v>
      </c>
      <c r="AH150" s="39">
        <f t="shared" si="67"/>
        <v>3.36</v>
      </c>
      <c r="AI150" s="39">
        <f t="shared" si="68"/>
        <v>0</v>
      </c>
      <c r="AJ150" s="39">
        <f t="shared" si="69"/>
        <v>0</v>
      </c>
      <c r="AK150" s="39">
        <f t="shared" si="70"/>
        <v>0</v>
      </c>
      <c r="AL150" s="39">
        <f t="shared" si="71"/>
        <v>0</v>
      </c>
      <c r="AM150" s="39">
        <f t="shared" si="72"/>
        <v>0</v>
      </c>
      <c r="AN150" s="39">
        <f t="shared" si="73"/>
        <v>0</v>
      </c>
    </row>
    <row r="151" s="6" customFormat="1" ht="50" hidden="1" customHeight="1" spans="1:40">
      <c r="A151" s="37" t="s">
        <v>108</v>
      </c>
      <c r="B151" s="37" t="s">
        <v>109</v>
      </c>
      <c r="C151" s="37" t="str">
        <f>_xlfn.XLOOKUP(F151,'6月产品包'!B:B,'6月产品包'!H:H)</f>
        <v>显示器支架</v>
      </c>
      <c r="D151" s="38" t="str">
        <f>_xlfn.XLOOKUP(F151,'6月产品包'!B:B,'6月产品包'!O:O)</f>
        <v>增高显示器支架</v>
      </c>
      <c r="E151" s="38" t="s">
        <v>363</v>
      </c>
      <c r="F151" s="37" t="s">
        <v>366</v>
      </c>
      <c r="G151" s="39" t="s">
        <v>126</v>
      </c>
      <c r="H151" s="39" t="s">
        <v>101</v>
      </c>
      <c r="I151" s="37" t="str">
        <f>_xlfn.XLOOKUP($F151,'6月库存'!A:A,'6月库存'!B:B)</f>
        <v>等待开发</v>
      </c>
      <c r="J151" s="12"/>
      <c r="K151" s="39" t="e">
        <f>_xlfn.XLOOKUP(E151,'[1]6月分配 '!$B:$B,'[1]6月分配 '!$K:$K)</f>
        <v>#N/A</v>
      </c>
      <c r="L151" s="12" t="str">
        <f t="shared" ref="L151:L214" si="74">IF(ISNUMBER(K151),"是",IF(ISNA(K151),"否",""))</f>
        <v>否</v>
      </c>
      <c r="M151" s="40" t="str">
        <f>_xlfn.XLOOKUP(F151,'6月产品包'!B:B,'6月产品包'!J:J)</f>
        <v>2025-05-15</v>
      </c>
      <c r="N151" s="39" t="str">
        <f ca="1" t="shared" si="64"/>
        <v>老品</v>
      </c>
      <c r="O151" s="37">
        <f>_xlfn.XLOOKUP(F151,'6月库存'!A:A,'6月库存'!R:R)</f>
        <v>0</v>
      </c>
      <c r="P151" s="39">
        <f>_xlfn.XLOOKUP(F151,'6月产品包'!B:B,'6月产品包'!S:S)</f>
        <v>1100</v>
      </c>
      <c r="Q151" s="39"/>
      <c r="R151" s="41">
        <f>_xlfn.XLOOKUP(F151,'6月产品包'!B:B,'6月产品包'!AD:AD)</f>
        <v>14.8132</v>
      </c>
      <c r="S151" s="39">
        <v>30</v>
      </c>
      <c r="T151" s="39">
        <f t="shared" ref="T151:T214" si="75">ROUND(S151*(1+0.25),0)</f>
        <v>38</v>
      </c>
      <c r="U151" s="42">
        <f t="shared" si="65"/>
        <v>30.4</v>
      </c>
      <c r="V151" s="43">
        <v>0.2</v>
      </c>
      <c r="W151" s="44">
        <f t="shared" ref="W151:W214" si="76">(U151-R151)/U151</f>
        <v>0.512723684210526</v>
      </c>
      <c r="X151" s="44">
        <f t="shared" ref="X151:X165" si="77">(U151*(1-Y151-Z151-AA151-AC151-AB151)-R151)/(U151*(1-Y151-Z151-AA151-AC151-AB151))</f>
        <v>0.330882087233043</v>
      </c>
      <c r="Y151" s="44">
        <v>0.04</v>
      </c>
      <c r="Z151" s="46">
        <v>0.105</v>
      </c>
      <c r="AA151" s="46">
        <v>0.049</v>
      </c>
      <c r="AB151" s="46">
        <f t="shared" ref="AB151:AB165" si="78">$AB$1/U151</f>
        <v>0.0177631578947368</v>
      </c>
      <c r="AC151" s="46">
        <v>0.06</v>
      </c>
      <c r="AD151" s="47"/>
      <c r="AF151" s="48" t="s">
        <v>102</v>
      </c>
      <c r="AG151" s="39">
        <f t="shared" si="66"/>
        <v>0</v>
      </c>
      <c r="AH151" s="39">
        <f t="shared" si="67"/>
        <v>0</v>
      </c>
      <c r="AI151" s="39">
        <f t="shared" si="68"/>
        <v>0</v>
      </c>
      <c r="AJ151" s="39">
        <f t="shared" si="69"/>
        <v>0</v>
      </c>
      <c r="AK151" s="39">
        <f t="shared" si="70"/>
        <v>0</v>
      </c>
      <c r="AL151" s="39">
        <f t="shared" si="71"/>
        <v>0</v>
      </c>
      <c r="AM151" s="39">
        <f t="shared" si="72"/>
        <v>0</v>
      </c>
      <c r="AN151" s="39">
        <f t="shared" si="73"/>
        <v>0</v>
      </c>
    </row>
    <row r="152" s="6" customFormat="1" ht="50" hidden="1" customHeight="1" spans="1:40">
      <c r="A152" s="37" t="s">
        <v>108</v>
      </c>
      <c r="B152" s="37" t="s">
        <v>109</v>
      </c>
      <c r="C152" s="37" t="str">
        <f>_xlfn.XLOOKUP(F152,'6月产品包'!B:B,'6月产品包'!H:H)</f>
        <v>显示器支架</v>
      </c>
      <c r="D152" s="38" t="str">
        <f>_xlfn.XLOOKUP(F152,'6月产品包'!B:B,'6月产品包'!O:O)</f>
        <v>显示器桌面支架</v>
      </c>
      <c r="E152" s="38" t="s">
        <v>367</v>
      </c>
      <c r="F152" s="37" t="s">
        <v>368</v>
      </c>
      <c r="G152" s="39" t="s">
        <v>100</v>
      </c>
      <c r="H152" s="37" t="s">
        <v>101</v>
      </c>
      <c r="I152" s="37" t="str">
        <f>_xlfn.XLOOKUP($F152,'6月库存'!A:A,'6月库存'!B:B)</f>
        <v>正常销售</v>
      </c>
      <c r="J152" s="12"/>
      <c r="K152" s="39" t="e">
        <f>_xlfn.XLOOKUP(E152,'[1]6月分配 '!$B:$B,'[1]6月分配 '!$K:$K)</f>
        <v>#N/A</v>
      </c>
      <c r="L152" s="12" t="str">
        <f t="shared" si="74"/>
        <v>否</v>
      </c>
      <c r="M152" s="40" t="str">
        <f>_xlfn.XLOOKUP(F152,'6月产品包'!B:B,'6月产品包'!J:J)</f>
        <v>2025-09-11</v>
      </c>
      <c r="N152" s="39" t="str">
        <f ca="1" t="shared" si="64"/>
        <v>老品</v>
      </c>
      <c r="O152" s="37">
        <f>_xlfn.XLOOKUP(F152,'6月库存'!A:A,'6月库存'!R:R)</f>
        <v>0</v>
      </c>
      <c r="P152" s="39">
        <f>_xlfn.XLOOKUP(F152,'6月产品包'!B:B,'6月产品包'!S:S)</f>
        <v>4060</v>
      </c>
      <c r="Q152" s="39"/>
      <c r="R152" s="41">
        <f>_xlfn.XLOOKUP(F152,'6月产品包'!B:B,'6月产品包'!AD:AD)</f>
        <v>38.7556</v>
      </c>
      <c r="S152" s="39">
        <v>78</v>
      </c>
      <c r="T152" s="39">
        <f t="shared" si="75"/>
        <v>98</v>
      </c>
      <c r="U152" s="42">
        <f t="shared" si="65"/>
        <v>78.4</v>
      </c>
      <c r="V152" s="43">
        <v>0.2</v>
      </c>
      <c r="W152" s="44">
        <f t="shared" si="76"/>
        <v>0.505668367346939</v>
      </c>
      <c r="X152" s="44">
        <f t="shared" si="77"/>
        <v>0.331181919843165</v>
      </c>
      <c r="Y152" s="44">
        <v>0.04</v>
      </c>
      <c r="Z152" s="46">
        <v>0.105</v>
      </c>
      <c r="AA152" s="46">
        <v>0.049</v>
      </c>
      <c r="AB152" s="46">
        <f t="shared" si="78"/>
        <v>0.00688775510204082</v>
      </c>
      <c r="AC152" s="46">
        <v>0.06</v>
      </c>
      <c r="AD152" s="47"/>
      <c r="AF152" s="48" t="s">
        <v>102</v>
      </c>
      <c r="AG152" s="39">
        <f t="shared" si="66"/>
        <v>4.704</v>
      </c>
      <c r="AH152" s="39">
        <f t="shared" si="67"/>
        <v>4.704</v>
      </c>
      <c r="AI152" s="39">
        <f t="shared" si="68"/>
        <v>0</v>
      </c>
      <c r="AJ152" s="39">
        <f t="shared" si="69"/>
        <v>0</v>
      </c>
      <c r="AK152" s="39">
        <f t="shared" si="70"/>
        <v>0</v>
      </c>
      <c r="AL152" s="39">
        <f t="shared" si="71"/>
        <v>0</v>
      </c>
      <c r="AM152" s="39">
        <f t="shared" si="72"/>
        <v>0</v>
      </c>
      <c r="AN152" s="39">
        <f t="shared" si="73"/>
        <v>0</v>
      </c>
    </row>
    <row r="153" s="6" customFormat="1" ht="50" hidden="1" customHeight="1" spans="1:40">
      <c r="A153" s="37" t="s">
        <v>108</v>
      </c>
      <c r="B153" s="37" t="s">
        <v>109</v>
      </c>
      <c r="C153" s="37" t="str">
        <f>_xlfn.XLOOKUP(F153,'6月产品包'!B:B,'6月产品包'!H:H)</f>
        <v>显示器支架</v>
      </c>
      <c r="D153" s="38" t="str">
        <f>_xlfn.XLOOKUP(F153,'6月产品包'!B:B,'6月产品包'!O:O)</f>
        <v>双屏显示器支架</v>
      </c>
      <c r="E153" s="38" t="s">
        <v>369</v>
      </c>
      <c r="F153" s="37" t="s">
        <v>370</v>
      </c>
      <c r="G153" s="39" t="s">
        <v>100</v>
      </c>
      <c r="H153" s="37" t="s">
        <v>101</v>
      </c>
      <c r="I153" s="37" t="str">
        <f>_xlfn.XLOOKUP($F153,'6月库存'!A:A,'6月库存'!B:B)</f>
        <v>正常销售</v>
      </c>
      <c r="J153" s="12"/>
      <c r="K153" s="39" t="e">
        <f>_xlfn.XLOOKUP(E153,'[1]6月分配 '!$B:$B,'[1]6月分配 '!$K:$K)</f>
        <v>#N/A</v>
      </c>
      <c r="L153" s="12" t="str">
        <f t="shared" si="74"/>
        <v>否</v>
      </c>
      <c r="M153" s="40" t="str">
        <f>_xlfn.XLOOKUP(F153,'6月产品包'!B:B,'6月产品包'!J:J)</f>
        <v>2025-09-11</v>
      </c>
      <c r="N153" s="39" t="str">
        <f ca="1" t="shared" si="64"/>
        <v>老品</v>
      </c>
      <c r="O153" s="37">
        <f>_xlfn.XLOOKUP(F153,'6月库存'!A:A,'6月库存'!R:R)</f>
        <v>1</v>
      </c>
      <c r="P153" s="39">
        <f>_xlfn.XLOOKUP(F153,'6月产品包'!B:B,'6月产品包'!S:S)</f>
        <v>3770</v>
      </c>
      <c r="Q153" s="39"/>
      <c r="R153" s="41">
        <f>_xlfn.XLOOKUP(F153,'6月产品包'!B:B,'6月产品包'!AD:AD)</f>
        <v>35.2002</v>
      </c>
      <c r="S153" s="39">
        <v>68</v>
      </c>
      <c r="T153" s="39">
        <f t="shared" si="75"/>
        <v>85</v>
      </c>
      <c r="U153" s="42">
        <f t="shared" si="65"/>
        <v>68</v>
      </c>
      <c r="V153" s="43">
        <v>0.2</v>
      </c>
      <c r="W153" s="44">
        <f t="shared" si="76"/>
        <v>0.48235</v>
      </c>
      <c r="X153" s="44">
        <f t="shared" si="77"/>
        <v>0.300528574835069</v>
      </c>
      <c r="Y153" s="44">
        <v>0.038</v>
      </c>
      <c r="Z153" s="46">
        <v>0.105</v>
      </c>
      <c r="AA153" s="46">
        <v>0.049</v>
      </c>
      <c r="AB153" s="46">
        <f t="shared" si="78"/>
        <v>0.00794117647058824</v>
      </c>
      <c r="AC153" s="46">
        <v>0.06</v>
      </c>
      <c r="AD153" s="47"/>
      <c r="AF153" s="48" t="s">
        <v>102</v>
      </c>
      <c r="AG153" s="39">
        <f t="shared" si="66"/>
        <v>4.08</v>
      </c>
      <c r="AH153" s="39">
        <f t="shared" si="67"/>
        <v>4.08</v>
      </c>
      <c r="AI153" s="39">
        <f t="shared" si="68"/>
        <v>0</v>
      </c>
      <c r="AJ153" s="39">
        <f t="shared" si="69"/>
        <v>0</v>
      </c>
      <c r="AK153" s="39">
        <f t="shared" si="70"/>
        <v>0</v>
      </c>
      <c r="AL153" s="39">
        <f t="shared" si="71"/>
        <v>0</v>
      </c>
      <c r="AM153" s="39">
        <f t="shared" si="72"/>
        <v>0</v>
      </c>
      <c r="AN153" s="39">
        <f t="shared" si="73"/>
        <v>0</v>
      </c>
    </row>
    <row r="154" s="6" customFormat="1" ht="50" hidden="1" customHeight="1" spans="1:40">
      <c r="A154" s="39" t="str">
        <f>_xlfn.XLOOKUP(F154,'6月产品包'!B:B,'6月产品包'!F:F)</f>
        <v>3C数码</v>
      </c>
      <c r="B154" s="39" t="str">
        <f>_xlfn.XLOOKUP(F154,'6月产品包'!B:B,'6月产品包'!G:G)</f>
        <v>影像摄影</v>
      </c>
      <c r="C154" s="37" t="str">
        <f>_xlfn.XLOOKUP(F154,'6月产品包'!B:B,'6月产品包'!H:H)</f>
        <v>抗光幕布</v>
      </c>
      <c r="D154" s="38" t="str">
        <f>_xlfn.XLOOKUP(F154,'6月产品包'!B:B,'6月产品包'!O:O)</f>
        <v>投影仪屏幕</v>
      </c>
      <c r="E154" s="38" t="str">
        <f>_xlfn.XLOOKUP(F154,'6月产品包'!B:B,'6月产品包'!C:C)</f>
        <v>3C-84英寸投影仪屏幕</v>
      </c>
      <c r="F154" s="37" t="s">
        <v>371</v>
      </c>
      <c r="G154" s="39" t="s">
        <v>126</v>
      </c>
      <c r="H154" s="37" t="s">
        <v>101</v>
      </c>
      <c r="I154" s="37" t="str">
        <f>_xlfn.XLOOKUP($F154,'6月库存'!A:A,'6月库存'!B:B)</f>
        <v>正常销售</v>
      </c>
      <c r="J154" s="12"/>
      <c r="K154" s="39" t="e">
        <f>_xlfn.XLOOKUP(E154,'[1]6月分配 '!$B:$B,'[1]6月分配 '!$K:$K)</f>
        <v>#N/A</v>
      </c>
      <c r="L154" s="12" t="str">
        <f t="shared" si="74"/>
        <v>否</v>
      </c>
      <c r="M154" s="40" t="str">
        <f>_xlfn.XLOOKUP(F154,'6月产品包'!B:B,'6月产品包'!J:J)</f>
        <v>2025-02-25</v>
      </c>
      <c r="N154" s="39" t="str">
        <f ca="1" t="shared" si="64"/>
        <v>老品</v>
      </c>
      <c r="O154" s="37">
        <f>_xlfn.XLOOKUP(F154,'6月库存'!A:A,'6月库存'!R:R)</f>
        <v>280</v>
      </c>
      <c r="P154" s="39">
        <f>_xlfn.XLOOKUP(F154,'6月产品包'!B:B,'6月产品包'!S:S)</f>
        <v>110</v>
      </c>
      <c r="Q154" s="39"/>
      <c r="R154" s="41">
        <f>_xlfn.XLOOKUP(F154,'6月产品包'!B:B,'6月产品包'!AD:AD)</f>
        <v>9.6106</v>
      </c>
      <c r="S154" s="39">
        <v>19</v>
      </c>
      <c r="T154" s="39">
        <f t="shared" si="75"/>
        <v>24</v>
      </c>
      <c r="U154" s="42">
        <f t="shared" si="65"/>
        <v>19.2</v>
      </c>
      <c r="V154" s="43">
        <v>0.2</v>
      </c>
      <c r="W154" s="44">
        <f t="shared" si="76"/>
        <v>0.499447916666667</v>
      </c>
      <c r="X154" s="44">
        <f t="shared" si="77"/>
        <v>0.292880687503679</v>
      </c>
      <c r="Y154" s="44">
        <v>0.04</v>
      </c>
      <c r="Z154" s="46">
        <v>0.115</v>
      </c>
      <c r="AA154" s="46">
        <v>0.049</v>
      </c>
      <c r="AB154" s="46">
        <f t="shared" si="78"/>
        <v>0.028125</v>
      </c>
      <c r="AC154" s="46">
        <v>0.06</v>
      </c>
      <c r="AD154" s="47"/>
      <c r="AF154" s="48" t="s">
        <v>102</v>
      </c>
      <c r="AG154" s="39">
        <f t="shared" si="66"/>
        <v>0</v>
      </c>
      <c r="AH154" s="39">
        <f t="shared" si="67"/>
        <v>0</v>
      </c>
      <c r="AI154" s="39">
        <f t="shared" si="68"/>
        <v>0</v>
      </c>
      <c r="AJ154" s="39">
        <f t="shared" si="69"/>
        <v>0</v>
      </c>
      <c r="AK154" s="39">
        <f t="shared" si="70"/>
        <v>0</v>
      </c>
      <c r="AL154" s="39">
        <f t="shared" si="71"/>
        <v>0</v>
      </c>
      <c r="AM154" s="39">
        <f t="shared" si="72"/>
        <v>0</v>
      </c>
      <c r="AN154" s="39">
        <f t="shared" si="73"/>
        <v>0</v>
      </c>
    </row>
    <row r="155" s="6" customFormat="1" ht="50" hidden="1" customHeight="1" spans="1:40">
      <c r="A155" s="39" t="str">
        <f>_xlfn.XLOOKUP(F155,'6月产品包'!B:B,'6月产品包'!F:F)</f>
        <v>3C数码</v>
      </c>
      <c r="B155" s="39" t="str">
        <f>_xlfn.XLOOKUP(F155,'6月产品包'!B:B,'6月产品包'!G:G)</f>
        <v>影像摄影</v>
      </c>
      <c r="C155" s="37" t="str">
        <f>_xlfn.XLOOKUP(F155,'6月产品包'!B:B,'6月产品包'!H:H)</f>
        <v>抗光幕布</v>
      </c>
      <c r="D155" s="38" t="str">
        <f>_xlfn.XLOOKUP(F155,'6月产品包'!B:B,'6月产品包'!O:O)</f>
        <v>投影仪屏幕</v>
      </c>
      <c r="E155" s="38" t="str">
        <f>_xlfn.XLOOKUP(F155,'6月产品包'!B:B,'6月产品包'!C:C)</f>
        <v>3C-100英寸投影仪屏幕</v>
      </c>
      <c r="F155" s="37" t="s">
        <v>372</v>
      </c>
      <c r="G155" s="39" t="s">
        <v>126</v>
      </c>
      <c r="H155" s="37" t="s">
        <v>101</v>
      </c>
      <c r="I155" s="37" t="str">
        <f>_xlfn.XLOOKUP($F155,'6月库存'!A:A,'6月库存'!B:B)</f>
        <v>正常销售</v>
      </c>
      <c r="J155" s="12"/>
      <c r="K155" s="39" t="e">
        <f>_xlfn.XLOOKUP(E155,'[1]6月分配 '!$B:$B,'[1]6月分配 '!$K:$K)</f>
        <v>#N/A</v>
      </c>
      <c r="L155" s="12" t="str">
        <f t="shared" si="74"/>
        <v>否</v>
      </c>
      <c r="M155" s="40" t="str">
        <f>_xlfn.XLOOKUP(F155,'6月产品包'!B:B,'6月产品包'!J:J)</f>
        <v>2025-02-25</v>
      </c>
      <c r="N155" s="39" t="str">
        <f ca="1" t="shared" si="64"/>
        <v>老品</v>
      </c>
      <c r="O155" s="37">
        <f>_xlfn.XLOOKUP(F155,'6月库存'!A:A,'6月库存'!R:R)</f>
        <v>106</v>
      </c>
      <c r="P155" s="39">
        <f>_xlfn.XLOOKUP(F155,'6月产品包'!B:B,'6月产品包'!S:S)</f>
        <v>500</v>
      </c>
      <c r="Q155" s="39"/>
      <c r="R155" s="41">
        <f>_xlfn.XLOOKUP(F155,'6月产品包'!B:B,'6月产品包'!AD:AD)</f>
        <v>14.4014</v>
      </c>
      <c r="S155" s="39">
        <v>28</v>
      </c>
      <c r="T155" s="39">
        <f t="shared" si="75"/>
        <v>35</v>
      </c>
      <c r="U155" s="42">
        <f t="shared" si="65"/>
        <v>28</v>
      </c>
      <c r="V155" s="43">
        <v>0.2</v>
      </c>
      <c r="W155" s="44">
        <f t="shared" si="76"/>
        <v>0.485664285714286</v>
      </c>
      <c r="X155" s="44">
        <f t="shared" si="77"/>
        <v>0.282369942196532</v>
      </c>
      <c r="Y155" s="44">
        <v>0.04</v>
      </c>
      <c r="Z155" s="46">
        <v>0.115</v>
      </c>
      <c r="AA155" s="46">
        <v>0.049</v>
      </c>
      <c r="AB155" s="46">
        <f t="shared" si="78"/>
        <v>0.0192857142857143</v>
      </c>
      <c r="AC155" s="46">
        <v>0.06</v>
      </c>
      <c r="AD155" s="47"/>
      <c r="AF155" s="48" t="s">
        <v>102</v>
      </c>
      <c r="AG155" s="39">
        <f t="shared" si="66"/>
        <v>0</v>
      </c>
      <c r="AH155" s="39">
        <f t="shared" si="67"/>
        <v>0</v>
      </c>
      <c r="AI155" s="39">
        <f t="shared" si="68"/>
        <v>0</v>
      </c>
      <c r="AJ155" s="39">
        <f t="shared" si="69"/>
        <v>0</v>
      </c>
      <c r="AK155" s="39">
        <f t="shared" si="70"/>
        <v>0</v>
      </c>
      <c r="AL155" s="39">
        <f t="shared" si="71"/>
        <v>0</v>
      </c>
      <c r="AM155" s="39">
        <f t="shared" si="72"/>
        <v>0</v>
      </c>
      <c r="AN155" s="39">
        <f t="shared" si="73"/>
        <v>0</v>
      </c>
    </row>
    <row r="156" s="6" customFormat="1" ht="50" hidden="1" customHeight="1" spans="1:40">
      <c r="A156" s="39" t="str">
        <f>_xlfn.XLOOKUP(F156,'6月产品包'!B:B,'6月产品包'!F:F)</f>
        <v>3C数码</v>
      </c>
      <c r="B156" s="39" t="str">
        <f>_xlfn.XLOOKUP(F156,'6月产品包'!B:B,'6月产品包'!G:G)</f>
        <v>影像摄影</v>
      </c>
      <c r="C156" s="37" t="str">
        <f>_xlfn.XLOOKUP(F156,'6月产品包'!B:B,'6月产品包'!H:H)</f>
        <v>抗光幕布</v>
      </c>
      <c r="D156" s="38" t="str">
        <f>_xlfn.XLOOKUP(F156,'6月产品包'!B:B,'6月产品包'!O:O)</f>
        <v>投影仪屏幕</v>
      </c>
      <c r="E156" s="38" t="str">
        <f>_xlfn.XLOOKUP(F156,'6月产品包'!B:B,'6月产品包'!C:C)</f>
        <v>3C-120英寸投影仪屏幕</v>
      </c>
      <c r="F156" s="37" t="s">
        <v>373</v>
      </c>
      <c r="G156" s="39" t="s">
        <v>126</v>
      </c>
      <c r="H156" s="37" t="s">
        <v>101</v>
      </c>
      <c r="I156" s="37" t="str">
        <f>_xlfn.XLOOKUP($F156,'6月库存'!A:A,'6月库存'!B:B)</f>
        <v>正常销售</v>
      </c>
      <c r="J156" s="12"/>
      <c r="K156" s="39" t="e">
        <f>_xlfn.XLOOKUP(E156,'[1]6月分配 '!$B:$B,'[1]6月分配 '!$K:$K)</f>
        <v>#N/A</v>
      </c>
      <c r="L156" s="12" t="str">
        <f t="shared" si="74"/>
        <v>否</v>
      </c>
      <c r="M156" s="40" t="str">
        <f>_xlfn.XLOOKUP(F156,'6月产品包'!B:B,'6月产品包'!J:J)</f>
        <v>2025-02-25</v>
      </c>
      <c r="N156" s="39" t="str">
        <f ca="1" t="shared" si="64"/>
        <v>老品</v>
      </c>
      <c r="O156" s="37">
        <f>_xlfn.XLOOKUP(F156,'6月库存'!A:A,'6月库存'!R:R)</f>
        <v>221</v>
      </c>
      <c r="P156" s="39">
        <f>_xlfn.XLOOKUP(F156,'6月产品包'!B:B,'6月产品包'!S:S)</f>
        <v>520</v>
      </c>
      <c r="Q156" s="39"/>
      <c r="R156" s="41">
        <f>_xlfn.XLOOKUP(F156,'6月产品包'!B:B,'6月产品包'!AD:AD)</f>
        <v>16.385</v>
      </c>
      <c r="S156" s="39">
        <v>32</v>
      </c>
      <c r="T156" s="39">
        <f t="shared" si="75"/>
        <v>40</v>
      </c>
      <c r="U156" s="42">
        <f t="shared" si="65"/>
        <v>32</v>
      </c>
      <c r="V156" s="43">
        <v>0.2</v>
      </c>
      <c r="W156" s="44">
        <f t="shared" si="76"/>
        <v>0.48796875</v>
      </c>
      <c r="X156" s="44">
        <f t="shared" si="77"/>
        <v>0.287980184251695</v>
      </c>
      <c r="Y156" s="44">
        <v>0.04</v>
      </c>
      <c r="Z156" s="46">
        <v>0.115</v>
      </c>
      <c r="AA156" s="46">
        <v>0.049</v>
      </c>
      <c r="AB156" s="46">
        <f t="shared" si="78"/>
        <v>0.016875</v>
      </c>
      <c r="AC156" s="46">
        <v>0.06</v>
      </c>
      <c r="AD156" s="47"/>
      <c r="AF156" s="48" t="s">
        <v>102</v>
      </c>
      <c r="AG156" s="39">
        <f t="shared" si="66"/>
        <v>0</v>
      </c>
      <c r="AH156" s="39">
        <f t="shared" si="67"/>
        <v>0</v>
      </c>
      <c r="AI156" s="39">
        <f t="shared" si="68"/>
        <v>0</v>
      </c>
      <c r="AJ156" s="39">
        <f t="shared" si="69"/>
        <v>0</v>
      </c>
      <c r="AK156" s="39">
        <f t="shared" si="70"/>
        <v>0</v>
      </c>
      <c r="AL156" s="39">
        <f t="shared" si="71"/>
        <v>0</v>
      </c>
      <c r="AM156" s="39">
        <f t="shared" si="72"/>
        <v>0</v>
      </c>
      <c r="AN156" s="39">
        <f t="shared" si="73"/>
        <v>0</v>
      </c>
    </row>
    <row r="157" s="6" customFormat="1" ht="50" hidden="1" customHeight="1" spans="1:40">
      <c r="A157" s="37" t="s">
        <v>108</v>
      </c>
      <c r="B157" s="37" t="s">
        <v>206</v>
      </c>
      <c r="C157" s="37" t="str">
        <f>_xlfn.XLOOKUP(F157,'6月产品包'!B:B,'6月产品包'!H:H)</f>
        <v>展示台</v>
      </c>
      <c r="D157" s="38" t="str">
        <f>_xlfn.XLOOKUP(F157,'6月产品包'!B:B,'6月产品包'!O:O)</f>
        <v>插电电池两用展示台</v>
      </c>
      <c r="E157" s="38" t="s">
        <v>374</v>
      </c>
      <c r="F157" s="37" t="s">
        <v>375</v>
      </c>
      <c r="G157" s="39" t="s">
        <v>100</v>
      </c>
      <c r="H157" s="37" t="s">
        <v>107</v>
      </c>
      <c r="I157" s="37" t="str">
        <f>_xlfn.XLOOKUP($F157,'6月库存'!A:A,'6月库存'!B:B)</f>
        <v>正常销售</v>
      </c>
      <c r="J157" s="12"/>
      <c r="K157" s="39" t="e">
        <f>_xlfn.XLOOKUP(E157,'[1]6月分配 '!$B:$B,'[1]6月分配 '!$K:$K)</f>
        <v>#N/A</v>
      </c>
      <c r="L157" s="12" t="str">
        <f t="shared" si="74"/>
        <v>否</v>
      </c>
      <c r="M157" s="40" t="str">
        <f>_xlfn.XLOOKUP(F157,'6月产品包'!B:B,'6月产品包'!J:J)</f>
        <v>2025-02-25</v>
      </c>
      <c r="N157" s="39" t="str">
        <f ca="1" t="shared" si="64"/>
        <v>老品</v>
      </c>
      <c r="O157" s="37">
        <f>_xlfn.XLOOKUP(F157,'6月库存'!A:A,'6月库存'!R:R)</f>
        <v>145</v>
      </c>
      <c r="P157" s="39">
        <f>_xlfn.XLOOKUP(F157,'6月产品包'!B:B,'6月产品包'!S:S)</f>
        <v>308</v>
      </c>
      <c r="Q157" s="39"/>
      <c r="R157" s="41">
        <f>_xlfn.XLOOKUP(F157,'6月产品包'!B:B,'6月产品包'!AD:AD)</f>
        <v>13.601</v>
      </c>
      <c r="S157" s="39">
        <v>28</v>
      </c>
      <c r="T157" s="39">
        <f t="shared" si="75"/>
        <v>35</v>
      </c>
      <c r="U157" s="42">
        <f t="shared" si="65"/>
        <v>28</v>
      </c>
      <c r="V157" s="43">
        <v>0.2</v>
      </c>
      <c r="W157" s="44">
        <f t="shared" si="76"/>
        <v>0.51425</v>
      </c>
      <c r="X157" s="44">
        <f t="shared" si="77"/>
        <v>0.333415016663399</v>
      </c>
      <c r="Y157" s="44">
        <v>0.038</v>
      </c>
      <c r="Z157" s="46">
        <v>0.105</v>
      </c>
      <c r="AA157" s="46">
        <v>0.049</v>
      </c>
      <c r="AB157" s="46">
        <f t="shared" si="78"/>
        <v>0.0192857142857143</v>
      </c>
      <c r="AC157" s="46">
        <v>0.06</v>
      </c>
      <c r="AD157" s="47"/>
      <c r="AF157" s="48" t="s">
        <v>102</v>
      </c>
      <c r="AG157" s="39">
        <f t="shared" si="66"/>
        <v>0</v>
      </c>
      <c r="AH157" s="39">
        <f t="shared" si="67"/>
        <v>0</v>
      </c>
      <c r="AI157" s="39">
        <f t="shared" si="68"/>
        <v>0</v>
      </c>
      <c r="AJ157" s="39">
        <f t="shared" si="69"/>
        <v>0</v>
      </c>
      <c r="AK157" s="39">
        <f t="shared" si="70"/>
        <v>0</v>
      </c>
      <c r="AL157" s="39">
        <f t="shared" si="71"/>
        <v>0</v>
      </c>
      <c r="AM157" s="39">
        <f t="shared" si="72"/>
        <v>0</v>
      </c>
      <c r="AN157" s="39">
        <f t="shared" si="73"/>
        <v>0</v>
      </c>
    </row>
    <row r="158" s="6" customFormat="1" ht="50" hidden="1" customHeight="1" spans="1:40">
      <c r="A158" s="37" t="s">
        <v>108</v>
      </c>
      <c r="B158" s="37" t="s">
        <v>109</v>
      </c>
      <c r="C158" s="37" t="str">
        <f>_xlfn.XLOOKUP(F158,'6月产品包'!B:B,'6月产品包'!H:H)</f>
        <v>电脑散热器</v>
      </c>
      <c r="D158" s="38" t="str">
        <f>_xlfn.XLOOKUP(F158,'6月产品包'!B:B,'6月产品包'!O:O)</f>
        <v>双风扇RGB带海绵散热支架</v>
      </c>
      <c r="E158" s="38" t="s">
        <v>376</v>
      </c>
      <c r="F158" s="37" t="s">
        <v>377</v>
      </c>
      <c r="G158" s="39" t="s">
        <v>106</v>
      </c>
      <c r="H158" s="37" t="s">
        <v>107</v>
      </c>
      <c r="I158" s="37" t="str">
        <f>_xlfn.XLOOKUP($F158,'6月库存'!A:A,'6月库存'!B:B)</f>
        <v>正常销售</v>
      </c>
      <c r="J158" s="12"/>
      <c r="K158" s="39" t="e">
        <f>_xlfn.XLOOKUP(E158,'[1]6月分配 '!$B:$B,'[1]6月分配 '!$K:$K)</f>
        <v>#N/A</v>
      </c>
      <c r="L158" s="12" t="str">
        <f t="shared" si="74"/>
        <v>否</v>
      </c>
      <c r="M158" s="40" t="str">
        <f>_xlfn.XLOOKUP(F158,'6月产品包'!B:B,'6月产品包'!J:J)</f>
        <v>2025-09-25</v>
      </c>
      <c r="N158" s="39" t="str">
        <f ca="1" t="shared" si="64"/>
        <v>老品</v>
      </c>
      <c r="O158" s="37">
        <f>_xlfn.XLOOKUP(F158,'6月库存'!A:A,'6月库存'!R:R)</f>
        <v>0</v>
      </c>
      <c r="P158" s="39">
        <f>_xlfn.XLOOKUP(F158,'6月产品包'!B:B,'6月产品包'!S:S)</f>
        <v>1173</v>
      </c>
      <c r="Q158" s="39"/>
      <c r="R158" s="41">
        <f>_xlfn.XLOOKUP(F158,'6月产品包'!B:B,'6月产品包'!AD:AD)</f>
        <v>25.0502</v>
      </c>
      <c r="S158" s="39">
        <v>51</v>
      </c>
      <c r="T158" s="39">
        <f t="shared" si="75"/>
        <v>64</v>
      </c>
      <c r="U158" s="42">
        <f t="shared" si="65"/>
        <v>51.2</v>
      </c>
      <c r="V158" s="43">
        <v>0.2</v>
      </c>
      <c r="W158" s="44">
        <f t="shared" si="76"/>
        <v>0.51073828125</v>
      </c>
      <c r="X158" s="44">
        <f t="shared" si="77"/>
        <v>0.348044931187408</v>
      </c>
      <c r="Y158" s="52">
        <v>0.04</v>
      </c>
      <c r="Z158" s="46">
        <v>0.09</v>
      </c>
      <c r="AA158" s="46">
        <v>0.049</v>
      </c>
      <c r="AB158" s="46">
        <f t="shared" si="78"/>
        <v>0.010546875</v>
      </c>
      <c r="AC158" s="46">
        <v>0.06</v>
      </c>
      <c r="AD158" s="47"/>
      <c r="AF158" s="48" t="s">
        <v>102</v>
      </c>
      <c r="AG158" s="39">
        <f t="shared" si="66"/>
        <v>3.072</v>
      </c>
      <c r="AH158" s="39">
        <f t="shared" si="67"/>
        <v>3.072</v>
      </c>
      <c r="AI158" s="39">
        <f t="shared" si="68"/>
        <v>0</v>
      </c>
      <c r="AJ158" s="39">
        <f t="shared" si="69"/>
        <v>0</v>
      </c>
      <c r="AK158" s="39">
        <f t="shared" si="70"/>
        <v>0</v>
      </c>
      <c r="AL158" s="39">
        <f t="shared" si="71"/>
        <v>0</v>
      </c>
      <c r="AM158" s="39">
        <f t="shared" si="72"/>
        <v>0</v>
      </c>
      <c r="AN158" s="39">
        <f t="shared" si="73"/>
        <v>0</v>
      </c>
    </row>
    <row r="159" s="6" customFormat="1" ht="50" hidden="1" customHeight="1" spans="1:40">
      <c r="A159" s="37" t="s">
        <v>108</v>
      </c>
      <c r="B159" s="37" t="s">
        <v>109</v>
      </c>
      <c r="C159" s="37" t="str">
        <f>_xlfn.XLOOKUP(F159,'6月产品包'!B:B,'6月产品包'!H:H)</f>
        <v>电脑散热器</v>
      </c>
      <c r="D159" s="38" t="str">
        <f>_xlfn.XLOOKUP(F159,'6月产品包'!B:B,'6月产品包'!O:O)</f>
        <v>6风扇RGB散热支架带手机支架</v>
      </c>
      <c r="E159" s="38" t="s">
        <v>378</v>
      </c>
      <c r="F159" s="37" t="s">
        <v>379</v>
      </c>
      <c r="G159" s="39" t="s">
        <v>106</v>
      </c>
      <c r="H159" s="37" t="s">
        <v>107</v>
      </c>
      <c r="I159" s="37" t="str">
        <f>_xlfn.XLOOKUP($F159,'6月库存'!A:A,'6月库存'!B:B)</f>
        <v>正常销售</v>
      </c>
      <c r="J159" s="12"/>
      <c r="K159" s="39" t="e">
        <f>_xlfn.XLOOKUP(E159,'[1]6月分配 '!$B:$B,'[1]6月分配 '!$K:$K)</f>
        <v>#N/A</v>
      </c>
      <c r="L159" s="12" t="str">
        <f t="shared" si="74"/>
        <v>否</v>
      </c>
      <c r="M159" s="40" t="str">
        <f>_xlfn.XLOOKUP(F159,'6月产品包'!B:B,'6月产品包'!J:J)</f>
        <v>2025-09-25</v>
      </c>
      <c r="N159" s="39" t="str">
        <f ca="1" t="shared" si="64"/>
        <v>老品</v>
      </c>
      <c r="O159" s="37">
        <f>_xlfn.XLOOKUP(F159,'6月库存'!A:A,'6月库存'!R:R)</f>
        <v>0</v>
      </c>
      <c r="P159" s="39">
        <f>_xlfn.XLOOKUP(F159,'6月产品包'!B:B,'6月产品包'!S:S)</f>
        <v>941</v>
      </c>
      <c r="Q159" s="39"/>
      <c r="R159" s="41">
        <f>_xlfn.XLOOKUP(F159,'6月产品包'!B:B,'6月产品包'!AD:AD)</f>
        <v>28.449</v>
      </c>
      <c r="S159" s="39">
        <v>58</v>
      </c>
      <c r="T159" s="39">
        <f t="shared" si="75"/>
        <v>73</v>
      </c>
      <c r="U159" s="42">
        <f t="shared" si="65"/>
        <v>58.4</v>
      </c>
      <c r="V159" s="43">
        <v>0.2</v>
      </c>
      <c r="W159" s="44">
        <f t="shared" si="76"/>
        <v>0.512859589041096</v>
      </c>
      <c r="X159" s="44">
        <f t="shared" si="77"/>
        <v>0.351994423995043</v>
      </c>
      <c r="Y159" s="52">
        <v>0.04</v>
      </c>
      <c r="Z159" s="46">
        <v>0.09</v>
      </c>
      <c r="AA159" s="46">
        <v>0.049</v>
      </c>
      <c r="AB159" s="46">
        <f t="shared" si="78"/>
        <v>0.00924657534246575</v>
      </c>
      <c r="AC159" s="46">
        <v>0.06</v>
      </c>
      <c r="AD159" s="47"/>
      <c r="AF159" s="48" t="s">
        <v>102</v>
      </c>
      <c r="AG159" s="39">
        <f t="shared" si="66"/>
        <v>3.504</v>
      </c>
      <c r="AH159" s="39">
        <f t="shared" si="67"/>
        <v>3.504</v>
      </c>
      <c r="AI159" s="39">
        <f t="shared" si="68"/>
        <v>0</v>
      </c>
      <c r="AJ159" s="39">
        <f t="shared" si="69"/>
        <v>0</v>
      </c>
      <c r="AK159" s="39">
        <f t="shared" si="70"/>
        <v>0</v>
      </c>
      <c r="AL159" s="39">
        <f t="shared" si="71"/>
        <v>0</v>
      </c>
      <c r="AM159" s="39">
        <f t="shared" si="72"/>
        <v>0</v>
      </c>
      <c r="AN159" s="39">
        <f t="shared" si="73"/>
        <v>0</v>
      </c>
    </row>
    <row r="160" s="6" customFormat="1" ht="50" hidden="1" customHeight="1" spans="1:40">
      <c r="A160" s="39" t="str">
        <f>_xlfn.XLOOKUP(F160,'6月产品包'!B:B,'6月产品包'!F:F)</f>
        <v>办公安防</v>
      </c>
      <c r="B160" s="39" t="str">
        <f>_xlfn.XLOOKUP(F160,'6月产品包'!B:B,'6月产品包'!G:G)</f>
        <v>办公周边</v>
      </c>
      <c r="C160" s="37" t="str">
        <f>_xlfn.XLOOKUP(F160,'6月产品包'!B:B,'6月产品包'!H:H)</f>
        <v>碎纸机</v>
      </c>
      <c r="D160" s="38" t="str">
        <f>_xlfn.XLOOKUP(F160,'6月产品包'!B:B,'6月产品包'!O:O)</f>
        <v>桌面粒状碎纸机</v>
      </c>
      <c r="E160" s="38" t="str">
        <f>_xlfn.XLOOKUP(F160,'6月产品包'!B:B,'6月产品包'!C:C)</f>
        <v>3B-桌面碎纸机4L桶CS201C</v>
      </c>
      <c r="F160" s="39" t="s">
        <v>380</v>
      </c>
      <c r="G160" s="39" t="s">
        <v>106</v>
      </c>
      <c r="H160" s="49" t="s">
        <v>101</v>
      </c>
      <c r="I160" s="37" t="str">
        <f>_xlfn.XLOOKUP($F160,'6月库存'!A:A,'6月库存'!B:B)</f>
        <v>正常销售</v>
      </c>
      <c r="J160" s="12"/>
      <c r="K160" s="39">
        <f>_xlfn.XLOOKUP(E160,'[1]6月分配 '!$B:$B,'[1]6月分配 '!$K:$K)</f>
        <v>6340</v>
      </c>
      <c r="L160" s="12" t="str">
        <f t="shared" si="74"/>
        <v>是</v>
      </c>
      <c r="M160" s="40" t="str">
        <f>_xlfn.XLOOKUP(F160,'6月产品包'!B:B,'6月产品包'!J:J)</f>
        <v>2026-02-04</v>
      </c>
      <c r="N160" s="39" t="str">
        <f ca="1" t="shared" si="64"/>
        <v>新品</v>
      </c>
      <c r="O160" s="37">
        <f>_xlfn.XLOOKUP(F160,'6月库存'!A:A,'6月库存'!R:R)</f>
        <v>36</v>
      </c>
      <c r="P160" s="39">
        <f>_xlfn.XLOOKUP(F160,'6月产品包'!B:B,'6月产品包'!S:S)</f>
        <v>2850</v>
      </c>
      <c r="Q160" s="56"/>
      <c r="R160" s="41">
        <f>_xlfn.XLOOKUP(F160,'6月产品包'!B:B,'6月产品包'!AD:AD)</f>
        <v>86.5186</v>
      </c>
      <c r="S160" s="39">
        <v>162</v>
      </c>
      <c r="T160" s="39">
        <f t="shared" si="75"/>
        <v>203</v>
      </c>
      <c r="U160" s="42">
        <f t="shared" si="65"/>
        <v>162.4</v>
      </c>
      <c r="V160" s="43">
        <v>0.2</v>
      </c>
      <c r="W160" s="44">
        <f t="shared" si="76"/>
        <v>0.46725</v>
      </c>
      <c r="X160" s="44">
        <f t="shared" si="77"/>
        <v>0.289358605372444</v>
      </c>
      <c r="Y160" s="44">
        <v>0.038</v>
      </c>
      <c r="Z160" s="46">
        <v>0.1</v>
      </c>
      <c r="AA160" s="46">
        <v>0.049</v>
      </c>
      <c r="AB160" s="46">
        <f t="shared" si="78"/>
        <v>0.00332512315270936</v>
      </c>
      <c r="AC160" s="46">
        <v>0.06</v>
      </c>
      <c r="AD160" s="11"/>
      <c r="AE160" s="11"/>
      <c r="AF160" s="55" t="s">
        <v>114</v>
      </c>
      <c r="AG160" s="39">
        <f t="shared" si="66"/>
        <v>6</v>
      </c>
      <c r="AH160" s="39">
        <f t="shared" si="67"/>
        <v>6</v>
      </c>
      <c r="AI160" s="39">
        <f t="shared" si="68"/>
        <v>0</v>
      </c>
      <c r="AJ160" s="39">
        <f t="shared" si="69"/>
        <v>0</v>
      </c>
      <c r="AK160" s="39">
        <f t="shared" si="70"/>
        <v>0</v>
      </c>
      <c r="AL160" s="39">
        <f t="shared" si="71"/>
        <v>0</v>
      </c>
      <c r="AM160" s="39">
        <f t="shared" si="72"/>
        <v>0</v>
      </c>
      <c r="AN160" s="39">
        <f t="shared" si="73"/>
        <v>0</v>
      </c>
    </row>
    <row r="161" s="6" customFormat="1" ht="50" hidden="1" customHeight="1" spans="1:40">
      <c r="A161" s="37" t="s">
        <v>96</v>
      </c>
      <c r="B161" s="37" t="s">
        <v>115</v>
      </c>
      <c r="C161" s="37" t="str">
        <f>_xlfn.XLOOKUP(F161,'6月产品包'!B:B,'6月产品包'!H:H)</f>
        <v>收银箱</v>
      </c>
      <c r="D161" s="38" t="str">
        <f>_xlfn.XLOOKUP(F161,'6月产品包'!B:B,'6月产品包'!O:O)</f>
        <v>手提收银箱</v>
      </c>
      <c r="E161" s="38" t="s">
        <v>304</v>
      </c>
      <c r="F161" s="37" t="s">
        <v>381</v>
      </c>
      <c r="G161" s="39" t="e">
        <v>#N/A</v>
      </c>
      <c r="H161" s="37" t="s">
        <v>101</v>
      </c>
      <c r="I161" s="37" t="str">
        <f>_xlfn.XLOOKUP($F161,'6月库存'!A:A,'6月库存'!B:B)</f>
        <v>正常销售</v>
      </c>
      <c r="J161" s="12"/>
      <c r="K161" s="39" t="e">
        <f>_xlfn.XLOOKUP(E161,'[1]6月分配 '!$B:$B,'[1]6月分配 '!$K:$K)</f>
        <v>#N/A</v>
      </c>
      <c r="L161" s="12" t="str">
        <f t="shared" si="74"/>
        <v>否</v>
      </c>
      <c r="M161" s="40" t="str">
        <f>_xlfn.XLOOKUP(F161,'6月产品包'!B:B,'6月产品包'!J:J)</f>
        <v>2025-06-03</v>
      </c>
      <c r="N161" s="39" t="str">
        <f ca="1" t="shared" si="64"/>
        <v>老品</v>
      </c>
      <c r="O161" s="37">
        <f>_xlfn.XLOOKUP(F161,'6月库存'!A:A,'6月库存'!R:R)</f>
        <v>558</v>
      </c>
      <c r="P161" s="39">
        <f>_xlfn.XLOOKUP(F161,'6月产品包'!B:B,'6月产品包'!S:S)</f>
        <v>1800</v>
      </c>
      <c r="Q161" s="2">
        <v>2450</v>
      </c>
      <c r="R161" s="41">
        <f>_xlfn.XLOOKUP(F161,'6月产品包'!B:B,'6月产品包'!AD:AD)</f>
        <v>22.3474</v>
      </c>
      <c r="S161" s="39">
        <v>51</v>
      </c>
      <c r="T161" s="39">
        <f t="shared" si="75"/>
        <v>64</v>
      </c>
      <c r="U161" s="42">
        <f t="shared" si="65"/>
        <v>51.2</v>
      </c>
      <c r="V161" s="43">
        <v>0.2</v>
      </c>
      <c r="W161" s="44">
        <f t="shared" si="76"/>
        <v>0.56352734375</v>
      </c>
      <c r="X161" s="44">
        <f t="shared" si="77"/>
        <v>0.426036080461896</v>
      </c>
      <c r="Y161" s="44">
        <v>0.04</v>
      </c>
      <c r="Z161" s="46">
        <v>0.1</v>
      </c>
      <c r="AA161" s="46">
        <v>0.049</v>
      </c>
      <c r="AB161" s="46">
        <f t="shared" si="78"/>
        <v>0.010546875</v>
      </c>
      <c r="AC161" s="46">
        <v>0.04</v>
      </c>
      <c r="AD161" s="47"/>
      <c r="AF161" s="48" t="s">
        <v>102</v>
      </c>
      <c r="AG161" s="39">
        <f t="shared" si="66"/>
        <v>3.072</v>
      </c>
      <c r="AH161" s="39">
        <f t="shared" si="67"/>
        <v>3.072</v>
      </c>
      <c r="AI161" s="39">
        <f t="shared" si="68"/>
        <v>0</v>
      </c>
      <c r="AJ161" s="39">
        <f t="shared" si="69"/>
        <v>0</v>
      </c>
      <c r="AK161" s="39">
        <f t="shared" si="70"/>
        <v>0</v>
      </c>
      <c r="AL161" s="39">
        <f t="shared" si="71"/>
        <v>0</v>
      </c>
      <c r="AM161" s="39">
        <f t="shared" si="72"/>
        <v>0</v>
      </c>
      <c r="AN161" s="39">
        <f t="shared" si="73"/>
        <v>0</v>
      </c>
    </row>
    <row r="162" s="6" customFormat="1" ht="50" hidden="1" customHeight="1" spans="1:40">
      <c r="A162" s="37" t="s">
        <v>96</v>
      </c>
      <c r="B162" s="37" t="s">
        <v>115</v>
      </c>
      <c r="C162" s="37" t="str">
        <f>_xlfn.XLOOKUP(F162,'6月产品包'!B:B,'6月产品包'!H:H)</f>
        <v>收银箱</v>
      </c>
      <c r="D162" s="38" t="str">
        <f>_xlfn.XLOOKUP(F162,'6月产品包'!B:B,'6月产品包'!O:O)</f>
        <v>手提收银箱</v>
      </c>
      <c r="E162" s="38" t="s">
        <v>382</v>
      </c>
      <c r="F162" s="37" t="s">
        <v>383</v>
      </c>
      <c r="G162" s="39" t="e">
        <v>#N/A</v>
      </c>
      <c r="H162" s="37" t="s">
        <v>101</v>
      </c>
      <c r="I162" s="37" t="str">
        <f>_xlfn.XLOOKUP($F162,'6月库存'!A:A,'6月库存'!B:B)</f>
        <v>正常销售</v>
      </c>
      <c r="J162" s="12"/>
      <c r="K162" s="39" t="e">
        <f>_xlfn.XLOOKUP(E162,'[1]6月分配 '!$B:$B,'[1]6月分配 '!$K:$K)</f>
        <v>#N/A</v>
      </c>
      <c r="L162" s="12" t="str">
        <f t="shared" si="74"/>
        <v>否</v>
      </c>
      <c r="M162" s="40" t="str">
        <f>_xlfn.XLOOKUP(F162,'6月产品包'!B:B,'6月产品包'!J:J)</f>
        <v>2025-07-15</v>
      </c>
      <c r="N162" s="39" t="str">
        <f ca="1" t="shared" si="64"/>
        <v>老品</v>
      </c>
      <c r="O162" s="37">
        <f>_xlfn.XLOOKUP(F162,'6月库存'!A:A,'6月库存'!R:R)</f>
        <v>368</v>
      </c>
      <c r="P162" s="39">
        <f>_xlfn.XLOOKUP(F162,'6月产品包'!B:B,'6月产品包'!S:S)</f>
        <v>1710</v>
      </c>
      <c r="Q162" s="2">
        <v>2450</v>
      </c>
      <c r="R162" s="41">
        <f>_xlfn.XLOOKUP(F162,'6月产品包'!B:B,'6月产品包'!AD:AD)</f>
        <v>22.8636</v>
      </c>
      <c r="S162" s="39">
        <v>52</v>
      </c>
      <c r="T162" s="39">
        <f t="shared" si="75"/>
        <v>65</v>
      </c>
      <c r="U162" s="42">
        <f t="shared" si="65"/>
        <v>52</v>
      </c>
      <c r="V162" s="43">
        <v>0.2</v>
      </c>
      <c r="W162" s="44">
        <f t="shared" si="76"/>
        <v>0.560315384615385</v>
      </c>
      <c r="X162" s="44">
        <f t="shared" si="77"/>
        <v>0.42193567961165</v>
      </c>
      <c r="Y162" s="44">
        <v>0.04</v>
      </c>
      <c r="Z162" s="46">
        <v>0.1</v>
      </c>
      <c r="AA162" s="46">
        <v>0.049</v>
      </c>
      <c r="AB162" s="46">
        <f t="shared" si="78"/>
        <v>0.0103846153846154</v>
      </c>
      <c r="AC162" s="46">
        <v>0.04</v>
      </c>
      <c r="AD162" s="47"/>
      <c r="AF162" s="48" t="s">
        <v>102</v>
      </c>
      <c r="AG162" s="39">
        <f t="shared" si="66"/>
        <v>3.12</v>
      </c>
      <c r="AH162" s="39">
        <f t="shared" si="67"/>
        <v>3.12</v>
      </c>
      <c r="AI162" s="39">
        <f t="shared" si="68"/>
        <v>0</v>
      </c>
      <c r="AJ162" s="39">
        <f t="shared" si="69"/>
        <v>0</v>
      </c>
      <c r="AK162" s="39">
        <f t="shared" si="70"/>
        <v>0</v>
      </c>
      <c r="AL162" s="39">
        <f t="shared" si="71"/>
        <v>0</v>
      </c>
      <c r="AM162" s="39">
        <f t="shared" si="72"/>
        <v>0</v>
      </c>
      <c r="AN162" s="39">
        <f t="shared" si="73"/>
        <v>0</v>
      </c>
    </row>
    <row r="163" s="6" customFormat="1" ht="50" hidden="1" customHeight="1" spans="1:40">
      <c r="A163" s="37" t="s">
        <v>96</v>
      </c>
      <c r="B163" s="37" t="s">
        <v>115</v>
      </c>
      <c r="C163" s="37" t="str">
        <f>_xlfn.XLOOKUP(F163,'6月产品包'!B:B,'6月产品包'!H:H)</f>
        <v>打印机</v>
      </c>
      <c r="D163" s="38" t="str">
        <f>_xlfn.XLOOKUP(F163,'6月产品包'!B:B,'6月产品包'!O:O)</f>
        <v>标签打印机</v>
      </c>
      <c r="E163" s="38" t="s">
        <v>384</v>
      </c>
      <c r="F163" s="37" t="s">
        <v>385</v>
      </c>
      <c r="G163" s="39" t="s">
        <v>126</v>
      </c>
      <c r="H163" s="37" t="s">
        <v>101</v>
      </c>
      <c r="I163" s="37" t="str">
        <f>_xlfn.XLOOKUP($F163,'6月库存'!A:A,'6月库存'!B:B)</f>
        <v>正常销售</v>
      </c>
      <c r="J163" s="12"/>
      <c r="K163" s="39" t="e">
        <f>_xlfn.XLOOKUP(E163,'[1]6月分配 '!$B:$B,'[1]6月分配 '!$K:$K)</f>
        <v>#N/A</v>
      </c>
      <c r="L163" s="12" t="str">
        <f t="shared" si="74"/>
        <v>否</v>
      </c>
      <c r="M163" s="40" t="str">
        <f>_xlfn.XLOOKUP(F163,'6月产品包'!B:B,'6月产品包'!J:J)</f>
        <v>2025-05-13</v>
      </c>
      <c r="N163" s="39" t="str">
        <f ca="1" t="shared" si="64"/>
        <v>老品</v>
      </c>
      <c r="O163" s="37">
        <f>_xlfn.XLOOKUP(F163,'6月库存'!A:A,'6月库存'!R:R)</f>
        <v>0</v>
      </c>
      <c r="P163" s="39">
        <f>_xlfn.XLOOKUP(F163,'6月产品包'!B:B,'6月产品包'!S:S)</f>
        <v>1125</v>
      </c>
      <c r="Q163" s="39"/>
      <c r="R163" s="41">
        <f>_xlfn.XLOOKUP(F163,'6月产品包'!B:B,'6月产品包'!AD:AD)</f>
        <v>24.0642</v>
      </c>
      <c r="S163" s="39">
        <v>47</v>
      </c>
      <c r="T163" s="39">
        <f t="shared" si="75"/>
        <v>59</v>
      </c>
      <c r="U163" s="42">
        <f t="shared" si="65"/>
        <v>47.2</v>
      </c>
      <c r="V163" s="43">
        <v>0.2</v>
      </c>
      <c r="W163" s="44">
        <f t="shared" si="76"/>
        <v>0.490165254237288</v>
      </c>
      <c r="X163" s="44">
        <f t="shared" ref="X163:X190" si="79">(U163*(1-Y163-Z163-AA163-AC163-AB163)-R163)/(U163*(1-Y163-Z163-AA163-AC163-AB163))</f>
        <v>0.310623596278132</v>
      </c>
      <c r="Y163" s="44">
        <v>0.04</v>
      </c>
      <c r="Z163" s="46">
        <v>0.1</v>
      </c>
      <c r="AA163" s="46">
        <v>0.049</v>
      </c>
      <c r="AB163" s="46">
        <f t="shared" ref="AB163:AB190" si="80">$AB$1/U163</f>
        <v>0.0114406779661017</v>
      </c>
      <c r="AC163" s="46">
        <v>0.06</v>
      </c>
      <c r="AD163" s="47"/>
      <c r="AF163" s="48" t="s">
        <v>102</v>
      </c>
      <c r="AG163" s="39">
        <f t="shared" si="66"/>
        <v>0</v>
      </c>
      <c r="AH163" s="39">
        <f t="shared" si="67"/>
        <v>0</v>
      </c>
      <c r="AI163" s="39">
        <f t="shared" si="68"/>
        <v>0</v>
      </c>
      <c r="AJ163" s="39">
        <f t="shared" si="69"/>
        <v>0</v>
      </c>
      <c r="AK163" s="39">
        <f t="shared" si="70"/>
        <v>0</v>
      </c>
      <c r="AL163" s="39">
        <f t="shared" si="71"/>
        <v>0</v>
      </c>
      <c r="AM163" s="39">
        <f t="shared" si="72"/>
        <v>0</v>
      </c>
      <c r="AN163" s="39">
        <f t="shared" si="73"/>
        <v>0</v>
      </c>
    </row>
    <row r="164" s="6" customFormat="1" ht="50" hidden="1" customHeight="1" spans="1:40">
      <c r="A164" s="37" t="s">
        <v>96</v>
      </c>
      <c r="B164" s="37" t="s">
        <v>97</v>
      </c>
      <c r="C164" s="37" t="str">
        <f>_xlfn.XLOOKUP(F164,'6月产品包'!B:B,'6月产品包'!H:H)</f>
        <v>道路反光镜</v>
      </c>
      <c r="D164" s="38" t="str">
        <f>_xlfn.XLOOKUP(F164,'6月产品包'!B:B,'6月产品包'!O:O)</f>
        <v>道路广角镜</v>
      </c>
      <c r="E164" s="38" t="s">
        <v>386</v>
      </c>
      <c r="F164" s="37" t="s">
        <v>387</v>
      </c>
      <c r="G164" s="39" t="s">
        <v>126</v>
      </c>
      <c r="H164" s="37" t="s">
        <v>101</v>
      </c>
      <c r="I164" s="37" t="str">
        <f>_xlfn.XLOOKUP($F164,'6月库存'!A:A,'6月库存'!B:B)</f>
        <v>等待开发</v>
      </c>
      <c r="J164" s="12"/>
      <c r="K164" s="39" t="e">
        <f>_xlfn.XLOOKUP(E164,'[1]6月分配 '!$B:$B,'[1]6月分配 '!$K:$K)</f>
        <v>#N/A</v>
      </c>
      <c r="L164" s="12" t="str">
        <f t="shared" si="74"/>
        <v>否</v>
      </c>
      <c r="M164" s="40" t="str">
        <f>_xlfn.XLOOKUP(F164,'6月产品包'!B:B,'6月产品包'!J:J)</f>
        <v>2025-07-03</v>
      </c>
      <c r="N164" s="39" t="str">
        <f ca="1" t="shared" si="64"/>
        <v>老品</v>
      </c>
      <c r="O164" s="37">
        <f>_xlfn.XLOOKUP(F164,'6月库存'!A:A,'6月库存'!R:R)</f>
        <v>0</v>
      </c>
      <c r="P164" s="39">
        <f>_xlfn.XLOOKUP(F164,'6月产品包'!B:B,'6月产品包'!S:S)</f>
        <v>6250</v>
      </c>
      <c r="Q164" s="39"/>
      <c r="R164" s="41">
        <f>_xlfn.XLOOKUP(F164,'6月产品包'!B:B,'6月产品包'!AD:AD)</f>
        <v>82.8994</v>
      </c>
      <c r="S164" s="39">
        <v>124</v>
      </c>
      <c r="T164" s="39">
        <f t="shared" si="75"/>
        <v>155</v>
      </c>
      <c r="U164" s="42">
        <f t="shared" si="65"/>
        <v>124</v>
      </c>
      <c r="V164" s="43">
        <v>0.2</v>
      </c>
      <c r="W164" s="44">
        <f t="shared" si="76"/>
        <v>0.331456451612903</v>
      </c>
      <c r="X164" s="44">
        <f t="shared" si="79"/>
        <v>0.106995432609445</v>
      </c>
      <c r="Y164" s="51">
        <v>0.038</v>
      </c>
      <c r="Z164" s="46">
        <v>0.1</v>
      </c>
      <c r="AA164" s="46">
        <v>0.049</v>
      </c>
      <c r="AB164" s="46">
        <f t="shared" si="80"/>
        <v>0.00435483870967742</v>
      </c>
      <c r="AC164" s="46">
        <v>0.06</v>
      </c>
      <c r="AD164" s="47"/>
      <c r="AF164" s="48" t="s">
        <v>102</v>
      </c>
      <c r="AG164" s="39">
        <f t="shared" si="66"/>
        <v>6</v>
      </c>
      <c r="AH164" s="39">
        <f t="shared" si="67"/>
        <v>6</v>
      </c>
      <c r="AI164" s="39">
        <f t="shared" si="68"/>
        <v>0</v>
      </c>
      <c r="AJ164" s="39">
        <f t="shared" si="69"/>
        <v>0</v>
      </c>
      <c r="AK164" s="39">
        <f t="shared" si="70"/>
        <v>0</v>
      </c>
      <c r="AL164" s="39">
        <f t="shared" si="71"/>
        <v>0</v>
      </c>
      <c r="AM164" s="39">
        <f t="shared" si="72"/>
        <v>0</v>
      </c>
      <c r="AN164" s="39">
        <f t="shared" si="73"/>
        <v>0</v>
      </c>
    </row>
    <row r="165" s="6" customFormat="1" ht="50" hidden="1" customHeight="1" spans="1:40">
      <c r="A165" s="37" t="s">
        <v>96</v>
      </c>
      <c r="B165" s="37" t="s">
        <v>97</v>
      </c>
      <c r="C165" s="37" t="str">
        <f>_xlfn.XLOOKUP(F165,'6月产品包'!B:B,'6月产品包'!H:H)</f>
        <v>道路反光镜</v>
      </c>
      <c r="D165" s="38" t="str">
        <f>_xlfn.XLOOKUP(F165,'6月产品包'!B:B,'6月产品包'!O:O)</f>
        <v>道路广角镜</v>
      </c>
      <c r="E165" s="38" t="s">
        <v>388</v>
      </c>
      <c r="F165" s="37" t="s">
        <v>389</v>
      </c>
      <c r="G165" s="39" t="s">
        <v>126</v>
      </c>
      <c r="H165" s="37" t="s">
        <v>101</v>
      </c>
      <c r="I165" s="37" t="str">
        <f>_xlfn.XLOOKUP($F165,'6月库存'!A:A,'6月库存'!B:B)</f>
        <v>正常销售</v>
      </c>
      <c r="J165" s="12"/>
      <c r="K165" s="39" t="e">
        <f>_xlfn.XLOOKUP(E165,'[1]6月分配 '!$B:$B,'[1]6月分配 '!$K:$K)</f>
        <v>#N/A</v>
      </c>
      <c r="L165" s="12" t="str">
        <f t="shared" si="74"/>
        <v>否</v>
      </c>
      <c r="M165" s="40" t="str">
        <f>_xlfn.XLOOKUP(F165,'6月产品包'!B:B,'6月产品包'!J:J)</f>
        <v>2025-07-03</v>
      </c>
      <c r="N165" s="39" t="str">
        <f ca="1" t="shared" si="64"/>
        <v>老品</v>
      </c>
      <c r="O165" s="37">
        <f>_xlfn.XLOOKUP(F165,'6月库存'!A:A,'6月库存'!R:R)</f>
        <v>0</v>
      </c>
      <c r="P165" s="39">
        <f>_xlfn.XLOOKUP(F165,'6月产品包'!B:B,'6月产品包'!S:S)</f>
        <v>1400</v>
      </c>
      <c r="Q165" s="39"/>
      <c r="R165" s="41">
        <f>_xlfn.XLOOKUP(F165,'6月产品包'!B:B,'6月产品包'!AD:AD)</f>
        <v>21.402</v>
      </c>
      <c r="S165" s="39">
        <v>36</v>
      </c>
      <c r="T165" s="39">
        <f t="shared" si="75"/>
        <v>45</v>
      </c>
      <c r="U165" s="42">
        <f t="shared" si="65"/>
        <v>36</v>
      </c>
      <c r="V165" s="43">
        <v>0.2</v>
      </c>
      <c r="W165" s="44">
        <f t="shared" si="76"/>
        <v>0.4055</v>
      </c>
      <c r="X165" s="44">
        <f t="shared" si="79"/>
        <v>0.194444444444444</v>
      </c>
      <c r="Y165" s="51">
        <v>0.038</v>
      </c>
      <c r="Z165" s="46">
        <v>0.1</v>
      </c>
      <c r="AA165" s="46">
        <v>0.049</v>
      </c>
      <c r="AB165" s="46">
        <f t="shared" si="80"/>
        <v>0.015</v>
      </c>
      <c r="AC165" s="46">
        <v>0.06</v>
      </c>
      <c r="AD165" s="47"/>
      <c r="AF165" s="48" t="s">
        <v>102</v>
      </c>
      <c r="AG165" s="39">
        <f t="shared" si="66"/>
        <v>0</v>
      </c>
      <c r="AH165" s="39">
        <f t="shared" si="67"/>
        <v>0</v>
      </c>
      <c r="AI165" s="39">
        <f t="shared" si="68"/>
        <v>0</v>
      </c>
      <c r="AJ165" s="39">
        <f t="shared" si="69"/>
        <v>0</v>
      </c>
      <c r="AK165" s="39">
        <f t="shared" si="70"/>
        <v>0</v>
      </c>
      <c r="AL165" s="39">
        <f t="shared" si="71"/>
        <v>0</v>
      </c>
      <c r="AM165" s="39">
        <f t="shared" si="72"/>
        <v>0</v>
      </c>
      <c r="AN165" s="39">
        <f t="shared" si="73"/>
        <v>0</v>
      </c>
    </row>
    <row r="166" s="6" customFormat="1" ht="50" hidden="1" customHeight="1" spans="1:40">
      <c r="A166" s="37" t="s">
        <v>96</v>
      </c>
      <c r="B166" s="37" t="s">
        <v>97</v>
      </c>
      <c r="C166" s="37" t="str">
        <f>_xlfn.XLOOKUP(F166,'6月产品包'!B:B,'6月产品包'!H:H)</f>
        <v>道路反光镜</v>
      </c>
      <c r="D166" s="38" t="str">
        <f>_xlfn.XLOOKUP(F166,'6月产品包'!B:B,'6月产品包'!O:O)</f>
        <v>道路广角镜</v>
      </c>
      <c r="E166" s="38" t="s">
        <v>390</v>
      </c>
      <c r="F166" s="37" t="s">
        <v>391</v>
      </c>
      <c r="G166" s="39" t="s">
        <v>126</v>
      </c>
      <c r="H166" s="37" t="s">
        <v>101</v>
      </c>
      <c r="I166" s="37" t="str">
        <f>_xlfn.XLOOKUP($F166,'6月库存'!A:A,'6月库存'!B:B)</f>
        <v>正常销售</v>
      </c>
      <c r="J166" s="12"/>
      <c r="K166" s="39" t="e">
        <f>_xlfn.XLOOKUP(E166,'[1]6月分配 '!$B:$B,'[1]6月分配 '!$K:$K)</f>
        <v>#N/A</v>
      </c>
      <c r="L166" s="12" t="str">
        <f t="shared" si="74"/>
        <v>否</v>
      </c>
      <c r="M166" s="40" t="str">
        <f>_xlfn.XLOOKUP(F166,'6月产品包'!B:B,'6月产品包'!J:J)</f>
        <v>2025-07-03</v>
      </c>
      <c r="N166" s="39" t="str">
        <f ca="1" t="shared" si="64"/>
        <v>老品</v>
      </c>
      <c r="O166" s="37">
        <f>_xlfn.XLOOKUP(F166,'6月库存'!A:A,'6月库存'!R:R)</f>
        <v>58</v>
      </c>
      <c r="P166" s="39">
        <f>_xlfn.XLOOKUP(F166,'6月产品包'!B:B,'6月产品包'!S:S)</f>
        <v>2150</v>
      </c>
      <c r="Q166" s="39"/>
      <c r="R166" s="41">
        <f>_xlfn.XLOOKUP(F166,'6月产品包'!B:B,'6月产品包'!AD:AD)</f>
        <v>30.8676</v>
      </c>
      <c r="S166" s="39">
        <v>50</v>
      </c>
      <c r="T166" s="39">
        <f t="shared" si="75"/>
        <v>63</v>
      </c>
      <c r="U166" s="42">
        <f t="shared" si="65"/>
        <v>50.4</v>
      </c>
      <c r="V166" s="43">
        <v>0.2</v>
      </c>
      <c r="W166" s="44">
        <f t="shared" si="76"/>
        <v>0.387547619047619</v>
      </c>
      <c r="X166" s="44">
        <f t="shared" si="79"/>
        <v>0.174910187323582</v>
      </c>
      <c r="Y166" s="51">
        <v>0.038</v>
      </c>
      <c r="Z166" s="46">
        <v>0.1</v>
      </c>
      <c r="AA166" s="46">
        <v>0.049</v>
      </c>
      <c r="AB166" s="46">
        <f t="shared" si="80"/>
        <v>0.0107142857142857</v>
      </c>
      <c r="AC166" s="46">
        <v>0.06</v>
      </c>
      <c r="AD166" s="47"/>
      <c r="AF166" s="48" t="s">
        <v>102</v>
      </c>
      <c r="AG166" s="39">
        <f t="shared" si="66"/>
        <v>3.024</v>
      </c>
      <c r="AH166" s="39">
        <f t="shared" si="67"/>
        <v>3.024</v>
      </c>
      <c r="AI166" s="39">
        <f t="shared" si="68"/>
        <v>0</v>
      </c>
      <c r="AJ166" s="39">
        <f t="shared" si="69"/>
        <v>0</v>
      </c>
      <c r="AK166" s="39">
        <f t="shared" si="70"/>
        <v>0</v>
      </c>
      <c r="AL166" s="39">
        <f t="shared" si="71"/>
        <v>0</v>
      </c>
      <c r="AM166" s="39">
        <f t="shared" si="72"/>
        <v>0</v>
      </c>
      <c r="AN166" s="39">
        <f t="shared" si="73"/>
        <v>0</v>
      </c>
    </row>
    <row r="167" s="6" customFormat="1" ht="50" hidden="1" customHeight="1" spans="1:40">
      <c r="A167" s="37" t="s">
        <v>96</v>
      </c>
      <c r="B167" s="37" t="s">
        <v>97</v>
      </c>
      <c r="C167" s="37" t="str">
        <f>_xlfn.XLOOKUP(F167,'6月产品包'!B:B,'6月产品包'!H:H)</f>
        <v>道路反光镜</v>
      </c>
      <c r="D167" s="38" t="str">
        <f>_xlfn.XLOOKUP(F167,'6月产品包'!B:B,'6月产品包'!O:O)</f>
        <v>道路广角镜</v>
      </c>
      <c r="E167" s="38" t="s">
        <v>392</v>
      </c>
      <c r="F167" s="37" t="s">
        <v>393</v>
      </c>
      <c r="G167" s="39" t="s">
        <v>126</v>
      </c>
      <c r="H167" s="37" t="s">
        <v>101</v>
      </c>
      <c r="I167" s="37" t="str">
        <f>_xlfn.XLOOKUP($F167,'6月库存'!A:A,'6月库存'!B:B)</f>
        <v>正常销售</v>
      </c>
      <c r="J167" s="12"/>
      <c r="K167" s="39" t="e">
        <f>_xlfn.XLOOKUP(E167,'[1]6月分配 '!$B:$B,'[1]6月分配 '!$K:$K)</f>
        <v>#N/A</v>
      </c>
      <c r="L167" s="12" t="str">
        <f t="shared" si="74"/>
        <v>否</v>
      </c>
      <c r="M167" s="40" t="str">
        <f>_xlfn.XLOOKUP(F167,'6月产品包'!B:B,'6月产品包'!J:J)</f>
        <v>2025-07-03</v>
      </c>
      <c r="N167" s="39" t="str">
        <f ca="1" t="shared" si="64"/>
        <v>老品</v>
      </c>
      <c r="O167" s="37">
        <f>_xlfn.XLOOKUP(F167,'6月库存'!A:A,'6月库存'!R:R)</f>
        <v>0</v>
      </c>
      <c r="P167" s="39">
        <f>_xlfn.XLOOKUP(F167,'6月产品包'!B:B,'6月产品包'!S:S)</f>
        <v>3950</v>
      </c>
      <c r="Q167" s="39"/>
      <c r="R167" s="41">
        <f>_xlfn.XLOOKUP(F167,'6月产品包'!B:B,'6月产品包'!AD:AD)</f>
        <v>51.8462</v>
      </c>
      <c r="S167" s="39">
        <v>78</v>
      </c>
      <c r="T167" s="39">
        <f t="shared" si="75"/>
        <v>98</v>
      </c>
      <c r="U167" s="42">
        <f t="shared" si="65"/>
        <v>78.4</v>
      </c>
      <c r="V167" s="43">
        <v>0.2</v>
      </c>
      <c r="W167" s="44">
        <f t="shared" si="76"/>
        <v>0.338696428571429</v>
      </c>
      <c r="X167" s="44">
        <f t="shared" si="79"/>
        <v>0.113667446217809</v>
      </c>
      <c r="Y167" s="51">
        <v>0.038</v>
      </c>
      <c r="Z167" s="46">
        <v>0.1</v>
      </c>
      <c r="AA167" s="46">
        <v>0.049</v>
      </c>
      <c r="AB167" s="46">
        <f t="shared" si="80"/>
        <v>0.00688775510204082</v>
      </c>
      <c r="AC167" s="46">
        <v>0.06</v>
      </c>
      <c r="AD167" s="47"/>
      <c r="AF167" s="48" t="s">
        <v>102</v>
      </c>
      <c r="AG167" s="39">
        <f t="shared" si="66"/>
        <v>4.704</v>
      </c>
      <c r="AH167" s="39">
        <f t="shared" si="67"/>
        <v>4.704</v>
      </c>
      <c r="AI167" s="39">
        <f t="shared" si="68"/>
        <v>0</v>
      </c>
      <c r="AJ167" s="39">
        <f t="shared" si="69"/>
        <v>0</v>
      </c>
      <c r="AK167" s="39">
        <f t="shared" si="70"/>
        <v>0</v>
      </c>
      <c r="AL167" s="39">
        <f t="shared" si="71"/>
        <v>0</v>
      </c>
      <c r="AM167" s="39">
        <f t="shared" si="72"/>
        <v>0</v>
      </c>
      <c r="AN167" s="39">
        <f t="shared" si="73"/>
        <v>0</v>
      </c>
    </row>
    <row r="168" s="6" customFormat="1" ht="50" hidden="1" customHeight="1" spans="1:40">
      <c r="A168" s="37" t="s">
        <v>96</v>
      </c>
      <c r="B168" s="37" t="s">
        <v>97</v>
      </c>
      <c r="C168" s="37" t="str">
        <f>_xlfn.XLOOKUP(F168,'6月产品包'!B:B,'6月产品包'!H:H)</f>
        <v>减速带</v>
      </c>
      <c r="D168" s="38" t="str">
        <f>_xlfn.XLOOKUP(F168,'6月产品包'!B:B,'6月产品包'!O:O)</f>
        <v>斜坡垫</v>
      </c>
      <c r="E168" s="38" t="s">
        <v>394</v>
      </c>
      <c r="F168" s="37" t="s">
        <v>395</v>
      </c>
      <c r="G168" s="39" t="s">
        <v>126</v>
      </c>
      <c r="H168" s="37" t="s">
        <v>101</v>
      </c>
      <c r="I168" s="37" t="str">
        <f>_xlfn.XLOOKUP($F168,'6月库存'!A:A,'6月库存'!B:B)</f>
        <v>正常销售</v>
      </c>
      <c r="J168" s="12"/>
      <c r="K168" s="39" t="e">
        <f>_xlfn.XLOOKUP(E168,'[1]6月分配 '!$B:$B,'[1]6月分配 '!$K:$K)</f>
        <v>#N/A</v>
      </c>
      <c r="L168" s="12" t="str">
        <f t="shared" si="74"/>
        <v>否</v>
      </c>
      <c r="M168" s="40" t="str">
        <f>_xlfn.XLOOKUP(F168,'6月产品包'!B:B,'6月产品包'!J:J)</f>
        <v>2025-07-03</v>
      </c>
      <c r="N168" s="39" t="str">
        <f ca="1" t="shared" si="64"/>
        <v>老品</v>
      </c>
      <c r="O168" s="37">
        <f>_xlfn.XLOOKUP(F168,'6月库存'!A:A,'6月库存'!R:R)</f>
        <v>0</v>
      </c>
      <c r="P168" s="39">
        <f>_xlfn.XLOOKUP(F168,'6月产品包'!B:B,'6月产品包'!S:S)</f>
        <v>1700</v>
      </c>
      <c r="Q168" s="39"/>
      <c r="R168" s="41">
        <f>_xlfn.XLOOKUP(F168,'6月产品包'!B:B,'6月产品包'!AD:AD)</f>
        <v>7.1862</v>
      </c>
      <c r="S168" s="39">
        <v>13</v>
      </c>
      <c r="T168" s="39">
        <f t="shared" si="75"/>
        <v>16</v>
      </c>
      <c r="U168" s="42">
        <f t="shared" si="65"/>
        <v>12.8</v>
      </c>
      <c r="V168" s="43">
        <v>0.2</v>
      </c>
      <c r="W168" s="44">
        <f t="shared" si="76"/>
        <v>0.438578125</v>
      </c>
      <c r="X168" s="44">
        <f t="shared" si="79"/>
        <v>0.262075905692927</v>
      </c>
      <c r="Y168" s="44">
        <v>0.038</v>
      </c>
      <c r="Z168" s="46">
        <v>0.1</v>
      </c>
      <c r="AA168" s="46">
        <v>0.049</v>
      </c>
      <c r="AB168" s="46">
        <f t="shared" si="80"/>
        <v>0.0421875</v>
      </c>
      <c r="AC168" s="46">
        <v>0.01</v>
      </c>
      <c r="AD168" s="47"/>
      <c r="AF168" s="48" t="s">
        <v>102</v>
      </c>
      <c r="AG168" s="39">
        <f t="shared" si="66"/>
        <v>0</v>
      </c>
      <c r="AH168" s="39">
        <f t="shared" si="67"/>
        <v>0</v>
      </c>
      <c r="AI168" s="39">
        <f t="shared" si="68"/>
        <v>0</v>
      </c>
      <c r="AJ168" s="39">
        <f t="shared" si="69"/>
        <v>0</v>
      </c>
      <c r="AK168" s="39">
        <f t="shared" si="70"/>
        <v>0</v>
      </c>
      <c r="AL168" s="39">
        <f t="shared" si="71"/>
        <v>0</v>
      </c>
      <c r="AM168" s="39">
        <f t="shared" si="72"/>
        <v>0</v>
      </c>
      <c r="AN168" s="39">
        <f t="shared" si="73"/>
        <v>0</v>
      </c>
    </row>
    <row r="169" s="6" customFormat="1" ht="50" hidden="1" customHeight="1" spans="1:40">
      <c r="A169" s="37" t="s">
        <v>96</v>
      </c>
      <c r="B169" s="37" t="s">
        <v>186</v>
      </c>
      <c r="C169" s="37" t="str">
        <f>_xlfn.XLOOKUP(F169,'6月产品包'!B:B,'6月产品包'!H:H)</f>
        <v>支架</v>
      </c>
      <c r="D169" s="38" t="str">
        <f>_xlfn.XLOOKUP(F169,'6月产品包'!B:B,'6月产品包'!O:O)</f>
        <v>白板支架</v>
      </c>
      <c r="E169" s="38" t="s">
        <v>396</v>
      </c>
      <c r="F169" s="37" t="s">
        <v>397</v>
      </c>
      <c r="G169" s="39" t="s">
        <v>106</v>
      </c>
      <c r="H169" s="37" t="s">
        <v>101</v>
      </c>
      <c r="I169" s="37" t="str">
        <f>_xlfn.XLOOKUP($F169,'6月库存'!A:A,'6月库存'!B:B)</f>
        <v>正常销售</v>
      </c>
      <c r="J169" s="12"/>
      <c r="K169" s="39" t="e">
        <f>_xlfn.XLOOKUP(E169,'[1]6月分配 '!$B:$B,'[1]6月分配 '!$K:$K)</f>
        <v>#N/A</v>
      </c>
      <c r="L169" s="12" t="str">
        <f t="shared" si="74"/>
        <v>否</v>
      </c>
      <c r="M169" s="40" t="str">
        <f>_xlfn.XLOOKUP(F169,'6月产品包'!B:B,'6月产品包'!J:J)</f>
        <v>2025-07-03</v>
      </c>
      <c r="N169" s="39" t="str">
        <f ca="1" t="shared" si="64"/>
        <v>老品</v>
      </c>
      <c r="O169" s="37">
        <f>_xlfn.XLOOKUP(F169,'6月库存'!A:A,'6月库存'!R:R)</f>
        <v>495</v>
      </c>
      <c r="P169" s="39">
        <f>_xlfn.XLOOKUP(F169,'6月产品包'!B:B,'6月产品包'!S:S)</f>
        <v>2500</v>
      </c>
      <c r="Q169" s="39"/>
      <c r="R169" s="41">
        <f>_xlfn.XLOOKUP(F169,'6月产品包'!B:B,'6月产品包'!AD:AD)</f>
        <v>12.8238</v>
      </c>
      <c r="S169" s="39">
        <v>28</v>
      </c>
      <c r="T169" s="39">
        <f t="shared" si="75"/>
        <v>35</v>
      </c>
      <c r="U169" s="42">
        <f t="shared" si="65"/>
        <v>28</v>
      </c>
      <c r="V169" s="43">
        <v>0.2</v>
      </c>
      <c r="W169" s="44">
        <f t="shared" si="76"/>
        <v>0.542007142857143</v>
      </c>
      <c r="X169" s="44">
        <f t="shared" si="79"/>
        <v>0.358296637309848</v>
      </c>
      <c r="Y169" s="51">
        <v>0.038</v>
      </c>
      <c r="Z169" s="46">
        <v>0.1</v>
      </c>
      <c r="AA169" s="46">
        <v>0.049</v>
      </c>
      <c r="AB169" s="46">
        <f t="shared" si="80"/>
        <v>0.0192857142857143</v>
      </c>
      <c r="AC169" s="46">
        <v>0.08</v>
      </c>
      <c r="AD169" s="58">
        <v>0.05</v>
      </c>
      <c r="AE169" s="58">
        <v>0.05</v>
      </c>
      <c r="AF169" s="48" t="s">
        <v>102</v>
      </c>
      <c r="AG169" s="39">
        <f t="shared" si="66"/>
        <v>0</v>
      </c>
      <c r="AH169" s="39">
        <f t="shared" si="67"/>
        <v>0</v>
      </c>
      <c r="AI169" s="39">
        <f t="shared" si="68"/>
        <v>0</v>
      </c>
      <c r="AJ169" s="39">
        <f t="shared" si="69"/>
        <v>0</v>
      </c>
      <c r="AK169" s="39">
        <f t="shared" si="70"/>
        <v>0</v>
      </c>
      <c r="AL169" s="39">
        <f t="shared" si="71"/>
        <v>0</v>
      </c>
      <c r="AM169" s="39">
        <f t="shared" si="72"/>
        <v>0</v>
      </c>
      <c r="AN169" s="39">
        <f t="shared" si="73"/>
        <v>0</v>
      </c>
    </row>
    <row r="170" s="6" customFormat="1" ht="50" hidden="1" customHeight="1" spans="1:40">
      <c r="A170" s="37" t="s">
        <v>96</v>
      </c>
      <c r="B170" s="37" t="s">
        <v>186</v>
      </c>
      <c r="C170" s="37" t="str">
        <f>_xlfn.XLOOKUP(F170,'6月产品包'!B:B,'6月产品包'!H:H)</f>
        <v>白板通用支架</v>
      </c>
      <c r="D170" s="38" t="str">
        <f>_xlfn.XLOOKUP(F170,'6月产品包'!B:B,'6月产品包'!O:O)</f>
        <v>白板支架</v>
      </c>
      <c r="E170" s="38" t="s">
        <v>398</v>
      </c>
      <c r="F170" s="37" t="s">
        <v>399</v>
      </c>
      <c r="G170" s="39" t="s">
        <v>106</v>
      </c>
      <c r="H170" s="37" t="s">
        <v>101</v>
      </c>
      <c r="I170" s="37" t="str">
        <f>_xlfn.XLOOKUP($F170,'6月库存'!A:A,'6月库存'!B:B)</f>
        <v>正常销售</v>
      </c>
      <c r="J170" s="12"/>
      <c r="K170" s="39" t="e">
        <f>_xlfn.XLOOKUP(E170,'[1]6月分配 '!$B:$B,'[1]6月分配 '!$K:$K)</f>
        <v>#N/A</v>
      </c>
      <c r="L170" s="12" t="str">
        <f t="shared" si="74"/>
        <v>否</v>
      </c>
      <c r="M170" s="40" t="str">
        <f>_xlfn.XLOOKUP(F170,'6月产品包'!B:B,'6月产品包'!J:J)</f>
        <v>2025-07-03</v>
      </c>
      <c r="N170" s="39" t="str">
        <f ca="1" t="shared" si="64"/>
        <v>老品</v>
      </c>
      <c r="O170" s="37">
        <f>_xlfn.XLOOKUP(F170,'6月库存'!A:A,'6月库存'!R:R)</f>
        <v>482</v>
      </c>
      <c r="P170" s="39">
        <f>_xlfn.XLOOKUP(F170,'6月产品包'!B:B,'6月产品包'!S:S)</f>
        <v>1555</v>
      </c>
      <c r="Q170" s="39"/>
      <c r="R170" s="41">
        <f>_xlfn.XLOOKUP(F170,'6月产品包'!B:B,'6月产品包'!AD:AD)</f>
        <v>17.632</v>
      </c>
      <c r="S170" s="39">
        <v>38</v>
      </c>
      <c r="T170" s="39">
        <f t="shared" si="75"/>
        <v>48</v>
      </c>
      <c r="U170" s="42">
        <f t="shared" si="65"/>
        <v>38.4</v>
      </c>
      <c r="V170" s="43">
        <v>0.2</v>
      </c>
      <c r="W170" s="44">
        <f t="shared" si="76"/>
        <v>0.540833333333333</v>
      </c>
      <c r="X170" s="44">
        <f t="shared" si="79"/>
        <v>0.361326030890492</v>
      </c>
      <c r="Y170" s="51">
        <v>0.038</v>
      </c>
      <c r="Z170" s="46">
        <v>0.1</v>
      </c>
      <c r="AA170" s="46">
        <v>0.049</v>
      </c>
      <c r="AB170" s="46">
        <f t="shared" si="80"/>
        <v>0.0140625</v>
      </c>
      <c r="AC170" s="46">
        <v>0.08</v>
      </c>
      <c r="AD170" s="58">
        <v>0.05</v>
      </c>
      <c r="AE170" s="58">
        <v>0.05</v>
      </c>
      <c r="AF170" s="48" t="s">
        <v>102</v>
      </c>
      <c r="AG170" s="39">
        <f t="shared" si="66"/>
        <v>0</v>
      </c>
      <c r="AH170" s="39">
        <f t="shared" si="67"/>
        <v>0</v>
      </c>
      <c r="AI170" s="39">
        <f t="shared" si="68"/>
        <v>0</v>
      </c>
      <c r="AJ170" s="39">
        <f t="shared" si="69"/>
        <v>0</v>
      </c>
      <c r="AK170" s="39">
        <f t="shared" si="70"/>
        <v>0</v>
      </c>
      <c r="AL170" s="39">
        <f t="shared" si="71"/>
        <v>0</v>
      </c>
      <c r="AM170" s="39">
        <f t="shared" si="72"/>
        <v>0</v>
      </c>
      <c r="AN170" s="39">
        <f t="shared" si="73"/>
        <v>0</v>
      </c>
    </row>
    <row r="171" s="6" customFormat="1" ht="50" hidden="1" customHeight="1" spans="1:40">
      <c r="A171" s="37" t="s">
        <v>96</v>
      </c>
      <c r="B171" s="37" t="s">
        <v>186</v>
      </c>
      <c r="C171" s="37" t="str">
        <f>_xlfn.XLOOKUP(F171,'6月产品包'!B:B,'6月产品包'!H:H)</f>
        <v>白板</v>
      </c>
      <c r="D171" s="38" t="str">
        <f>_xlfn.XLOOKUP(F171,'6月产品包'!B:B,'6月产品包'!O:O)</f>
        <v>橡胶白板</v>
      </c>
      <c r="E171" s="38" t="s">
        <v>400</v>
      </c>
      <c r="F171" s="37" t="s">
        <v>401</v>
      </c>
      <c r="G171" s="39" t="s">
        <v>126</v>
      </c>
      <c r="H171" s="37" t="s">
        <v>101</v>
      </c>
      <c r="I171" s="37" t="str">
        <f>_xlfn.XLOOKUP($F171,'6月库存'!A:A,'6月库存'!B:B)</f>
        <v>正常销售</v>
      </c>
      <c r="J171" s="12"/>
      <c r="K171" s="39" t="e">
        <f>_xlfn.XLOOKUP(E171,'[1]6月分配 '!$B:$B,'[1]6月分配 '!$K:$K)</f>
        <v>#N/A</v>
      </c>
      <c r="L171" s="12" t="str">
        <f t="shared" si="74"/>
        <v>否</v>
      </c>
      <c r="M171" s="40" t="str">
        <f>_xlfn.XLOOKUP(F171,'6月产品包'!B:B,'6月产品包'!J:J)</f>
        <v>2025-07-01</v>
      </c>
      <c r="N171" s="39" t="str">
        <f ca="1" t="shared" si="64"/>
        <v>老品</v>
      </c>
      <c r="O171" s="37">
        <f>_xlfn.XLOOKUP(F171,'6月库存'!A:A,'6月库存'!R:R)</f>
        <v>206</v>
      </c>
      <c r="P171" s="39">
        <f>_xlfn.XLOOKUP(F171,'6月产品包'!B:B,'6月产品包'!S:S)</f>
        <v>718</v>
      </c>
      <c r="Q171" s="39"/>
      <c r="R171" s="41">
        <f>_xlfn.XLOOKUP(F171,'6月产品包'!B:B,'6月产品包'!AD:AD)</f>
        <v>10.6894</v>
      </c>
      <c r="S171" s="39">
        <v>21</v>
      </c>
      <c r="T171" s="39">
        <f t="shared" si="75"/>
        <v>26</v>
      </c>
      <c r="U171" s="42">
        <f t="shared" si="65"/>
        <v>20.8</v>
      </c>
      <c r="V171" s="43">
        <v>0.2</v>
      </c>
      <c r="W171" s="44">
        <f t="shared" si="76"/>
        <v>0.486086538461539</v>
      </c>
      <c r="X171" s="44">
        <f t="shared" si="79"/>
        <v>0.271084501663848</v>
      </c>
      <c r="Y171" s="44">
        <v>0.04</v>
      </c>
      <c r="Z171" s="46">
        <v>0.1</v>
      </c>
      <c r="AA171" s="46">
        <v>0.049</v>
      </c>
      <c r="AB171" s="46">
        <f t="shared" si="80"/>
        <v>0.0259615384615385</v>
      </c>
      <c r="AC171" s="46">
        <v>0.08</v>
      </c>
      <c r="AD171" s="58">
        <v>0.05</v>
      </c>
      <c r="AE171" s="58">
        <v>0.05</v>
      </c>
      <c r="AF171" s="48" t="s">
        <v>102</v>
      </c>
      <c r="AG171" s="39">
        <f t="shared" si="66"/>
        <v>0</v>
      </c>
      <c r="AH171" s="39">
        <f t="shared" si="67"/>
        <v>0</v>
      </c>
      <c r="AI171" s="39">
        <f t="shared" si="68"/>
        <v>0</v>
      </c>
      <c r="AJ171" s="39">
        <f t="shared" si="69"/>
        <v>0</v>
      </c>
      <c r="AK171" s="39">
        <f t="shared" si="70"/>
        <v>0</v>
      </c>
      <c r="AL171" s="39">
        <f t="shared" si="71"/>
        <v>0</v>
      </c>
      <c r="AM171" s="39">
        <f t="shared" si="72"/>
        <v>0</v>
      </c>
      <c r="AN171" s="39">
        <f t="shared" si="73"/>
        <v>0</v>
      </c>
    </row>
    <row r="172" s="6" customFormat="1" ht="50" hidden="1" customHeight="1" spans="1:40">
      <c r="A172" s="37" t="s">
        <v>96</v>
      </c>
      <c r="B172" s="37" t="s">
        <v>186</v>
      </c>
      <c r="C172" s="37" t="str">
        <f>_xlfn.XLOOKUP(F172,'6月产品包'!B:B,'6月产品包'!H:H)</f>
        <v>白板</v>
      </c>
      <c r="D172" s="38" t="str">
        <f>_xlfn.XLOOKUP(F172,'6月产品包'!B:B,'6月产品包'!O:O)</f>
        <v>橡胶白板</v>
      </c>
      <c r="E172" s="38" t="s">
        <v>402</v>
      </c>
      <c r="F172" s="37" t="s">
        <v>403</v>
      </c>
      <c r="G172" s="39" t="s">
        <v>100</v>
      </c>
      <c r="H172" s="37" t="s">
        <v>101</v>
      </c>
      <c r="I172" s="37" t="str">
        <f>_xlfn.XLOOKUP($F172,'6月库存'!A:A,'6月库存'!B:B)</f>
        <v>正常销售</v>
      </c>
      <c r="J172" s="12"/>
      <c r="K172" s="39" t="e">
        <f>_xlfn.XLOOKUP(E172,'[1]6月分配 '!$B:$B,'[1]6月分配 '!$K:$K)</f>
        <v>#N/A</v>
      </c>
      <c r="L172" s="12" t="str">
        <f t="shared" si="74"/>
        <v>否</v>
      </c>
      <c r="M172" s="40" t="str">
        <f>_xlfn.XLOOKUP(F172,'6月产品包'!B:B,'6月产品包'!J:J)</f>
        <v>2025-07-03</v>
      </c>
      <c r="N172" s="39" t="str">
        <f ca="1" t="shared" ref="N172:N214" si="81">IF(DATEDIF(M172,TODAY(),"m")&lt;6,"新品","老品")</f>
        <v>老品</v>
      </c>
      <c r="O172" s="37">
        <f>_xlfn.XLOOKUP(F172,'6月库存'!A:A,'6月库存'!R:R)</f>
        <v>56</v>
      </c>
      <c r="P172" s="39">
        <f>_xlfn.XLOOKUP(F172,'6月产品包'!B:B,'6月产品包'!S:S)</f>
        <v>2150</v>
      </c>
      <c r="Q172" s="39"/>
      <c r="R172" s="41">
        <f>_xlfn.XLOOKUP(F172,'6月产品包'!B:B,'6月产品包'!AD:AD)</f>
        <v>28.2112</v>
      </c>
      <c r="S172" s="39">
        <v>54</v>
      </c>
      <c r="T172" s="39">
        <f t="shared" si="75"/>
        <v>68</v>
      </c>
      <c r="U172" s="42">
        <f t="shared" si="65"/>
        <v>54.4</v>
      </c>
      <c r="V172" s="43">
        <v>0.2</v>
      </c>
      <c r="W172" s="44">
        <f t="shared" si="76"/>
        <v>0.481411764705882</v>
      </c>
      <c r="X172" s="44">
        <f t="shared" si="79"/>
        <v>0.28081088246691</v>
      </c>
      <c r="Y172" s="44">
        <v>0.04</v>
      </c>
      <c r="Z172" s="46">
        <v>0.1</v>
      </c>
      <c r="AA172" s="46">
        <v>0.049</v>
      </c>
      <c r="AB172" s="46">
        <f t="shared" si="80"/>
        <v>0.00992647058823529</v>
      </c>
      <c r="AC172" s="46">
        <v>0.08</v>
      </c>
      <c r="AD172" s="58">
        <v>0.05</v>
      </c>
      <c r="AE172" s="58">
        <v>0.05</v>
      </c>
      <c r="AF172" s="48" t="s">
        <v>102</v>
      </c>
      <c r="AG172" s="39">
        <f t="shared" si="66"/>
        <v>3.264</v>
      </c>
      <c r="AH172" s="39">
        <f t="shared" si="67"/>
        <v>3.264</v>
      </c>
      <c r="AI172" s="39">
        <f t="shared" si="68"/>
        <v>0</v>
      </c>
      <c r="AJ172" s="39">
        <f t="shared" si="69"/>
        <v>0</v>
      </c>
      <c r="AK172" s="39">
        <f t="shared" si="70"/>
        <v>0</v>
      </c>
      <c r="AL172" s="39">
        <f t="shared" si="71"/>
        <v>0</v>
      </c>
      <c r="AM172" s="39">
        <f t="shared" si="72"/>
        <v>0</v>
      </c>
      <c r="AN172" s="39">
        <f t="shared" si="73"/>
        <v>0</v>
      </c>
    </row>
    <row r="173" s="6" customFormat="1" ht="50" hidden="1" customHeight="1" spans="1:40">
      <c r="A173" s="39" t="str">
        <f>_xlfn.XLOOKUP(F173,'6月产品包'!B:B,'6月产品包'!F:F)</f>
        <v>3C数码</v>
      </c>
      <c r="B173" s="39" t="str">
        <f>_xlfn.XLOOKUP(F173,'6月产品包'!B:B,'6月产品包'!G:G)</f>
        <v>电脑周边</v>
      </c>
      <c r="C173" s="37" t="str">
        <f>_xlfn.XLOOKUP(F173,'6月产品包'!B:B,'6月产品包'!H:H)</f>
        <v>电脑机箱</v>
      </c>
      <c r="D173" s="38" t="str">
        <f>_xlfn.XLOOKUP(F173,'6月产品包'!B:B,'6月产品包'!O:O)</f>
        <v>电脑机箱34014款风扇款</v>
      </c>
      <c r="E173" s="38" t="str">
        <f>_xlfn.XLOOKUP(F173,'6月产品包'!B:B,'6月产品包'!C:C)</f>
        <v>3C-电脑机箱34014款风扇款黑色</v>
      </c>
      <c r="F173" s="39" t="s">
        <v>404</v>
      </c>
      <c r="G173" s="11"/>
      <c r="H173" s="39" t="s">
        <v>101</v>
      </c>
      <c r="I173" s="39" t="str">
        <f>_xlfn.XLOOKUP($F173,'6月库存'!A:A,'6月库存'!B:B)</f>
        <v>正常销售</v>
      </c>
      <c r="J173" s="12"/>
      <c r="K173" s="39">
        <f>_xlfn.XLOOKUP(E173,'[1]6月分配 '!$B:$B,'[1]6月分配 '!$K:$K)</f>
        <v>5937</v>
      </c>
      <c r="L173" s="12" t="str">
        <f t="shared" si="74"/>
        <v>是</v>
      </c>
      <c r="M173" s="40" t="str">
        <f>_xlfn.XLOOKUP(F173,'6月产品包'!B:B,'6月产品包'!J:J)</f>
        <v>2026-02-05</v>
      </c>
      <c r="N173" s="39" t="s">
        <v>149</v>
      </c>
      <c r="O173" s="37">
        <f>_xlfn.XLOOKUP(F173,'6月库存'!A:A,'6月库存'!R:R)</f>
        <v>50</v>
      </c>
      <c r="P173" s="39">
        <f>_xlfn.XLOOKUP(F173,'6月产品包'!B:B,'6月产品包'!S:S)</f>
        <v>3430</v>
      </c>
      <c r="Q173" s="13"/>
      <c r="R173" s="41">
        <f>_xlfn.XLOOKUP(F173,'6月产品包'!B:B,'6月产品包'!AD:AD)</f>
        <v>45.9128</v>
      </c>
      <c r="S173" s="39">
        <v>90</v>
      </c>
      <c r="T173" s="39">
        <f t="shared" si="75"/>
        <v>113</v>
      </c>
      <c r="U173" s="42">
        <f t="shared" si="65"/>
        <v>90.4</v>
      </c>
      <c r="V173" s="43">
        <v>3.2</v>
      </c>
      <c r="W173" s="44">
        <f t="shared" si="76"/>
        <v>0.492115044247788</v>
      </c>
      <c r="X173" s="44">
        <f t="shared" si="79"/>
        <v>0.310900052831276</v>
      </c>
      <c r="Y173" s="44">
        <v>0.038</v>
      </c>
      <c r="Z173" s="46">
        <v>0.09</v>
      </c>
      <c r="AA173" s="46">
        <v>0.049</v>
      </c>
      <c r="AB173" s="46">
        <f t="shared" si="80"/>
        <v>0.00597345132743363</v>
      </c>
      <c r="AC173" s="46">
        <v>0.08</v>
      </c>
      <c r="AD173" s="11"/>
      <c r="AE173" s="11"/>
      <c r="AF173" s="55" t="s">
        <v>114</v>
      </c>
      <c r="AG173" s="39">
        <f t="shared" si="66"/>
        <v>5.424</v>
      </c>
      <c r="AH173" s="39">
        <f t="shared" si="67"/>
        <v>5.424</v>
      </c>
      <c r="AI173" s="39">
        <f t="shared" si="68"/>
        <v>0</v>
      </c>
      <c r="AJ173" s="39">
        <f t="shared" si="69"/>
        <v>0</v>
      </c>
      <c r="AK173" s="39">
        <f t="shared" si="70"/>
        <v>0</v>
      </c>
      <c r="AL173" s="39">
        <f t="shared" si="71"/>
        <v>0</v>
      </c>
      <c r="AM173" s="39">
        <f t="shared" si="72"/>
        <v>0</v>
      </c>
      <c r="AN173" s="39">
        <f t="shared" si="73"/>
        <v>0</v>
      </c>
    </row>
    <row r="174" s="6" customFormat="1" ht="50" hidden="1" customHeight="1" spans="1:40">
      <c r="A174" s="37" t="s">
        <v>96</v>
      </c>
      <c r="B174" s="37" t="s">
        <v>186</v>
      </c>
      <c r="C174" s="37" t="str">
        <f>_xlfn.XLOOKUP(F174,'6月产品包'!B:B,'6月产品包'!H:H)</f>
        <v>白板</v>
      </c>
      <c r="D174" s="38" t="str">
        <f>_xlfn.XLOOKUP(F174,'6月产品包'!B:B,'6月产品包'!O:O)</f>
        <v>橡胶白板</v>
      </c>
      <c r="E174" s="38" t="s">
        <v>405</v>
      </c>
      <c r="F174" s="37" t="s">
        <v>406</v>
      </c>
      <c r="G174" s="39" t="s">
        <v>100</v>
      </c>
      <c r="H174" s="37" t="s">
        <v>101</v>
      </c>
      <c r="I174" s="37" t="str">
        <f>_xlfn.XLOOKUP($F174,'6月库存'!A:A,'6月库存'!B:B)</f>
        <v>正常销售</v>
      </c>
      <c r="J174" s="12"/>
      <c r="K174" s="39" t="e">
        <f>_xlfn.XLOOKUP(E174,'[1]6月分配 '!$B:$B,'[1]6月分配 '!$K:$K)</f>
        <v>#N/A</v>
      </c>
      <c r="L174" s="12" t="str">
        <f t="shared" si="74"/>
        <v>否</v>
      </c>
      <c r="M174" s="40" t="str">
        <f>_xlfn.XLOOKUP(F174,'6月产品包'!B:B,'6月产品包'!J:J)</f>
        <v>2025-07-03</v>
      </c>
      <c r="N174" s="39" t="str">
        <f ca="1" t="shared" si="81"/>
        <v>老品</v>
      </c>
      <c r="O174" s="37">
        <f>_xlfn.XLOOKUP(F174,'6月库存'!A:A,'6月库存'!R:R)</f>
        <v>83</v>
      </c>
      <c r="P174" s="39">
        <f>_xlfn.XLOOKUP(F174,'6月产品包'!B:B,'6月产品包'!S:S)</f>
        <v>3500</v>
      </c>
      <c r="Q174" s="39"/>
      <c r="R174" s="41">
        <f>_xlfn.XLOOKUP(F174,'6月产品包'!B:B,'6月产品包'!AD:AD)</f>
        <v>45.037</v>
      </c>
      <c r="S174" s="39">
        <v>88</v>
      </c>
      <c r="T174" s="39">
        <f t="shared" si="75"/>
        <v>110</v>
      </c>
      <c r="U174" s="42">
        <f t="shared" si="65"/>
        <v>88</v>
      </c>
      <c r="V174" s="43">
        <v>0.2</v>
      </c>
      <c r="W174" s="44">
        <f t="shared" si="76"/>
        <v>0.488215909090909</v>
      </c>
      <c r="X174" s="44">
        <f t="shared" si="79"/>
        <v>0.293958111243494</v>
      </c>
      <c r="Y174" s="44">
        <v>0.04</v>
      </c>
      <c r="Z174" s="46">
        <v>0.1</v>
      </c>
      <c r="AA174" s="46">
        <v>0.049</v>
      </c>
      <c r="AB174" s="46">
        <f t="shared" si="80"/>
        <v>0.00613636363636364</v>
      </c>
      <c r="AC174" s="46">
        <v>0.08</v>
      </c>
      <c r="AD174" s="58">
        <v>0.05</v>
      </c>
      <c r="AE174" s="58">
        <v>0.05</v>
      </c>
      <c r="AF174" s="48" t="s">
        <v>102</v>
      </c>
      <c r="AG174" s="39">
        <f t="shared" si="66"/>
        <v>5.28</v>
      </c>
      <c r="AH174" s="39">
        <f t="shared" si="67"/>
        <v>5.28</v>
      </c>
      <c r="AI174" s="39">
        <f t="shared" si="68"/>
        <v>0</v>
      </c>
      <c r="AJ174" s="39">
        <f t="shared" si="69"/>
        <v>0</v>
      </c>
      <c r="AK174" s="39">
        <f t="shared" si="70"/>
        <v>0</v>
      </c>
      <c r="AL174" s="39">
        <f t="shared" si="71"/>
        <v>0</v>
      </c>
      <c r="AM174" s="39">
        <f t="shared" si="72"/>
        <v>0</v>
      </c>
      <c r="AN174" s="39">
        <f t="shared" si="73"/>
        <v>0</v>
      </c>
    </row>
    <row r="175" s="6" customFormat="1" ht="50" hidden="1" customHeight="1" spans="1:40">
      <c r="A175" s="37" t="s">
        <v>96</v>
      </c>
      <c r="B175" s="37" t="s">
        <v>186</v>
      </c>
      <c r="C175" s="37" t="str">
        <f>_xlfn.XLOOKUP(F175,'6月产品包'!B:B,'6月产品包'!H:H)</f>
        <v>白板</v>
      </c>
      <c r="D175" s="38" t="str">
        <f>_xlfn.XLOOKUP(F175,'6月产品包'!B:B,'6月产品包'!O:O)</f>
        <v>涂鸦板</v>
      </c>
      <c r="E175" s="38" t="s">
        <v>407</v>
      </c>
      <c r="F175" s="37" t="s">
        <v>408</v>
      </c>
      <c r="G175" s="39" t="s">
        <v>126</v>
      </c>
      <c r="H175" s="37" t="s">
        <v>101</v>
      </c>
      <c r="I175" s="37" t="str">
        <f>_xlfn.XLOOKUP($F175,'6月库存'!A:A,'6月库存'!B:B)</f>
        <v>正常销售</v>
      </c>
      <c r="J175" s="12"/>
      <c r="K175" s="39" t="e">
        <f>_xlfn.XLOOKUP(E175,'[1]6月分配 '!$B:$B,'[1]6月分配 '!$K:$K)</f>
        <v>#N/A</v>
      </c>
      <c r="L175" s="12" t="str">
        <f t="shared" si="74"/>
        <v>否</v>
      </c>
      <c r="M175" s="40" t="str">
        <f>_xlfn.XLOOKUP(F175,'6月产品包'!B:B,'6月产品包'!J:J)</f>
        <v>2025-07-03</v>
      </c>
      <c r="N175" s="39" t="str">
        <f ca="1" t="shared" si="81"/>
        <v>老品</v>
      </c>
      <c r="O175" s="37">
        <f>_xlfn.XLOOKUP(F175,'6月库存'!A:A,'6月库存'!R:R)</f>
        <v>0</v>
      </c>
      <c r="P175" s="39">
        <f>_xlfn.XLOOKUP(F175,'6月产品包'!B:B,'6月产品包'!S:S)</f>
        <v>160</v>
      </c>
      <c r="Q175" s="39"/>
      <c r="R175" s="41">
        <f>_xlfn.XLOOKUP(F175,'6月产品包'!B:B,'6月产品包'!AD:AD)</f>
        <v>3.8802</v>
      </c>
      <c r="S175" s="39">
        <v>7.65</v>
      </c>
      <c r="T175" s="39">
        <f t="shared" si="75"/>
        <v>10</v>
      </c>
      <c r="U175" s="42">
        <f t="shared" si="65"/>
        <v>8</v>
      </c>
      <c r="V175" s="43">
        <v>0.2</v>
      </c>
      <c r="W175" s="44">
        <f t="shared" si="76"/>
        <v>0.514975</v>
      </c>
      <c r="X175" s="44">
        <f t="shared" si="79"/>
        <v>0.268990203466466</v>
      </c>
      <c r="Y175" s="44">
        <v>0.04</v>
      </c>
      <c r="Z175" s="46">
        <v>0.1</v>
      </c>
      <c r="AA175" s="46">
        <v>0.049</v>
      </c>
      <c r="AB175" s="46">
        <f t="shared" si="80"/>
        <v>0.0675</v>
      </c>
      <c r="AC175" s="46">
        <v>0.08</v>
      </c>
      <c r="AD175" s="58">
        <v>0.05</v>
      </c>
      <c r="AE175" s="58">
        <v>0.05</v>
      </c>
      <c r="AF175" s="48" t="s">
        <v>102</v>
      </c>
      <c r="AG175" s="39">
        <f t="shared" si="66"/>
        <v>0</v>
      </c>
      <c r="AH175" s="39">
        <f t="shared" si="67"/>
        <v>0</v>
      </c>
      <c r="AI175" s="39">
        <f t="shared" si="68"/>
        <v>0</v>
      </c>
      <c r="AJ175" s="39">
        <f t="shared" si="69"/>
        <v>0</v>
      </c>
      <c r="AK175" s="39">
        <f t="shared" si="70"/>
        <v>0</v>
      </c>
      <c r="AL175" s="39">
        <f t="shared" si="71"/>
        <v>0</v>
      </c>
      <c r="AM175" s="39">
        <f t="shared" si="72"/>
        <v>0</v>
      </c>
      <c r="AN175" s="39">
        <f t="shared" si="73"/>
        <v>0</v>
      </c>
    </row>
    <row r="176" s="6" customFormat="1" ht="50" hidden="1" customHeight="1" spans="1:40">
      <c r="A176" s="37" t="s">
        <v>96</v>
      </c>
      <c r="B176" s="37" t="s">
        <v>186</v>
      </c>
      <c r="C176" s="37" t="str">
        <f>_xlfn.XLOOKUP(F176,'6月产品包'!B:B,'6月产品包'!H:H)</f>
        <v>教具白板</v>
      </c>
      <c r="D176" s="38" t="str">
        <f>_xlfn.XLOOKUP(F176,'6月产品包'!B:B,'6月产品包'!O:O)</f>
        <v>白板画板</v>
      </c>
      <c r="E176" s="38" t="s">
        <v>409</v>
      </c>
      <c r="F176" s="37" t="s">
        <v>410</v>
      </c>
      <c r="G176" s="39" t="s">
        <v>112</v>
      </c>
      <c r="H176" s="37" t="s">
        <v>101</v>
      </c>
      <c r="I176" s="37" t="str">
        <f>_xlfn.XLOOKUP($F176,'6月库存'!A:A,'6月库存'!B:B)</f>
        <v>正常销售</v>
      </c>
      <c r="J176" s="12"/>
      <c r="K176" s="39" t="e">
        <f>_xlfn.XLOOKUP(E176,'[1]6月分配 '!$B:$B,'[1]6月分配 '!$K:$K)</f>
        <v>#N/A</v>
      </c>
      <c r="L176" s="12" t="str">
        <f t="shared" si="74"/>
        <v>否</v>
      </c>
      <c r="M176" s="40" t="str">
        <f>_xlfn.XLOOKUP(F176,'6月产品包'!B:B,'6月产品包'!J:J)</f>
        <v>2025-08-11</v>
      </c>
      <c r="N176" s="39" t="str">
        <f ca="1" t="shared" si="81"/>
        <v>老品</v>
      </c>
      <c r="O176" s="37">
        <f>_xlfn.XLOOKUP(F176,'6月库存'!A:A,'6月库存'!R:R)</f>
        <v>0</v>
      </c>
      <c r="P176" s="39">
        <f>_xlfn.XLOOKUP(F176,'6月产品包'!B:B,'6月产品包'!S:S)</f>
        <v>4300</v>
      </c>
      <c r="Q176" s="39"/>
      <c r="R176" s="41">
        <f>_xlfn.XLOOKUP(F176,'6月产品包'!B:B,'6月产品包'!AD:AD)</f>
        <v>52.49</v>
      </c>
      <c r="S176" s="39">
        <v>99</v>
      </c>
      <c r="T176" s="39">
        <f t="shared" si="75"/>
        <v>124</v>
      </c>
      <c r="U176" s="42">
        <f t="shared" si="65"/>
        <v>99.2</v>
      </c>
      <c r="V176" s="43">
        <v>0.2</v>
      </c>
      <c r="W176" s="44">
        <f t="shared" si="76"/>
        <v>0.470866935483871</v>
      </c>
      <c r="X176" s="44">
        <f t="shared" si="79"/>
        <v>0.272725761220169</v>
      </c>
      <c r="Y176" s="51">
        <v>0.038</v>
      </c>
      <c r="Z176" s="46">
        <v>0.1</v>
      </c>
      <c r="AA176" s="46">
        <v>0.049</v>
      </c>
      <c r="AB176" s="46">
        <f t="shared" si="80"/>
        <v>0.00544354838709677</v>
      </c>
      <c r="AC176" s="46">
        <v>0.08</v>
      </c>
      <c r="AD176" s="58">
        <v>0.05</v>
      </c>
      <c r="AE176" s="58">
        <v>0.05</v>
      </c>
      <c r="AF176" s="48" t="s">
        <v>102</v>
      </c>
      <c r="AG176" s="39">
        <f t="shared" si="66"/>
        <v>5.952</v>
      </c>
      <c r="AH176" s="39">
        <f t="shared" si="67"/>
        <v>5.952</v>
      </c>
      <c r="AI176" s="39">
        <f t="shared" si="68"/>
        <v>0</v>
      </c>
      <c r="AJ176" s="39">
        <f t="shared" si="69"/>
        <v>0</v>
      </c>
      <c r="AK176" s="39">
        <f t="shared" si="70"/>
        <v>0</v>
      </c>
      <c r="AL176" s="39">
        <f t="shared" si="71"/>
        <v>0</v>
      </c>
      <c r="AM176" s="39">
        <f t="shared" si="72"/>
        <v>0</v>
      </c>
      <c r="AN176" s="39">
        <f t="shared" si="73"/>
        <v>0</v>
      </c>
    </row>
    <row r="177" s="6" customFormat="1" ht="50" hidden="1" customHeight="1" spans="1:40">
      <c r="A177" s="37" t="s">
        <v>96</v>
      </c>
      <c r="B177" s="37" t="s">
        <v>186</v>
      </c>
      <c r="C177" s="37" t="str">
        <f>_xlfn.XLOOKUP(F177,'6月产品包'!B:B,'6月产品包'!H:H)</f>
        <v>教具白板</v>
      </c>
      <c r="D177" s="38" t="str">
        <f>_xlfn.XLOOKUP(F177,'6月产品包'!B:B,'6月产品包'!O:O)</f>
        <v>可翻转白板</v>
      </c>
      <c r="E177" s="38" t="s">
        <v>411</v>
      </c>
      <c r="F177" s="37" t="s">
        <v>412</v>
      </c>
      <c r="G177" s="39" t="s">
        <v>100</v>
      </c>
      <c r="H177" s="37" t="s">
        <v>101</v>
      </c>
      <c r="I177" s="37" t="str">
        <f>_xlfn.XLOOKUP($F177,'6月库存'!A:A,'6月库存'!B:B)</f>
        <v>正常销售</v>
      </c>
      <c r="J177" s="12"/>
      <c r="K177" s="39" t="e">
        <f>_xlfn.XLOOKUP(E177,'[1]6月分配 '!$B:$B,'[1]6月分配 '!$K:$K)</f>
        <v>#N/A</v>
      </c>
      <c r="L177" s="12" t="str">
        <f t="shared" si="74"/>
        <v>否</v>
      </c>
      <c r="M177" s="40" t="str">
        <f>_xlfn.XLOOKUP(F177,'6月产品包'!B:B,'6月产品包'!J:J)</f>
        <v>2025-08-11</v>
      </c>
      <c r="N177" s="39" t="str">
        <f ca="1" t="shared" si="81"/>
        <v>老品</v>
      </c>
      <c r="O177" s="37">
        <f>_xlfn.XLOOKUP(F177,'6月库存'!A:A,'6月库存'!R:R)</f>
        <v>187</v>
      </c>
      <c r="P177" s="39">
        <f>_xlfn.XLOOKUP(F177,'6月产品包'!B:B,'6月产品包'!S:S)</f>
        <v>3600</v>
      </c>
      <c r="Q177" s="39"/>
      <c r="R177" s="41">
        <f>_xlfn.XLOOKUP(F177,'6月产品包'!B:B,'6月产品包'!AD:AD)</f>
        <v>44.6948</v>
      </c>
      <c r="S177" s="39">
        <v>85</v>
      </c>
      <c r="T177" s="39">
        <f t="shared" si="75"/>
        <v>106</v>
      </c>
      <c r="U177" s="42">
        <f t="shared" si="65"/>
        <v>84.8</v>
      </c>
      <c r="V177" s="43">
        <v>0.2</v>
      </c>
      <c r="W177" s="44">
        <f t="shared" si="76"/>
        <v>0.472938679245283</v>
      </c>
      <c r="X177" s="44">
        <f t="shared" si="79"/>
        <v>0.272649750686751</v>
      </c>
      <c r="Y177" s="44">
        <v>0.04</v>
      </c>
      <c r="Z177" s="46">
        <v>0.1</v>
      </c>
      <c r="AA177" s="46">
        <v>0.049</v>
      </c>
      <c r="AB177" s="46">
        <f t="shared" si="80"/>
        <v>0.00636792452830189</v>
      </c>
      <c r="AC177" s="46">
        <v>0.08</v>
      </c>
      <c r="AD177" s="58">
        <v>0.05</v>
      </c>
      <c r="AE177" s="58">
        <v>0.05</v>
      </c>
      <c r="AF177" s="48" t="s">
        <v>102</v>
      </c>
      <c r="AG177" s="39">
        <f t="shared" si="66"/>
        <v>5.088</v>
      </c>
      <c r="AH177" s="39">
        <f t="shared" si="67"/>
        <v>5.088</v>
      </c>
      <c r="AI177" s="39">
        <f t="shared" si="68"/>
        <v>0</v>
      </c>
      <c r="AJ177" s="39">
        <f t="shared" si="69"/>
        <v>0</v>
      </c>
      <c r="AK177" s="39">
        <f t="shared" si="70"/>
        <v>0</v>
      </c>
      <c r="AL177" s="39">
        <f t="shared" si="71"/>
        <v>0</v>
      </c>
      <c r="AM177" s="39">
        <f t="shared" si="72"/>
        <v>0</v>
      </c>
      <c r="AN177" s="39">
        <f t="shared" si="73"/>
        <v>0</v>
      </c>
    </row>
    <row r="178" s="6" customFormat="1" ht="50" hidden="1" customHeight="1" spans="1:40">
      <c r="A178" s="39" t="str">
        <f>_xlfn.XLOOKUP(F178,'6月产品包'!B:B,'6月产品包'!F:F)</f>
        <v>办公安防</v>
      </c>
      <c r="B178" s="39" t="str">
        <f>_xlfn.XLOOKUP(F178,'6月产品包'!B:B,'6月产品包'!G:G)</f>
        <v>应急安防</v>
      </c>
      <c r="C178" s="37" t="str">
        <f>_xlfn.XLOOKUP(F178,'6月产品包'!B:B,'6月产品包'!H:H)</f>
        <v>单相电子式电度表</v>
      </c>
      <c r="D178" s="38" t="str">
        <f>_xlfn.XLOOKUP(F178,'6月产品包'!B:B,'6月产品包'!O:O)</f>
        <v>彩色屏6显款多功能导轨表2P63A</v>
      </c>
      <c r="E178" s="38" t="str">
        <f>_xlfn.XLOOKUP(F178,'6月产品包'!B:B,'6月产品包'!C:C)</f>
        <v>3B-WIFI漏电多功能导轨表彩屏6显款2P63A</v>
      </c>
      <c r="F178" s="39" t="s">
        <v>413</v>
      </c>
      <c r="G178" s="11"/>
      <c r="H178" s="39" t="s">
        <v>107</v>
      </c>
      <c r="I178" s="37" t="str">
        <f>_xlfn.XLOOKUP($F178,'6月库存'!A:A,'6月库存'!B:B)</f>
        <v>正常销售</v>
      </c>
      <c r="J178" s="12"/>
      <c r="K178" s="39">
        <f>_xlfn.XLOOKUP(E178,'[1]6月分配 '!$B:$B,'[1]6月分配 '!$K:$K)</f>
        <v>5906</v>
      </c>
      <c r="L178" s="12" t="str">
        <f t="shared" si="74"/>
        <v>是</v>
      </c>
      <c r="M178" s="40" t="str">
        <f>_xlfn.XLOOKUP(F178,'6月产品包'!B:B,'6月产品包'!J:J)</f>
        <v>2026-02-04</v>
      </c>
      <c r="N178" s="39" t="s">
        <v>149</v>
      </c>
      <c r="O178" s="37">
        <f>_xlfn.XLOOKUP(F178,'6月库存'!A:A,'6月库存'!R:R)</f>
        <v>89</v>
      </c>
      <c r="P178" s="39">
        <f>_xlfn.XLOOKUP(F178,'6月产品包'!B:B,'6月产品包'!S:S)</f>
        <v>120</v>
      </c>
      <c r="Q178" s="13"/>
      <c r="R178" s="41">
        <f>_xlfn.XLOOKUP(F178,'6月产品包'!B:B,'6月产品包'!AD:AD)</f>
        <v>34.6028</v>
      </c>
      <c r="S178" s="39">
        <v>69</v>
      </c>
      <c r="T178" s="39">
        <f t="shared" si="75"/>
        <v>86</v>
      </c>
      <c r="U178" s="42">
        <f t="shared" si="65"/>
        <v>68.8</v>
      </c>
      <c r="V178" s="43">
        <v>0.2</v>
      </c>
      <c r="W178" s="44">
        <f t="shared" si="76"/>
        <v>0.497052325581395</v>
      </c>
      <c r="X178" s="44">
        <f t="shared" si="79"/>
        <v>0.315858152887399</v>
      </c>
      <c r="Y178" s="44">
        <v>0.038</v>
      </c>
      <c r="Z178" s="46">
        <v>0.09</v>
      </c>
      <c r="AA178" s="46">
        <v>0.049</v>
      </c>
      <c r="AB178" s="46">
        <f t="shared" si="80"/>
        <v>0.00784883720930233</v>
      </c>
      <c r="AC178" s="46">
        <v>0.08</v>
      </c>
      <c r="AD178" s="58">
        <v>0.06</v>
      </c>
      <c r="AE178" s="58">
        <v>0.03</v>
      </c>
      <c r="AF178" s="55" t="s">
        <v>114</v>
      </c>
      <c r="AG178" s="39">
        <f t="shared" si="66"/>
        <v>4.128</v>
      </c>
      <c r="AH178" s="39">
        <f t="shared" si="67"/>
        <v>4.128</v>
      </c>
      <c r="AI178" s="39">
        <f t="shared" si="68"/>
        <v>0</v>
      </c>
      <c r="AJ178" s="39">
        <f t="shared" si="69"/>
        <v>0</v>
      </c>
      <c r="AK178" s="39">
        <f t="shared" si="70"/>
        <v>0</v>
      </c>
      <c r="AL178" s="39">
        <f t="shared" si="71"/>
        <v>0</v>
      </c>
      <c r="AM178" s="39">
        <f t="shared" si="72"/>
        <v>0</v>
      </c>
      <c r="AN178" s="39">
        <f t="shared" si="73"/>
        <v>0</v>
      </c>
    </row>
    <row r="179" s="6" customFormat="1" ht="50" hidden="1" customHeight="1" spans="1:40">
      <c r="A179" s="37" t="s">
        <v>96</v>
      </c>
      <c r="B179" s="37" t="s">
        <v>115</v>
      </c>
      <c r="C179" s="37" t="str">
        <f>_xlfn.XLOOKUP(F179,'6月产品包'!B:B,'6月产品包'!H:H)</f>
        <v>金属制品机柜</v>
      </c>
      <c r="D179" s="38" t="str">
        <f>_xlfn.XLOOKUP(F179,'6月产品包'!B:B,'6月产品包'!O:O)</f>
        <v>交换机机柜</v>
      </c>
      <c r="E179" s="38" t="s">
        <v>414</v>
      </c>
      <c r="F179" s="37" t="s">
        <v>415</v>
      </c>
      <c r="G179" s="39" t="e">
        <v>#N/A</v>
      </c>
      <c r="H179" s="37" t="s">
        <v>101</v>
      </c>
      <c r="I179" s="37" t="str">
        <f>_xlfn.XLOOKUP($F179,'6月库存'!A:A,'6月库存'!B:B)</f>
        <v>正常销售</v>
      </c>
      <c r="J179" s="12"/>
      <c r="K179" s="39" t="e">
        <f>_xlfn.XLOOKUP(E179,'[1]6月分配 '!$B:$B,'[1]6月分配 '!$K:$K)</f>
        <v>#N/A</v>
      </c>
      <c r="L179" s="12" t="str">
        <f t="shared" si="74"/>
        <v>否</v>
      </c>
      <c r="M179" s="40" t="str">
        <f>_xlfn.XLOOKUP(F179,'6月产品包'!B:B,'6月产品包'!J:J)</f>
        <v>2025-07-26</v>
      </c>
      <c r="N179" s="39" t="str">
        <f ca="1" t="shared" si="81"/>
        <v>老品</v>
      </c>
      <c r="O179" s="37">
        <f>_xlfn.XLOOKUP(F179,'6月库存'!A:A,'6月库存'!R:R)</f>
        <v>0</v>
      </c>
      <c r="P179" s="39">
        <f>_xlfn.XLOOKUP(F179,'6月产品包'!B:B,'6月产品包'!S:S)</f>
        <v>7500</v>
      </c>
      <c r="Q179" s="39"/>
      <c r="R179" s="41">
        <f>_xlfn.XLOOKUP(F179,'6月产品包'!B:B,'6月产品包'!AD:AD)</f>
        <v>50.4716</v>
      </c>
      <c r="S179" s="39">
        <v>99</v>
      </c>
      <c r="T179" s="39">
        <f t="shared" si="75"/>
        <v>124</v>
      </c>
      <c r="U179" s="42">
        <f t="shared" si="65"/>
        <v>99.2</v>
      </c>
      <c r="V179" s="43">
        <v>0.2</v>
      </c>
      <c r="W179" s="44">
        <f t="shared" si="76"/>
        <v>0.491213709677419</v>
      </c>
      <c r="X179" s="44">
        <f t="shared" si="79"/>
        <v>0.319400843608747</v>
      </c>
      <c r="Y179" s="44">
        <v>0.038</v>
      </c>
      <c r="Z179" s="46">
        <v>0.1</v>
      </c>
      <c r="AA179" s="46">
        <v>0.049</v>
      </c>
      <c r="AB179" s="46">
        <f t="shared" si="80"/>
        <v>0.00544354838709677</v>
      </c>
      <c r="AC179" s="46">
        <v>0.06</v>
      </c>
      <c r="AD179" s="47"/>
      <c r="AF179" s="48" t="s">
        <v>102</v>
      </c>
      <c r="AG179" s="39">
        <f t="shared" si="66"/>
        <v>5.952</v>
      </c>
      <c r="AH179" s="39">
        <f t="shared" si="67"/>
        <v>5.952</v>
      </c>
      <c r="AI179" s="39">
        <f t="shared" si="68"/>
        <v>0</v>
      </c>
      <c r="AJ179" s="39">
        <f t="shared" si="69"/>
        <v>0</v>
      </c>
      <c r="AK179" s="39">
        <f t="shared" si="70"/>
        <v>0</v>
      </c>
      <c r="AL179" s="39">
        <f t="shared" si="71"/>
        <v>0</v>
      </c>
      <c r="AM179" s="39">
        <f t="shared" si="72"/>
        <v>0</v>
      </c>
      <c r="AN179" s="39">
        <f t="shared" si="73"/>
        <v>0</v>
      </c>
    </row>
    <row r="180" s="6" customFormat="1" ht="50" hidden="1" customHeight="1" spans="1:40">
      <c r="A180" s="37" t="s">
        <v>96</v>
      </c>
      <c r="B180" s="37" t="s">
        <v>115</v>
      </c>
      <c r="C180" s="37" t="str">
        <f>_xlfn.XLOOKUP(F180,'6月产品包'!B:B,'6月产品包'!H:H)</f>
        <v>金属制品机柜</v>
      </c>
      <c r="D180" s="38" t="str">
        <f>_xlfn.XLOOKUP(F180,'6月产品包'!B:B,'6月产品包'!O:O)</f>
        <v>交换机机柜</v>
      </c>
      <c r="E180" s="38" t="s">
        <v>416</v>
      </c>
      <c r="F180" s="37" t="s">
        <v>417</v>
      </c>
      <c r="G180" s="39" t="e">
        <v>#N/A</v>
      </c>
      <c r="H180" s="37" t="s">
        <v>101</v>
      </c>
      <c r="I180" s="37" t="str">
        <f>_xlfn.XLOOKUP($F180,'6月库存'!A:A,'6月库存'!B:B)</f>
        <v>正常销售</v>
      </c>
      <c r="J180" s="12"/>
      <c r="K180" s="39" t="e">
        <f>_xlfn.XLOOKUP(E180,'[1]6月分配 '!$B:$B,'[1]6月分配 '!$K:$K)</f>
        <v>#N/A</v>
      </c>
      <c r="L180" s="12" t="str">
        <f t="shared" si="74"/>
        <v>否</v>
      </c>
      <c r="M180" s="40" t="str">
        <f>_xlfn.XLOOKUP(F180,'6月产品包'!B:B,'6月产品包'!J:J)</f>
        <v>2025-07-26</v>
      </c>
      <c r="N180" s="39" t="str">
        <f ca="1" t="shared" si="81"/>
        <v>老品</v>
      </c>
      <c r="O180" s="37">
        <f>_xlfn.XLOOKUP(F180,'6月库存'!A:A,'6月库存'!R:R)</f>
        <v>28</v>
      </c>
      <c r="P180" s="39">
        <f>_xlfn.XLOOKUP(F180,'6月产品包'!B:B,'6月产品包'!S:S)</f>
        <v>9500</v>
      </c>
      <c r="Q180" s="39"/>
      <c r="R180" s="41">
        <f>_xlfn.XLOOKUP(F180,'6月产品包'!B:B,'6月产品包'!AD:AD)</f>
        <v>59.6182</v>
      </c>
      <c r="S180" s="39">
        <v>119</v>
      </c>
      <c r="T180" s="39">
        <f t="shared" si="75"/>
        <v>149</v>
      </c>
      <c r="U180" s="42">
        <f t="shared" si="65"/>
        <v>119.2</v>
      </c>
      <c r="V180" s="43">
        <v>0.2</v>
      </c>
      <c r="W180" s="44">
        <f t="shared" si="76"/>
        <v>0.499847315436242</v>
      </c>
      <c r="X180" s="44">
        <f t="shared" si="79"/>
        <v>0.331766377934399</v>
      </c>
      <c r="Y180" s="44">
        <v>0.038</v>
      </c>
      <c r="Z180" s="46">
        <v>0.1</v>
      </c>
      <c r="AA180" s="46">
        <v>0.049</v>
      </c>
      <c r="AB180" s="46">
        <f t="shared" si="80"/>
        <v>0.00453020134228188</v>
      </c>
      <c r="AC180" s="46">
        <v>0.06</v>
      </c>
      <c r="AD180" s="47"/>
      <c r="AF180" s="48" t="s">
        <v>102</v>
      </c>
      <c r="AG180" s="39">
        <f t="shared" si="66"/>
        <v>6</v>
      </c>
      <c r="AH180" s="39">
        <f t="shared" si="67"/>
        <v>6</v>
      </c>
      <c r="AI180" s="39">
        <f t="shared" si="68"/>
        <v>0</v>
      </c>
      <c r="AJ180" s="39">
        <f t="shared" si="69"/>
        <v>0</v>
      </c>
      <c r="AK180" s="39">
        <f t="shared" si="70"/>
        <v>0</v>
      </c>
      <c r="AL180" s="39">
        <f t="shared" si="71"/>
        <v>0</v>
      </c>
      <c r="AM180" s="39">
        <f t="shared" si="72"/>
        <v>0</v>
      </c>
      <c r="AN180" s="39">
        <f t="shared" si="73"/>
        <v>0</v>
      </c>
    </row>
    <row r="181" s="6" customFormat="1" ht="50" customHeight="1" spans="1:40">
      <c r="A181" s="37" t="s">
        <v>108</v>
      </c>
      <c r="B181" s="37" t="s">
        <v>168</v>
      </c>
      <c r="C181" s="37" t="str">
        <f>_xlfn.XLOOKUP(F181,'6月产品包'!B:B,'6月产品包'!H:H)</f>
        <v>电视支架</v>
      </c>
      <c r="D181" s="38" t="str">
        <f>_xlfn.XLOOKUP(F181,'6月产品包'!B:B,'6月产品包'!O:O)</f>
        <v>壁挂电视支架</v>
      </c>
      <c r="E181" s="38" t="s">
        <v>418</v>
      </c>
      <c r="F181" s="39" t="s">
        <v>419</v>
      </c>
      <c r="G181" s="39" t="s">
        <v>100</v>
      </c>
      <c r="H181" s="37" t="s">
        <v>101</v>
      </c>
      <c r="I181" s="37" t="str">
        <f>_xlfn.XLOOKUP($F181,'6月库存'!A:A,'6月库存'!B:B)</f>
        <v>正常销售</v>
      </c>
      <c r="J181" s="12"/>
      <c r="K181" s="39">
        <f>_xlfn.XLOOKUP(E181,'[1]6月分配 '!$B:$B,'[1]6月分配 '!$K:$K)</f>
        <v>5406</v>
      </c>
      <c r="L181" s="12" t="str">
        <f t="shared" si="74"/>
        <v>是</v>
      </c>
      <c r="M181" s="40" t="str">
        <f>_xlfn.XLOOKUP(F181,'6月产品包'!B:B,'6月产品包'!J:J)</f>
        <v>2024-01-01</v>
      </c>
      <c r="N181" s="39" t="str">
        <f ca="1" t="shared" si="81"/>
        <v>老品</v>
      </c>
      <c r="O181" s="37">
        <f>_xlfn.XLOOKUP(F181,'6月库存'!A:A,'6月库存'!R:R)</f>
        <v>1093</v>
      </c>
      <c r="P181" s="39">
        <f>_xlfn.XLOOKUP(F181,'6月产品包'!B:B,'6月产品包'!S:S)</f>
        <v>1640</v>
      </c>
      <c r="Q181" s="39"/>
      <c r="R181" s="41">
        <f>_xlfn.XLOOKUP(F181,'6月产品包'!B:B,'6月产品包'!AD:AD)</f>
        <v>10.701</v>
      </c>
      <c r="S181" s="39">
        <v>23</v>
      </c>
      <c r="T181" s="39">
        <f t="shared" si="75"/>
        <v>29</v>
      </c>
      <c r="U181" s="42">
        <f t="shared" si="65"/>
        <v>23.2</v>
      </c>
      <c r="V181" s="43">
        <v>0.2</v>
      </c>
      <c r="W181" s="44">
        <f t="shared" si="76"/>
        <v>0.53875</v>
      </c>
      <c r="X181" s="44">
        <f t="shared" si="79"/>
        <v>0.376456740630244</v>
      </c>
      <c r="Y181" s="44">
        <v>0.038</v>
      </c>
      <c r="Z181" s="46">
        <v>0.09</v>
      </c>
      <c r="AA181" s="46">
        <v>0.049</v>
      </c>
      <c r="AB181" s="46">
        <f t="shared" si="80"/>
        <v>0.0232758620689655</v>
      </c>
      <c r="AC181" s="46">
        <v>0.06</v>
      </c>
      <c r="AD181" s="47"/>
      <c r="AF181" s="55" t="s">
        <v>114</v>
      </c>
      <c r="AG181" s="39">
        <f t="shared" si="66"/>
        <v>0</v>
      </c>
      <c r="AH181" s="39">
        <f t="shared" si="67"/>
        <v>0</v>
      </c>
      <c r="AI181" s="39">
        <f t="shared" si="68"/>
        <v>0</v>
      </c>
      <c r="AJ181" s="39">
        <f t="shared" si="69"/>
        <v>0</v>
      </c>
      <c r="AK181" s="39">
        <f t="shared" si="70"/>
        <v>0</v>
      </c>
      <c r="AL181" s="39">
        <f t="shared" si="71"/>
        <v>0</v>
      </c>
      <c r="AM181" s="39">
        <f t="shared" si="72"/>
        <v>0</v>
      </c>
      <c r="AN181" s="39">
        <f t="shared" si="73"/>
        <v>0</v>
      </c>
    </row>
    <row r="182" s="6" customFormat="1" ht="50" hidden="1" customHeight="1" spans="1:40">
      <c r="A182" s="37" t="s">
        <v>96</v>
      </c>
      <c r="B182" s="37" t="s">
        <v>115</v>
      </c>
      <c r="C182" s="37" t="str">
        <f>_xlfn.XLOOKUP(F182,'6月产品包'!B:B,'6月产品包'!H:H)</f>
        <v>金属制品机柜</v>
      </c>
      <c r="D182" s="38" t="str">
        <f>_xlfn.XLOOKUP(F182,'6月产品包'!B:B,'6月产品包'!O:O)</f>
        <v>交换机立式机柜18U</v>
      </c>
      <c r="E182" s="38" t="s">
        <v>420</v>
      </c>
      <c r="F182" s="37" t="s">
        <v>421</v>
      </c>
      <c r="G182" s="39" t="e">
        <v>#N/A</v>
      </c>
      <c r="H182" s="39" t="s">
        <v>101</v>
      </c>
      <c r="I182" s="37" t="str">
        <f>_xlfn.XLOOKUP($F182,'6月库存'!A:A,'6月库存'!B:B)</f>
        <v>正常销售</v>
      </c>
      <c r="J182" s="12"/>
      <c r="K182" s="39" t="e">
        <f>_xlfn.XLOOKUP(E182,'[1]6月分配 '!$B:$B,'[1]6月分配 '!$K:$K)</f>
        <v>#N/A</v>
      </c>
      <c r="L182" s="12" t="str">
        <f t="shared" si="74"/>
        <v>否</v>
      </c>
      <c r="M182" s="40" t="str">
        <f>_xlfn.XLOOKUP(F182,'6月产品包'!B:B,'6月产品包'!J:J)</f>
        <v>2025-10-30</v>
      </c>
      <c r="N182" s="39" t="str">
        <f ca="1" t="shared" si="81"/>
        <v>老品</v>
      </c>
      <c r="O182" s="37">
        <f>_xlfn.XLOOKUP(F182,'6月库存'!A:A,'6月库存'!R:R)</f>
        <v>0</v>
      </c>
      <c r="P182" s="39">
        <f>_xlfn.XLOOKUP(F182,'6月产品包'!B:B,'6月产品包'!S:S)</f>
        <v>43000</v>
      </c>
      <c r="Q182" s="39"/>
      <c r="R182" s="41">
        <f>_xlfn.XLOOKUP(F182,'6月产品包'!B:B,'6月产品包'!AD:AD)</f>
        <v>240.4448</v>
      </c>
      <c r="S182" s="39">
        <v>486</v>
      </c>
      <c r="T182" s="39">
        <f t="shared" si="75"/>
        <v>608</v>
      </c>
      <c r="U182" s="42">
        <f t="shared" si="65"/>
        <v>486.4</v>
      </c>
      <c r="V182" s="43">
        <v>0.2</v>
      </c>
      <c r="W182" s="44">
        <f t="shared" si="76"/>
        <v>0.505664473684211</v>
      </c>
      <c r="X182" s="44">
        <f t="shared" si="79"/>
        <v>0.34254258458402</v>
      </c>
      <c r="Y182" s="44">
        <v>0.038</v>
      </c>
      <c r="Z182" s="46">
        <v>0.1</v>
      </c>
      <c r="AA182" s="46">
        <v>0.049</v>
      </c>
      <c r="AB182" s="46">
        <f t="shared" si="80"/>
        <v>0.00111019736842105</v>
      </c>
      <c r="AC182" s="46">
        <v>0.06</v>
      </c>
      <c r="AD182" s="49"/>
      <c r="AF182" s="48" t="s">
        <v>102</v>
      </c>
      <c r="AG182" s="39">
        <f t="shared" si="66"/>
        <v>40.8576</v>
      </c>
      <c r="AH182" s="39">
        <f t="shared" si="67"/>
        <v>6</v>
      </c>
      <c r="AI182" s="39">
        <f t="shared" si="68"/>
        <v>21</v>
      </c>
      <c r="AJ182" s="39">
        <f t="shared" si="69"/>
        <v>40.8576</v>
      </c>
      <c r="AK182" s="39">
        <f t="shared" si="70"/>
        <v>36.48</v>
      </c>
      <c r="AL182" s="39">
        <f t="shared" si="71"/>
        <v>32.1024</v>
      </c>
      <c r="AM182" s="39">
        <f t="shared" si="72"/>
        <v>26.2656</v>
      </c>
      <c r="AN182" s="39">
        <f t="shared" si="73"/>
        <v>18</v>
      </c>
    </row>
    <row r="183" s="6" customFormat="1" ht="50" hidden="1" customHeight="1" spans="1:40">
      <c r="A183" s="37" t="s">
        <v>96</v>
      </c>
      <c r="B183" s="37" t="s">
        <v>97</v>
      </c>
      <c r="C183" s="37" t="str">
        <f>_xlfn.XLOOKUP(F183,'6月产品包'!B:B,'6月产品包'!H:H)</f>
        <v>锁体</v>
      </c>
      <c r="D183" s="38" t="str">
        <f>_xlfn.XLOOKUP(F183,'6月产品包'!B:B,'6月产品包'!O:O)</f>
        <v>断桥铝门弯舌锁体</v>
      </c>
      <c r="E183" s="38" t="s">
        <v>422</v>
      </c>
      <c r="F183" s="37" t="s">
        <v>423</v>
      </c>
      <c r="G183" s="39" t="e">
        <v>#N/A</v>
      </c>
      <c r="H183" s="37" t="s">
        <v>101</v>
      </c>
      <c r="I183" s="37" t="str">
        <f>_xlfn.XLOOKUP($F183,'6月库存'!A:A,'6月库存'!B:B)</f>
        <v>正常销售</v>
      </c>
      <c r="J183" s="12"/>
      <c r="K183" s="39">
        <f>_xlfn.XLOOKUP(E183,'[1]6月分配 '!$B:$B,'[1]6月分配 '!$K:$K)</f>
        <v>5059</v>
      </c>
      <c r="L183" s="12" t="str">
        <f t="shared" si="74"/>
        <v>是</v>
      </c>
      <c r="M183" s="40" t="str">
        <f>_xlfn.XLOOKUP(F183,'6月产品包'!B:B,'6月产品包'!J:J)</f>
        <v>2025-10-30</v>
      </c>
      <c r="N183" s="39" t="str">
        <f ca="1" t="shared" si="81"/>
        <v>老品</v>
      </c>
      <c r="O183" s="37">
        <f>_xlfn.XLOOKUP(F183,'6月库存'!A:A,'6月库存'!R:R)</f>
        <v>109</v>
      </c>
      <c r="P183" s="39">
        <f>_xlfn.XLOOKUP(F183,'6月产品包'!B:B,'6月产品包'!S:S)</f>
        <v>436</v>
      </c>
      <c r="Q183" s="39"/>
      <c r="R183" s="41">
        <f>_xlfn.XLOOKUP(F183,'6月产品包'!B:B,'6月产品包'!AD:AD)</f>
        <v>19.0588</v>
      </c>
      <c r="S183" s="39">
        <v>37</v>
      </c>
      <c r="T183" s="39">
        <f t="shared" si="75"/>
        <v>46</v>
      </c>
      <c r="U183" s="42">
        <f t="shared" si="65"/>
        <v>36.8</v>
      </c>
      <c r="V183" s="43">
        <v>0.2</v>
      </c>
      <c r="W183" s="44">
        <f t="shared" si="76"/>
        <v>0.482097826086957</v>
      </c>
      <c r="X183" s="44">
        <f t="shared" si="79"/>
        <v>0.283999038259249</v>
      </c>
      <c r="Y183" s="51">
        <v>0.038</v>
      </c>
      <c r="Z183" s="45">
        <v>0.115</v>
      </c>
      <c r="AA183" s="46">
        <v>0.049</v>
      </c>
      <c r="AB183" s="46">
        <f t="shared" si="80"/>
        <v>0.0146739130434783</v>
      </c>
      <c r="AC183" s="46">
        <v>0.06</v>
      </c>
      <c r="AD183" s="47"/>
      <c r="AF183" s="55" t="s">
        <v>114</v>
      </c>
      <c r="AG183" s="39">
        <f t="shared" si="66"/>
        <v>0</v>
      </c>
      <c r="AH183" s="39">
        <f t="shared" si="67"/>
        <v>0</v>
      </c>
      <c r="AI183" s="39">
        <f t="shared" si="68"/>
        <v>0</v>
      </c>
      <c r="AJ183" s="39">
        <f t="shared" si="69"/>
        <v>0</v>
      </c>
      <c r="AK183" s="39">
        <f t="shared" si="70"/>
        <v>0</v>
      </c>
      <c r="AL183" s="39">
        <f t="shared" si="71"/>
        <v>0</v>
      </c>
      <c r="AM183" s="39">
        <f t="shared" si="72"/>
        <v>0</v>
      </c>
      <c r="AN183" s="39">
        <f t="shared" si="73"/>
        <v>0</v>
      </c>
    </row>
    <row r="184" s="6" customFormat="1" ht="50" hidden="1" customHeight="1" spans="1:40">
      <c r="A184" s="37" t="s">
        <v>108</v>
      </c>
      <c r="B184" s="37" t="s">
        <v>206</v>
      </c>
      <c r="C184" s="37" t="str">
        <f>_xlfn.XLOOKUP(F184,'6月产品包'!B:B,'6月产品包'!H:H)</f>
        <v>耳机</v>
      </c>
      <c r="D184" s="38" t="str">
        <f>_xlfn.XLOOKUP(F184,'6月产品包'!B:B,'6月产品包'!O:O)</f>
        <v>无线三模耳机K91W</v>
      </c>
      <c r="E184" s="38" t="s">
        <v>424</v>
      </c>
      <c r="F184" s="37" t="s">
        <v>425</v>
      </c>
      <c r="G184" s="39" t="s">
        <v>100</v>
      </c>
      <c r="H184" s="37" t="s">
        <v>107</v>
      </c>
      <c r="I184" s="37" t="str">
        <f>_xlfn.XLOOKUP($F184,'6月库存'!A:A,'6月库存'!B:B)</f>
        <v>正常销售</v>
      </c>
      <c r="J184" s="12"/>
      <c r="K184" s="39" t="e">
        <f>_xlfn.XLOOKUP(E184,'[1]6月分配 '!$B:$B,'[1]6月分配 '!$K:$K)</f>
        <v>#N/A</v>
      </c>
      <c r="L184" s="12" t="str">
        <f t="shared" si="74"/>
        <v>否</v>
      </c>
      <c r="M184" s="40" t="str">
        <f>_xlfn.XLOOKUP(F184,'6月产品包'!B:B,'6月产品包'!J:J)</f>
        <v>2025-08-28</v>
      </c>
      <c r="N184" s="39" t="str">
        <f ca="1" t="shared" si="81"/>
        <v>老品</v>
      </c>
      <c r="O184" s="37">
        <f>_xlfn.XLOOKUP(F184,'6月库存'!A:A,'6月库存'!R:R)</f>
        <v>0</v>
      </c>
      <c r="P184" s="39">
        <f>_xlfn.XLOOKUP(F184,'6月产品包'!B:B,'6月产品包'!S:S)</f>
        <v>475</v>
      </c>
      <c r="Q184" s="39"/>
      <c r="R184" s="41">
        <f>_xlfn.XLOOKUP(F184,'6月产品包'!B:B,'6月产品包'!AD:AD)</f>
        <v>48.2444</v>
      </c>
      <c r="S184" s="39">
        <v>102</v>
      </c>
      <c r="T184" s="39">
        <f t="shared" si="75"/>
        <v>128</v>
      </c>
      <c r="U184" s="42">
        <f t="shared" si="65"/>
        <v>102.4</v>
      </c>
      <c r="V184" s="43">
        <v>0.2</v>
      </c>
      <c r="W184" s="44">
        <f t="shared" si="76"/>
        <v>0.52886328125</v>
      </c>
      <c r="X184" s="44">
        <f t="shared" si="79"/>
        <v>0.357008817665185</v>
      </c>
      <c r="Y184" s="44">
        <v>0.038</v>
      </c>
      <c r="Z184" s="46">
        <v>0.115</v>
      </c>
      <c r="AA184" s="46">
        <v>0.049</v>
      </c>
      <c r="AB184" s="46">
        <f t="shared" si="80"/>
        <v>0.0052734375</v>
      </c>
      <c r="AC184" s="46">
        <v>0.06</v>
      </c>
      <c r="AD184" s="47"/>
      <c r="AF184" s="48" t="s">
        <v>102</v>
      </c>
      <c r="AG184" s="39">
        <f t="shared" si="66"/>
        <v>6</v>
      </c>
      <c r="AH184" s="39">
        <f t="shared" si="67"/>
        <v>6</v>
      </c>
      <c r="AI184" s="39">
        <f t="shared" si="68"/>
        <v>0</v>
      </c>
      <c r="AJ184" s="39">
        <f t="shared" si="69"/>
        <v>0</v>
      </c>
      <c r="AK184" s="39">
        <f t="shared" si="70"/>
        <v>0</v>
      </c>
      <c r="AL184" s="39">
        <f t="shared" si="71"/>
        <v>0</v>
      </c>
      <c r="AM184" s="39">
        <f t="shared" si="72"/>
        <v>0</v>
      </c>
      <c r="AN184" s="39">
        <f t="shared" si="73"/>
        <v>0</v>
      </c>
    </row>
    <row r="185" s="6" customFormat="1" ht="50" hidden="1" customHeight="1" spans="1:40">
      <c r="A185" s="37" t="s">
        <v>96</v>
      </c>
      <c r="B185" s="37" t="s">
        <v>115</v>
      </c>
      <c r="C185" s="37" t="str">
        <f>_xlfn.XLOOKUP(F185,'6月产品包'!B:B,'6月产品包'!H:H)</f>
        <v>打印机</v>
      </c>
      <c r="D185" s="38" t="str">
        <f>_xlfn.XLOOKUP(F185,'6月产品包'!B:B,'6月产品包'!O:O)</f>
        <v>小票打印机</v>
      </c>
      <c r="E185" s="38" t="s">
        <v>300</v>
      </c>
      <c r="F185" s="37" t="s">
        <v>426</v>
      </c>
      <c r="G185" s="39" t="e">
        <v>#N/A</v>
      </c>
      <c r="H185" s="39" t="s">
        <v>101</v>
      </c>
      <c r="I185" s="37" t="str">
        <f>_xlfn.XLOOKUP($F185,'6月库存'!A:A,'6月库存'!B:B)</f>
        <v>正常销售</v>
      </c>
      <c r="J185" s="12"/>
      <c r="K185" s="39" t="e">
        <f>_xlfn.XLOOKUP(E185,'[1]6月分配 '!$B:$B,'[1]6月分配 '!$K:$K)</f>
        <v>#N/A</v>
      </c>
      <c r="L185" s="12" t="str">
        <f t="shared" si="74"/>
        <v>否</v>
      </c>
      <c r="M185" s="40" t="str">
        <f>_xlfn.XLOOKUP(F185,'6月产品包'!B:B,'6月产品包'!J:J)</f>
        <v>2025-11-04</v>
      </c>
      <c r="N185" s="39" t="str">
        <f ca="1" t="shared" si="81"/>
        <v>老品</v>
      </c>
      <c r="O185" s="37">
        <f>_xlfn.XLOOKUP(F185,'6月库存'!A:A,'6月库存'!R:R)</f>
        <v>1170</v>
      </c>
      <c r="P185" s="39">
        <f>_xlfn.XLOOKUP(F185,'6月产品包'!B:B,'6月产品包'!S:S)</f>
        <v>742</v>
      </c>
      <c r="Q185" s="39"/>
      <c r="R185" s="41">
        <f>_xlfn.XLOOKUP(F185,'6月产品包'!B:B,'6月产品包'!AD:AD)</f>
        <v>30.9198</v>
      </c>
      <c r="S185" s="39">
        <v>65</v>
      </c>
      <c r="T185" s="39">
        <f t="shared" si="75"/>
        <v>81</v>
      </c>
      <c r="U185" s="42">
        <f t="shared" si="65"/>
        <v>64.8</v>
      </c>
      <c r="V185" s="43">
        <v>0.2</v>
      </c>
      <c r="W185" s="44">
        <f t="shared" si="76"/>
        <v>0.522842592592593</v>
      </c>
      <c r="X185" s="44">
        <f t="shared" ref="X185:X222" si="82">(U185*(1-Y185-Z185-AA185-AC185-AB185)-R185)/(U185*(1-Y185-Z185-AA185-AC185-AB185))</f>
        <v>0.35750797925394</v>
      </c>
      <c r="Y185" s="44">
        <v>0.04</v>
      </c>
      <c r="Z185" s="46">
        <v>0.1</v>
      </c>
      <c r="AA185" s="46">
        <v>0.049</v>
      </c>
      <c r="AB185" s="46">
        <f t="shared" ref="AB185:AB214" si="83">$AB$1/U185</f>
        <v>0.00833333333333333</v>
      </c>
      <c r="AC185" s="46">
        <v>0.06</v>
      </c>
      <c r="AD185" s="47"/>
      <c r="AF185" s="48" t="s">
        <v>102</v>
      </c>
      <c r="AG185" s="39">
        <f t="shared" si="66"/>
        <v>3.888</v>
      </c>
      <c r="AH185" s="39">
        <f t="shared" si="67"/>
        <v>3.888</v>
      </c>
      <c r="AI185" s="39">
        <f t="shared" si="68"/>
        <v>0</v>
      </c>
      <c r="AJ185" s="39">
        <f t="shared" si="69"/>
        <v>0</v>
      </c>
      <c r="AK185" s="39">
        <f t="shared" si="70"/>
        <v>0</v>
      </c>
      <c r="AL185" s="39">
        <f t="shared" si="71"/>
        <v>0</v>
      </c>
      <c r="AM185" s="39">
        <f t="shared" si="72"/>
        <v>0</v>
      </c>
      <c r="AN185" s="39">
        <f t="shared" si="73"/>
        <v>0</v>
      </c>
    </row>
    <row r="186" s="6" customFormat="1" ht="50" hidden="1" customHeight="1" spans="1:40">
      <c r="A186" s="37" t="s">
        <v>96</v>
      </c>
      <c r="B186" s="37" t="s">
        <v>115</v>
      </c>
      <c r="C186" s="37" t="str">
        <f>_xlfn.XLOOKUP(F186,'6月产品包'!B:B,'6月产品包'!H:H)</f>
        <v>打印机</v>
      </c>
      <c r="D186" s="38" t="str">
        <f>_xlfn.XLOOKUP(F186,'6月产品包'!B:B,'6月产品包'!O:O)</f>
        <v>4寸标签打印机</v>
      </c>
      <c r="E186" s="38" t="s">
        <v>427</v>
      </c>
      <c r="F186" s="39" t="s">
        <v>428</v>
      </c>
      <c r="G186" s="39" t="e">
        <v>#N/A</v>
      </c>
      <c r="H186" s="39" t="s">
        <v>101</v>
      </c>
      <c r="I186" s="37" t="str">
        <f>_xlfn.XLOOKUP($F186,'6月库存'!A:A,'6月库存'!B:B)</f>
        <v>正常销售</v>
      </c>
      <c r="J186" s="12"/>
      <c r="K186" s="39">
        <f>_xlfn.XLOOKUP(E186,'[1]6月分配 '!$B:$B,'[1]6月分配 '!$K:$K)</f>
        <v>5011</v>
      </c>
      <c r="L186" s="12" t="str">
        <f t="shared" si="74"/>
        <v>是</v>
      </c>
      <c r="M186" s="40" t="str">
        <f>_xlfn.XLOOKUP(F186,'6月产品包'!B:B,'6月产品包'!J:J)</f>
        <v>2025-11-13</v>
      </c>
      <c r="N186" s="39" t="str">
        <f ca="1" t="shared" si="81"/>
        <v>老品</v>
      </c>
      <c r="O186" s="37">
        <f>_xlfn.XLOOKUP(F186,'6月库存'!A:A,'6月库存'!R:R)</f>
        <v>24</v>
      </c>
      <c r="P186" s="39">
        <f>_xlfn.XLOOKUP(F186,'6月产品包'!B:B,'6月产品包'!S:S)</f>
        <v>900</v>
      </c>
      <c r="Q186" s="39"/>
      <c r="R186" s="41">
        <f>_xlfn.XLOOKUP(F186,'6月产品包'!B:B,'6月产品包'!AD:AD)</f>
        <v>93.757</v>
      </c>
      <c r="S186" s="39">
        <v>196</v>
      </c>
      <c r="T186" s="39">
        <f t="shared" si="75"/>
        <v>245</v>
      </c>
      <c r="U186" s="42">
        <f t="shared" si="65"/>
        <v>196</v>
      </c>
      <c r="V186" s="43">
        <v>0.2</v>
      </c>
      <c r="W186" s="44">
        <f t="shared" si="76"/>
        <v>0.521647959183673</v>
      </c>
      <c r="X186" s="44">
        <f t="shared" si="82"/>
        <v>0.360701232816932</v>
      </c>
      <c r="Y186" s="44">
        <v>0.04</v>
      </c>
      <c r="Z186" s="46">
        <v>0.1</v>
      </c>
      <c r="AA186" s="46">
        <v>0.049</v>
      </c>
      <c r="AB186" s="46">
        <f t="shared" si="83"/>
        <v>0.00275510204081633</v>
      </c>
      <c r="AC186" s="46">
        <v>0.06</v>
      </c>
      <c r="AD186" s="47"/>
      <c r="AF186" s="55" t="s">
        <v>114</v>
      </c>
      <c r="AG186" s="39">
        <f t="shared" si="66"/>
        <v>8.82</v>
      </c>
      <c r="AH186" s="39">
        <f t="shared" si="67"/>
        <v>6</v>
      </c>
      <c r="AI186" s="39">
        <f t="shared" si="68"/>
        <v>0</v>
      </c>
      <c r="AJ186" s="39">
        <f t="shared" si="69"/>
        <v>0</v>
      </c>
      <c r="AK186" s="39">
        <f t="shared" si="70"/>
        <v>0</v>
      </c>
      <c r="AL186" s="39">
        <f t="shared" si="71"/>
        <v>0</v>
      </c>
      <c r="AM186" s="39">
        <f t="shared" si="72"/>
        <v>0</v>
      </c>
      <c r="AN186" s="39">
        <f t="shared" si="73"/>
        <v>8.82</v>
      </c>
    </row>
    <row r="187" s="6" customFormat="1" ht="50" hidden="1" customHeight="1" spans="1:40">
      <c r="A187" s="37" t="s">
        <v>96</v>
      </c>
      <c r="B187" s="37" t="s">
        <v>97</v>
      </c>
      <c r="C187" s="37" t="str">
        <f>_xlfn.XLOOKUP(F187,'6月产品包'!B:B,'6月产品包'!H:H)</f>
        <v>密码锁</v>
      </c>
      <c r="D187" s="38" t="str">
        <f>_xlfn.XLOOKUP(F187,'6月产品包'!B:B,'6月产品包'!O:O)</f>
        <v>R2A房间门锁五功能带APP</v>
      </c>
      <c r="E187" s="38" t="s">
        <v>429</v>
      </c>
      <c r="F187" s="37" t="s">
        <v>430</v>
      </c>
      <c r="G187" s="39" t="s">
        <v>106</v>
      </c>
      <c r="H187" s="37" t="s">
        <v>101</v>
      </c>
      <c r="I187" s="37" t="str">
        <f>_xlfn.XLOOKUP($F187,'6月库存'!A:A,'6月库存'!B:B)</f>
        <v>正常销售</v>
      </c>
      <c r="J187" s="12"/>
      <c r="K187" s="39" t="e">
        <f>_xlfn.XLOOKUP(E187,'[1]6月分配 '!$B:$B,'[1]6月分配 '!$K:$K)</f>
        <v>#N/A</v>
      </c>
      <c r="L187" s="12" t="str">
        <f t="shared" si="74"/>
        <v>否</v>
      </c>
      <c r="M187" s="40" t="str">
        <f>_xlfn.XLOOKUP(F187,'6月产品包'!B:B,'6月产品包'!J:J)</f>
        <v>2025-10-30</v>
      </c>
      <c r="N187" s="39" t="str">
        <f ca="1" t="shared" si="81"/>
        <v>老品</v>
      </c>
      <c r="O187" s="37">
        <f>_xlfn.XLOOKUP(F187,'6月库存'!A:A,'6月库存'!R:R)</f>
        <v>1</v>
      </c>
      <c r="P187" s="39">
        <f>_xlfn.XLOOKUP(F187,'6月产品包'!B:B,'6月产品包'!S:S)</f>
        <v>1394</v>
      </c>
      <c r="Q187" s="39"/>
      <c r="R187" s="41">
        <f>_xlfn.XLOOKUP(F187,'6月产品包'!B:B,'6月产品包'!AD:AD)</f>
        <v>77.0936</v>
      </c>
      <c r="S187" s="39">
        <v>175</v>
      </c>
      <c r="T187" s="39">
        <f t="shared" si="75"/>
        <v>219</v>
      </c>
      <c r="U187" s="42">
        <f t="shared" si="65"/>
        <v>175.2</v>
      </c>
      <c r="V187" s="43">
        <v>0.2</v>
      </c>
      <c r="W187" s="44">
        <f t="shared" si="76"/>
        <v>0.55996803652968</v>
      </c>
      <c r="X187" s="44">
        <f t="shared" si="82"/>
        <v>0.401250100964914</v>
      </c>
      <c r="Y187" s="51">
        <v>0.038</v>
      </c>
      <c r="Z187" s="45">
        <v>0.115</v>
      </c>
      <c r="AA187" s="46">
        <v>0.049</v>
      </c>
      <c r="AB187" s="46">
        <f t="shared" si="83"/>
        <v>0.00308219178082192</v>
      </c>
      <c r="AC187" s="46">
        <v>0.06</v>
      </c>
      <c r="AD187" s="47"/>
      <c r="AF187" s="48" t="s">
        <v>102</v>
      </c>
      <c r="AG187" s="39">
        <f t="shared" si="66"/>
        <v>6</v>
      </c>
      <c r="AH187" s="39">
        <f t="shared" si="67"/>
        <v>6</v>
      </c>
      <c r="AI187" s="39">
        <f t="shared" si="68"/>
        <v>0</v>
      </c>
      <c r="AJ187" s="39">
        <f t="shared" si="69"/>
        <v>0</v>
      </c>
      <c r="AK187" s="39">
        <f t="shared" si="70"/>
        <v>0</v>
      </c>
      <c r="AL187" s="39">
        <f t="shared" si="71"/>
        <v>0</v>
      </c>
      <c r="AM187" s="39">
        <f t="shared" si="72"/>
        <v>0</v>
      </c>
      <c r="AN187" s="39">
        <f t="shared" si="73"/>
        <v>0</v>
      </c>
    </row>
    <row r="188" s="6" customFormat="1" ht="50" hidden="1" customHeight="1" spans="1:40">
      <c r="A188" s="37" t="s">
        <v>96</v>
      </c>
      <c r="B188" s="37" t="s">
        <v>115</v>
      </c>
      <c r="C188" s="37" t="str">
        <f>_xlfn.XLOOKUP(F188,'6月产品包'!B:B,'6月产品包'!H:H)</f>
        <v>银钱盒</v>
      </c>
      <c r="D188" s="38" t="str">
        <f>_xlfn.XLOOKUP(F188,'6月产品包'!B:B,'6月产品包'!O:O)</f>
        <v>迷你收银箱</v>
      </c>
      <c r="E188" s="38" t="s">
        <v>431</v>
      </c>
      <c r="F188" s="39" t="s">
        <v>432</v>
      </c>
      <c r="G188" s="49" t="s">
        <v>100</v>
      </c>
      <c r="H188" s="39" t="s">
        <v>101</v>
      </c>
      <c r="I188" s="37" t="str">
        <f>_xlfn.XLOOKUP($F188,'6月库存'!A:A,'6月库存'!B:B)</f>
        <v>正常销售</v>
      </c>
      <c r="J188" s="12"/>
      <c r="K188" s="39">
        <f>_xlfn.XLOOKUP(E188,'[1]6月分配 '!$B:$B,'[1]6月分配 '!$K:$K)</f>
        <v>4906</v>
      </c>
      <c r="L188" s="12" t="str">
        <f t="shared" si="74"/>
        <v>是</v>
      </c>
      <c r="M188" s="40" t="str">
        <f>_xlfn.XLOOKUP(F188,'6月产品包'!B:B,'6月产品包'!J:J)</f>
        <v>2025-11-18</v>
      </c>
      <c r="N188" s="39" t="s">
        <v>149</v>
      </c>
      <c r="O188" s="37">
        <f>_xlfn.XLOOKUP(F188,'6月库存'!A:A,'6月库存'!R:R)</f>
        <v>148</v>
      </c>
      <c r="P188" s="39">
        <f>_xlfn.XLOOKUP(F188,'6月产品包'!B:B,'6月产品包'!S:S)</f>
        <v>470</v>
      </c>
      <c r="Q188" s="39"/>
      <c r="R188" s="41">
        <f>_xlfn.XLOOKUP(F188,'6月产品包'!B:B,'6月产品包'!AD:AD)</f>
        <v>13.5198</v>
      </c>
      <c r="S188" s="39">
        <v>26</v>
      </c>
      <c r="T188" s="39">
        <f t="shared" si="75"/>
        <v>33</v>
      </c>
      <c r="U188" s="42">
        <f t="shared" si="65"/>
        <v>26.4</v>
      </c>
      <c r="V188" s="43">
        <v>0.2</v>
      </c>
      <c r="W188" s="44">
        <f t="shared" si="76"/>
        <v>0.487886363636364</v>
      </c>
      <c r="X188" s="44">
        <f t="shared" si="82"/>
        <v>0.298998257839721</v>
      </c>
      <c r="Y188" s="44">
        <v>0.04</v>
      </c>
      <c r="Z188" s="46">
        <v>0.1</v>
      </c>
      <c r="AA188" s="46">
        <v>0.049</v>
      </c>
      <c r="AB188" s="46">
        <f t="shared" si="83"/>
        <v>0.0204545454545455</v>
      </c>
      <c r="AC188" s="46">
        <v>0.06</v>
      </c>
      <c r="AD188" s="47"/>
      <c r="AF188" s="55" t="s">
        <v>114</v>
      </c>
      <c r="AG188" s="39">
        <f t="shared" si="66"/>
        <v>0</v>
      </c>
      <c r="AH188" s="39">
        <f t="shared" si="67"/>
        <v>0</v>
      </c>
      <c r="AI188" s="39">
        <f t="shared" si="68"/>
        <v>0</v>
      </c>
      <c r="AJ188" s="39">
        <f t="shared" si="69"/>
        <v>0</v>
      </c>
      <c r="AK188" s="39">
        <f t="shared" si="70"/>
        <v>0</v>
      </c>
      <c r="AL188" s="39">
        <f t="shared" si="71"/>
        <v>0</v>
      </c>
      <c r="AM188" s="39">
        <f t="shared" si="72"/>
        <v>0</v>
      </c>
      <c r="AN188" s="39">
        <f t="shared" si="73"/>
        <v>0</v>
      </c>
    </row>
    <row r="189" s="6" customFormat="1" ht="50" hidden="1" customHeight="1" spans="1:40">
      <c r="A189" s="39" t="str">
        <f>_xlfn.XLOOKUP(F189,'6月产品包'!B:B,'6月产品包'!F:F)</f>
        <v>办公安防</v>
      </c>
      <c r="B189" s="39" t="str">
        <f>_xlfn.XLOOKUP(F189,'6月产品包'!B:B,'6月产品包'!G:G)</f>
        <v>应急安防</v>
      </c>
      <c r="C189" s="37" t="str">
        <f>_xlfn.XLOOKUP(F189,'6月产品包'!B:B,'6月产品包'!H:H)</f>
        <v>单相电子式电度表</v>
      </c>
      <c r="D189" s="38" t="str">
        <f>_xlfn.XLOOKUP(F189,'6月产品包'!B:B,'6月产品包'!O:O)</f>
        <v>机械计量电表1P</v>
      </c>
      <c r="E189" s="38" t="str">
        <f>_xlfn.XLOOKUP(F189,'6月产品包'!B:B,'6月产品包'!C:C)</f>
        <v>3B-导轨单相计量电能表1P机械计量款</v>
      </c>
      <c r="F189" s="39" t="s">
        <v>433</v>
      </c>
      <c r="G189" s="11"/>
      <c r="H189" s="39" t="s">
        <v>101</v>
      </c>
      <c r="I189" s="39" t="str">
        <f>_xlfn.XLOOKUP($F189,'6月库存'!A:A,'6月库存'!B:B)</f>
        <v>正常销售</v>
      </c>
      <c r="J189" s="12"/>
      <c r="K189" s="39">
        <f>_xlfn.XLOOKUP(E189,'[1]6月分配 '!$B:$B,'[1]6月分配 '!$K:$K)</f>
        <v>4852</v>
      </c>
      <c r="L189" s="12" t="str">
        <f t="shared" si="74"/>
        <v>是</v>
      </c>
      <c r="M189" s="40" t="str">
        <f>_xlfn.XLOOKUP(F189,'6月产品包'!B:B,'6月产品包'!J:J)</f>
        <v>2026-02-04</v>
      </c>
      <c r="N189" s="39" t="s">
        <v>149</v>
      </c>
      <c r="O189" s="37">
        <f>_xlfn.XLOOKUP(F189,'6月库存'!A:A,'6月库存'!R:R)</f>
        <v>99</v>
      </c>
      <c r="P189" s="39">
        <f>_xlfn.XLOOKUP(F189,'6月产品包'!B:B,'6月产品包'!S:S)</f>
        <v>90</v>
      </c>
      <c r="Q189" s="13"/>
      <c r="R189" s="41">
        <f>_xlfn.XLOOKUP(F189,'6月产品包'!B:B,'6月产品包'!AD:AD)</f>
        <v>19.2096</v>
      </c>
      <c r="S189" s="39">
        <v>38</v>
      </c>
      <c r="T189" s="39">
        <f t="shared" si="75"/>
        <v>48</v>
      </c>
      <c r="U189" s="42">
        <f t="shared" si="65"/>
        <v>38.4</v>
      </c>
      <c r="V189" s="43">
        <v>10.2</v>
      </c>
      <c r="W189" s="44">
        <f t="shared" si="76"/>
        <v>0.49975</v>
      </c>
      <c r="X189" s="44">
        <f t="shared" si="82"/>
        <v>0.313727171396725</v>
      </c>
      <c r="Y189" s="44">
        <v>0.038</v>
      </c>
      <c r="Z189" s="46">
        <v>0.09</v>
      </c>
      <c r="AA189" s="46">
        <v>0.049</v>
      </c>
      <c r="AB189" s="46">
        <f t="shared" si="83"/>
        <v>0.0140625</v>
      </c>
      <c r="AC189" s="46">
        <v>0.08</v>
      </c>
      <c r="AD189" s="11"/>
      <c r="AE189" s="11"/>
      <c r="AF189" s="55" t="s">
        <v>114</v>
      </c>
      <c r="AG189" s="39">
        <f t="shared" si="66"/>
        <v>0</v>
      </c>
      <c r="AH189" s="39">
        <f t="shared" si="67"/>
        <v>0</v>
      </c>
      <c r="AI189" s="39">
        <f t="shared" si="68"/>
        <v>0</v>
      </c>
      <c r="AJ189" s="39">
        <f t="shared" si="69"/>
        <v>0</v>
      </c>
      <c r="AK189" s="39">
        <f t="shared" si="70"/>
        <v>0</v>
      </c>
      <c r="AL189" s="39">
        <f t="shared" si="71"/>
        <v>0</v>
      </c>
      <c r="AM189" s="39">
        <f t="shared" si="72"/>
        <v>0</v>
      </c>
      <c r="AN189" s="39">
        <f t="shared" si="73"/>
        <v>0</v>
      </c>
    </row>
    <row r="190" s="6" customFormat="1" ht="50" hidden="1" customHeight="1" spans="1:40">
      <c r="A190" s="37" t="s">
        <v>96</v>
      </c>
      <c r="B190" s="37" t="s">
        <v>115</v>
      </c>
      <c r="C190" s="37" t="str">
        <f>_xlfn.XLOOKUP(F190,'6月产品包'!B:B,'6月产品包'!H:H)</f>
        <v>银钱盒</v>
      </c>
      <c r="D190" s="38" t="str">
        <f>_xlfn.XLOOKUP(F190,'6月产品包'!B:B,'6月产品包'!O:O)</f>
        <v>迷你收银箱</v>
      </c>
      <c r="E190" s="38" t="s">
        <v>434</v>
      </c>
      <c r="F190" s="39" t="s">
        <v>435</v>
      </c>
      <c r="G190" s="49" t="s">
        <v>100</v>
      </c>
      <c r="H190" s="39" t="s">
        <v>101</v>
      </c>
      <c r="I190" s="37" t="str">
        <f>_xlfn.XLOOKUP($F190,'6月库存'!A:A,'6月库存'!B:B)</f>
        <v>正常销售</v>
      </c>
      <c r="J190" s="12"/>
      <c r="K190" s="39">
        <f>_xlfn.XLOOKUP(E190,'[1]6月分配 '!$B:$B,'[1]6月分配 '!$K:$K)</f>
        <v>4569</v>
      </c>
      <c r="L190" s="12" t="str">
        <f t="shared" si="74"/>
        <v>是</v>
      </c>
      <c r="M190" s="40" t="str">
        <f>_xlfn.XLOOKUP(F190,'6月产品包'!B:B,'6月产品包'!J:J)</f>
        <v>2025-11-18</v>
      </c>
      <c r="N190" s="39" t="s">
        <v>149</v>
      </c>
      <c r="O190" s="37">
        <f>_xlfn.XLOOKUP(F190,'6月库存'!A:A,'6月库存'!R:R)</f>
        <v>528</v>
      </c>
      <c r="P190" s="39">
        <f>_xlfn.XLOOKUP(F190,'6月产品包'!B:B,'6月产品包'!S:S)</f>
        <v>1050</v>
      </c>
      <c r="Q190" s="39"/>
      <c r="R190" s="41">
        <f>_xlfn.XLOOKUP(F190,'6月产品包'!B:B,'6月产品包'!AD:AD)</f>
        <v>14.326</v>
      </c>
      <c r="S190" s="39">
        <v>27</v>
      </c>
      <c r="T190" s="39">
        <f t="shared" si="75"/>
        <v>34</v>
      </c>
      <c r="U190" s="42">
        <f t="shared" si="65"/>
        <v>27.2</v>
      </c>
      <c r="V190" s="43">
        <v>0.2</v>
      </c>
      <c r="W190" s="44">
        <f t="shared" si="76"/>
        <v>0.473308823529412</v>
      </c>
      <c r="X190" s="44">
        <f t="shared" si="82"/>
        <v>0.279637153545999</v>
      </c>
      <c r="Y190" s="44">
        <v>0.04</v>
      </c>
      <c r="Z190" s="46">
        <v>0.1</v>
      </c>
      <c r="AA190" s="46">
        <v>0.049</v>
      </c>
      <c r="AB190" s="46">
        <f t="shared" si="83"/>
        <v>0.0198529411764706</v>
      </c>
      <c r="AC190" s="46">
        <v>0.06</v>
      </c>
      <c r="AD190" s="47"/>
      <c r="AF190" s="55" t="s">
        <v>114</v>
      </c>
      <c r="AG190" s="39">
        <f t="shared" si="66"/>
        <v>0</v>
      </c>
      <c r="AH190" s="39">
        <f t="shared" si="67"/>
        <v>0</v>
      </c>
      <c r="AI190" s="39">
        <f t="shared" si="68"/>
        <v>0</v>
      </c>
      <c r="AJ190" s="39">
        <f t="shared" si="69"/>
        <v>0</v>
      </c>
      <c r="AK190" s="39">
        <f t="shared" si="70"/>
        <v>0</v>
      </c>
      <c r="AL190" s="39">
        <f t="shared" si="71"/>
        <v>0</v>
      </c>
      <c r="AM190" s="39">
        <f t="shared" si="72"/>
        <v>0</v>
      </c>
      <c r="AN190" s="39">
        <f t="shared" si="73"/>
        <v>0</v>
      </c>
    </row>
    <row r="191" s="6" customFormat="1" ht="50" hidden="1" customHeight="1" spans="1:40">
      <c r="A191" s="37" t="s">
        <v>96</v>
      </c>
      <c r="B191" s="37" t="s">
        <v>115</v>
      </c>
      <c r="C191" s="37" t="str">
        <f>_xlfn.XLOOKUP(F191,'6月产品包'!B:B,'6月产品包'!H:H)</f>
        <v>点钞机</v>
      </c>
      <c r="D191" s="38" t="str">
        <f>_xlfn.XLOOKUP(F191,'6月产品包'!B:B,'6月产品包'!O:O)</f>
        <v>6088型外币点钞机</v>
      </c>
      <c r="E191" s="38" t="s">
        <v>436</v>
      </c>
      <c r="F191" s="39" t="s">
        <v>437</v>
      </c>
      <c r="G191" s="39" t="e">
        <v>#N/A</v>
      </c>
      <c r="H191" s="39" t="s">
        <v>101</v>
      </c>
      <c r="I191" s="37" t="str">
        <f>_xlfn.XLOOKUP($F191,'6月库存'!A:A,'6月库存'!B:B)</f>
        <v>正常销售</v>
      </c>
      <c r="J191" s="12"/>
      <c r="K191" s="39" t="e">
        <f>_xlfn.XLOOKUP(E191,'[1]6月分配 '!$B:$B,'[1]6月分配 '!$K:$K)</f>
        <v>#N/A</v>
      </c>
      <c r="L191" s="12" t="str">
        <f t="shared" si="74"/>
        <v>否</v>
      </c>
      <c r="M191" s="40" t="str">
        <f>_xlfn.XLOOKUP(F191,'6月产品包'!B:B,'6月产品包'!J:J)</f>
        <v>2025-11-18</v>
      </c>
      <c r="N191" s="39" t="str">
        <f ca="1" t="shared" si="81"/>
        <v>老品</v>
      </c>
      <c r="O191" s="37">
        <f>_xlfn.XLOOKUP(F191,'6月库存'!A:A,'6月库存'!R:R)</f>
        <v>10</v>
      </c>
      <c r="P191" s="39">
        <f>_xlfn.XLOOKUP(F191,'6月产品包'!B:B,'6月产品包'!S:S)</f>
        <v>12800</v>
      </c>
      <c r="Q191" s="39"/>
      <c r="R191" s="41">
        <f>_xlfn.XLOOKUP(F191,'6月产品包'!B:B,'6月产品包'!AD:AD)</f>
        <v>202.6462</v>
      </c>
      <c r="S191" s="39">
        <v>409</v>
      </c>
      <c r="T191" s="39">
        <f t="shared" si="75"/>
        <v>511</v>
      </c>
      <c r="U191" s="42">
        <f t="shared" si="65"/>
        <v>408.8</v>
      </c>
      <c r="V191" s="43">
        <v>0.2</v>
      </c>
      <c r="W191" s="44">
        <f t="shared" si="76"/>
        <v>0.50429011741683</v>
      </c>
      <c r="X191" s="44">
        <f t="shared" si="82"/>
        <v>0.340529877013756</v>
      </c>
      <c r="Y191" s="44">
        <v>0.038</v>
      </c>
      <c r="Z191" s="46">
        <v>0.1</v>
      </c>
      <c r="AA191" s="46">
        <v>0.049</v>
      </c>
      <c r="AB191" s="46">
        <f t="shared" si="83"/>
        <v>0.00132093933463796</v>
      </c>
      <c r="AC191" s="46">
        <v>0.06</v>
      </c>
      <c r="AD191" s="49"/>
      <c r="AF191" s="48" t="s">
        <v>102</v>
      </c>
      <c r="AG191" s="39">
        <f t="shared" si="66"/>
        <v>34.3392</v>
      </c>
      <c r="AH191" s="39">
        <f t="shared" si="67"/>
        <v>6</v>
      </c>
      <c r="AI191" s="39">
        <f t="shared" si="68"/>
        <v>21</v>
      </c>
      <c r="AJ191" s="39">
        <f t="shared" si="69"/>
        <v>34.3392</v>
      </c>
      <c r="AK191" s="39">
        <f t="shared" si="70"/>
        <v>30.66</v>
      </c>
      <c r="AL191" s="39">
        <f t="shared" si="71"/>
        <v>26.9808</v>
      </c>
      <c r="AM191" s="39">
        <f t="shared" si="72"/>
        <v>22.0752</v>
      </c>
      <c r="AN191" s="39">
        <f t="shared" si="73"/>
        <v>18</v>
      </c>
    </row>
    <row r="192" s="6" customFormat="1" ht="50" hidden="1" customHeight="1" spans="1:40">
      <c r="A192" s="37" t="s">
        <v>96</v>
      </c>
      <c r="B192" s="37" t="s">
        <v>115</v>
      </c>
      <c r="C192" s="37" t="str">
        <f>_xlfn.XLOOKUP(F192,'6月产品包'!B:B,'6月产品包'!H:H)</f>
        <v>收银箱</v>
      </c>
      <c r="D192" s="38" t="str">
        <f>_xlfn.XLOOKUP(F192,'6月产品包'!B:B,'6月产品包'!O:O)</f>
        <v>商超收银箱</v>
      </c>
      <c r="E192" s="38" t="s">
        <v>341</v>
      </c>
      <c r="F192" s="39" t="s">
        <v>438</v>
      </c>
      <c r="G192" s="39" t="e">
        <v>#N/A</v>
      </c>
      <c r="H192" s="39" t="s">
        <v>101</v>
      </c>
      <c r="I192" s="37" t="str">
        <f>_xlfn.XLOOKUP($F192,'6月库存'!A:A,'6月库存'!B:B)</f>
        <v>正常销售</v>
      </c>
      <c r="J192" s="12"/>
      <c r="K192" s="39" t="e">
        <f>_xlfn.XLOOKUP(E192,'[1]6月分配 '!$B:$B,'[1]6月分配 '!$K:$K)</f>
        <v>#N/A</v>
      </c>
      <c r="L192" s="12" t="str">
        <f t="shared" si="74"/>
        <v>否</v>
      </c>
      <c r="M192" s="40" t="str">
        <f>_xlfn.XLOOKUP(F192,'6月产品包'!B:B,'6月产品包'!J:J)</f>
        <v>2024-01-27</v>
      </c>
      <c r="N192" s="39" t="str">
        <f ca="1" t="shared" si="81"/>
        <v>老品</v>
      </c>
      <c r="O192" s="37">
        <f>_xlfn.XLOOKUP(F192,'6月库存'!A:A,'6月库存'!R:R)</f>
        <v>0</v>
      </c>
      <c r="P192" s="39">
        <f>_xlfn.XLOOKUP(F192,'6月产品包'!B:B,'6月产品包'!S:S)</f>
        <v>3600</v>
      </c>
      <c r="Q192" s="39"/>
      <c r="R192" s="41">
        <f>_xlfn.XLOOKUP(F192,'6月产品包'!B:B,'6月产品包'!AD:AD)</f>
        <v>56.7704</v>
      </c>
      <c r="S192" s="39">
        <v>109</v>
      </c>
      <c r="T192" s="39">
        <f t="shared" si="75"/>
        <v>136</v>
      </c>
      <c r="U192" s="42">
        <f t="shared" si="65"/>
        <v>108.8</v>
      </c>
      <c r="V192" s="43">
        <v>0.2</v>
      </c>
      <c r="W192" s="44">
        <f t="shared" si="76"/>
        <v>0.478213235294118</v>
      </c>
      <c r="X192" s="44">
        <f t="shared" si="82"/>
        <v>0.300588403425947</v>
      </c>
      <c r="Y192" s="44">
        <v>0.04</v>
      </c>
      <c r="Z192" s="46">
        <v>0.1</v>
      </c>
      <c r="AA192" s="46">
        <v>0.049</v>
      </c>
      <c r="AB192" s="46">
        <f t="shared" si="83"/>
        <v>0.00496323529411765</v>
      </c>
      <c r="AC192" s="46">
        <v>0.06</v>
      </c>
      <c r="AD192" s="47"/>
      <c r="AF192" s="48" t="s">
        <v>102</v>
      </c>
      <c r="AG192" s="39">
        <f t="shared" si="66"/>
        <v>6</v>
      </c>
      <c r="AH192" s="39">
        <f t="shared" si="67"/>
        <v>6</v>
      </c>
      <c r="AI192" s="39">
        <f t="shared" si="68"/>
        <v>0</v>
      </c>
      <c r="AJ192" s="39">
        <f t="shared" si="69"/>
        <v>0</v>
      </c>
      <c r="AK192" s="39">
        <f t="shared" si="70"/>
        <v>0</v>
      </c>
      <c r="AL192" s="39">
        <f t="shared" si="71"/>
        <v>0</v>
      </c>
      <c r="AM192" s="39">
        <f t="shared" si="72"/>
        <v>0</v>
      </c>
      <c r="AN192" s="39">
        <f t="shared" si="73"/>
        <v>0</v>
      </c>
    </row>
    <row r="193" s="6" customFormat="1" ht="50" hidden="1" customHeight="1" spans="1:40">
      <c r="A193" s="37" t="s">
        <v>96</v>
      </c>
      <c r="B193" s="37" t="s">
        <v>115</v>
      </c>
      <c r="C193" s="37" t="str">
        <f>_xlfn.XLOOKUP(F193,'6月产品包'!B:B,'6月产品包'!H:H)</f>
        <v>收银箱</v>
      </c>
      <c r="D193" s="38" t="str">
        <f>_xlfn.XLOOKUP(F193,'6月产品包'!B:B,'6月产品包'!O:O)</f>
        <v>商超收银箱</v>
      </c>
      <c r="E193" s="38" t="s">
        <v>343</v>
      </c>
      <c r="F193" s="39" t="s">
        <v>439</v>
      </c>
      <c r="G193" s="39" t="e">
        <v>#N/A</v>
      </c>
      <c r="H193" s="39" t="s">
        <v>101</v>
      </c>
      <c r="I193" s="37" t="str">
        <f>_xlfn.XLOOKUP($F193,'6月库存'!A:A,'6月库存'!B:B)</f>
        <v>正常销售</v>
      </c>
      <c r="J193" s="12"/>
      <c r="K193" s="39" t="e">
        <f>_xlfn.XLOOKUP(E193,'[1]6月分配 '!$B:$B,'[1]6月分配 '!$K:$K)</f>
        <v>#N/A</v>
      </c>
      <c r="L193" s="12" t="str">
        <f t="shared" si="74"/>
        <v>否</v>
      </c>
      <c r="M193" s="40" t="str">
        <f>_xlfn.XLOOKUP(F193,'6月产品包'!B:B,'6月产品包'!J:J)</f>
        <v>2024-01-27</v>
      </c>
      <c r="N193" s="39" t="str">
        <f ca="1" t="shared" si="81"/>
        <v>老品</v>
      </c>
      <c r="O193" s="37">
        <f>_xlfn.XLOOKUP(F193,'6月库存'!A:A,'6月库存'!R:R)</f>
        <v>461</v>
      </c>
      <c r="P193" s="39">
        <f>_xlfn.XLOOKUP(F193,'6月产品包'!B:B,'6月产品包'!S:S)</f>
        <v>5000</v>
      </c>
      <c r="Q193" s="39"/>
      <c r="R193" s="41">
        <f>_xlfn.XLOOKUP(F193,'6月产品包'!B:B,'6月产品包'!AD:AD)</f>
        <v>55.3552</v>
      </c>
      <c r="S193" s="39">
        <v>105</v>
      </c>
      <c r="T193" s="39">
        <f t="shared" si="75"/>
        <v>131</v>
      </c>
      <c r="U193" s="42">
        <f t="shared" si="65"/>
        <v>104.8</v>
      </c>
      <c r="V193" s="43">
        <v>0.2</v>
      </c>
      <c r="W193" s="44">
        <f t="shared" si="76"/>
        <v>0.471801526717557</v>
      </c>
      <c r="X193" s="44">
        <f t="shared" si="82"/>
        <v>0.291814218164698</v>
      </c>
      <c r="Y193" s="44">
        <v>0.04</v>
      </c>
      <c r="Z193" s="46">
        <v>0.1</v>
      </c>
      <c r="AA193" s="46">
        <v>0.049</v>
      </c>
      <c r="AB193" s="46">
        <f t="shared" si="83"/>
        <v>0.00515267175572519</v>
      </c>
      <c r="AC193" s="46">
        <v>0.06</v>
      </c>
      <c r="AD193" s="47"/>
      <c r="AF193" s="48" t="s">
        <v>102</v>
      </c>
      <c r="AG193" s="39">
        <f t="shared" si="66"/>
        <v>6</v>
      </c>
      <c r="AH193" s="39">
        <f t="shared" si="67"/>
        <v>6</v>
      </c>
      <c r="AI193" s="39">
        <f t="shared" si="68"/>
        <v>0</v>
      </c>
      <c r="AJ193" s="39">
        <f t="shared" si="69"/>
        <v>0</v>
      </c>
      <c r="AK193" s="39">
        <f t="shared" si="70"/>
        <v>0</v>
      </c>
      <c r="AL193" s="39">
        <f t="shared" si="71"/>
        <v>0</v>
      </c>
      <c r="AM193" s="39">
        <f t="shared" si="72"/>
        <v>0</v>
      </c>
      <c r="AN193" s="39">
        <f t="shared" si="73"/>
        <v>0</v>
      </c>
    </row>
    <row r="194" s="6" customFormat="1" ht="50" hidden="1" customHeight="1" spans="1:40">
      <c r="A194" s="39" t="str">
        <f>_xlfn.XLOOKUP(F194,'6月产品包'!B:B,'6月产品包'!F:F)</f>
        <v>3C数码</v>
      </c>
      <c r="B194" s="39" t="str">
        <f>_xlfn.XLOOKUP(F194,'6月产品包'!B:B,'6月产品包'!G:G)</f>
        <v>数码配件</v>
      </c>
      <c r="C194" s="37" t="str">
        <f>_xlfn.XLOOKUP(F194,'6月产品包'!B:B,'6月产品包'!H:H)</f>
        <v>耳机</v>
      </c>
      <c r="D194" s="38" t="str">
        <f>_xlfn.XLOOKUP(F194,'6月产品包'!B:B,'6月产品包'!O:O)</f>
        <v>无线四模头戴耳机K80</v>
      </c>
      <c r="E194" s="38" t="str">
        <f>_xlfn.XLOOKUP(F194,'6月产品包'!B:B,'6月产品包'!C:C)</f>
        <v>3C-无线四模头戴耳机黑白色K80</v>
      </c>
      <c r="F194" s="39" t="s">
        <v>440</v>
      </c>
      <c r="G194" s="39" t="s">
        <v>106</v>
      </c>
      <c r="H194" s="39" t="s">
        <v>107</v>
      </c>
      <c r="I194" s="37" t="str">
        <f>_xlfn.XLOOKUP($F194,'6月库存'!A:A,'6月库存'!B:B)</f>
        <v>正常销售</v>
      </c>
      <c r="J194" s="12"/>
      <c r="K194" s="39">
        <f>_xlfn.XLOOKUP(E194,'[1]6月分配 '!$B:$B,'[1]6月分配 '!$K:$K)</f>
        <v>4522</v>
      </c>
      <c r="L194" s="12" t="str">
        <f t="shared" si="74"/>
        <v>是</v>
      </c>
      <c r="M194" s="40" t="str">
        <f>_xlfn.XLOOKUP(F194,'6月产品包'!B:B,'6月产品包'!J:J)</f>
        <v>2026-03-07</v>
      </c>
      <c r="N194" s="39" t="str">
        <f ca="1" t="shared" si="81"/>
        <v>新品</v>
      </c>
      <c r="O194" s="37">
        <f>_xlfn.XLOOKUP(F194,'6月库存'!A:A,'6月库存'!R:R)</f>
        <v>35</v>
      </c>
      <c r="P194" s="39">
        <f>_xlfn.XLOOKUP(F194,'6月产品包'!B:B,'6月产品包'!S:S)</f>
        <v>525</v>
      </c>
      <c r="Q194" s="56"/>
      <c r="R194" s="41">
        <f>_xlfn.XLOOKUP(F194,'6月产品包'!B:B,'6月产品包'!AD:AD)</f>
        <v>57.0198</v>
      </c>
      <c r="S194" s="39">
        <v>108</v>
      </c>
      <c r="T194" s="39">
        <f t="shared" si="75"/>
        <v>135</v>
      </c>
      <c r="U194" s="42">
        <f t="shared" si="65"/>
        <v>108</v>
      </c>
      <c r="V194" s="43">
        <v>0.2</v>
      </c>
      <c r="W194" s="44">
        <f t="shared" si="76"/>
        <v>0.472038888888889</v>
      </c>
      <c r="X194" s="44">
        <f t="shared" si="82"/>
        <v>0.289419769702408</v>
      </c>
      <c r="Y194" s="44">
        <v>0.038</v>
      </c>
      <c r="Z194" s="46">
        <v>0.105</v>
      </c>
      <c r="AA194" s="46">
        <v>0.049</v>
      </c>
      <c r="AB194" s="46">
        <f t="shared" si="83"/>
        <v>0.005</v>
      </c>
      <c r="AC194" s="46">
        <v>0.06</v>
      </c>
      <c r="AD194" s="11"/>
      <c r="AE194" s="11"/>
      <c r="AF194" s="55" t="s">
        <v>114</v>
      </c>
      <c r="AG194" s="39">
        <f t="shared" si="66"/>
        <v>6</v>
      </c>
      <c r="AH194" s="39">
        <f t="shared" si="67"/>
        <v>6</v>
      </c>
      <c r="AI194" s="39">
        <f t="shared" si="68"/>
        <v>0</v>
      </c>
      <c r="AJ194" s="39">
        <f t="shared" si="69"/>
        <v>0</v>
      </c>
      <c r="AK194" s="39">
        <f t="shared" si="70"/>
        <v>0</v>
      </c>
      <c r="AL194" s="39">
        <f t="shared" si="71"/>
        <v>0</v>
      </c>
      <c r="AM194" s="39">
        <f t="shared" si="72"/>
        <v>0</v>
      </c>
      <c r="AN194" s="39">
        <f t="shared" si="73"/>
        <v>0</v>
      </c>
    </row>
    <row r="195" s="6" customFormat="1" ht="50" hidden="1" customHeight="1" spans="1:40">
      <c r="A195" s="39" t="str">
        <f>_xlfn.XLOOKUP(F195,'6月产品包'!B:B,'6月产品包'!F:F)</f>
        <v>3C数码</v>
      </c>
      <c r="B195" s="39" t="str">
        <f>_xlfn.XLOOKUP(F195,'6月产品包'!B:B,'6月产品包'!G:G)</f>
        <v>影像摄影</v>
      </c>
      <c r="C195" s="37" t="str">
        <f>_xlfn.XLOOKUP(F195,'6月产品包'!B:B,'6月产品包'!H:H)</f>
        <v>投影仪支架-2</v>
      </c>
      <c r="D195" s="38" t="str">
        <f>_xlfn.XLOOKUP(F195,'6月产品包'!B:B,'6月产品包'!O:O)</f>
        <v>投影仪支架托盘</v>
      </c>
      <c r="E195" s="38" t="str">
        <f>_xlfn.XLOOKUP(F195,'6月产品包'!B:B,'6月产品包'!C:C)</f>
        <v>3C-投影仪支架系列托盘</v>
      </c>
      <c r="F195" s="39" t="s">
        <v>441</v>
      </c>
      <c r="G195" s="39" t="e">
        <v>#N/A</v>
      </c>
      <c r="H195" s="39" t="s">
        <v>101</v>
      </c>
      <c r="I195" s="37" t="str">
        <f>_xlfn.XLOOKUP($F195,'6月库存'!A:A,'6月库存'!B:B)</f>
        <v>等待开发</v>
      </c>
      <c r="J195" s="12"/>
      <c r="K195" s="39" t="e">
        <f>_xlfn.XLOOKUP(E195,'[1]6月分配 '!$B:$B,'[1]6月分配 '!$K:$K)</f>
        <v>#N/A</v>
      </c>
      <c r="L195" s="12" t="str">
        <f t="shared" si="74"/>
        <v>否</v>
      </c>
      <c r="M195" s="40" t="str">
        <f>_xlfn.XLOOKUP(F195,'6月产品包'!B:B,'6月产品包'!J:J)</f>
        <v>2025-11-13</v>
      </c>
      <c r="N195" s="39" t="str">
        <f ca="1" t="shared" si="81"/>
        <v>老品</v>
      </c>
      <c r="O195" s="37">
        <f>_xlfn.XLOOKUP(F195,'6月库存'!A:A,'6月库存'!R:R)</f>
        <v>0</v>
      </c>
      <c r="P195" s="39">
        <f>_xlfn.XLOOKUP(F195,'6月产品包'!B:B,'6月产品包'!S:S)</f>
        <v>750</v>
      </c>
      <c r="Q195" s="39"/>
      <c r="R195" s="41">
        <f>_xlfn.XLOOKUP(F195,'6月产品包'!B:B,'6月产品包'!AD:AD)</f>
        <v>7.2268</v>
      </c>
      <c r="S195" s="39">
        <v>14</v>
      </c>
      <c r="T195" s="39">
        <f t="shared" si="75"/>
        <v>18</v>
      </c>
      <c r="U195" s="42">
        <f t="shared" si="65"/>
        <v>14.4</v>
      </c>
      <c r="V195" s="43">
        <v>0.2</v>
      </c>
      <c r="W195" s="44">
        <f t="shared" si="76"/>
        <v>0.498138888888889</v>
      </c>
      <c r="X195" s="44">
        <f t="shared" si="82"/>
        <v>0.283567293203268</v>
      </c>
      <c r="Y195" s="44">
        <v>0.038</v>
      </c>
      <c r="Z195" s="46">
        <v>0.115</v>
      </c>
      <c r="AA195" s="46">
        <v>0.049</v>
      </c>
      <c r="AB195" s="46">
        <f t="shared" si="83"/>
        <v>0.0375</v>
      </c>
      <c r="AC195" s="46">
        <v>0.06</v>
      </c>
      <c r="AD195" s="47"/>
      <c r="AF195" s="48" t="s">
        <v>102</v>
      </c>
      <c r="AG195" s="39">
        <f t="shared" si="66"/>
        <v>0</v>
      </c>
      <c r="AH195" s="39">
        <f t="shared" si="67"/>
        <v>0</v>
      </c>
      <c r="AI195" s="39">
        <f t="shared" si="68"/>
        <v>0</v>
      </c>
      <c r="AJ195" s="39">
        <f t="shared" si="69"/>
        <v>0</v>
      </c>
      <c r="AK195" s="39">
        <f t="shared" si="70"/>
        <v>0</v>
      </c>
      <c r="AL195" s="39">
        <f t="shared" si="71"/>
        <v>0</v>
      </c>
      <c r="AM195" s="39">
        <f t="shared" si="72"/>
        <v>0</v>
      </c>
      <c r="AN195" s="39">
        <f t="shared" si="73"/>
        <v>0</v>
      </c>
    </row>
    <row r="196" s="6" customFormat="1" ht="50" hidden="1" customHeight="1" spans="1:40">
      <c r="A196" s="37" t="s">
        <v>108</v>
      </c>
      <c r="B196" s="37" t="s">
        <v>109</v>
      </c>
      <c r="C196" s="37" t="str">
        <f>_xlfn.XLOOKUP(F196,'6月产品包'!B:B,'6月产品包'!H:H)</f>
        <v>显示器</v>
      </c>
      <c r="D196" s="38" t="str">
        <f>_xlfn.XLOOKUP(F196,'6月产品包'!B:B,'6月产品包'!O:O)</f>
        <v>15.6寸便携显示器非触摸款</v>
      </c>
      <c r="E196" s="38" t="s">
        <v>442</v>
      </c>
      <c r="F196" s="39" t="s">
        <v>443</v>
      </c>
      <c r="G196" s="39" t="s">
        <v>112</v>
      </c>
      <c r="H196" s="39" t="s">
        <v>101</v>
      </c>
      <c r="I196" s="37" t="str">
        <f>_xlfn.XLOOKUP($F196,'6月库存'!A:A,'6月库存'!B:B)</f>
        <v>正常销售</v>
      </c>
      <c r="J196" s="12"/>
      <c r="K196" s="39" t="e">
        <f>_xlfn.XLOOKUP(E196,'[1]6月分配 '!$B:$B,'[1]6月分配 '!$K:$K)</f>
        <v>#N/A</v>
      </c>
      <c r="L196" s="12" t="str">
        <f t="shared" si="74"/>
        <v>否</v>
      </c>
      <c r="M196" s="40" t="str">
        <f>_xlfn.XLOOKUP(F196,'6月产品包'!B:B,'6月产品包'!J:J)</f>
        <v>2025-11-27</v>
      </c>
      <c r="N196" s="39" t="str">
        <f ca="1" t="shared" si="81"/>
        <v>老品</v>
      </c>
      <c r="O196" s="37">
        <f>_xlfn.XLOOKUP(F196,'6月库存'!A:A,'6月库存'!R:R)</f>
        <v>180</v>
      </c>
      <c r="P196" s="39">
        <f>_xlfn.XLOOKUP(F196,'6月产品包'!B:B,'6月产品包'!S:S)</f>
        <v>1582</v>
      </c>
      <c r="Q196" s="39"/>
      <c r="R196" s="41">
        <f>_xlfn.XLOOKUP(F196,'6月产品包'!B:B,'6月产品包'!AD:AD)</f>
        <v>147.0242</v>
      </c>
      <c r="S196" s="39">
        <v>310</v>
      </c>
      <c r="T196" s="39">
        <f t="shared" si="75"/>
        <v>388</v>
      </c>
      <c r="U196" s="42">
        <f t="shared" si="65"/>
        <v>310.4</v>
      </c>
      <c r="V196" s="43">
        <v>0.2</v>
      </c>
      <c r="W196" s="44">
        <f t="shared" si="76"/>
        <v>0.52633956185567</v>
      </c>
      <c r="X196" s="44">
        <f t="shared" si="82"/>
        <v>0.377794386005302</v>
      </c>
      <c r="Y196" s="44">
        <v>0.038</v>
      </c>
      <c r="Z196" s="46">
        <v>0.09</v>
      </c>
      <c r="AA196" s="46">
        <v>0.049</v>
      </c>
      <c r="AB196" s="46">
        <f t="shared" si="83"/>
        <v>0.00173969072164948</v>
      </c>
      <c r="AC196" s="46">
        <v>0.06</v>
      </c>
      <c r="AD196" s="47"/>
      <c r="AF196" s="48" t="s">
        <v>102</v>
      </c>
      <c r="AG196" s="39">
        <f t="shared" si="66"/>
        <v>16.7616</v>
      </c>
      <c r="AH196" s="39">
        <f t="shared" si="67"/>
        <v>6</v>
      </c>
      <c r="AI196" s="39">
        <f t="shared" si="68"/>
        <v>16.7616</v>
      </c>
      <c r="AJ196" s="39">
        <f t="shared" si="69"/>
        <v>0</v>
      </c>
      <c r="AK196" s="39">
        <f t="shared" si="70"/>
        <v>0</v>
      </c>
      <c r="AL196" s="39">
        <f t="shared" si="71"/>
        <v>0</v>
      </c>
      <c r="AM196" s="39">
        <f t="shared" si="72"/>
        <v>16.7616</v>
      </c>
      <c r="AN196" s="39">
        <f t="shared" si="73"/>
        <v>13.968</v>
      </c>
    </row>
    <row r="197" s="6" customFormat="1" ht="50" hidden="1" customHeight="1" spans="1:40">
      <c r="A197" s="37" t="s">
        <v>96</v>
      </c>
      <c r="B197" s="37" t="s">
        <v>186</v>
      </c>
      <c r="C197" s="37" t="str">
        <f>_xlfn.XLOOKUP(F197,'6月产品包'!B:B,'6月产品包'!H:H)</f>
        <v>教具白板</v>
      </c>
      <c r="D197" s="38" t="str">
        <f>_xlfn.XLOOKUP(F197,'6月产品包'!B:B,'6月产品包'!O:O)</f>
        <v>可翻转白板</v>
      </c>
      <c r="E197" s="38" t="s">
        <v>444</v>
      </c>
      <c r="F197" s="39" t="s">
        <v>445</v>
      </c>
      <c r="G197" s="39" t="e">
        <v>#N/A</v>
      </c>
      <c r="H197" s="37" t="s">
        <v>101</v>
      </c>
      <c r="I197" s="37" t="str">
        <f>_xlfn.XLOOKUP($F197,'6月库存'!A:A,'6月库存'!B:B)</f>
        <v>正常销售</v>
      </c>
      <c r="J197" s="12"/>
      <c r="K197" s="39" t="e">
        <f>_xlfn.XLOOKUP(E197,'[1]6月分配 '!$B:$B,'[1]6月分配 '!$K:$K)</f>
        <v>#N/A</v>
      </c>
      <c r="L197" s="12" t="str">
        <f t="shared" si="74"/>
        <v>否</v>
      </c>
      <c r="M197" s="40" t="str">
        <f>_xlfn.XLOOKUP(F197,'6月产品包'!B:B,'6月产品包'!J:J)</f>
        <v>2025-11-13</v>
      </c>
      <c r="N197" s="39" t="str">
        <f ca="1" t="shared" si="81"/>
        <v>老品</v>
      </c>
      <c r="O197" s="37">
        <f>_xlfn.XLOOKUP(F197,'6月库存'!A:A,'6月库存'!R:R)</f>
        <v>72</v>
      </c>
      <c r="P197" s="39">
        <f>_xlfn.XLOOKUP(F197,'6月产品包'!B:B,'6月产品包'!S:S)</f>
        <v>4700</v>
      </c>
      <c r="Q197" s="39"/>
      <c r="R197" s="41">
        <f>_xlfn.XLOOKUP(F197,'6月产品包'!B:B,'6月产品包'!AD:AD)</f>
        <v>55.448</v>
      </c>
      <c r="S197" s="39">
        <v>106</v>
      </c>
      <c r="T197" s="39">
        <f t="shared" si="75"/>
        <v>133</v>
      </c>
      <c r="U197" s="42">
        <f t="shared" si="65"/>
        <v>106.4</v>
      </c>
      <c r="V197" s="43">
        <v>0.2</v>
      </c>
      <c r="W197" s="44">
        <f t="shared" si="76"/>
        <v>0.478872180451128</v>
      </c>
      <c r="X197" s="44">
        <f t="shared" si="82"/>
        <v>0.282118738865642</v>
      </c>
      <c r="Y197" s="44">
        <v>0.04</v>
      </c>
      <c r="Z197" s="46">
        <v>0.1</v>
      </c>
      <c r="AA197" s="46">
        <v>0.049</v>
      </c>
      <c r="AB197" s="46">
        <f t="shared" si="83"/>
        <v>0.00507518796992481</v>
      </c>
      <c r="AC197" s="46">
        <v>0.08</v>
      </c>
      <c r="AD197" s="58">
        <v>0.05</v>
      </c>
      <c r="AE197" s="58">
        <v>0.05</v>
      </c>
      <c r="AF197" s="48" t="s">
        <v>102</v>
      </c>
      <c r="AG197" s="39">
        <f t="shared" si="66"/>
        <v>6</v>
      </c>
      <c r="AH197" s="39">
        <f t="shared" si="67"/>
        <v>6</v>
      </c>
      <c r="AI197" s="39">
        <f t="shared" si="68"/>
        <v>0</v>
      </c>
      <c r="AJ197" s="39">
        <f t="shared" si="69"/>
        <v>0</v>
      </c>
      <c r="AK197" s="39">
        <f t="shared" si="70"/>
        <v>0</v>
      </c>
      <c r="AL197" s="39">
        <f t="shared" si="71"/>
        <v>0</v>
      </c>
      <c r="AM197" s="39">
        <f t="shared" si="72"/>
        <v>0</v>
      </c>
      <c r="AN197" s="39">
        <f t="shared" si="73"/>
        <v>0</v>
      </c>
    </row>
    <row r="198" s="6" customFormat="1" ht="50" hidden="1" customHeight="1" spans="1:40">
      <c r="A198" s="39" t="str">
        <f>_xlfn.XLOOKUP(F198,'6月产品包'!B:B,'6月产品包'!F:F)</f>
        <v>办公安防</v>
      </c>
      <c r="B198" s="39" t="str">
        <f>_xlfn.XLOOKUP(F198,'6月产品包'!B:B,'6月产品包'!G:G)</f>
        <v>应急安防</v>
      </c>
      <c r="C198" s="37" t="str">
        <f>_xlfn.XLOOKUP(F198,'6月产品包'!B:B,'6月产品包'!H:H)</f>
        <v>单相电子式电度表</v>
      </c>
      <c r="D198" s="38" t="str">
        <f>_xlfn.XLOOKUP(F198,'6月产品包'!B:B,'6月产品包'!O:O)</f>
        <v>液晶计量电表1P</v>
      </c>
      <c r="E198" s="38" t="str">
        <f>_xlfn.XLOOKUP(F198,'6月产品包'!B:B,'6月产品包'!C:C)</f>
        <v>3B-导轨单相多功能电能表1P液晶计量款</v>
      </c>
      <c r="F198" s="39" t="s">
        <v>446</v>
      </c>
      <c r="G198" s="11"/>
      <c r="H198" s="39" t="s">
        <v>101</v>
      </c>
      <c r="I198" s="39" t="str">
        <f>_xlfn.XLOOKUP($F198,'6月库存'!A:A,'6月库存'!B:B)</f>
        <v>正常销售</v>
      </c>
      <c r="J198" s="12"/>
      <c r="K198" s="39">
        <f>_xlfn.XLOOKUP(E198,'[1]6月分配 '!$B:$B,'[1]6月分配 '!$K:$K)</f>
        <v>4305</v>
      </c>
      <c r="L198" s="12" t="str">
        <f t="shared" si="74"/>
        <v>是</v>
      </c>
      <c r="M198" s="40" t="str">
        <f>_xlfn.XLOOKUP(F198,'6月产品包'!B:B,'6月产品包'!J:J)</f>
        <v>2026-02-04</v>
      </c>
      <c r="N198" s="39" t="s">
        <v>149</v>
      </c>
      <c r="O198" s="37">
        <f>_xlfn.XLOOKUP(F198,'6月库存'!A:A,'6月库存'!R:R)</f>
        <v>100</v>
      </c>
      <c r="P198" s="39">
        <f>_xlfn.XLOOKUP(F198,'6月产品包'!B:B,'6月产品包'!S:S)</f>
        <v>90</v>
      </c>
      <c r="Q198" s="13"/>
      <c r="R198" s="41">
        <f>_xlfn.XLOOKUP(F198,'6月产品包'!B:B,'6月产品包'!AD:AD)</f>
        <v>16.646</v>
      </c>
      <c r="S198" s="39">
        <v>33</v>
      </c>
      <c r="T198" s="39">
        <f t="shared" si="75"/>
        <v>41</v>
      </c>
      <c r="U198" s="42">
        <f t="shared" si="65"/>
        <v>32.8</v>
      </c>
      <c r="V198" s="43">
        <v>11.2</v>
      </c>
      <c r="W198" s="44">
        <f t="shared" si="76"/>
        <v>0.4925</v>
      </c>
      <c r="X198" s="44">
        <f t="shared" si="82"/>
        <v>0.301480461930979</v>
      </c>
      <c r="Y198" s="44">
        <v>0.038</v>
      </c>
      <c r="Z198" s="46">
        <v>0.09</v>
      </c>
      <c r="AA198" s="46">
        <v>0.049</v>
      </c>
      <c r="AB198" s="46">
        <f t="shared" si="83"/>
        <v>0.0164634146341463</v>
      </c>
      <c r="AC198" s="46">
        <v>0.08</v>
      </c>
      <c r="AD198" s="11"/>
      <c r="AE198" s="11"/>
      <c r="AF198" s="55" t="s">
        <v>114</v>
      </c>
      <c r="AG198" s="39">
        <f t="shared" si="66"/>
        <v>0</v>
      </c>
      <c r="AH198" s="39">
        <f t="shared" si="67"/>
        <v>0</v>
      </c>
      <c r="AI198" s="39">
        <f t="shared" si="68"/>
        <v>0</v>
      </c>
      <c r="AJ198" s="39">
        <f t="shared" si="69"/>
        <v>0</v>
      </c>
      <c r="AK198" s="39">
        <f t="shared" si="70"/>
        <v>0</v>
      </c>
      <c r="AL198" s="39">
        <f t="shared" si="71"/>
        <v>0</v>
      </c>
      <c r="AM198" s="39">
        <f t="shared" si="72"/>
        <v>0</v>
      </c>
      <c r="AN198" s="39">
        <f t="shared" si="73"/>
        <v>0</v>
      </c>
    </row>
    <row r="199" s="6" customFormat="1" ht="50" hidden="1" customHeight="1" spans="1:40">
      <c r="A199" s="37" t="s">
        <v>108</v>
      </c>
      <c r="B199" s="37" t="s">
        <v>146</v>
      </c>
      <c r="C199" s="37" t="str">
        <f>_xlfn.XLOOKUP(F199,'6月产品包'!B:B,'6月产品包'!H:H)</f>
        <v>吉他套装</v>
      </c>
      <c r="D199" s="38" t="str">
        <f>_xlfn.XLOOKUP(F199,'6月产品包'!B:B,'6月产品包'!O:O)</f>
        <v>吉他</v>
      </c>
      <c r="E199" s="38" t="s">
        <v>447</v>
      </c>
      <c r="F199" s="39" t="s">
        <v>448</v>
      </c>
      <c r="G199" s="39" t="s">
        <v>100</v>
      </c>
      <c r="H199" s="37" t="s">
        <v>101</v>
      </c>
      <c r="I199" s="37" t="str">
        <f>_xlfn.XLOOKUP($F199,'6月库存'!A:A,'6月库存'!B:B)</f>
        <v>商品清仓</v>
      </c>
      <c r="J199" s="12"/>
      <c r="K199" s="39">
        <f>_xlfn.XLOOKUP(E199,'[1]6月分配 '!$B:$B,'[1]6月分配 '!$K:$K)</f>
        <v>4124</v>
      </c>
      <c r="L199" s="12" t="str">
        <f t="shared" si="74"/>
        <v>是</v>
      </c>
      <c r="M199" s="40" t="str">
        <f>_xlfn.XLOOKUP(F199,'6月产品包'!B:B,'6月产品包'!J:J)</f>
        <v>2025-10-09</v>
      </c>
      <c r="N199" s="37" t="s">
        <v>149</v>
      </c>
      <c r="O199" s="37">
        <f>_xlfn.XLOOKUP(F199,'6月库存'!A:A,'6月库存'!R:R)</f>
        <v>98</v>
      </c>
      <c r="P199" s="39">
        <f>_xlfn.XLOOKUP(F199,'6月产品包'!B:B,'6月产品包'!S:S)</f>
        <v>2250</v>
      </c>
      <c r="Q199" s="39">
        <v>11000</v>
      </c>
      <c r="R199" s="41">
        <f>_xlfn.XLOOKUP(F199,'6月产品包'!B:B,'6月产品包'!AD:AD)</f>
        <v>52.5712</v>
      </c>
      <c r="S199" s="39">
        <v>105</v>
      </c>
      <c r="T199" s="39">
        <f t="shared" si="75"/>
        <v>131</v>
      </c>
      <c r="U199" s="42">
        <f t="shared" si="65"/>
        <v>104.8</v>
      </c>
      <c r="V199" s="43">
        <v>0.2</v>
      </c>
      <c r="W199" s="44">
        <f t="shared" si="76"/>
        <v>0.498366412213741</v>
      </c>
      <c r="X199" s="44">
        <f t="shared" si="82"/>
        <v>0.324715094591679</v>
      </c>
      <c r="Y199" s="44">
        <v>0.038</v>
      </c>
      <c r="Z199" s="46">
        <v>0.105</v>
      </c>
      <c r="AA199" s="46">
        <v>0.049</v>
      </c>
      <c r="AB199" s="46">
        <f t="shared" si="83"/>
        <v>0.00515267175572519</v>
      </c>
      <c r="AC199" s="46">
        <v>0.06</v>
      </c>
      <c r="AD199" s="47"/>
      <c r="AF199" s="55" t="s">
        <v>114</v>
      </c>
      <c r="AG199" s="39">
        <f t="shared" ref="AG199:AG207" si="84">MAX(AH199:AN199)</f>
        <v>6</v>
      </c>
      <c r="AH199" s="39">
        <f t="shared" ref="AH199:AH207" si="85">IF(U199&gt;=50,MIN(MIN(U199*0.2,20)*0.3,6),0)</f>
        <v>6</v>
      </c>
      <c r="AI199" s="39">
        <f t="shared" ref="AI199:AI207" si="86">IF(U199&gt;=200,MIN(MIN(U199*0.18,70)*0.3,21),0)</f>
        <v>0</v>
      </c>
      <c r="AJ199" s="39">
        <f t="shared" ref="AJ199:AJ207" si="87">IF(U199&gt;=380,MIN(MIN(U199*0.28,350)*0.3,105),0)</f>
        <v>0</v>
      </c>
      <c r="AK199" s="39">
        <f t="shared" ref="AK199:AK207" si="88">IF(U199&gt;=380,MIN(MIN(U199*0.25,350)*0.3,105),0)</f>
        <v>0</v>
      </c>
      <c r="AL199" s="39">
        <f t="shared" ref="AL199:AL207" si="89">IF(U199&gt;=380,MIN(MIN(U199*0.22,300)*0.3,90),0)</f>
        <v>0</v>
      </c>
      <c r="AM199" s="39">
        <f t="shared" ref="AM199:AM207" si="90">IF(U199&gt;=250,MIN(MIN(U199*0.18,120)*0.3,36),0)</f>
        <v>0</v>
      </c>
      <c r="AN199" s="39">
        <f t="shared" ref="AN199:AN207" si="91">IF(U199&gt;=180,MIN(MIN(U199*0.15,60)*0.3,18),0)</f>
        <v>0</v>
      </c>
    </row>
    <row r="200" s="6" customFormat="1" ht="50" hidden="1" customHeight="1" spans="1:40">
      <c r="A200" s="37" t="s">
        <v>108</v>
      </c>
      <c r="B200" s="37" t="s">
        <v>109</v>
      </c>
      <c r="C200" s="37" t="str">
        <f>_xlfn.XLOOKUP(F200,'6月产品包'!B:B,'6月产品包'!H:H)</f>
        <v>翻页笔</v>
      </c>
      <c r="D200" s="38" t="str">
        <f>_xlfn.XLOOKUP(F200,'6月产品包'!B:B,'6月产品包'!O:O)</f>
        <v>翻页笔</v>
      </c>
      <c r="E200" s="38" t="s">
        <v>449</v>
      </c>
      <c r="F200" s="37" t="s">
        <v>450</v>
      </c>
      <c r="G200" s="39" t="s">
        <v>154</v>
      </c>
      <c r="H200" s="37" t="s">
        <v>107</v>
      </c>
      <c r="I200" s="37" t="str">
        <f>_xlfn.XLOOKUP($F200,'6月库存'!A:A,'6月库存'!B:B)</f>
        <v>商品清仓</v>
      </c>
      <c r="J200" s="12"/>
      <c r="K200" s="39">
        <f>_xlfn.XLOOKUP(E200,'[1]6月分配 '!$B:$B,'[1]6月分配 '!$K:$K)</f>
        <v>4015</v>
      </c>
      <c r="L200" s="12" t="str">
        <f t="shared" si="74"/>
        <v>是</v>
      </c>
      <c r="M200" s="40" t="str">
        <f>_xlfn.XLOOKUP(F200,'6月产品包'!B:B,'6月产品包'!J:J)</f>
        <v>2024-11-28</v>
      </c>
      <c r="N200" s="39" t="str">
        <f ca="1">IF(DATEDIF(M200,TODAY(),"m")&lt;6,"新品","老品")</f>
        <v>老品</v>
      </c>
      <c r="O200" s="37">
        <f>_xlfn.XLOOKUP(F200,'6月库存'!A:A,'6月库存'!R:R)</f>
        <v>281</v>
      </c>
      <c r="P200" s="39">
        <f>_xlfn.XLOOKUP(F200,'6月产品包'!B:B,'6月产品包'!S:S)</f>
        <v>60</v>
      </c>
      <c r="Q200" s="39"/>
      <c r="R200" s="41">
        <f>_xlfn.XLOOKUP(F200,'6月产品包'!B:B,'6月产品包'!AD:AD)</f>
        <v>11.3042</v>
      </c>
      <c r="S200" s="39">
        <v>20</v>
      </c>
      <c r="T200" s="39">
        <f t="shared" si="75"/>
        <v>25</v>
      </c>
      <c r="U200" s="42">
        <f t="shared" si="65"/>
        <v>20</v>
      </c>
      <c r="V200" s="43">
        <v>0.2</v>
      </c>
      <c r="W200" s="44">
        <f t="shared" si="76"/>
        <v>0.43479</v>
      </c>
      <c r="X200" s="44">
        <f t="shared" si="82"/>
        <v>0.221473829201102</v>
      </c>
      <c r="Y200" s="44">
        <v>0.038</v>
      </c>
      <c r="Z200" s="46">
        <v>0.1</v>
      </c>
      <c r="AA200" s="46">
        <v>0.049</v>
      </c>
      <c r="AB200" s="46">
        <f t="shared" si="83"/>
        <v>0.027</v>
      </c>
      <c r="AC200" s="46">
        <v>0.06</v>
      </c>
      <c r="AD200" s="47"/>
      <c r="AF200" s="55" t="s">
        <v>114</v>
      </c>
      <c r="AG200" s="39">
        <f t="shared" si="84"/>
        <v>0</v>
      </c>
      <c r="AH200" s="39">
        <f t="shared" si="85"/>
        <v>0</v>
      </c>
      <c r="AI200" s="39">
        <f t="shared" si="86"/>
        <v>0</v>
      </c>
      <c r="AJ200" s="39">
        <f t="shared" si="87"/>
        <v>0</v>
      </c>
      <c r="AK200" s="39">
        <f t="shared" si="88"/>
        <v>0</v>
      </c>
      <c r="AL200" s="39">
        <f t="shared" si="89"/>
        <v>0</v>
      </c>
      <c r="AM200" s="39">
        <f t="shared" si="90"/>
        <v>0</v>
      </c>
      <c r="AN200" s="39">
        <f t="shared" si="91"/>
        <v>0</v>
      </c>
    </row>
    <row r="201" s="6" customFormat="1" ht="50" hidden="1" customHeight="1" spans="1:40">
      <c r="A201" s="37" t="s">
        <v>108</v>
      </c>
      <c r="B201" s="37" t="s">
        <v>146</v>
      </c>
      <c r="C201" s="37" t="str">
        <f>_xlfn.XLOOKUP(F201,'6月产品包'!B:B,'6月产品包'!H:H)</f>
        <v>吉他套装</v>
      </c>
      <c r="D201" s="38" t="str">
        <f>_xlfn.XLOOKUP(F201,'6月产品包'!B:B,'6月产品包'!O:O)</f>
        <v>吉他</v>
      </c>
      <c r="E201" s="38" t="s">
        <v>451</v>
      </c>
      <c r="F201" s="39" t="s">
        <v>452</v>
      </c>
      <c r="G201" s="39" t="s">
        <v>106</v>
      </c>
      <c r="H201" s="37" t="s">
        <v>101</v>
      </c>
      <c r="I201" s="37" t="str">
        <f>_xlfn.XLOOKUP($F201,'6月库存'!A:A,'6月库存'!B:B)</f>
        <v>正常销售</v>
      </c>
      <c r="J201" s="12"/>
      <c r="K201" s="39">
        <f>_xlfn.XLOOKUP(E201,'[1]6月分配 '!$B:$B,'[1]6月分配 '!$K:$K)</f>
        <v>3997</v>
      </c>
      <c r="L201" s="12" t="str">
        <f t="shared" si="74"/>
        <v>是</v>
      </c>
      <c r="M201" s="40" t="str">
        <f>_xlfn.XLOOKUP(F201,'6月产品包'!B:B,'6月产品包'!J:J)</f>
        <v>2025-10-09</v>
      </c>
      <c r="N201" s="37" t="s">
        <v>149</v>
      </c>
      <c r="O201" s="37">
        <f>_xlfn.XLOOKUP(F201,'6月库存'!A:A,'6月库存'!R:R)</f>
        <v>229</v>
      </c>
      <c r="P201" s="39">
        <f>_xlfn.XLOOKUP(F201,'6月产品包'!B:B,'6月产品包'!S:S)</f>
        <v>2500</v>
      </c>
      <c r="Q201" s="39">
        <v>11000</v>
      </c>
      <c r="R201" s="41">
        <f>_xlfn.XLOOKUP(F201,'6月产品包'!B:B,'6月产品包'!AD:AD)</f>
        <v>57.9594</v>
      </c>
      <c r="S201" s="39">
        <v>109</v>
      </c>
      <c r="T201" s="39">
        <f t="shared" si="75"/>
        <v>136</v>
      </c>
      <c r="U201" s="42">
        <f t="shared" si="65"/>
        <v>108.8</v>
      </c>
      <c r="V201" s="43">
        <v>0.2</v>
      </c>
      <c r="W201" s="44">
        <f t="shared" si="76"/>
        <v>0.467284926470588</v>
      </c>
      <c r="X201" s="44">
        <f t="shared" si="82"/>
        <v>0.283056910730013</v>
      </c>
      <c r="Y201" s="44">
        <v>0.038</v>
      </c>
      <c r="Z201" s="46">
        <v>0.105</v>
      </c>
      <c r="AA201" s="46">
        <v>0.049</v>
      </c>
      <c r="AB201" s="46">
        <f t="shared" si="83"/>
        <v>0.00496323529411765</v>
      </c>
      <c r="AC201" s="46">
        <v>0.06</v>
      </c>
      <c r="AD201" s="47"/>
      <c r="AF201" s="55" t="s">
        <v>114</v>
      </c>
      <c r="AG201" s="39">
        <f t="shared" si="84"/>
        <v>6</v>
      </c>
      <c r="AH201" s="39">
        <f t="shared" si="85"/>
        <v>6</v>
      </c>
      <c r="AI201" s="39">
        <f t="shared" si="86"/>
        <v>0</v>
      </c>
      <c r="AJ201" s="39">
        <f t="shared" si="87"/>
        <v>0</v>
      </c>
      <c r="AK201" s="39">
        <f t="shared" si="88"/>
        <v>0</v>
      </c>
      <c r="AL201" s="39">
        <f t="shared" si="89"/>
        <v>0</v>
      </c>
      <c r="AM201" s="39">
        <f t="shared" si="90"/>
        <v>0</v>
      </c>
      <c r="AN201" s="39">
        <f t="shared" si="91"/>
        <v>0</v>
      </c>
    </row>
    <row r="202" s="6" customFormat="1" ht="50" hidden="1" customHeight="1" spans="1:40">
      <c r="A202" s="37" t="s">
        <v>96</v>
      </c>
      <c r="B202" s="37" t="s">
        <v>115</v>
      </c>
      <c r="C202" s="37" t="str">
        <f>_xlfn.XLOOKUP(F202,'6月产品包'!B:B,'6月产品包'!H:H)</f>
        <v>广告架</v>
      </c>
      <c r="D202" s="38" t="str">
        <f>_xlfn.XLOOKUP(F202,'6月产品包'!B:B,'6月产品包'!O:O)</f>
        <v>广告架kt板</v>
      </c>
      <c r="E202" s="38" t="s">
        <v>453</v>
      </c>
      <c r="F202" s="37" t="s">
        <v>454</v>
      </c>
      <c r="G202" s="39" t="s">
        <v>126</v>
      </c>
      <c r="H202" s="37" t="s">
        <v>101</v>
      </c>
      <c r="I202" s="37" t="str">
        <f>_xlfn.XLOOKUP($F202,'6月库存'!A:A,'6月库存'!B:B)</f>
        <v>正常销售</v>
      </c>
      <c r="J202" s="12"/>
      <c r="K202" s="39">
        <f>_xlfn.XLOOKUP(E202,'[1]6月分配 '!$B:$B,'[1]6月分配 '!$K:$K)</f>
        <v>3995</v>
      </c>
      <c r="L202" s="12" t="str">
        <f t="shared" si="74"/>
        <v>是</v>
      </c>
      <c r="M202" s="40" t="str">
        <f>_xlfn.XLOOKUP(F202,'6月产品包'!B:B,'6月产品包'!J:J)</f>
        <v>2025-10-09</v>
      </c>
      <c r="N202" s="39" t="str">
        <f ca="1">IF(DATEDIF(M202,TODAY(),"m")&lt;6,"新品","老品")</f>
        <v>老品</v>
      </c>
      <c r="O202" s="37">
        <f>_xlfn.XLOOKUP(F202,'6月库存'!A:A,'6月库存'!R:R)</f>
        <v>59</v>
      </c>
      <c r="P202" s="39">
        <f>_xlfn.XLOOKUP(F202,'6月产品包'!B:B,'6月产品包'!S:S)</f>
        <v>1500</v>
      </c>
      <c r="Q202" s="39"/>
      <c r="R202" s="41">
        <f>_xlfn.XLOOKUP(F202,'6月产品包'!B:B,'6月产品包'!AD:AD)</f>
        <v>26.7844</v>
      </c>
      <c r="S202" s="39">
        <v>55</v>
      </c>
      <c r="T202" s="39">
        <f t="shared" si="75"/>
        <v>69</v>
      </c>
      <c r="U202" s="42">
        <f t="shared" si="65"/>
        <v>55.2</v>
      </c>
      <c r="V202" s="43">
        <v>0.2</v>
      </c>
      <c r="W202" s="44">
        <f t="shared" si="76"/>
        <v>0.514775362318841</v>
      </c>
      <c r="X202" s="44">
        <f t="shared" si="82"/>
        <v>0.347129597129597</v>
      </c>
      <c r="Y202" s="44">
        <v>0.038</v>
      </c>
      <c r="Z202" s="46">
        <v>0.1</v>
      </c>
      <c r="AA202" s="46">
        <v>0.049</v>
      </c>
      <c r="AB202" s="46">
        <f t="shared" si="83"/>
        <v>0.00978260869565217</v>
      </c>
      <c r="AC202" s="46">
        <v>0.06</v>
      </c>
      <c r="AD202" s="47"/>
      <c r="AE202" s="50"/>
      <c r="AF202" s="55" t="s">
        <v>114</v>
      </c>
      <c r="AG202" s="39">
        <f t="shared" si="84"/>
        <v>3.312</v>
      </c>
      <c r="AH202" s="39">
        <f t="shared" si="85"/>
        <v>3.312</v>
      </c>
      <c r="AI202" s="39">
        <f t="shared" si="86"/>
        <v>0</v>
      </c>
      <c r="AJ202" s="39">
        <f t="shared" si="87"/>
        <v>0</v>
      </c>
      <c r="AK202" s="39">
        <f t="shared" si="88"/>
        <v>0</v>
      </c>
      <c r="AL202" s="39">
        <f t="shared" si="89"/>
        <v>0</v>
      </c>
      <c r="AM202" s="39">
        <f t="shared" si="90"/>
        <v>0</v>
      </c>
      <c r="AN202" s="39">
        <f t="shared" si="91"/>
        <v>0</v>
      </c>
    </row>
    <row r="203" s="6" customFormat="1" ht="50" hidden="1" customHeight="1" spans="1:40">
      <c r="A203" s="37" t="s">
        <v>108</v>
      </c>
      <c r="B203" s="37" t="s">
        <v>146</v>
      </c>
      <c r="C203" s="37" t="str">
        <f>_xlfn.XLOOKUP(F203,'6月产品包'!B:B,'6月产品包'!H:H)</f>
        <v>有线麦克风</v>
      </c>
      <c r="D203" s="38" t="str">
        <f>_xlfn.XLOOKUP(F203,'6月产品包'!B:B,'6月产品包'!O:O)</f>
        <v>RGB电容悬臂支架降噪麦克风</v>
      </c>
      <c r="E203" s="38" t="s">
        <v>455</v>
      </c>
      <c r="F203" s="39" t="s">
        <v>456</v>
      </c>
      <c r="G203" s="39" t="s">
        <v>262</v>
      </c>
      <c r="H203" s="39" t="s">
        <v>101</v>
      </c>
      <c r="I203" s="37" t="str">
        <f>_xlfn.XLOOKUP($F203,'6月库存'!A:A,'6月库存'!B:B)</f>
        <v>正常销售</v>
      </c>
      <c r="J203" s="12"/>
      <c r="K203" s="39">
        <f>_xlfn.XLOOKUP(E203,'[1]6月分配 '!$B:$B,'[1]6月分配 '!$K:$K)</f>
        <v>3915</v>
      </c>
      <c r="L203" s="12" t="str">
        <f t="shared" si="74"/>
        <v>是</v>
      </c>
      <c r="M203" s="40" t="str">
        <f>_xlfn.XLOOKUP(F203,'6月产品包'!B:B,'6月产品包'!J:J)</f>
        <v>2025-12-08</v>
      </c>
      <c r="N203" s="39" t="s">
        <v>149</v>
      </c>
      <c r="O203" s="37">
        <f>_xlfn.XLOOKUP(F203,'6月库存'!A:A,'6月库存'!R:R)</f>
        <v>34</v>
      </c>
      <c r="P203" s="39">
        <f>_xlfn.XLOOKUP(F203,'6月产品包'!B:B,'6月产品包'!S:S)</f>
        <v>1026</v>
      </c>
      <c r="Q203" s="39"/>
      <c r="R203" s="41">
        <f>_xlfn.XLOOKUP(F203,'6月产品包'!B:B,'6月产品包'!AD:AD)</f>
        <v>63.9682</v>
      </c>
      <c r="S203" s="39">
        <v>123</v>
      </c>
      <c r="T203" s="39">
        <f t="shared" si="75"/>
        <v>154</v>
      </c>
      <c r="U203" s="42">
        <f t="shared" ref="U203:U235" si="92">$T203*(1-0.2)</f>
        <v>123.2</v>
      </c>
      <c r="V203" s="43">
        <v>0.2</v>
      </c>
      <c r="W203" s="44">
        <f t="shared" si="76"/>
        <v>0.480777597402597</v>
      </c>
      <c r="X203" s="44">
        <f t="shared" si="82"/>
        <v>0.299877855510511</v>
      </c>
      <c r="Y203" s="44">
        <v>0.04</v>
      </c>
      <c r="Z203" s="46">
        <v>0.105</v>
      </c>
      <c r="AA203" s="46">
        <v>0.049</v>
      </c>
      <c r="AB203" s="46">
        <f t="shared" si="83"/>
        <v>0.00438311688311688</v>
      </c>
      <c r="AC203" s="46">
        <v>0.06</v>
      </c>
      <c r="AD203" s="47"/>
      <c r="AF203" s="55" t="s">
        <v>114</v>
      </c>
      <c r="AG203" s="39">
        <f t="shared" si="84"/>
        <v>6</v>
      </c>
      <c r="AH203" s="39">
        <f t="shared" si="85"/>
        <v>6</v>
      </c>
      <c r="AI203" s="39">
        <f t="shared" si="86"/>
        <v>0</v>
      </c>
      <c r="AJ203" s="39">
        <f t="shared" si="87"/>
        <v>0</v>
      </c>
      <c r="AK203" s="39">
        <f t="shared" si="88"/>
        <v>0</v>
      </c>
      <c r="AL203" s="39">
        <f t="shared" si="89"/>
        <v>0</v>
      </c>
      <c r="AM203" s="39">
        <f t="shared" si="90"/>
        <v>0</v>
      </c>
      <c r="AN203" s="39">
        <f t="shared" si="91"/>
        <v>0</v>
      </c>
    </row>
    <row r="204" s="6" customFormat="1" ht="50" hidden="1" customHeight="1" spans="1:40">
      <c r="A204" s="37" t="s">
        <v>96</v>
      </c>
      <c r="B204" s="37" t="s">
        <v>97</v>
      </c>
      <c r="C204" s="37" t="str">
        <f>_xlfn.XLOOKUP(F204,'6月产品包'!B:B,'6月产品包'!H:H)</f>
        <v>智能锁</v>
      </c>
      <c r="D204" s="38" t="str">
        <f>_xlfn.XLOOKUP(F204,'6月产品包'!B:B,'6月产品包'!O:O)</f>
        <v>指纹挂锁</v>
      </c>
      <c r="E204" s="38" t="s">
        <v>457</v>
      </c>
      <c r="F204" s="37" t="s">
        <v>458</v>
      </c>
      <c r="G204" s="39" t="s">
        <v>126</v>
      </c>
      <c r="H204" s="37" t="s">
        <v>101</v>
      </c>
      <c r="I204" s="37" t="str">
        <f>_xlfn.XLOOKUP($F204,'6月库存'!A:A,'6月库存'!B:B)</f>
        <v>正常销售</v>
      </c>
      <c r="J204" s="12"/>
      <c r="K204" s="39">
        <f>_xlfn.XLOOKUP(E204,'[1]6月分配 '!$B:$B,'[1]6月分配 '!$K:$K)</f>
        <v>3715</v>
      </c>
      <c r="L204" s="12" t="str">
        <f t="shared" si="74"/>
        <v>是</v>
      </c>
      <c r="M204" s="40" t="str">
        <f>_xlfn.XLOOKUP(F204,'6月产品包'!B:B,'6月产品包'!J:J)</f>
        <v>2025-09-25</v>
      </c>
      <c r="N204" s="39" t="str">
        <f ca="1">IF(DATEDIF(M204,TODAY(),"m")&lt;6,"新品","老品")</f>
        <v>老品</v>
      </c>
      <c r="O204" s="37">
        <f>_xlfn.XLOOKUP(F204,'6月库存'!A:A,'6月库存'!R:R)</f>
        <v>148</v>
      </c>
      <c r="P204" s="39">
        <f>_xlfn.XLOOKUP(F204,'6月产品包'!B:B,'6月产品包'!S:S)</f>
        <v>164</v>
      </c>
      <c r="Q204" s="39"/>
      <c r="R204" s="41">
        <f>_xlfn.XLOOKUP(F204,'6月产品包'!B:B,'6月产品包'!AD:AD)</f>
        <v>21.6514</v>
      </c>
      <c r="S204" s="39">
        <v>42</v>
      </c>
      <c r="T204" s="39">
        <f t="shared" si="75"/>
        <v>53</v>
      </c>
      <c r="U204" s="42">
        <f t="shared" si="92"/>
        <v>42.4</v>
      </c>
      <c r="V204" s="43">
        <v>0.2</v>
      </c>
      <c r="W204" s="44">
        <f t="shared" si="76"/>
        <v>0.489353773584906</v>
      </c>
      <c r="X204" s="44">
        <f t="shared" si="82"/>
        <v>0.295916907307682</v>
      </c>
      <c r="Y204" s="44">
        <v>0.038</v>
      </c>
      <c r="Z204" s="45">
        <v>0.115</v>
      </c>
      <c r="AA204" s="46">
        <v>0.049</v>
      </c>
      <c r="AB204" s="46">
        <f t="shared" si="83"/>
        <v>0.0127358490566038</v>
      </c>
      <c r="AC204" s="46">
        <v>0.06</v>
      </c>
      <c r="AD204" s="47"/>
      <c r="AF204" s="55" t="s">
        <v>114</v>
      </c>
      <c r="AG204" s="39">
        <f t="shared" si="84"/>
        <v>0</v>
      </c>
      <c r="AH204" s="39">
        <f t="shared" si="85"/>
        <v>0</v>
      </c>
      <c r="AI204" s="39">
        <f t="shared" si="86"/>
        <v>0</v>
      </c>
      <c r="AJ204" s="39">
        <f t="shared" si="87"/>
        <v>0</v>
      </c>
      <c r="AK204" s="39">
        <f t="shared" si="88"/>
        <v>0</v>
      </c>
      <c r="AL204" s="39">
        <f t="shared" si="89"/>
        <v>0</v>
      </c>
      <c r="AM204" s="39">
        <f t="shared" si="90"/>
        <v>0</v>
      </c>
      <c r="AN204" s="39">
        <f t="shared" si="91"/>
        <v>0</v>
      </c>
    </row>
    <row r="205" s="6" customFormat="1" ht="50" hidden="1" customHeight="1" spans="1:40">
      <c r="A205" s="37" t="s">
        <v>96</v>
      </c>
      <c r="B205" s="37" t="s">
        <v>115</v>
      </c>
      <c r="C205" s="37" t="str">
        <f>_xlfn.XLOOKUP(F205,'6月产品包'!B:B,'6月产品包'!H:H)</f>
        <v>捆钞机</v>
      </c>
      <c r="D205" s="38" t="str">
        <f>_xlfn.XLOOKUP(F205,'6月产品包'!B:B,'6月产品包'!O:O)</f>
        <v>捆钞机</v>
      </c>
      <c r="E205" s="38" t="s">
        <v>459</v>
      </c>
      <c r="F205" s="39" t="s">
        <v>460</v>
      </c>
      <c r="G205" s="39" t="e">
        <v>#N/A</v>
      </c>
      <c r="H205" s="39" t="s">
        <v>101</v>
      </c>
      <c r="I205" s="37" t="str">
        <f>_xlfn.XLOOKUP($F205,'6月库存'!A:A,'6月库存'!B:B)</f>
        <v>正常销售</v>
      </c>
      <c r="J205" s="12"/>
      <c r="K205" s="39">
        <f>_xlfn.XLOOKUP(E205,'[1]6月分配 '!$B:$B,'[1]6月分配 '!$K:$K)</f>
        <v>3702</v>
      </c>
      <c r="L205" s="12" t="str">
        <f t="shared" si="74"/>
        <v>是</v>
      </c>
      <c r="M205" s="40" t="str">
        <f>_xlfn.XLOOKUP(F205,'6月产品包'!B:B,'6月产品包'!J:J)</f>
        <v>2025-12-02</v>
      </c>
      <c r="N205" s="39" t="str">
        <f ca="1">IF(DATEDIF(M205,TODAY(),"m")&lt;6,"新品","老品")</f>
        <v>老品</v>
      </c>
      <c r="O205" s="37">
        <f>_xlfn.XLOOKUP(F205,'6月库存'!A:A,'6月库存'!R:R)</f>
        <v>11</v>
      </c>
      <c r="P205" s="39">
        <f>_xlfn.XLOOKUP(F205,'6月产品包'!B:B,'6月产品包'!S:S)</f>
        <v>6500</v>
      </c>
      <c r="Q205" s="39"/>
      <c r="R205" s="41">
        <f>_xlfn.XLOOKUP(F205,'6月产品包'!B:B,'6月产品包'!AD:AD)</f>
        <v>204.4906</v>
      </c>
      <c r="S205" s="39">
        <v>399</v>
      </c>
      <c r="T205" s="39">
        <f t="shared" si="75"/>
        <v>499</v>
      </c>
      <c r="U205" s="42">
        <f t="shared" si="92"/>
        <v>399.2</v>
      </c>
      <c r="V205" s="43">
        <v>0.2</v>
      </c>
      <c r="W205" s="44">
        <f t="shared" si="76"/>
        <v>0.487748997995992</v>
      </c>
      <c r="X205" s="44">
        <f t="shared" si="82"/>
        <v>0.327443285569197</v>
      </c>
      <c r="Y205" s="44">
        <v>0.038</v>
      </c>
      <c r="Z205" s="46">
        <v>0.09</v>
      </c>
      <c r="AA205" s="46">
        <v>0.049</v>
      </c>
      <c r="AB205" s="46">
        <f t="shared" si="83"/>
        <v>0.00135270541082164</v>
      </c>
      <c r="AC205" s="46">
        <v>0.06</v>
      </c>
      <c r="AD205" s="49"/>
      <c r="AF205" s="55" t="s">
        <v>114</v>
      </c>
      <c r="AG205" s="39">
        <f t="shared" si="84"/>
        <v>33.5328</v>
      </c>
      <c r="AH205" s="39">
        <f t="shared" si="85"/>
        <v>6</v>
      </c>
      <c r="AI205" s="39">
        <f t="shared" si="86"/>
        <v>21</v>
      </c>
      <c r="AJ205" s="39">
        <f t="shared" si="87"/>
        <v>33.5328</v>
      </c>
      <c r="AK205" s="39">
        <f t="shared" si="88"/>
        <v>29.94</v>
      </c>
      <c r="AL205" s="39">
        <f t="shared" si="89"/>
        <v>26.3472</v>
      </c>
      <c r="AM205" s="39">
        <f t="shared" si="90"/>
        <v>21.5568</v>
      </c>
      <c r="AN205" s="39">
        <f t="shared" si="91"/>
        <v>17.964</v>
      </c>
    </row>
    <row r="206" s="6" customFormat="1" ht="50" hidden="1" customHeight="1" spans="1:40">
      <c r="A206" s="37" t="s">
        <v>96</v>
      </c>
      <c r="B206" s="37" t="s">
        <v>115</v>
      </c>
      <c r="C206" s="37" t="str">
        <f>_xlfn.XLOOKUP(F206,'6月产品包'!B:B,'6月产品包'!H:H)</f>
        <v>碎纸机</v>
      </c>
      <c r="D206" s="38" t="str">
        <f>_xlfn.XLOOKUP(F206,'6月产品包'!B:B,'6月产品包'!O:O)</f>
        <v>碎纸机头</v>
      </c>
      <c r="E206" s="38" t="s">
        <v>461</v>
      </c>
      <c r="F206" s="39" t="s">
        <v>462</v>
      </c>
      <c r="G206" s="39" t="e">
        <v>#N/A</v>
      </c>
      <c r="H206" s="39" t="s">
        <v>101</v>
      </c>
      <c r="I206" s="37" t="str">
        <f>_xlfn.XLOOKUP($F206,'6月库存'!A:A,'6月库存'!B:B)</f>
        <v>等待开发</v>
      </c>
      <c r="J206" s="12"/>
      <c r="K206" s="39" t="e">
        <f>_xlfn.XLOOKUP(E206,'[1]6月分配 '!$B:$B,'[1]6月分配 '!$K:$K)</f>
        <v>#N/A</v>
      </c>
      <c r="L206" s="12" t="str">
        <f t="shared" si="74"/>
        <v>否</v>
      </c>
      <c r="M206" s="40" t="str">
        <f>_xlfn.XLOOKUP(F206,'6月产品包'!B:B,'6月产品包'!J:J)</f>
        <v>2025-12-02</v>
      </c>
      <c r="N206" s="39" t="str">
        <f ca="1" t="shared" si="81"/>
        <v>老品</v>
      </c>
      <c r="O206" s="37">
        <f>_xlfn.XLOOKUP(F206,'6月库存'!A:A,'6月库存'!R:R)</f>
        <v>0</v>
      </c>
      <c r="P206" s="39">
        <f>_xlfn.XLOOKUP(F206,'6月产品包'!B:B,'6月产品包'!S:S)</f>
        <v>1250</v>
      </c>
      <c r="Q206" s="39"/>
      <c r="R206" s="41">
        <f>_xlfn.XLOOKUP(F206,'6月产品包'!B:B,'6月产品包'!AD:AD)</f>
        <v>31.32</v>
      </c>
      <c r="S206" s="39">
        <v>61</v>
      </c>
      <c r="T206" s="39">
        <f t="shared" si="75"/>
        <v>76</v>
      </c>
      <c r="U206" s="42">
        <f t="shared" si="92"/>
        <v>60.8</v>
      </c>
      <c r="V206" s="43">
        <v>0.2</v>
      </c>
      <c r="W206" s="44">
        <f t="shared" si="76"/>
        <v>0.484868421052632</v>
      </c>
      <c r="X206" s="44">
        <f t="shared" si="82"/>
        <v>0.307729032942549</v>
      </c>
      <c r="Y206" s="44">
        <v>0.038</v>
      </c>
      <c r="Z206" s="46">
        <v>0.1</v>
      </c>
      <c r="AA206" s="46">
        <v>0.049</v>
      </c>
      <c r="AB206" s="46">
        <f t="shared" si="83"/>
        <v>0.00888157894736842</v>
      </c>
      <c r="AC206" s="46">
        <v>0.06</v>
      </c>
      <c r="AD206" s="47"/>
      <c r="AF206" s="48" t="s">
        <v>102</v>
      </c>
      <c r="AG206" s="39">
        <f t="shared" si="84"/>
        <v>3.648</v>
      </c>
      <c r="AH206" s="39">
        <f t="shared" si="85"/>
        <v>3.648</v>
      </c>
      <c r="AI206" s="39">
        <f t="shared" si="86"/>
        <v>0</v>
      </c>
      <c r="AJ206" s="39">
        <f t="shared" si="87"/>
        <v>0</v>
      </c>
      <c r="AK206" s="39">
        <f t="shared" si="88"/>
        <v>0</v>
      </c>
      <c r="AL206" s="39">
        <f t="shared" si="89"/>
        <v>0</v>
      </c>
      <c r="AM206" s="39">
        <f t="shared" si="90"/>
        <v>0</v>
      </c>
      <c r="AN206" s="39">
        <f t="shared" si="91"/>
        <v>0</v>
      </c>
    </row>
    <row r="207" s="6" customFormat="1" ht="50" hidden="1" customHeight="1" spans="1:40">
      <c r="A207" s="39" t="str">
        <f>_xlfn.XLOOKUP(F207,'6月产品包'!B:B,'6月产品包'!F:F)</f>
        <v>办公安防</v>
      </c>
      <c r="B207" s="39" t="str">
        <f>_xlfn.XLOOKUP(F207,'6月产品包'!B:B,'6月产品包'!G:G)</f>
        <v>应急安防</v>
      </c>
      <c r="C207" s="37" t="str">
        <f>_xlfn.XLOOKUP(F207,'6月产品包'!B:B,'6月产品包'!H:H)</f>
        <v>单相电子式电度表</v>
      </c>
      <c r="D207" s="38" t="str">
        <f>_xlfn.XLOOKUP(F207,'6月产品包'!B:B,'6月产品包'!O:O)</f>
        <v>彩色屏多功能导轨表2P100A</v>
      </c>
      <c r="E207" s="38" t="str">
        <f>_xlfn.XLOOKUP(F207,'6月产品包'!B:B,'6月产品包'!C:C)</f>
        <v>3B-WIFI漏电多功能导轨表彩屏款2P100A</v>
      </c>
      <c r="F207" s="39" t="s">
        <v>463</v>
      </c>
      <c r="G207" s="11"/>
      <c r="H207" s="39" t="s">
        <v>107</v>
      </c>
      <c r="I207" s="37" t="str">
        <f>_xlfn.XLOOKUP($F207,'6月库存'!A:A,'6月库存'!B:B)</f>
        <v>正常销售</v>
      </c>
      <c r="J207" s="12"/>
      <c r="K207" s="39">
        <f>_xlfn.XLOOKUP(E207,'[1]6月分配 '!$B:$B,'[1]6月分配 '!$K:$K)</f>
        <v>3651</v>
      </c>
      <c r="L207" s="12" t="str">
        <f t="shared" si="74"/>
        <v>是</v>
      </c>
      <c r="M207" s="40" t="str">
        <f>_xlfn.XLOOKUP(F207,'6月产品包'!B:B,'6月产品包'!J:J)</f>
        <v>2026-02-04</v>
      </c>
      <c r="N207" s="39" t="s">
        <v>149</v>
      </c>
      <c r="O207" s="37">
        <f>_xlfn.XLOOKUP(F207,'6月库存'!A:A,'6月库存'!R:R)</f>
        <v>33</v>
      </c>
      <c r="P207" s="39">
        <f>_xlfn.XLOOKUP(F207,'6月产品包'!B:B,'6月产品包'!S:S)</f>
        <v>361</v>
      </c>
      <c r="Q207" s="13"/>
      <c r="R207" s="41">
        <f>_xlfn.XLOOKUP(F207,'6月产品包'!B:B,'6月产品包'!AD:AD)</f>
        <v>52.9366</v>
      </c>
      <c r="S207" s="39">
        <v>109</v>
      </c>
      <c r="T207" s="39">
        <f t="shared" si="75"/>
        <v>136</v>
      </c>
      <c r="U207" s="42">
        <f t="shared" si="92"/>
        <v>108.8</v>
      </c>
      <c r="V207" s="43">
        <v>0.2</v>
      </c>
      <c r="W207" s="44">
        <f t="shared" si="76"/>
        <v>0.513450367647059</v>
      </c>
      <c r="X207" s="44">
        <f t="shared" si="82"/>
        <v>0.340751496916501</v>
      </c>
      <c r="Y207" s="44">
        <v>0.038</v>
      </c>
      <c r="Z207" s="46">
        <v>0.09</v>
      </c>
      <c r="AA207" s="46">
        <v>0.049</v>
      </c>
      <c r="AB207" s="46">
        <f t="shared" si="83"/>
        <v>0.00496323529411765</v>
      </c>
      <c r="AC207" s="46">
        <v>0.08</v>
      </c>
      <c r="AD207" s="58">
        <v>0.06</v>
      </c>
      <c r="AE207" s="58">
        <v>0.03</v>
      </c>
      <c r="AF207" s="55" t="s">
        <v>114</v>
      </c>
      <c r="AG207" s="39">
        <f t="shared" si="84"/>
        <v>6</v>
      </c>
      <c r="AH207" s="39">
        <f t="shared" si="85"/>
        <v>6</v>
      </c>
      <c r="AI207" s="39">
        <f t="shared" si="86"/>
        <v>0</v>
      </c>
      <c r="AJ207" s="39">
        <f t="shared" si="87"/>
        <v>0</v>
      </c>
      <c r="AK207" s="39">
        <f t="shared" si="88"/>
        <v>0</v>
      </c>
      <c r="AL207" s="39">
        <f t="shared" si="89"/>
        <v>0</v>
      </c>
      <c r="AM207" s="39">
        <f t="shared" si="90"/>
        <v>0</v>
      </c>
      <c r="AN207" s="39">
        <f t="shared" si="91"/>
        <v>0</v>
      </c>
    </row>
    <row r="208" s="6" customFormat="1" ht="50" hidden="1" customHeight="1" spans="1:40">
      <c r="A208" s="37" t="s">
        <v>108</v>
      </c>
      <c r="B208" s="37" t="s">
        <v>146</v>
      </c>
      <c r="C208" s="37" t="str">
        <f>_xlfn.XLOOKUP(F208,'6月产品包'!B:B,'6月产品包'!H:H)</f>
        <v>吉他套装</v>
      </c>
      <c r="D208" s="38" t="str">
        <f>_xlfn.XLOOKUP(F208,'6月产品包'!B:B,'6月产品包'!O:O)</f>
        <v>吉他</v>
      </c>
      <c r="E208" s="38" t="s">
        <v>464</v>
      </c>
      <c r="F208" s="39" t="s">
        <v>465</v>
      </c>
      <c r="G208" s="39" t="s">
        <v>106</v>
      </c>
      <c r="H208" s="37" t="s">
        <v>101</v>
      </c>
      <c r="I208" s="37" t="str">
        <f>_xlfn.XLOOKUP($F208,'6月库存'!A:A,'6月库存'!B:B)</f>
        <v>正常销售</v>
      </c>
      <c r="J208" s="12"/>
      <c r="K208" s="39">
        <f>_xlfn.XLOOKUP(E208,'[1]6月分配 '!$B:$B,'[1]6月分配 '!$K:$K)</f>
        <v>3582</v>
      </c>
      <c r="L208" s="12" t="str">
        <f t="shared" si="74"/>
        <v>是</v>
      </c>
      <c r="M208" s="40" t="str">
        <f>_xlfn.XLOOKUP(F208,'6月产品包'!B:B,'6月产品包'!J:J)</f>
        <v>2025-10-09</v>
      </c>
      <c r="N208" s="37" t="s">
        <v>149</v>
      </c>
      <c r="O208" s="37">
        <f>_xlfn.XLOOKUP(F208,'6月库存'!A:A,'6月库存'!R:R)</f>
        <v>93</v>
      </c>
      <c r="P208" s="39">
        <f>_xlfn.XLOOKUP(F208,'6月产品包'!B:B,'6月产品包'!S:S)</f>
        <v>2500</v>
      </c>
      <c r="Q208" s="39">
        <v>11000</v>
      </c>
      <c r="R208" s="41">
        <f>_xlfn.XLOOKUP(F208,'6月产品包'!B:B,'6月产品包'!AD:AD)</f>
        <v>57.7042</v>
      </c>
      <c r="S208" s="39">
        <v>106</v>
      </c>
      <c r="T208" s="39">
        <f t="shared" si="75"/>
        <v>133</v>
      </c>
      <c r="U208" s="42">
        <f t="shared" si="92"/>
        <v>106.4</v>
      </c>
      <c r="V208" s="43">
        <v>0.2</v>
      </c>
      <c r="W208" s="44">
        <f t="shared" si="76"/>
        <v>0.457667293233083</v>
      </c>
      <c r="X208" s="44">
        <f t="shared" si="82"/>
        <v>0.270003238571385</v>
      </c>
      <c r="Y208" s="44">
        <v>0.038</v>
      </c>
      <c r="Z208" s="46">
        <v>0.105</v>
      </c>
      <c r="AA208" s="46">
        <v>0.049</v>
      </c>
      <c r="AB208" s="46">
        <f t="shared" si="83"/>
        <v>0.00507518796992481</v>
      </c>
      <c r="AC208" s="46">
        <v>0.06</v>
      </c>
      <c r="AD208" s="47"/>
      <c r="AF208" s="55" t="s">
        <v>114</v>
      </c>
      <c r="AG208" s="39">
        <f t="shared" ref="AG208:AG235" si="93">MAX(AH208:AN208)</f>
        <v>6</v>
      </c>
      <c r="AH208" s="39">
        <f t="shared" ref="AH208:AH235" si="94">IF(U208&gt;=50,MIN(MIN(U208*0.2,20)*0.3,6),0)</f>
        <v>6</v>
      </c>
      <c r="AI208" s="39">
        <f t="shared" ref="AI208:AI235" si="95">IF(U208&gt;=200,MIN(MIN(U208*0.18,70)*0.3,21),0)</f>
        <v>0</v>
      </c>
      <c r="AJ208" s="39">
        <f t="shared" ref="AJ208:AJ235" si="96">IF(U208&gt;=380,MIN(MIN(U208*0.28,350)*0.3,105),0)</f>
        <v>0</v>
      </c>
      <c r="AK208" s="39">
        <f t="shared" ref="AK208:AK235" si="97">IF(U208&gt;=380,MIN(MIN(U208*0.25,350)*0.3,105),0)</f>
        <v>0</v>
      </c>
      <c r="AL208" s="39">
        <f t="shared" ref="AL208:AL235" si="98">IF(U208&gt;=380,MIN(MIN(U208*0.22,300)*0.3,90),0)</f>
        <v>0</v>
      </c>
      <c r="AM208" s="39">
        <f t="shared" ref="AM208:AM235" si="99">IF(U208&gt;=250,MIN(MIN(U208*0.18,120)*0.3,36),0)</f>
        <v>0</v>
      </c>
      <c r="AN208" s="39">
        <f t="shared" ref="AN208:AN235" si="100">IF(U208&gt;=180,MIN(MIN(U208*0.15,60)*0.3,18),0)</f>
        <v>0</v>
      </c>
    </row>
    <row r="209" s="6" customFormat="1" ht="50" hidden="1" customHeight="1" spans="1:40">
      <c r="A209" s="37" t="s">
        <v>96</v>
      </c>
      <c r="B209" s="37" t="s">
        <v>115</v>
      </c>
      <c r="C209" s="37" t="str">
        <f>_xlfn.XLOOKUP(F209,'6月产品包'!B:B,'6月产品包'!H:H)</f>
        <v>过胶机</v>
      </c>
      <c r="D209" s="38" t="str">
        <f>_xlfn.XLOOKUP(F209,'6月产品包'!B:B,'6月产品包'!O:O)</f>
        <v>A3简易过胶机</v>
      </c>
      <c r="E209" s="38" t="s">
        <v>466</v>
      </c>
      <c r="F209" s="39" t="s">
        <v>467</v>
      </c>
      <c r="G209" s="39" t="e">
        <v>#N/A</v>
      </c>
      <c r="H209" s="39" t="s">
        <v>101</v>
      </c>
      <c r="I209" s="37" t="str">
        <f>_xlfn.XLOOKUP($F209,'6月库存'!A:A,'6月库存'!B:B)</f>
        <v>正常销售</v>
      </c>
      <c r="J209" s="12"/>
      <c r="K209" s="39">
        <f>_xlfn.XLOOKUP(E209,'[1]6月分配 '!$B:$B,'[1]6月分配 '!$K:$K)</f>
        <v>3566</v>
      </c>
      <c r="L209" s="12" t="str">
        <f t="shared" si="74"/>
        <v>是</v>
      </c>
      <c r="M209" s="40" t="str">
        <f>_xlfn.XLOOKUP(F209,'6月产品包'!B:B,'6月产品包'!J:J)</f>
        <v>2025-12-02</v>
      </c>
      <c r="N209" s="39" t="str">
        <f ca="1">IF(DATEDIF(M209,TODAY(),"m")&lt;6,"新品","老品")</f>
        <v>老品</v>
      </c>
      <c r="O209" s="37">
        <f>_xlfn.XLOOKUP(F209,'6月库存'!A:A,'6月库存'!R:R)</f>
        <v>35</v>
      </c>
      <c r="P209" s="39">
        <f>_xlfn.XLOOKUP(F209,'6月产品包'!B:B,'6月产品包'!S:S)</f>
        <v>1310</v>
      </c>
      <c r="Q209" s="39"/>
      <c r="R209" s="41">
        <f>_xlfn.XLOOKUP(F209,'6月产品包'!B:B,'6月产品包'!AD:AD)</f>
        <v>40.9538</v>
      </c>
      <c r="S209" s="39">
        <v>81</v>
      </c>
      <c r="T209" s="39">
        <f t="shared" si="75"/>
        <v>101</v>
      </c>
      <c r="U209" s="42">
        <f t="shared" si="92"/>
        <v>80.8</v>
      </c>
      <c r="V209" s="43">
        <v>0.2</v>
      </c>
      <c r="W209" s="44">
        <f t="shared" si="76"/>
        <v>0.49314603960396</v>
      </c>
      <c r="X209" s="44">
        <f t="shared" si="82"/>
        <v>0.329839110855108</v>
      </c>
      <c r="Y209" s="44">
        <v>0.038</v>
      </c>
      <c r="Z209" s="46">
        <v>0.09</v>
      </c>
      <c r="AA209" s="46">
        <v>0.049</v>
      </c>
      <c r="AB209" s="46">
        <f t="shared" si="83"/>
        <v>0.00668316831683168</v>
      </c>
      <c r="AC209" s="46">
        <v>0.06</v>
      </c>
      <c r="AD209" s="47"/>
      <c r="AF209" s="55" t="s">
        <v>114</v>
      </c>
      <c r="AG209" s="39">
        <f t="shared" si="93"/>
        <v>4.848</v>
      </c>
      <c r="AH209" s="39">
        <f t="shared" si="94"/>
        <v>4.848</v>
      </c>
      <c r="AI209" s="39">
        <f t="shared" si="95"/>
        <v>0</v>
      </c>
      <c r="AJ209" s="39">
        <f t="shared" si="96"/>
        <v>0</v>
      </c>
      <c r="AK209" s="39">
        <f t="shared" si="97"/>
        <v>0</v>
      </c>
      <c r="AL209" s="39">
        <f t="shared" si="98"/>
        <v>0</v>
      </c>
      <c r="AM209" s="39">
        <f t="shared" si="99"/>
        <v>0</v>
      </c>
      <c r="AN209" s="39">
        <f t="shared" si="100"/>
        <v>0</v>
      </c>
    </row>
    <row r="210" s="6" customFormat="1" ht="50" hidden="1" customHeight="1" spans="1:40">
      <c r="A210" s="37" t="s">
        <v>96</v>
      </c>
      <c r="B210" s="37" t="s">
        <v>115</v>
      </c>
      <c r="C210" s="37" t="str">
        <f>_xlfn.XLOOKUP(F210,'6月产品包'!B:B,'6月产品包'!H:H)</f>
        <v>点钞机</v>
      </c>
      <c r="D210" s="38" t="str">
        <f>_xlfn.XLOOKUP(F210,'6月产品包'!B:B,'6月产品包'!O:O)</f>
        <v>点钞机</v>
      </c>
      <c r="E210" s="38" t="s">
        <v>468</v>
      </c>
      <c r="F210" s="39" t="s">
        <v>469</v>
      </c>
      <c r="G210" s="39" t="e">
        <v>#N/A</v>
      </c>
      <c r="H210" s="39" t="s">
        <v>107</v>
      </c>
      <c r="I210" s="37" t="str">
        <f>_xlfn.XLOOKUP($F210,'6月库存'!A:A,'6月库存'!B:B)</f>
        <v>等待开发</v>
      </c>
      <c r="J210" s="12"/>
      <c r="K210" s="39" t="e">
        <f>_xlfn.XLOOKUP(E210,'[1]6月分配 '!$B:$B,'[1]6月分配 '!$K:$K)</f>
        <v>#N/A</v>
      </c>
      <c r="L210" s="12" t="str">
        <f t="shared" si="74"/>
        <v>否</v>
      </c>
      <c r="M210" s="40" t="str">
        <f>_xlfn.XLOOKUP(F210,'6月产品包'!B:B,'6月产品包'!J:J)</f>
        <v>2026-01-22</v>
      </c>
      <c r="N210" s="39" t="str">
        <f ca="1" t="shared" si="81"/>
        <v>新品</v>
      </c>
      <c r="O210" s="37">
        <f>_xlfn.XLOOKUP(F210,'6月库存'!A:A,'6月库存'!R:R)</f>
        <v>0</v>
      </c>
      <c r="P210" s="39">
        <f>_xlfn.XLOOKUP(F210,'6月产品包'!B:B,'6月产品包'!S:S)</f>
        <v>5500</v>
      </c>
      <c r="Q210" s="39"/>
      <c r="R210" s="41">
        <f>_xlfn.XLOOKUP(F210,'6月产品包'!B:B,'6月产品包'!AD:AD)</f>
        <v>115.7622</v>
      </c>
      <c r="S210" s="39">
        <v>220</v>
      </c>
      <c r="T210" s="39">
        <f t="shared" si="75"/>
        <v>275</v>
      </c>
      <c r="U210" s="42">
        <f t="shared" si="92"/>
        <v>220</v>
      </c>
      <c r="V210" s="43">
        <v>0.2</v>
      </c>
      <c r="W210" s="44">
        <f t="shared" si="76"/>
        <v>0.473808181818182</v>
      </c>
      <c r="X210" s="44">
        <f t="shared" si="82"/>
        <v>0.298920784883721</v>
      </c>
      <c r="Y210" s="44">
        <v>0.038</v>
      </c>
      <c r="Z210" s="46">
        <v>0.1</v>
      </c>
      <c r="AA210" s="46">
        <v>0.049</v>
      </c>
      <c r="AB210" s="46">
        <f t="shared" si="83"/>
        <v>0.00245454545454545</v>
      </c>
      <c r="AC210" s="46">
        <v>0.06</v>
      </c>
      <c r="AD210" s="47"/>
      <c r="AF210" s="48" t="s">
        <v>102</v>
      </c>
      <c r="AG210" s="39">
        <f t="shared" si="93"/>
        <v>11.88</v>
      </c>
      <c r="AH210" s="39">
        <f t="shared" si="94"/>
        <v>6</v>
      </c>
      <c r="AI210" s="39">
        <f t="shared" si="95"/>
        <v>11.88</v>
      </c>
      <c r="AJ210" s="39">
        <f t="shared" si="96"/>
        <v>0</v>
      </c>
      <c r="AK210" s="39">
        <f t="shared" si="97"/>
        <v>0</v>
      </c>
      <c r="AL210" s="39">
        <f t="shared" si="98"/>
        <v>0</v>
      </c>
      <c r="AM210" s="39">
        <f t="shared" si="99"/>
        <v>0</v>
      </c>
      <c r="AN210" s="39">
        <f t="shared" si="100"/>
        <v>9.9</v>
      </c>
    </row>
    <row r="211" s="6" customFormat="1" ht="50" hidden="1" customHeight="1" spans="1:40">
      <c r="A211" s="37" t="s">
        <v>96</v>
      </c>
      <c r="B211" s="37" t="s">
        <v>103</v>
      </c>
      <c r="C211" s="37" t="str">
        <f>_xlfn.XLOOKUP(F211,'6月产品包'!B:B,'6月产品包'!H:H)</f>
        <v>便携储能电源</v>
      </c>
      <c r="D211" s="38" t="str">
        <f>_xlfn.XLOOKUP(F211,'6月产品包'!B:B,'6月产品包'!O:O)</f>
        <v>储能电源ESP100</v>
      </c>
      <c r="E211" s="38" t="s">
        <v>470</v>
      </c>
      <c r="F211" s="39" t="s">
        <v>471</v>
      </c>
      <c r="G211" s="39" t="e">
        <v>#N/A</v>
      </c>
      <c r="H211" s="39" t="s">
        <v>107</v>
      </c>
      <c r="I211" s="37" t="str">
        <f>_xlfn.XLOOKUP($F211,'6月库存'!A:A,'6月库存'!B:B)</f>
        <v>等待开发</v>
      </c>
      <c r="J211" s="12"/>
      <c r="K211" s="39" t="e">
        <f>_xlfn.XLOOKUP(E211,'[1]6月分配 '!$B:$B,'[1]6月分配 '!$K:$K)</f>
        <v>#N/A</v>
      </c>
      <c r="L211" s="12" t="str">
        <f t="shared" si="74"/>
        <v>否</v>
      </c>
      <c r="M211" s="40" t="str">
        <f>_xlfn.XLOOKUP(F211,'6月产品包'!B:B,'6月产品包'!J:J)</f>
        <v>2026-01-26</v>
      </c>
      <c r="N211" s="39" t="str">
        <f ca="1" t="shared" si="81"/>
        <v>新品</v>
      </c>
      <c r="O211" s="37">
        <f>_xlfn.XLOOKUP(F211,'6月库存'!A:A,'6月库存'!R:R)</f>
        <v>0</v>
      </c>
      <c r="P211" s="39">
        <f>_xlfn.XLOOKUP(F211,'6月产品包'!B:B,'6月产品包'!S:S)</f>
        <v>1235</v>
      </c>
      <c r="Q211" s="39"/>
      <c r="R211" s="41">
        <f>_xlfn.XLOOKUP(F211,'6月产品包'!B:B,'6月产品包'!AD:AD)</f>
        <v>86.6798</v>
      </c>
      <c r="S211" s="39">
        <v>185</v>
      </c>
      <c r="T211" s="39">
        <f t="shared" si="75"/>
        <v>231</v>
      </c>
      <c r="U211" s="42">
        <f t="shared" si="92"/>
        <v>184.8</v>
      </c>
      <c r="V211" s="43">
        <v>0.2</v>
      </c>
      <c r="W211" s="44">
        <f t="shared" si="76"/>
        <v>0.530953463203463</v>
      </c>
      <c r="X211" s="44">
        <f t="shared" si="82"/>
        <v>0.370473177505476</v>
      </c>
      <c r="Y211" s="44">
        <v>0.038</v>
      </c>
      <c r="Z211" s="46">
        <v>0.105</v>
      </c>
      <c r="AA211" s="46">
        <v>0.049</v>
      </c>
      <c r="AB211" s="46">
        <f t="shared" si="83"/>
        <v>0.00292207792207792</v>
      </c>
      <c r="AC211" s="46">
        <v>0.06</v>
      </c>
      <c r="AD211" s="50">
        <v>0.05</v>
      </c>
      <c r="AE211" s="50">
        <v>0.03</v>
      </c>
      <c r="AF211" s="48" t="s">
        <v>102</v>
      </c>
      <c r="AG211" s="39">
        <f t="shared" si="93"/>
        <v>8.316</v>
      </c>
      <c r="AH211" s="39">
        <f t="shared" si="94"/>
        <v>6</v>
      </c>
      <c r="AI211" s="39">
        <f t="shared" si="95"/>
        <v>0</v>
      </c>
      <c r="AJ211" s="39">
        <f t="shared" si="96"/>
        <v>0</v>
      </c>
      <c r="AK211" s="39">
        <f t="shared" si="97"/>
        <v>0</v>
      </c>
      <c r="AL211" s="39">
        <f t="shared" si="98"/>
        <v>0</v>
      </c>
      <c r="AM211" s="39">
        <f t="shared" si="99"/>
        <v>0</v>
      </c>
      <c r="AN211" s="39">
        <f t="shared" si="100"/>
        <v>8.316</v>
      </c>
    </row>
    <row r="212" s="6" customFormat="1" ht="50" hidden="1" customHeight="1" spans="1:40">
      <c r="A212" s="37" t="s">
        <v>96</v>
      </c>
      <c r="B212" s="37" t="s">
        <v>115</v>
      </c>
      <c r="C212" s="37" t="str">
        <f>_xlfn.XLOOKUP(F212,'6月产品包'!B:B,'6月产品包'!H:H)</f>
        <v>裁纸机</v>
      </c>
      <c r="D212" s="38" t="str">
        <f>_xlfn.XLOOKUP(F212,'6月产品包'!B:B,'6月产品包'!O:O)</f>
        <v>A4重型裁纸机</v>
      </c>
      <c r="E212" s="38" t="s">
        <v>472</v>
      </c>
      <c r="F212" s="39" t="s">
        <v>473</v>
      </c>
      <c r="G212" s="39" t="e">
        <v>#N/A</v>
      </c>
      <c r="H212" s="39" t="s">
        <v>101</v>
      </c>
      <c r="I212" s="37" t="str">
        <f>_xlfn.XLOOKUP($F212,'6月库存'!A:A,'6月库存'!B:B)</f>
        <v>正常销售</v>
      </c>
      <c r="J212" s="12"/>
      <c r="K212" s="39" t="e">
        <f>_xlfn.XLOOKUP(E212,'[1]6月分配 '!$B:$B,'[1]6月分配 '!$K:$K)</f>
        <v>#N/A</v>
      </c>
      <c r="L212" s="12" t="str">
        <f t="shared" si="74"/>
        <v>否</v>
      </c>
      <c r="M212" s="40" t="str">
        <f>_xlfn.XLOOKUP(F212,'6月产品包'!B:B,'6月产品包'!J:J)</f>
        <v>2025-12-02</v>
      </c>
      <c r="N212" s="39" t="str">
        <f ca="1" t="shared" si="81"/>
        <v>老品</v>
      </c>
      <c r="O212" s="37">
        <f>_xlfn.XLOOKUP(F212,'6月库存'!A:A,'6月库存'!R:R)</f>
        <v>0</v>
      </c>
      <c r="P212" s="39">
        <f>_xlfn.XLOOKUP(F212,'6月产品包'!B:B,'6月产品包'!S:S)</f>
        <v>12500</v>
      </c>
      <c r="Q212" s="39"/>
      <c r="R212" s="41">
        <f>_xlfn.XLOOKUP(F212,'6月产品包'!B:B,'6月产品包'!AD:AD)</f>
        <v>193.0414</v>
      </c>
      <c r="S212" s="39">
        <v>355</v>
      </c>
      <c r="T212" s="39">
        <f t="shared" si="75"/>
        <v>444</v>
      </c>
      <c r="U212" s="42">
        <f t="shared" si="92"/>
        <v>355.2</v>
      </c>
      <c r="V212" s="43">
        <v>0.2</v>
      </c>
      <c r="W212" s="44">
        <f t="shared" si="76"/>
        <v>0.45652759009009</v>
      </c>
      <c r="X212" s="44">
        <f t="shared" si="82"/>
        <v>0.28629431790285</v>
      </c>
      <c r="Y212" s="44">
        <v>0.038</v>
      </c>
      <c r="Z212" s="46">
        <v>0.09</v>
      </c>
      <c r="AA212" s="46">
        <v>0.049</v>
      </c>
      <c r="AB212" s="46">
        <f t="shared" si="83"/>
        <v>0.00152027027027027</v>
      </c>
      <c r="AC212" s="46">
        <v>0.06</v>
      </c>
      <c r="AD212" s="49"/>
      <c r="AF212" s="48" t="s">
        <v>102</v>
      </c>
      <c r="AG212" s="39">
        <f t="shared" si="93"/>
        <v>19.1808</v>
      </c>
      <c r="AH212" s="39">
        <f t="shared" si="94"/>
        <v>6</v>
      </c>
      <c r="AI212" s="39">
        <f t="shared" si="95"/>
        <v>19.1808</v>
      </c>
      <c r="AJ212" s="39">
        <f t="shared" si="96"/>
        <v>0</v>
      </c>
      <c r="AK212" s="39">
        <f t="shared" si="97"/>
        <v>0</v>
      </c>
      <c r="AL212" s="39">
        <f t="shared" si="98"/>
        <v>0</v>
      </c>
      <c r="AM212" s="39">
        <f t="shared" si="99"/>
        <v>19.1808</v>
      </c>
      <c r="AN212" s="39">
        <f t="shared" si="100"/>
        <v>15.984</v>
      </c>
    </row>
    <row r="213" s="6" customFormat="1" ht="50" hidden="1" customHeight="1" spans="1:40">
      <c r="A213" s="37" t="s">
        <v>96</v>
      </c>
      <c r="B213" s="37" t="s">
        <v>115</v>
      </c>
      <c r="C213" s="37" t="str">
        <f>_xlfn.XLOOKUP(F213,'6月产品包'!B:B,'6月产品包'!H:H)</f>
        <v>裁纸机</v>
      </c>
      <c r="D213" s="38" t="str">
        <f>_xlfn.XLOOKUP(F213,'6月产品包'!B:B,'6月产品包'!O:O)</f>
        <v>A3重型裁纸机</v>
      </c>
      <c r="E213" s="38" t="s">
        <v>474</v>
      </c>
      <c r="F213" s="39" t="s">
        <v>475</v>
      </c>
      <c r="G213" s="39" t="e">
        <v>#N/A</v>
      </c>
      <c r="H213" s="39" t="s">
        <v>101</v>
      </c>
      <c r="I213" s="37" t="str">
        <f>_xlfn.XLOOKUP($F213,'6月库存'!A:A,'6月库存'!B:B)</f>
        <v>正常销售</v>
      </c>
      <c r="J213" s="12"/>
      <c r="K213" s="39" t="e">
        <f>_xlfn.XLOOKUP(E213,'[1]6月分配 '!$B:$B,'[1]6月分配 '!$K:$K)</f>
        <v>#N/A</v>
      </c>
      <c r="L213" s="12" t="str">
        <f t="shared" si="74"/>
        <v>否</v>
      </c>
      <c r="M213" s="40" t="str">
        <f>_xlfn.XLOOKUP(F213,'6月产品包'!B:B,'6月产品包'!J:J)</f>
        <v>2025-12-02</v>
      </c>
      <c r="N213" s="39" t="str">
        <f ca="1" t="shared" si="81"/>
        <v>老品</v>
      </c>
      <c r="O213" s="37">
        <f>_xlfn.XLOOKUP(F213,'6月库存'!A:A,'6月库存'!R:R)</f>
        <v>0</v>
      </c>
      <c r="P213" s="39">
        <f>_xlfn.XLOOKUP(F213,'6月产品包'!B:B,'6月产品包'!S:S)</f>
        <v>17500</v>
      </c>
      <c r="Q213" s="39"/>
      <c r="R213" s="41">
        <f>_xlfn.XLOOKUP(F213,'6月产品包'!B:B,'6月产品包'!AD:AD)</f>
        <v>256.4586</v>
      </c>
      <c r="S213" s="39">
        <v>475</v>
      </c>
      <c r="T213" s="39">
        <f t="shared" si="75"/>
        <v>594</v>
      </c>
      <c r="U213" s="42">
        <f t="shared" si="92"/>
        <v>475.2</v>
      </c>
      <c r="V213" s="43">
        <v>0.2</v>
      </c>
      <c r="W213" s="44">
        <f t="shared" si="76"/>
        <v>0.460314393939394</v>
      </c>
      <c r="X213" s="44">
        <f t="shared" si="82"/>
        <v>0.291624405862816</v>
      </c>
      <c r="Y213" s="44">
        <v>0.038</v>
      </c>
      <c r="Z213" s="46">
        <v>0.09</v>
      </c>
      <c r="AA213" s="46">
        <v>0.049</v>
      </c>
      <c r="AB213" s="46">
        <f t="shared" si="83"/>
        <v>0.00113636363636364</v>
      </c>
      <c r="AC213" s="46">
        <v>0.06</v>
      </c>
      <c r="AD213" s="49"/>
      <c r="AF213" s="48" t="s">
        <v>102</v>
      </c>
      <c r="AG213" s="39">
        <f t="shared" si="93"/>
        <v>39.9168</v>
      </c>
      <c r="AH213" s="39">
        <f t="shared" si="94"/>
        <v>6</v>
      </c>
      <c r="AI213" s="39">
        <f t="shared" si="95"/>
        <v>21</v>
      </c>
      <c r="AJ213" s="39">
        <f t="shared" si="96"/>
        <v>39.9168</v>
      </c>
      <c r="AK213" s="39">
        <f t="shared" si="97"/>
        <v>35.64</v>
      </c>
      <c r="AL213" s="39">
        <f t="shared" si="98"/>
        <v>31.3632</v>
      </c>
      <c r="AM213" s="39">
        <f t="shared" si="99"/>
        <v>25.6608</v>
      </c>
      <c r="AN213" s="39">
        <f t="shared" si="100"/>
        <v>18</v>
      </c>
    </row>
    <row r="214" s="6" customFormat="1" ht="50" hidden="1" customHeight="1" spans="1:40">
      <c r="A214" s="37" t="s">
        <v>108</v>
      </c>
      <c r="B214" s="37" t="s">
        <v>109</v>
      </c>
      <c r="C214" s="37" t="str">
        <f>_xlfn.XLOOKUP(F214,'6月产品包'!B:B,'6月产品包'!H:H)</f>
        <v>电脑支架</v>
      </c>
      <c r="D214" s="38" t="str">
        <f>_xlfn.XLOOKUP(F214,'6月产品包'!B:B,'6月产品包'!O:O)</f>
        <v>金属笔记本支架</v>
      </c>
      <c r="E214" s="38" t="s">
        <v>476</v>
      </c>
      <c r="F214" s="37" t="s">
        <v>477</v>
      </c>
      <c r="G214" s="39" t="s">
        <v>154</v>
      </c>
      <c r="H214" s="37" t="s">
        <v>101</v>
      </c>
      <c r="I214" s="37" t="str">
        <f>_xlfn.XLOOKUP($F214,'6月库存'!A:A,'6月库存'!B:B)</f>
        <v>商品清仓</v>
      </c>
      <c r="J214" s="12"/>
      <c r="K214" s="39">
        <f>_xlfn.XLOOKUP(E214,'[1]6月分配 '!$B:$B,'[1]6月分配 '!$K:$K)</f>
        <v>3495</v>
      </c>
      <c r="L214" s="12" t="str">
        <f t="shared" si="74"/>
        <v>是</v>
      </c>
      <c r="M214" s="40" t="str">
        <f>_xlfn.XLOOKUP(F214,'6月产品包'!B:B,'6月产品包'!J:J)</f>
        <v>2024-11-28</v>
      </c>
      <c r="N214" s="39" t="str">
        <f ca="1" t="shared" si="81"/>
        <v>老品</v>
      </c>
      <c r="O214" s="37">
        <f>_xlfn.XLOOKUP(F214,'6月库存'!A:A,'6月库存'!R:R)</f>
        <v>217</v>
      </c>
      <c r="P214" s="39">
        <f>_xlfn.XLOOKUP(F214,'6月产品包'!B:B,'6月产品包'!S:S)</f>
        <v>447</v>
      </c>
      <c r="Q214" s="39"/>
      <c r="R214" s="41">
        <f>_xlfn.XLOOKUP(F214,'6月产品包'!B:B,'6月产品包'!AD:AD)</f>
        <v>9.3206</v>
      </c>
      <c r="S214" s="39">
        <v>17</v>
      </c>
      <c r="T214" s="39">
        <f t="shared" si="75"/>
        <v>21</v>
      </c>
      <c r="U214" s="42">
        <f t="shared" si="92"/>
        <v>16.8</v>
      </c>
      <c r="V214" s="43">
        <v>0.2</v>
      </c>
      <c r="W214" s="44">
        <f t="shared" si="76"/>
        <v>0.445202380952381</v>
      </c>
      <c r="X214" s="44">
        <f t="shared" si="82"/>
        <v>0.22822270800212</v>
      </c>
      <c r="Y214" s="44">
        <v>0.038</v>
      </c>
      <c r="Z214" s="46">
        <v>0.102</v>
      </c>
      <c r="AA214" s="46">
        <v>0.049</v>
      </c>
      <c r="AB214" s="46">
        <f t="shared" si="83"/>
        <v>0.0321428571428571</v>
      </c>
      <c r="AC214" s="46">
        <v>0.06</v>
      </c>
      <c r="AD214" s="47"/>
      <c r="AE214" s="50"/>
      <c r="AF214" s="55" t="s">
        <v>114</v>
      </c>
      <c r="AG214" s="39">
        <f t="shared" si="93"/>
        <v>0</v>
      </c>
      <c r="AH214" s="39">
        <f t="shared" si="94"/>
        <v>0</v>
      </c>
      <c r="AI214" s="39">
        <f t="shared" si="95"/>
        <v>0</v>
      </c>
      <c r="AJ214" s="39">
        <f t="shared" si="96"/>
        <v>0</v>
      </c>
      <c r="AK214" s="39">
        <f t="shared" si="97"/>
        <v>0</v>
      </c>
      <c r="AL214" s="39">
        <f t="shared" si="98"/>
        <v>0</v>
      </c>
      <c r="AM214" s="39">
        <f t="shared" si="99"/>
        <v>0</v>
      </c>
      <c r="AN214" s="39">
        <f t="shared" si="100"/>
        <v>0</v>
      </c>
    </row>
    <row r="215" s="6" customFormat="1" ht="50" hidden="1" customHeight="1" spans="1:40">
      <c r="A215" s="37" t="s">
        <v>96</v>
      </c>
      <c r="B215" s="37" t="s">
        <v>115</v>
      </c>
      <c r="C215" s="37" t="str">
        <f>_xlfn.XLOOKUP(F215,'6月产品包'!B:B,'6月产品包'!H:H)</f>
        <v>毛毡照片墙</v>
      </c>
      <c r="D215" s="38" t="str">
        <f>_xlfn.XLOOKUP(F215,'6月产品包'!B:B,'6月产品包'!O:O)</f>
        <v>毛毡照片公告墙</v>
      </c>
      <c r="E215" s="38" t="s">
        <v>478</v>
      </c>
      <c r="F215" s="39" t="s">
        <v>479</v>
      </c>
      <c r="G215" s="39" t="e">
        <v>#N/A</v>
      </c>
      <c r="H215" s="39" t="s">
        <v>101</v>
      </c>
      <c r="I215" s="37" t="str">
        <f>_xlfn.XLOOKUP($F215,'6月库存'!A:A,'6月库存'!B:B)</f>
        <v>正常销售</v>
      </c>
      <c r="J215" s="12"/>
      <c r="K215" s="39" t="e">
        <f>_xlfn.XLOOKUP(E215,'[1]6月分配 '!$B:$B,'[1]6月分配 '!$K:$K)</f>
        <v>#N/A</v>
      </c>
      <c r="L215" s="12" t="str">
        <f t="shared" ref="L215:L222" si="101">IF(ISNUMBER(K215),"是",IF(ISNA(K215),"否",""))</f>
        <v>否</v>
      </c>
      <c r="M215" s="40" t="str">
        <f>_xlfn.XLOOKUP(F215,'6月产品包'!B:B,'6月产品包'!J:J)</f>
        <v>2026-01-06</v>
      </c>
      <c r="N215" s="39" t="str">
        <f ca="1" t="shared" ref="N215:N251" si="102">IF(DATEDIF(M215,TODAY(),"m")&lt;6,"新品","老品")</f>
        <v>新品</v>
      </c>
      <c r="O215" s="37">
        <f>_xlfn.XLOOKUP(F215,'6月库存'!A:A,'6月库存'!R:R)</f>
        <v>14</v>
      </c>
      <c r="P215" s="39">
        <f>_xlfn.XLOOKUP(F215,'6月产品包'!B:B,'6月产品包'!S:S)</f>
        <v>2440</v>
      </c>
      <c r="Q215" s="39"/>
      <c r="R215" s="41">
        <f>_xlfn.XLOOKUP(F215,'6月产品包'!B:B,'6月产品包'!AD:AD)</f>
        <v>43.2332</v>
      </c>
      <c r="S215" s="39">
        <v>89</v>
      </c>
      <c r="T215" s="39">
        <f t="shared" ref="T215:T222" si="103">ROUND(S215*(1+0.25),0)</f>
        <v>111</v>
      </c>
      <c r="U215" s="42">
        <f t="shared" si="92"/>
        <v>88.8</v>
      </c>
      <c r="V215" s="43">
        <v>0.2</v>
      </c>
      <c r="W215" s="44">
        <f t="shared" ref="W215:W222" si="104">(U215-R215)/U215</f>
        <v>0.51313963963964</v>
      </c>
      <c r="X215" s="44">
        <f t="shared" si="82"/>
        <v>0.35678664095789</v>
      </c>
      <c r="Y215" s="44">
        <v>0.038</v>
      </c>
      <c r="Z215" s="46">
        <v>0.09</v>
      </c>
      <c r="AA215" s="46">
        <v>0.049</v>
      </c>
      <c r="AB215" s="46">
        <f t="shared" ref="AB215:AB244" si="105">$AB$1/U215</f>
        <v>0.00608108108108108</v>
      </c>
      <c r="AC215" s="46">
        <v>0.06</v>
      </c>
      <c r="AD215" s="47"/>
      <c r="AF215" s="48" t="s">
        <v>102</v>
      </c>
      <c r="AG215" s="39">
        <f t="shared" si="93"/>
        <v>5.328</v>
      </c>
      <c r="AH215" s="39">
        <f t="shared" si="94"/>
        <v>5.328</v>
      </c>
      <c r="AI215" s="39">
        <f t="shared" si="95"/>
        <v>0</v>
      </c>
      <c r="AJ215" s="39">
        <f t="shared" si="96"/>
        <v>0</v>
      </c>
      <c r="AK215" s="39">
        <f t="shared" si="97"/>
        <v>0</v>
      </c>
      <c r="AL215" s="39">
        <f t="shared" si="98"/>
        <v>0</v>
      </c>
      <c r="AM215" s="39">
        <f t="shared" si="99"/>
        <v>0</v>
      </c>
      <c r="AN215" s="39">
        <f t="shared" si="100"/>
        <v>0</v>
      </c>
    </row>
    <row r="216" s="6" customFormat="1" ht="50" hidden="1" customHeight="1" spans="1:40">
      <c r="A216" s="39" t="str">
        <f>_xlfn.XLOOKUP(F216,'6月产品包'!B:B,'6月产品包'!F:F)</f>
        <v>3C数码</v>
      </c>
      <c r="B216" s="39" t="str">
        <f>_xlfn.XLOOKUP(F216,'6月产品包'!B:B,'6月产品包'!G:G)</f>
        <v>影像摄影</v>
      </c>
      <c r="C216" s="37" t="str">
        <f>_xlfn.XLOOKUP(F216,'6月产品包'!B:B,'6月产品包'!H:H)</f>
        <v>投影仪支架-2</v>
      </c>
      <c r="D216" s="38" t="str">
        <f>_xlfn.XLOOKUP(F216,'6月产品包'!B:B,'6月产品包'!O:O)</f>
        <v>投影仪支架系列</v>
      </c>
      <c r="E216" s="38" t="str">
        <f>_xlfn.XLOOKUP(F216,'6月产品包'!B:B,'6月产品包'!C:C)</f>
        <v>3C-投影仪支架</v>
      </c>
      <c r="F216" s="37" t="s">
        <v>480</v>
      </c>
      <c r="G216" s="39" t="s">
        <v>126</v>
      </c>
      <c r="H216" s="37" t="s">
        <v>101</v>
      </c>
      <c r="I216" s="37" t="str">
        <f>_xlfn.XLOOKUP($F216,'6月库存'!A:A,'6月库存'!B:B)</f>
        <v>正常销售</v>
      </c>
      <c r="J216" s="12"/>
      <c r="K216" s="39">
        <f>_xlfn.XLOOKUP(E216,'[1]6月分配 '!$B:$B,'[1]6月分配 '!$K:$K)</f>
        <v>3437</v>
      </c>
      <c r="L216" s="12" t="str">
        <f t="shared" si="101"/>
        <v>是</v>
      </c>
      <c r="M216" s="40" t="str">
        <f>_xlfn.XLOOKUP(F216,'6月产品包'!B:B,'6月产品包'!J:J)</f>
        <v>2024-01-01</v>
      </c>
      <c r="N216" s="39" t="str">
        <f ca="1" t="shared" si="102"/>
        <v>老品</v>
      </c>
      <c r="O216" s="37">
        <f>_xlfn.XLOOKUP(F216,'6月库存'!A:A,'6月库存'!R:R)</f>
        <v>278</v>
      </c>
      <c r="P216" s="39">
        <f>_xlfn.XLOOKUP(F216,'6月产品包'!B:B,'6月产品包'!S:S)</f>
        <v>1200</v>
      </c>
      <c r="Q216" s="39"/>
      <c r="R216" s="41">
        <f>_xlfn.XLOOKUP(F216,'6月产品包'!B:B,'6月产品包'!AD:AD)</f>
        <v>23.4494</v>
      </c>
      <c r="S216" s="39">
        <v>46</v>
      </c>
      <c r="T216" s="39">
        <f t="shared" si="103"/>
        <v>58</v>
      </c>
      <c r="U216" s="42">
        <f t="shared" si="92"/>
        <v>46.4</v>
      </c>
      <c r="V216" s="43">
        <v>0.2</v>
      </c>
      <c r="W216" s="44">
        <f t="shared" si="104"/>
        <v>0.494625</v>
      </c>
      <c r="X216" s="44">
        <f t="shared" si="82"/>
        <v>0.304238173229842</v>
      </c>
      <c r="Y216" s="44">
        <v>0.038</v>
      </c>
      <c r="Z216" s="46">
        <v>0.115</v>
      </c>
      <c r="AA216" s="46">
        <v>0.049</v>
      </c>
      <c r="AB216" s="46">
        <f t="shared" si="105"/>
        <v>0.0116379310344828</v>
      </c>
      <c r="AC216" s="46">
        <v>0.06</v>
      </c>
      <c r="AD216" s="47"/>
      <c r="AE216" s="50"/>
      <c r="AF216" s="55" t="s">
        <v>114</v>
      </c>
      <c r="AG216" s="39">
        <f t="shared" si="93"/>
        <v>0</v>
      </c>
      <c r="AH216" s="39">
        <f t="shared" si="94"/>
        <v>0</v>
      </c>
      <c r="AI216" s="39">
        <f t="shared" si="95"/>
        <v>0</v>
      </c>
      <c r="AJ216" s="39">
        <f t="shared" si="96"/>
        <v>0</v>
      </c>
      <c r="AK216" s="39">
        <f t="shared" si="97"/>
        <v>0</v>
      </c>
      <c r="AL216" s="39">
        <f t="shared" si="98"/>
        <v>0</v>
      </c>
      <c r="AM216" s="39">
        <f t="shared" si="99"/>
        <v>0</v>
      </c>
      <c r="AN216" s="39">
        <f t="shared" si="100"/>
        <v>0</v>
      </c>
    </row>
    <row r="217" s="6" customFormat="1" ht="50" hidden="1" customHeight="1" spans="1:40">
      <c r="A217" s="39" t="str">
        <f>_xlfn.XLOOKUP(F217,'6月产品包'!B:B,'6月产品包'!F:F)</f>
        <v>3C数码</v>
      </c>
      <c r="B217" s="39" t="str">
        <f>_xlfn.XLOOKUP(F217,'6月产品包'!B:B,'6月产品包'!G:G)</f>
        <v>影像摄影</v>
      </c>
      <c r="C217" s="37" t="str">
        <f>_xlfn.XLOOKUP(F217,'6月产品包'!B:B,'6月产品包'!H:H)</f>
        <v>数码相机</v>
      </c>
      <c r="D217" s="38" t="str">
        <f>_xlfn.XLOOKUP(F217,'6月产品包'!B:B,'6月产品包'!O:O)</f>
        <v>数码相机</v>
      </c>
      <c r="E217" s="38" t="str">
        <f>_xlfn.XLOOKUP(F217,'6月产品包'!B:B,'6月产品包'!C:C)</f>
        <v>3C-数码相机银色6400万像素</v>
      </c>
      <c r="F217" s="37" t="s">
        <v>481</v>
      </c>
      <c r="G217" s="39" t="s">
        <v>154</v>
      </c>
      <c r="H217" s="37" t="s">
        <v>107</v>
      </c>
      <c r="I217" s="37" t="str">
        <f>_xlfn.XLOOKUP($F217,'6月库存'!A:A,'6月库存'!B:B)</f>
        <v>商品清仓</v>
      </c>
      <c r="J217" s="12"/>
      <c r="K217" s="39">
        <f>_xlfn.XLOOKUP(E217,'[1]6月分配 '!$B:$B,'[1]6月分配 '!$K:$K)</f>
        <v>3327</v>
      </c>
      <c r="L217" s="12" t="str">
        <f t="shared" si="101"/>
        <v>是</v>
      </c>
      <c r="M217" s="40" t="str">
        <f>_xlfn.XLOOKUP(F217,'6月产品包'!B:B,'6月产品包'!J:J)</f>
        <v>2024-06-27</v>
      </c>
      <c r="N217" s="39" t="str">
        <f ca="1" t="shared" si="102"/>
        <v>老品</v>
      </c>
      <c r="O217" s="37">
        <f>_xlfn.XLOOKUP(F217,'6月库存'!A:A,'6月库存'!R:R)</f>
        <v>47</v>
      </c>
      <c r="P217" s="39">
        <f>_xlfn.XLOOKUP(F217,'6月产品包'!B:B,'6月产品包'!S:S)</f>
        <v>180</v>
      </c>
      <c r="Q217" s="39"/>
      <c r="R217" s="41">
        <f>_xlfn.XLOOKUP(F217,'6月产品包'!B:B,'6月产品包'!AD:AD)</f>
        <v>59.3688</v>
      </c>
      <c r="S217" s="39">
        <v>98</v>
      </c>
      <c r="T217" s="39">
        <f t="shared" si="103"/>
        <v>123</v>
      </c>
      <c r="U217" s="42">
        <f t="shared" si="92"/>
        <v>98.4</v>
      </c>
      <c r="V217" s="43">
        <v>0.2</v>
      </c>
      <c r="W217" s="44">
        <f t="shared" si="104"/>
        <v>0.396658536585366</v>
      </c>
      <c r="X217" s="44">
        <f t="shared" si="82"/>
        <v>0.203522441882929</v>
      </c>
      <c r="Y217" s="51">
        <v>0.038</v>
      </c>
      <c r="Z217" s="46">
        <v>0.09</v>
      </c>
      <c r="AA217" s="46">
        <v>0.049</v>
      </c>
      <c r="AB217" s="46">
        <f t="shared" si="105"/>
        <v>0.00548780487804878</v>
      </c>
      <c r="AC217" s="46">
        <v>0.06</v>
      </c>
      <c r="AD217" s="47"/>
      <c r="AF217" s="55" t="s">
        <v>114</v>
      </c>
      <c r="AG217" s="39">
        <f t="shared" si="93"/>
        <v>5.904</v>
      </c>
      <c r="AH217" s="39">
        <f t="shared" si="94"/>
        <v>5.904</v>
      </c>
      <c r="AI217" s="39">
        <f t="shared" si="95"/>
        <v>0</v>
      </c>
      <c r="AJ217" s="39">
        <f t="shared" si="96"/>
        <v>0</v>
      </c>
      <c r="AK217" s="39">
        <f t="shared" si="97"/>
        <v>0</v>
      </c>
      <c r="AL217" s="39">
        <f t="shared" si="98"/>
        <v>0</v>
      </c>
      <c r="AM217" s="39">
        <f t="shared" si="99"/>
        <v>0</v>
      </c>
      <c r="AN217" s="39">
        <f t="shared" si="100"/>
        <v>0</v>
      </c>
    </row>
    <row r="218" s="6" customFormat="1" ht="50" hidden="1" customHeight="1" spans="1:40">
      <c r="A218" s="39" t="str">
        <f>_xlfn.XLOOKUP(F218,'6月产品包'!B:B,'6月产品包'!F:F)</f>
        <v>3C数码</v>
      </c>
      <c r="B218" s="39" t="str">
        <f>_xlfn.XLOOKUP(F218,'6月产品包'!B:B,'6月产品包'!G:G)</f>
        <v>影像摄影</v>
      </c>
      <c r="C218" s="37" t="str">
        <f>_xlfn.XLOOKUP(F218,'6月产品包'!B:B,'6月产品包'!H:H)</f>
        <v>LED像素屏</v>
      </c>
      <c r="D218" s="38" t="str">
        <f>_xlfn.XLOOKUP(F218,'6月产品包'!B:B,'6月产品包'!O:O)</f>
        <v>互动屏</v>
      </c>
      <c r="E218" s="38" t="str">
        <f>_xlfn.XLOOKUP(F218,'6月产品包'!B:B,'6月产品包'!C:C)</f>
        <v>3C-led智能互动屏59.5cm*12cm</v>
      </c>
      <c r="F218" s="37" t="s">
        <v>482</v>
      </c>
      <c r="G218" s="39" t="s">
        <v>100</v>
      </c>
      <c r="H218" s="37" t="s">
        <v>107</v>
      </c>
      <c r="I218" s="37" t="str">
        <f>_xlfn.XLOOKUP($F218,'6月库存'!A:A,'6月库存'!B:B)</f>
        <v>正常销售</v>
      </c>
      <c r="J218" s="12"/>
      <c r="K218" s="39">
        <f>_xlfn.XLOOKUP(E218,'[1]6月分配 '!$B:$B,'[1]6月分配 '!$K:$K)</f>
        <v>3299</v>
      </c>
      <c r="L218" s="12" t="str">
        <f t="shared" si="101"/>
        <v>是</v>
      </c>
      <c r="M218" s="40" t="str">
        <f>_xlfn.XLOOKUP(F218,'6月产品包'!B:B,'6月产品包'!J:J)</f>
        <v>2025-07-10</v>
      </c>
      <c r="N218" s="39" t="str">
        <f ca="1" t="shared" si="102"/>
        <v>老品</v>
      </c>
      <c r="O218" s="37">
        <f>_xlfn.XLOOKUP(F218,'6月库存'!A:A,'6月库存'!R:R)</f>
        <v>55</v>
      </c>
      <c r="P218" s="39">
        <f>_xlfn.XLOOKUP(F218,'6月产品包'!B:B,'6月产品包'!S:S)</f>
        <v>743</v>
      </c>
      <c r="Q218" s="39">
        <v>750</v>
      </c>
      <c r="R218" s="41">
        <f>_xlfn.XLOOKUP(F218,'6月产品包'!B:B,'6月产品包'!AD:AD)</f>
        <v>91.118</v>
      </c>
      <c r="S218" s="39">
        <v>100</v>
      </c>
      <c r="T218" s="39">
        <f t="shared" si="103"/>
        <v>125</v>
      </c>
      <c r="U218" s="42">
        <f t="shared" si="92"/>
        <v>100</v>
      </c>
      <c r="V218" s="43">
        <v>0.2</v>
      </c>
      <c r="W218" s="44">
        <f t="shared" si="104"/>
        <v>0.0888200000000001</v>
      </c>
      <c r="X218" s="44">
        <f t="shared" si="82"/>
        <v>-0.235330802603037</v>
      </c>
      <c r="Y218" s="44">
        <v>0.038</v>
      </c>
      <c r="Z218" s="46">
        <v>0.11</v>
      </c>
      <c r="AA218" s="46">
        <v>0.049</v>
      </c>
      <c r="AB218" s="46">
        <f t="shared" si="105"/>
        <v>0.0054</v>
      </c>
      <c r="AC218" s="46">
        <v>0.06</v>
      </c>
      <c r="AD218" s="47"/>
      <c r="AF218" s="55" t="s">
        <v>114</v>
      </c>
      <c r="AG218" s="39">
        <f t="shared" si="93"/>
        <v>6</v>
      </c>
      <c r="AH218" s="39">
        <f t="shared" si="94"/>
        <v>6</v>
      </c>
      <c r="AI218" s="39">
        <f t="shared" si="95"/>
        <v>0</v>
      </c>
      <c r="AJ218" s="39">
        <f t="shared" si="96"/>
        <v>0</v>
      </c>
      <c r="AK218" s="39">
        <f t="shared" si="97"/>
        <v>0</v>
      </c>
      <c r="AL218" s="39">
        <f t="shared" si="98"/>
        <v>0</v>
      </c>
      <c r="AM218" s="39">
        <f t="shared" si="99"/>
        <v>0</v>
      </c>
      <c r="AN218" s="39">
        <f t="shared" si="100"/>
        <v>0</v>
      </c>
    </row>
    <row r="219" s="6" customFormat="1" ht="50" hidden="1" customHeight="1" spans="1:40">
      <c r="A219" s="37" t="s">
        <v>96</v>
      </c>
      <c r="B219" s="37" t="s">
        <v>186</v>
      </c>
      <c r="C219" s="37" t="str">
        <f>_xlfn.XLOOKUP(F219,'6月产品包'!B:B,'6月产品包'!H:H)</f>
        <v>教具白板</v>
      </c>
      <c r="D219" s="38" t="str">
        <f>_xlfn.XLOOKUP(F219,'6月产品包'!B:B,'6月产品包'!O:O)</f>
        <v>可翻转白板</v>
      </c>
      <c r="E219" s="38" t="s">
        <v>483</v>
      </c>
      <c r="F219" s="39" t="s">
        <v>484</v>
      </c>
      <c r="G219" s="39" t="e">
        <v>#N/A</v>
      </c>
      <c r="H219" s="37" t="s">
        <v>101</v>
      </c>
      <c r="I219" s="37" t="str">
        <f>_xlfn.XLOOKUP($F219,'6月库存'!A:A,'6月库存'!B:B)</f>
        <v>正常销售</v>
      </c>
      <c r="J219" s="12"/>
      <c r="K219" s="39">
        <f>_xlfn.XLOOKUP(E219,'[1]6月分配 '!$B:$B,'[1]6月分配 '!$K:$K)</f>
        <v>3125</v>
      </c>
      <c r="L219" s="12" t="str">
        <f t="shared" si="101"/>
        <v>是</v>
      </c>
      <c r="M219" s="40" t="str">
        <f>_xlfn.XLOOKUP(F219,'6月产品包'!B:B,'6月产品包'!J:J)</f>
        <v>2025-11-13</v>
      </c>
      <c r="N219" s="39" t="str">
        <f ca="1" t="shared" si="102"/>
        <v>老品</v>
      </c>
      <c r="O219" s="37">
        <f>_xlfn.XLOOKUP(F219,'6月库存'!A:A,'6月库存'!R:R)</f>
        <v>49</v>
      </c>
      <c r="P219" s="39">
        <f>_xlfn.XLOOKUP(F219,'6月产品包'!B:B,'6月产品包'!S:S)</f>
        <v>5300</v>
      </c>
      <c r="Q219" s="39"/>
      <c r="R219" s="41">
        <f>_xlfn.XLOOKUP(F219,'6月产品包'!B:B,'6月产品包'!AD:AD)</f>
        <v>67.1292</v>
      </c>
      <c r="S219" s="39">
        <v>135</v>
      </c>
      <c r="T219" s="39">
        <f t="shared" si="103"/>
        <v>169</v>
      </c>
      <c r="U219" s="42">
        <f t="shared" si="92"/>
        <v>135.2</v>
      </c>
      <c r="V219" s="43">
        <v>0.2</v>
      </c>
      <c r="W219" s="44">
        <f t="shared" si="104"/>
        <v>0.50348224852071</v>
      </c>
      <c r="X219" s="44">
        <f t="shared" si="82"/>
        <v>0.317037537439771</v>
      </c>
      <c r="Y219" s="44">
        <v>0.04</v>
      </c>
      <c r="Z219" s="46">
        <v>0.1</v>
      </c>
      <c r="AA219" s="46">
        <v>0.049</v>
      </c>
      <c r="AB219" s="46">
        <f t="shared" si="105"/>
        <v>0.00399408284023669</v>
      </c>
      <c r="AC219" s="46">
        <v>0.08</v>
      </c>
      <c r="AD219" s="58">
        <v>0.05</v>
      </c>
      <c r="AE219" s="58">
        <v>0.05</v>
      </c>
      <c r="AF219" s="55" t="s">
        <v>114</v>
      </c>
      <c r="AG219" s="39">
        <f t="shared" si="93"/>
        <v>6</v>
      </c>
      <c r="AH219" s="39">
        <f t="shared" si="94"/>
        <v>6</v>
      </c>
      <c r="AI219" s="39">
        <f t="shared" si="95"/>
        <v>0</v>
      </c>
      <c r="AJ219" s="39">
        <f t="shared" si="96"/>
        <v>0</v>
      </c>
      <c r="AK219" s="39">
        <f t="shared" si="97"/>
        <v>0</v>
      </c>
      <c r="AL219" s="39">
        <f t="shared" si="98"/>
        <v>0</v>
      </c>
      <c r="AM219" s="39">
        <f t="shared" si="99"/>
        <v>0</v>
      </c>
      <c r="AN219" s="39">
        <f t="shared" si="100"/>
        <v>0</v>
      </c>
    </row>
    <row r="220" s="6" customFormat="1" ht="50" hidden="1" customHeight="1" spans="1:40">
      <c r="A220" s="37" t="s">
        <v>96</v>
      </c>
      <c r="B220" s="37" t="s">
        <v>186</v>
      </c>
      <c r="C220" s="37" t="str">
        <f>_xlfn.XLOOKUP(F220,'6月产品包'!B:B,'6月产品包'!H:H)</f>
        <v>简易支架</v>
      </c>
      <c r="D220" s="38" t="str">
        <f>_xlfn.XLOOKUP(F220,'6月产品包'!B:B,'6月产品包'!O:O)</f>
        <v>画板支架</v>
      </c>
      <c r="E220" s="38" t="s">
        <v>485</v>
      </c>
      <c r="F220" s="37" t="s">
        <v>486</v>
      </c>
      <c r="G220" s="39" t="s">
        <v>126</v>
      </c>
      <c r="H220" s="37" t="s">
        <v>101</v>
      </c>
      <c r="I220" s="37" t="str">
        <f>_xlfn.XLOOKUP($F220,'6月库存'!A:A,'6月库存'!B:B)</f>
        <v>正常销售</v>
      </c>
      <c r="J220" s="12"/>
      <c r="K220" s="39">
        <f>_xlfn.XLOOKUP(E220,'[1]6月分配 '!$B:$B,'[1]6月分配 '!$K:$K)</f>
        <v>3097</v>
      </c>
      <c r="L220" s="12" t="str">
        <f t="shared" si="101"/>
        <v>是</v>
      </c>
      <c r="M220" s="40" t="str">
        <f>_xlfn.XLOOKUP(F220,'6月产品包'!B:B,'6月产品包'!J:J)</f>
        <v>2025-07-03</v>
      </c>
      <c r="N220" s="39" t="str">
        <f ca="1" t="shared" si="102"/>
        <v>老品</v>
      </c>
      <c r="O220" s="37">
        <f>_xlfn.XLOOKUP(F220,'6月库存'!A:A,'6月库存'!R:R)</f>
        <v>289</v>
      </c>
      <c r="P220" s="39">
        <f>_xlfn.XLOOKUP(F220,'6月产品包'!B:B,'6月产品包'!S:S)</f>
        <v>125</v>
      </c>
      <c r="Q220" s="39"/>
      <c r="R220" s="41">
        <f>_xlfn.XLOOKUP(F220,'6月产品包'!B:B,'6月产品包'!AD:AD)</f>
        <v>4.3326</v>
      </c>
      <c r="S220" s="39">
        <v>9</v>
      </c>
      <c r="T220" s="39">
        <f t="shared" si="103"/>
        <v>11</v>
      </c>
      <c r="U220" s="42">
        <f t="shared" si="92"/>
        <v>8.8</v>
      </c>
      <c r="V220" s="43">
        <v>0.2</v>
      </c>
      <c r="W220" s="44">
        <f t="shared" si="104"/>
        <v>0.507659090909091</v>
      </c>
      <c r="X220" s="44">
        <f t="shared" si="82"/>
        <v>0.266953167298322</v>
      </c>
      <c r="Y220" s="51">
        <v>0.038</v>
      </c>
      <c r="Z220" s="46">
        <v>0.1</v>
      </c>
      <c r="AA220" s="46">
        <v>0.049</v>
      </c>
      <c r="AB220" s="46">
        <f t="shared" si="105"/>
        <v>0.0613636363636364</v>
      </c>
      <c r="AC220" s="46">
        <v>0.08</v>
      </c>
      <c r="AD220" s="58">
        <v>0.05</v>
      </c>
      <c r="AE220" s="58">
        <v>0.05</v>
      </c>
      <c r="AF220" s="55" t="s">
        <v>114</v>
      </c>
      <c r="AG220" s="39">
        <f t="shared" si="93"/>
        <v>0</v>
      </c>
      <c r="AH220" s="39">
        <f t="shared" si="94"/>
        <v>0</v>
      </c>
      <c r="AI220" s="39">
        <f t="shared" si="95"/>
        <v>0</v>
      </c>
      <c r="AJ220" s="39">
        <f t="shared" si="96"/>
        <v>0</v>
      </c>
      <c r="AK220" s="39">
        <f t="shared" si="97"/>
        <v>0</v>
      </c>
      <c r="AL220" s="39">
        <f t="shared" si="98"/>
        <v>0</v>
      </c>
      <c r="AM220" s="39">
        <f t="shared" si="99"/>
        <v>0</v>
      </c>
      <c r="AN220" s="39">
        <f t="shared" si="100"/>
        <v>0</v>
      </c>
    </row>
    <row r="221" s="6" customFormat="1" ht="50" hidden="1" customHeight="1" spans="1:40">
      <c r="A221" s="37" t="s">
        <v>96</v>
      </c>
      <c r="B221" s="37" t="s">
        <v>115</v>
      </c>
      <c r="C221" s="37" t="str">
        <f>_xlfn.XLOOKUP(F221,'6月产品包'!B:B,'6月产品包'!H:H)</f>
        <v>广告架</v>
      </c>
      <c r="D221" s="38" t="str">
        <f>_xlfn.XLOOKUP(F221,'6月产品包'!B:B,'6月产品包'!O:O)</f>
        <v>广告架A4款</v>
      </c>
      <c r="E221" s="38" t="s">
        <v>487</v>
      </c>
      <c r="F221" s="37" t="s">
        <v>488</v>
      </c>
      <c r="G221" s="39" t="e">
        <v>#N/A</v>
      </c>
      <c r="H221" s="37" t="s">
        <v>101</v>
      </c>
      <c r="I221" s="37" t="str">
        <f>_xlfn.XLOOKUP($F221,'6月库存'!A:A,'6月库存'!B:B)</f>
        <v>正常销售</v>
      </c>
      <c r="J221" s="12"/>
      <c r="K221" s="39">
        <f>_xlfn.XLOOKUP(E221,'[1]6月分配 '!$B:$B,'[1]6月分配 '!$K:$K)</f>
        <v>3021</v>
      </c>
      <c r="L221" s="12" t="str">
        <f t="shared" si="101"/>
        <v>是</v>
      </c>
      <c r="M221" s="40" t="str">
        <f>_xlfn.XLOOKUP(F221,'6月产品包'!B:B,'6月产品包'!J:J)</f>
        <v>2025-10-09</v>
      </c>
      <c r="N221" s="39" t="str">
        <f ca="1" t="shared" si="102"/>
        <v>老品</v>
      </c>
      <c r="O221" s="37">
        <f>_xlfn.XLOOKUP(F221,'6月库存'!A:A,'6月库存'!R:R)</f>
        <v>47</v>
      </c>
      <c r="P221" s="39">
        <f>_xlfn.XLOOKUP(F221,'6月产品包'!B:B,'6月产品包'!S:S)</f>
        <v>2500</v>
      </c>
      <c r="Q221" s="39"/>
      <c r="R221" s="41">
        <f>_xlfn.XLOOKUP(F221,'6月产品包'!B:B,'6月产品包'!AD:AD)</f>
        <v>24.853</v>
      </c>
      <c r="S221" s="39">
        <v>47</v>
      </c>
      <c r="T221" s="39">
        <f t="shared" si="103"/>
        <v>59</v>
      </c>
      <c r="U221" s="42">
        <f t="shared" si="92"/>
        <v>47.2</v>
      </c>
      <c r="V221" s="43">
        <v>0.2</v>
      </c>
      <c r="W221" s="44">
        <f t="shared" si="104"/>
        <v>0.473453389830508</v>
      </c>
      <c r="X221" s="44">
        <f t="shared" si="82"/>
        <v>0.289946745291644</v>
      </c>
      <c r="Y221" s="44">
        <v>0.038</v>
      </c>
      <c r="Z221" s="46">
        <v>0.1</v>
      </c>
      <c r="AA221" s="46">
        <v>0.049</v>
      </c>
      <c r="AB221" s="46">
        <f t="shared" si="105"/>
        <v>0.0114406779661017</v>
      </c>
      <c r="AC221" s="46">
        <v>0.06</v>
      </c>
      <c r="AD221" s="47"/>
      <c r="AF221" s="55" t="s">
        <v>114</v>
      </c>
      <c r="AG221" s="39">
        <f t="shared" si="93"/>
        <v>0</v>
      </c>
      <c r="AH221" s="39">
        <f t="shared" si="94"/>
        <v>0</v>
      </c>
      <c r="AI221" s="39">
        <f t="shared" si="95"/>
        <v>0</v>
      </c>
      <c r="AJ221" s="39">
        <f t="shared" si="96"/>
        <v>0</v>
      </c>
      <c r="AK221" s="39">
        <f t="shared" si="97"/>
        <v>0</v>
      </c>
      <c r="AL221" s="39">
        <f t="shared" si="98"/>
        <v>0</v>
      </c>
      <c r="AM221" s="39">
        <f t="shared" si="99"/>
        <v>0</v>
      </c>
      <c r="AN221" s="39">
        <f t="shared" si="100"/>
        <v>0</v>
      </c>
    </row>
    <row r="222" s="6" customFormat="1" ht="50" hidden="1" customHeight="1" spans="1:40">
      <c r="A222" s="37" t="s">
        <v>96</v>
      </c>
      <c r="B222" s="37" t="s">
        <v>115</v>
      </c>
      <c r="C222" s="37" t="str">
        <f>_xlfn.XLOOKUP(F222,'6月产品包'!B:B,'6月产品包'!H:H)</f>
        <v>银钱盒</v>
      </c>
      <c r="D222" s="38" t="str">
        <f>_xlfn.XLOOKUP(F222,'6月产品包'!B:B,'6月产品包'!O:O)</f>
        <v>迷你收银箱</v>
      </c>
      <c r="E222" s="38" t="s">
        <v>489</v>
      </c>
      <c r="F222" s="39" t="s">
        <v>490</v>
      </c>
      <c r="G222" s="39" t="s">
        <v>126</v>
      </c>
      <c r="H222" s="39" t="s">
        <v>101</v>
      </c>
      <c r="I222" s="37" t="str">
        <f>_xlfn.XLOOKUP($F222,'6月库存'!A:A,'6月库存'!B:B)</f>
        <v>正常销售</v>
      </c>
      <c r="J222" s="12"/>
      <c r="K222" s="39">
        <f>_xlfn.XLOOKUP(E222,'[1]6月分配 '!$B:$B,'[1]6月分配 '!$K:$K)</f>
        <v>2968</v>
      </c>
      <c r="L222" s="12" t="str">
        <f t="shared" si="101"/>
        <v>是</v>
      </c>
      <c r="M222" s="40" t="str">
        <f>_xlfn.XLOOKUP(F222,'6月产品包'!B:B,'6月产品包'!J:J)</f>
        <v>2025-11-18</v>
      </c>
      <c r="N222" s="39" t="s">
        <v>149</v>
      </c>
      <c r="O222" s="37">
        <f>_xlfn.XLOOKUP(F222,'6月库存'!A:A,'6月库存'!R:R)</f>
        <v>148</v>
      </c>
      <c r="P222" s="39">
        <f>_xlfn.XLOOKUP(F222,'6月产品包'!B:B,'6月产品包'!S:S)</f>
        <v>470</v>
      </c>
      <c r="Q222" s="39"/>
      <c r="R222" s="41">
        <f>_xlfn.XLOOKUP(F222,'6月产品包'!B:B,'6月产品包'!AD:AD)</f>
        <v>9.4598</v>
      </c>
      <c r="S222" s="39">
        <v>22</v>
      </c>
      <c r="T222" s="39">
        <f t="shared" si="103"/>
        <v>28</v>
      </c>
      <c r="U222" s="42">
        <f t="shared" si="92"/>
        <v>22.4</v>
      </c>
      <c r="V222" s="43">
        <v>0.2</v>
      </c>
      <c r="W222" s="44">
        <f t="shared" si="104"/>
        <v>0.5776875</v>
      </c>
      <c r="X222" s="44">
        <f t="shared" si="82"/>
        <v>0.419016852552449</v>
      </c>
      <c r="Y222" s="44">
        <v>0.04</v>
      </c>
      <c r="Z222" s="46">
        <v>0.1</v>
      </c>
      <c r="AA222" s="46">
        <v>0.049</v>
      </c>
      <c r="AB222" s="46">
        <f t="shared" si="105"/>
        <v>0.0241071428571429</v>
      </c>
      <c r="AC222" s="46">
        <v>0.06</v>
      </c>
      <c r="AD222" s="47"/>
      <c r="AF222" s="55" t="s">
        <v>114</v>
      </c>
      <c r="AG222" s="39">
        <f t="shared" si="93"/>
        <v>0</v>
      </c>
      <c r="AH222" s="39">
        <f t="shared" si="94"/>
        <v>0</v>
      </c>
      <c r="AI222" s="39">
        <f t="shared" si="95"/>
        <v>0</v>
      </c>
      <c r="AJ222" s="39">
        <f t="shared" si="96"/>
        <v>0</v>
      </c>
      <c r="AK222" s="39">
        <f t="shared" si="97"/>
        <v>0</v>
      </c>
      <c r="AL222" s="39">
        <f t="shared" si="98"/>
        <v>0</v>
      </c>
      <c r="AM222" s="39">
        <f t="shared" si="99"/>
        <v>0</v>
      </c>
      <c r="AN222" s="39">
        <f t="shared" si="100"/>
        <v>0</v>
      </c>
    </row>
    <row r="223" s="6" customFormat="1" ht="50" hidden="1" customHeight="1" spans="1:40">
      <c r="A223" s="37" t="s">
        <v>96</v>
      </c>
      <c r="B223" s="37" t="s">
        <v>115</v>
      </c>
      <c r="C223" s="37" t="str">
        <f>_xlfn.XLOOKUP(F223,'6月产品包'!B:B,'6月产品包'!H:H)</f>
        <v>收银箱</v>
      </c>
      <c r="D223" s="38" t="str">
        <f>_xlfn.XLOOKUP(F223,'6月产品包'!B:B,'6月产品包'!O:O)</f>
        <v>现金盒钥匙款</v>
      </c>
      <c r="E223" s="38" t="s">
        <v>491</v>
      </c>
      <c r="F223" s="39" t="s">
        <v>492</v>
      </c>
      <c r="G223" s="39" t="s">
        <v>126</v>
      </c>
      <c r="H223" s="39" t="s">
        <v>101</v>
      </c>
      <c r="I223" s="37" t="str">
        <f>_xlfn.XLOOKUP($F223,'6月库存'!A:A,'6月库存'!B:B)</f>
        <v>正常销售</v>
      </c>
      <c r="J223" s="12"/>
      <c r="K223" s="39" t="e">
        <f>_xlfn.XLOOKUP(E223,'[1]6月分配 '!$B:$B,'[1]6月分配 '!$K:$K)</f>
        <v>#N/A</v>
      </c>
      <c r="L223" s="12" t="str">
        <f t="shared" ref="L223:L286" si="106">IF(ISNUMBER(K223),"是",IF(ISNA(K223),"否",""))</f>
        <v>否</v>
      </c>
      <c r="M223" s="40" t="str">
        <f>_xlfn.XLOOKUP(F223,'6月产品包'!B:B,'6月产品包'!J:J)</f>
        <v>2026-01-06</v>
      </c>
      <c r="N223" s="39" t="str">
        <f ca="1" t="shared" si="102"/>
        <v>新品</v>
      </c>
      <c r="O223" s="37">
        <f>_xlfn.XLOOKUP(F223,'6月库存'!A:A,'6月库存'!R:R)</f>
        <v>0</v>
      </c>
      <c r="P223" s="39">
        <f>_xlfn.XLOOKUP(F223,'6月产品包'!B:B,'6月产品包'!S:S)</f>
        <v>550</v>
      </c>
      <c r="Q223" s="39"/>
      <c r="R223" s="41">
        <f>_xlfn.XLOOKUP(F223,'6月产品包'!B:B,'6月产品包'!AD:AD)</f>
        <v>8.9726</v>
      </c>
      <c r="S223" s="39">
        <v>17</v>
      </c>
      <c r="T223" s="39">
        <f t="shared" ref="T223:T259" si="107">ROUND(S223*(1+0.25),0)</f>
        <v>21</v>
      </c>
      <c r="U223" s="42">
        <f t="shared" si="92"/>
        <v>16.8</v>
      </c>
      <c r="V223" s="43">
        <v>0.2</v>
      </c>
      <c r="W223" s="44">
        <f t="shared" ref="W223:W259" si="108">(U223-R223)/U223</f>
        <v>0.465916666666667</v>
      </c>
      <c r="X223" s="44">
        <f t="shared" ref="X223:X286" si="109">(U223*(1-Y223-Z223-AA223-AC223-AB223)-R223)/(U223*(1-Y223-Z223-AA223-AC223-AB223))</f>
        <v>0.257038288288288</v>
      </c>
      <c r="Y223" s="44">
        <v>0.04</v>
      </c>
      <c r="Z223" s="46">
        <v>0.1</v>
      </c>
      <c r="AA223" s="46">
        <v>0.049</v>
      </c>
      <c r="AB223" s="46">
        <f t="shared" si="105"/>
        <v>0.0321428571428571</v>
      </c>
      <c r="AC223" s="46">
        <v>0.06</v>
      </c>
      <c r="AD223" s="47"/>
      <c r="AF223" s="48" t="s">
        <v>102</v>
      </c>
      <c r="AG223" s="39">
        <f t="shared" si="93"/>
        <v>0</v>
      </c>
      <c r="AH223" s="39">
        <f t="shared" si="94"/>
        <v>0</v>
      </c>
      <c r="AI223" s="39">
        <f t="shared" si="95"/>
        <v>0</v>
      </c>
      <c r="AJ223" s="39">
        <f t="shared" si="96"/>
        <v>0</v>
      </c>
      <c r="AK223" s="39">
        <f t="shared" si="97"/>
        <v>0</v>
      </c>
      <c r="AL223" s="39">
        <f t="shared" si="98"/>
        <v>0</v>
      </c>
      <c r="AM223" s="39">
        <f t="shared" si="99"/>
        <v>0</v>
      </c>
      <c r="AN223" s="39">
        <f t="shared" si="100"/>
        <v>0</v>
      </c>
    </row>
    <row r="224" ht="50" hidden="1" customHeight="1" spans="1:40">
      <c r="A224" s="37" t="s">
        <v>96</v>
      </c>
      <c r="B224" s="37" t="s">
        <v>115</v>
      </c>
      <c r="C224" s="37" t="str">
        <f>_xlfn.XLOOKUP(F224,'6月产品包'!B:B,'6月产品包'!H:H)</f>
        <v>收银箱</v>
      </c>
      <c r="D224" s="38" t="str">
        <f>_xlfn.XLOOKUP(F224,'6月产品包'!B:B,'6月产品包'!O:O)</f>
        <v>现金盒钥匙款</v>
      </c>
      <c r="E224" s="38" t="s">
        <v>493</v>
      </c>
      <c r="F224" s="39" t="s">
        <v>494</v>
      </c>
      <c r="G224" s="39" t="s">
        <v>126</v>
      </c>
      <c r="H224" s="39" t="s">
        <v>101</v>
      </c>
      <c r="I224" s="37" t="str">
        <f>_xlfn.XLOOKUP($F224,'6月库存'!A:A,'6月库存'!B:B)</f>
        <v>正常销售</v>
      </c>
      <c r="K224" s="39" t="e">
        <f>_xlfn.XLOOKUP(E224,'[1]6月分配 '!$B:$B,'[1]6月分配 '!$K:$K)</f>
        <v>#N/A</v>
      </c>
      <c r="L224" s="12" t="str">
        <f t="shared" si="106"/>
        <v>否</v>
      </c>
      <c r="M224" s="40" t="str">
        <f>_xlfn.XLOOKUP(F224,'6月产品包'!B:B,'6月产品包'!J:J)</f>
        <v>2026-01-06</v>
      </c>
      <c r="N224" s="39" t="str">
        <f ca="1" t="shared" si="102"/>
        <v>新品</v>
      </c>
      <c r="O224" s="37">
        <f>_xlfn.XLOOKUP(F224,'6月库存'!A:A,'6月库存'!R:R)</f>
        <v>59</v>
      </c>
      <c r="P224" s="39">
        <f>_xlfn.XLOOKUP(F224,'6月产品包'!B:B,'6月产品包'!S:S)</f>
        <v>550</v>
      </c>
      <c r="Q224" s="39"/>
      <c r="R224" s="41">
        <f>_xlfn.XLOOKUP(F224,'6月产品包'!B:B,'6月产品包'!AD:AD)</f>
        <v>8.9726</v>
      </c>
      <c r="S224" s="39">
        <v>17</v>
      </c>
      <c r="T224" s="39">
        <f t="shared" si="107"/>
        <v>21</v>
      </c>
      <c r="U224" s="42">
        <f t="shared" si="92"/>
        <v>16.8</v>
      </c>
      <c r="V224" s="43">
        <v>0.2</v>
      </c>
      <c r="W224" s="44">
        <f t="shared" si="108"/>
        <v>0.465916666666667</v>
      </c>
      <c r="X224" s="44">
        <f t="shared" si="109"/>
        <v>0.257038288288288</v>
      </c>
      <c r="Y224" s="44">
        <v>0.04</v>
      </c>
      <c r="Z224" s="46">
        <v>0.1</v>
      </c>
      <c r="AA224" s="46">
        <v>0.049</v>
      </c>
      <c r="AB224" s="46">
        <f t="shared" si="105"/>
        <v>0.0321428571428571</v>
      </c>
      <c r="AC224" s="46">
        <v>0.06</v>
      </c>
      <c r="AD224" s="47"/>
      <c r="AF224" s="48" t="s">
        <v>102</v>
      </c>
      <c r="AG224" s="39">
        <f t="shared" si="93"/>
        <v>0</v>
      </c>
      <c r="AH224" s="39">
        <f t="shared" si="94"/>
        <v>0</v>
      </c>
      <c r="AI224" s="39">
        <f t="shared" si="95"/>
        <v>0</v>
      </c>
      <c r="AJ224" s="39">
        <f t="shared" si="96"/>
        <v>0</v>
      </c>
      <c r="AK224" s="39">
        <f t="shared" si="97"/>
        <v>0</v>
      </c>
      <c r="AL224" s="39">
        <f t="shared" si="98"/>
        <v>0</v>
      </c>
      <c r="AM224" s="39">
        <f t="shared" si="99"/>
        <v>0</v>
      </c>
      <c r="AN224" s="39">
        <f t="shared" si="100"/>
        <v>0</v>
      </c>
    </row>
    <row r="225" ht="50" hidden="1" customHeight="1" spans="1:40">
      <c r="A225" s="37" t="s">
        <v>96</v>
      </c>
      <c r="B225" s="37" t="s">
        <v>115</v>
      </c>
      <c r="C225" s="37" t="str">
        <f>_xlfn.XLOOKUP(F225,'6月产品包'!B:B,'6月产品包'!H:H)</f>
        <v>收银箱</v>
      </c>
      <c r="D225" s="38" t="str">
        <f>_xlfn.XLOOKUP(F225,'6月产品包'!B:B,'6月产品包'!O:O)</f>
        <v>现金盒钥匙款</v>
      </c>
      <c r="E225" s="38" t="s">
        <v>495</v>
      </c>
      <c r="F225" s="39" t="s">
        <v>496</v>
      </c>
      <c r="G225" s="39" t="s">
        <v>126</v>
      </c>
      <c r="H225" s="39" t="s">
        <v>101</v>
      </c>
      <c r="I225" s="37" t="str">
        <f>_xlfn.XLOOKUP($F225,'6月库存'!A:A,'6月库存'!B:B)</f>
        <v>正常销售</v>
      </c>
      <c r="K225" s="39" t="e">
        <f>_xlfn.XLOOKUP(E225,'[1]6月分配 '!$B:$B,'[1]6月分配 '!$K:$K)</f>
        <v>#N/A</v>
      </c>
      <c r="L225" s="12" t="str">
        <f t="shared" si="106"/>
        <v>否</v>
      </c>
      <c r="M225" s="40" t="str">
        <f>_xlfn.XLOOKUP(F225,'6月产品包'!B:B,'6月产品包'!J:J)</f>
        <v>2026-01-06</v>
      </c>
      <c r="N225" s="39" t="str">
        <f ca="1" t="shared" si="102"/>
        <v>新品</v>
      </c>
      <c r="O225" s="37">
        <f>_xlfn.XLOOKUP(F225,'6月库存'!A:A,'6月库存'!R:R)</f>
        <v>60</v>
      </c>
      <c r="P225" s="39">
        <f>_xlfn.XLOOKUP(F225,'6月产品包'!B:B,'6月产品包'!S:S)</f>
        <v>860</v>
      </c>
      <c r="Q225" s="39"/>
      <c r="R225" s="41">
        <f>_xlfn.XLOOKUP(F225,'6月产品包'!B:B,'6月产品包'!AD:AD)</f>
        <v>12.093</v>
      </c>
      <c r="S225" s="39">
        <v>24</v>
      </c>
      <c r="T225" s="39">
        <f t="shared" si="107"/>
        <v>30</v>
      </c>
      <c r="U225" s="42">
        <f t="shared" si="92"/>
        <v>24</v>
      </c>
      <c r="V225" s="43">
        <v>0.2</v>
      </c>
      <c r="W225" s="44">
        <f t="shared" si="108"/>
        <v>0.496125</v>
      </c>
      <c r="X225" s="44">
        <f t="shared" si="109"/>
        <v>0.308339052848318</v>
      </c>
      <c r="Y225" s="44">
        <v>0.04</v>
      </c>
      <c r="Z225" s="46">
        <v>0.1</v>
      </c>
      <c r="AA225" s="46">
        <v>0.049</v>
      </c>
      <c r="AB225" s="46">
        <f t="shared" si="105"/>
        <v>0.0225</v>
      </c>
      <c r="AC225" s="46">
        <v>0.06</v>
      </c>
      <c r="AD225" s="47"/>
      <c r="AF225" s="48" t="s">
        <v>102</v>
      </c>
      <c r="AG225" s="39">
        <f t="shared" si="93"/>
        <v>0</v>
      </c>
      <c r="AH225" s="39">
        <f t="shared" si="94"/>
        <v>0</v>
      </c>
      <c r="AI225" s="39">
        <f t="shared" si="95"/>
        <v>0</v>
      </c>
      <c r="AJ225" s="39">
        <f t="shared" si="96"/>
        <v>0</v>
      </c>
      <c r="AK225" s="39">
        <f t="shared" si="97"/>
        <v>0</v>
      </c>
      <c r="AL225" s="39">
        <f t="shared" si="98"/>
        <v>0</v>
      </c>
      <c r="AM225" s="39">
        <f t="shared" si="99"/>
        <v>0</v>
      </c>
      <c r="AN225" s="39">
        <f t="shared" si="100"/>
        <v>0</v>
      </c>
    </row>
    <row r="226" ht="50" hidden="1" customHeight="1" spans="1:40">
      <c r="A226" s="37" t="s">
        <v>96</v>
      </c>
      <c r="B226" s="37" t="s">
        <v>115</v>
      </c>
      <c r="C226" s="37" t="str">
        <f>_xlfn.XLOOKUP(F226,'6月产品包'!B:B,'6月产品包'!H:H)</f>
        <v>收银箱</v>
      </c>
      <c r="D226" s="38" t="str">
        <f>_xlfn.XLOOKUP(F226,'6月产品包'!B:B,'6月产品包'!O:O)</f>
        <v>现金盒钥匙款</v>
      </c>
      <c r="E226" s="38" t="s">
        <v>497</v>
      </c>
      <c r="F226" s="39" t="s">
        <v>498</v>
      </c>
      <c r="G226" s="39" t="s">
        <v>126</v>
      </c>
      <c r="H226" s="39" t="s">
        <v>101</v>
      </c>
      <c r="I226" s="37" t="str">
        <f>_xlfn.XLOOKUP($F226,'6月库存'!A:A,'6月库存'!B:B)</f>
        <v>正常销售</v>
      </c>
      <c r="K226" s="39" t="e">
        <f>_xlfn.XLOOKUP(E226,'[1]6月分配 '!$B:$B,'[1]6月分配 '!$K:$K)</f>
        <v>#N/A</v>
      </c>
      <c r="L226" s="12" t="str">
        <f t="shared" si="106"/>
        <v>否</v>
      </c>
      <c r="M226" s="40" t="str">
        <f>_xlfn.XLOOKUP(F226,'6月产品包'!B:B,'6月产品包'!J:J)</f>
        <v>2026-01-06</v>
      </c>
      <c r="N226" s="39" t="str">
        <f ca="1" t="shared" si="102"/>
        <v>新品</v>
      </c>
      <c r="O226" s="37">
        <f>_xlfn.XLOOKUP(F226,'6月库存'!A:A,'6月库存'!R:R)</f>
        <v>0</v>
      </c>
      <c r="P226" s="39">
        <f>_xlfn.XLOOKUP(F226,'6月产品包'!B:B,'6月产品包'!S:S)</f>
        <v>860</v>
      </c>
      <c r="Q226" s="39"/>
      <c r="R226" s="41">
        <f>_xlfn.XLOOKUP(F226,'6月产品包'!B:B,'6月产品包'!AD:AD)</f>
        <v>12.093</v>
      </c>
      <c r="S226" s="39">
        <v>24</v>
      </c>
      <c r="T226" s="39">
        <f t="shared" si="107"/>
        <v>30</v>
      </c>
      <c r="U226" s="42">
        <f t="shared" si="92"/>
        <v>24</v>
      </c>
      <c r="V226" s="43">
        <v>0.2</v>
      </c>
      <c r="W226" s="44">
        <f t="shared" si="108"/>
        <v>0.496125</v>
      </c>
      <c r="X226" s="44">
        <f t="shared" si="109"/>
        <v>0.308339052848318</v>
      </c>
      <c r="Y226" s="44">
        <v>0.04</v>
      </c>
      <c r="Z226" s="46">
        <v>0.1</v>
      </c>
      <c r="AA226" s="46">
        <v>0.049</v>
      </c>
      <c r="AB226" s="46">
        <f t="shared" si="105"/>
        <v>0.0225</v>
      </c>
      <c r="AC226" s="46">
        <v>0.06</v>
      </c>
      <c r="AD226" s="47"/>
      <c r="AF226" s="48" t="s">
        <v>102</v>
      </c>
      <c r="AG226" s="39">
        <f t="shared" si="93"/>
        <v>0</v>
      </c>
      <c r="AH226" s="39">
        <f t="shared" si="94"/>
        <v>0</v>
      </c>
      <c r="AI226" s="39">
        <f t="shared" si="95"/>
        <v>0</v>
      </c>
      <c r="AJ226" s="39">
        <f t="shared" si="96"/>
        <v>0</v>
      </c>
      <c r="AK226" s="39">
        <f t="shared" si="97"/>
        <v>0</v>
      </c>
      <c r="AL226" s="39">
        <f t="shared" si="98"/>
        <v>0</v>
      </c>
      <c r="AM226" s="39">
        <f t="shared" si="99"/>
        <v>0</v>
      </c>
      <c r="AN226" s="39">
        <f t="shared" si="100"/>
        <v>0</v>
      </c>
    </row>
    <row r="227" ht="50" hidden="1" customHeight="1" spans="1:40">
      <c r="A227" s="37" t="s">
        <v>96</v>
      </c>
      <c r="B227" s="37" t="s">
        <v>115</v>
      </c>
      <c r="C227" s="37" t="str">
        <f>_xlfn.XLOOKUP(F227,'6月产品包'!B:B,'6月产品包'!H:H)</f>
        <v>收银箱</v>
      </c>
      <c r="D227" s="38" t="str">
        <f>_xlfn.XLOOKUP(F227,'6月产品包'!B:B,'6月产品包'!O:O)</f>
        <v>现金盒钥匙款</v>
      </c>
      <c r="E227" s="38" t="s">
        <v>499</v>
      </c>
      <c r="F227" s="39" t="s">
        <v>500</v>
      </c>
      <c r="G227" s="39" t="s">
        <v>126</v>
      </c>
      <c r="H227" s="39" t="s">
        <v>101</v>
      </c>
      <c r="I227" s="37" t="str">
        <f>_xlfn.XLOOKUP($F227,'6月库存'!A:A,'6月库存'!B:B)</f>
        <v>正常销售</v>
      </c>
      <c r="K227" s="39" t="e">
        <f>_xlfn.XLOOKUP(E227,'[1]6月分配 '!$B:$B,'[1]6月分配 '!$K:$K)</f>
        <v>#N/A</v>
      </c>
      <c r="L227" s="12" t="str">
        <f t="shared" si="106"/>
        <v>否</v>
      </c>
      <c r="M227" s="40" t="str">
        <f>_xlfn.XLOOKUP(F227,'6月产品包'!B:B,'6月产品包'!J:J)</f>
        <v>2026-01-06</v>
      </c>
      <c r="N227" s="39" t="str">
        <f ca="1" t="shared" si="102"/>
        <v>新品</v>
      </c>
      <c r="O227" s="37">
        <f>_xlfn.XLOOKUP(F227,'6月库存'!A:A,'6月库存'!R:R)</f>
        <v>0</v>
      </c>
      <c r="P227" s="39">
        <f>_xlfn.XLOOKUP(F227,'6月产品包'!B:B,'6月产品包'!S:S)</f>
        <v>860</v>
      </c>
      <c r="Q227" s="39"/>
      <c r="R227" s="41">
        <f>_xlfn.XLOOKUP(F227,'6月产品包'!B:B,'6月产品包'!AD:AD)</f>
        <v>12.093</v>
      </c>
      <c r="S227" s="39">
        <v>24</v>
      </c>
      <c r="T227" s="39">
        <f t="shared" si="107"/>
        <v>30</v>
      </c>
      <c r="U227" s="42">
        <f t="shared" si="92"/>
        <v>24</v>
      </c>
      <c r="V227" s="43">
        <v>0.2</v>
      </c>
      <c r="W227" s="44">
        <f t="shared" si="108"/>
        <v>0.496125</v>
      </c>
      <c r="X227" s="44">
        <f t="shared" si="109"/>
        <v>0.308339052848318</v>
      </c>
      <c r="Y227" s="44">
        <v>0.04</v>
      </c>
      <c r="Z227" s="46">
        <v>0.1</v>
      </c>
      <c r="AA227" s="46">
        <v>0.049</v>
      </c>
      <c r="AB227" s="46">
        <f t="shared" si="105"/>
        <v>0.0225</v>
      </c>
      <c r="AC227" s="46">
        <v>0.06</v>
      </c>
      <c r="AD227" s="47"/>
      <c r="AF227" s="48" t="s">
        <v>102</v>
      </c>
      <c r="AG227" s="39">
        <f t="shared" si="93"/>
        <v>0</v>
      </c>
      <c r="AH227" s="39">
        <f t="shared" si="94"/>
        <v>0</v>
      </c>
      <c r="AI227" s="39">
        <f t="shared" si="95"/>
        <v>0</v>
      </c>
      <c r="AJ227" s="39">
        <f t="shared" si="96"/>
        <v>0</v>
      </c>
      <c r="AK227" s="39">
        <f t="shared" si="97"/>
        <v>0</v>
      </c>
      <c r="AL227" s="39">
        <f t="shared" si="98"/>
        <v>0</v>
      </c>
      <c r="AM227" s="39">
        <f t="shared" si="99"/>
        <v>0</v>
      </c>
      <c r="AN227" s="39">
        <f t="shared" si="100"/>
        <v>0</v>
      </c>
    </row>
    <row r="228" ht="50" hidden="1" customHeight="1" spans="1:40">
      <c r="A228" s="37" t="s">
        <v>96</v>
      </c>
      <c r="B228" s="37" t="s">
        <v>115</v>
      </c>
      <c r="C228" s="37" t="str">
        <f>_xlfn.XLOOKUP(F228,'6月产品包'!B:B,'6月产品包'!H:H)</f>
        <v>收银箱</v>
      </c>
      <c r="D228" s="38" t="str">
        <f>_xlfn.XLOOKUP(F228,'6月产品包'!B:B,'6月产品包'!O:O)</f>
        <v>现金盒钥匙款</v>
      </c>
      <c r="E228" s="38" t="s">
        <v>501</v>
      </c>
      <c r="F228" s="39" t="s">
        <v>502</v>
      </c>
      <c r="G228" s="39" t="s">
        <v>126</v>
      </c>
      <c r="H228" s="39" t="s">
        <v>101</v>
      </c>
      <c r="I228" s="37" t="str">
        <f>_xlfn.XLOOKUP($F228,'6月库存'!A:A,'6月库存'!B:B)</f>
        <v>正常销售</v>
      </c>
      <c r="K228" s="39" t="e">
        <f>_xlfn.XLOOKUP(E228,'[1]6月分配 '!$B:$B,'[1]6月分配 '!$K:$K)</f>
        <v>#N/A</v>
      </c>
      <c r="L228" s="12" t="str">
        <f t="shared" si="106"/>
        <v>否</v>
      </c>
      <c r="M228" s="40" t="str">
        <f>_xlfn.XLOOKUP(F228,'6月产品包'!B:B,'6月产品包'!J:J)</f>
        <v>2026-01-06</v>
      </c>
      <c r="N228" s="39" t="str">
        <f ca="1" t="shared" si="102"/>
        <v>新品</v>
      </c>
      <c r="O228" s="37">
        <f>_xlfn.XLOOKUP(F228,'6月库存'!A:A,'6月库存'!R:R)</f>
        <v>1</v>
      </c>
      <c r="P228" s="39">
        <f>_xlfn.XLOOKUP(F228,'6月产品包'!B:B,'6月产品包'!S:S)</f>
        <v>1190</v>
      </c>
      <c r="Q228" s="39"/>
      <c r="R228" s="41">
        <f>_xlfn.XLOOKUP(F228,'6月产品包'!B:B,'6月产品包'!AD:AD)</f>
        <v>14.442</v>
      </c>
      <c r="S228" s="39">
        <v>29</v>
      </c>
      <c r="T228" s="39">
        <f t="shared" si="107"/>
        <v>36</v>
      </c>
      <c r="U228" s="42">
        <f t="shared" si="92"/>
        <v>28.8</v>
      </c>
      <c r="V228" s="43">
        <v>0.2</v>
      </c>
      <c r="W228" s="44">
        <f t="shared" si="108"/>
        <v>0.498541666666667</v>
      </c>
      <c r="X228" s="44">
        <f t="shared" si="109"/>
        <v>0.315181518151815</v>
      </c>
      <c r="Y228" s="44">
        <v>0.04</v>
      </c>
      <c r="Z228" s="46">
        <v>0.1</v>
      </c>
      <c r="AA228" s="46">
        <v>0.049</v>
      </c>
      <c r="AB228" s="46">
        <f t="shared" si="105"/>
        <v>0.01875</v>
      </c>
      <c r="AC228" s="46">
        <v>0.06</v>
      </c>
      <c r="AD228" s="47"/>
      <c r="AF228" s="48" t="s">
        <v>102</v>
      </c>
      <c r="AG228" s="39">
        <f t="shared" si="93"/>
        <v>0</v>
      </c>
      <c r="AH228" s="39">
        <f t="shared" si="94"/>
        <v>0</v>
      </c>
      <c r="AI228" s="39">
        <f t="shared" si="95"/>
        <v>0</v>
      </c>
      <c r="AJ228" s="39">
        <f t="shared" si="96"/>
        <v>0</v>
      </c>
      <c r="AK228" s="39">
        <f t="shared" si="97"/>
        <v>0</v>
      </c>
      <c r="AL228" s="39">
        <f t="shared" si="98"/>
        <v>0</v>
      </c>
      <c r="AM228" s="39">
        <f t="shared" si="99"/>
        <v>0</v>
      </c>
      <c r="AN228" s="39">
        <f t="shared" si="100"/>
        <v>0</v>
      </c>
    </row>
    <row r="229" ht="50" hidden="1" customHeight="1" spans="1:40">
      <c r="A229" s="37" t="s">
        <v>96</v>
      </c>
      <c r="B229" s="37" t="s">
        <v>115</v>
      </c>
      <c r="C229" s="37" t="str">
        <f>_xlfn.XLOOKUP(F229,'6月产品包'!B:B,'6月产品包'!H:H)</f>
        <v>收银箱</v>
      </c>
      <c r="D229" s="38" t="str">
        <f>_xlfn.XLOOKUP(F229,'6月产品包'!B:B,'6月产品包'!O:O)</f>
        <v>现金盒钥匙款</v>
      </c>
      <c r="E229" s="38" t="s">
        <v>503</v>
      </c>
      <c r="F229" s="39" t="s">
        <v>504</v>
      </c>
      <c r="G229" s="39" t="s">
        <v>126</v>
      </c>
      <c r="H229" s="39" t="s">
        <v>101</v>
      </c>
      <c r="I229" s="37" t="str">
        <f>_xlfn.XLOOKUP($F229,'6月库存'!A:A,'6月库存'!B:B)</f>
        <v>正常销售</v>
      </c>
      <c r="K229" s="39" t="e">
        <f>_xlfn.XLOOKUP(E229,'[1]6月分配 '!$B:$B,'[1]6月分配 '!$K:$K)</f>
        <v>#N/A</v>
      </c>
      <c r="L229" s="12" t="str">
        <f t="shared" si="106"/>
        <v>否</v>
      </c>
      <c r="M229" s="40" t="str">
        <f>_xlfn.XLOOKUP(F229,'6月产品包'!B:B,'6月产品包'!J:J)</f>
        <v>2026-01-06</v>
      </c>
      <c r="N229" s="39" t="str">
        <f ca="1" t="shared" si="102"/>
        <v>新品</v>
      </c>
      <c r="O229" s="37">
        <f>_xlfn.XLOOKUP(F229,'6月库存'!A:A,'6月库存'!R:R)</f>
        <v>1</v>
      </c>
      <c r="P229" s="39">
        <f>_xlfn.XLOOKUP(F229,'6月产品包'!B:B,'6月产品包'!S:S)</f>
        <v>1190</v>
      </c>
      <c r="Q229" s="39"/>
      <c r="R229" s="41">
        <f>_xlfn.XLOOKUP(F229,'6月产品包'!B:B,'6月产品包'!AD:AD)</f>
        <v>14.442</v>
      </c>
      <c r="S229" s="39">
        <v>29</v>
      </c>
      <c r="T229" s="39">
        <f t="shared" si="107"/>
        <v>36</v>
      </c>
      <c r="U229" s="42">
        <f t="shared" si="92"/>
        <v>28.8</v>
      </c>
      <c r="V229" s="43">
        <v>0.2</v>
      </c>
      <c r="W229" s="44">
        <f t="shared" si="108"/>
        <v>0.498541666666667</v>
      </c>
      <c r="X229" s="44">
        <f t="shared" si="109"/>
        <v>0.315181518151815</v>
      </c>
      <c r="Y229" s="44">
        <v>0.04</v>
      </c>
      <c r="Z229" s="46">
        <v>0.1</v>
      </c>
      <c r="AA229" s="46">
        <v>0.049</v>
      </c>
      <c r="AB229" s="46">
        <f t="shared" si="105"/>
        <v>0.01875</v>
      </c>
      <c r="AC229" s="46">
        <v>0.06</v>
      </c>
      <c r="AD229" s="47"/>
      <c r="AF229" s="48" t="s">
        <v>102</v>
      </c>
      <c r="AG229" s="39">
        <f t="shared" si="93"/>
        <v>0</v>
      </c>
      <c r="AH229" s="39">
        <f t="shared" si="94"/>
        <v>0</v>
      </c>
      <c r="AI229" s="39">
        <f t="shared" si="95"/>
        <v>0</v>
      </c>
      <c r="AJ229" s="39">
        <f t="shared" si="96"/>
        <v>0</v>
      </c>
      <c r="AK229" s="39">
        <f t="shared" si="97"/>
        <v>0</v>
      </c>
      <c r="AL229" s="39">
        <f t="shared" si="98"/>
        <v>0</v>
      </c>
      <c r="AM229" s="39">
        <f t="shared" si="99"/>
        <v>0</v>
      </c>
      <c r="AN229" s="39">
        <f t="shared" si="100"/>
        <v>0</v>
      </c>
    </row>
    <row r="230" ht="50" hidden="1" customHeight="1" spans="1:40">
      <c r="A230" s="37" t="s">
        <v>96</v>
      </c>
      <c r="B230" s="37" t="s">
        <v>115</v>
      </c>
      <c r="C230" s="37" t="str">
        <f>_xlfn.XLOOKUP(F230,'6月产品包'!B:B,'6月产品包'!H:H)</f>
        <v>收银箱</v>
      </c>
      <c r="D230" s="38" t="str">
        <f>_xlfn.XLOOKUP(F230,'6月产品包'!B:B,'6月产品包'!O:O)</f>
        <v>现金盒钥匙款</v>
      </c>
      <c r="E230" s="38" t="s">
        <v>505</v>
      </c>
      <c r="F230" s="39" t="s">
        <v>506</v>
      </c>
      <c r="G230" s="39" t="s">
        <v>126</v>
      </c>
      <c r="H230" s="39" t="s">
        <v>101</v>
      </c>
      <c r="I230" s="37" t="str">
        <f>_xlfn.XLOOKUP($F230,'6月库存'!A:A,'6月库存'!B:B)</f>
        <v>正常销售</v>
      </c>
      <c r="K230" s="39" t="e">
        <f>_xlfn.XLOOKUP(E230,'[1]6月分配 '!$B:$B,'[1]6月分配 '!$K:$K)</f>
        <v>#N/A</v>
      </c>
      <c r="L230" s="12" t="str">
        <f t="shared" si="106"/>
        <v>否</v>
      </c>
      <c r="M230" s="40" t="str">
        <f>_xlfn.XLOOKUP(F230,'6月产品包'!B:B,'6月产品包'!J:J)</f>
        <v>2026-01-06</v>
      </c>
      <c r="N230" s="39" t="str">
        <f ca="1" t="shared" si="102"/>
        <v>新品</v>
      </c>
      <c r="O230" s="37">
        <f>_xlfn.XLOOKUP(F230,'6月库存'!A:A,'6月库存'!R:R)</f>
        <v>35</v>
      </c>
      <c r="P230" s="39">
        <f>_xlfn.XLOOKUP(F230,'6月产品包'!B:B,'6月产品包'!S:S)</f>
        <v>1190</v>
      </c>
      <c r="Q230" s="39"/>
      <c r="R230" s="41">
        <f>_xlfn.XLOOKUP(F230,'6月产品包'!B:B,'6月产品包'!AD:AD)</f>
        <v>14.442</v>
      </c>
      <c r="S230" s="39">
        <v>29</v>
      </c>
      <c r="T230" s="39">
        <f t="shared" si="107"/>
        <v>36</v>
      </c>
      <c r="U230" s="42">
        <f t="shared" si="92"/>
        <v>28.8</v>
      </c>
      <c r="V230" s="43">
        <v>0.2</v>
      </c>
      <c r="W230" s="44">
        <f t="shared" si="108"/>
        <v>0.498541666666667</v>
      </c>
      <c r="X230" s="44">
        <f t="shared" si="109"/>
        <v>0.315181518151815</v>
      </c>
      <c r="Y230" s="44">
        <v>0.04</v>
      </c>
      <c r="Z230" s="46">
        <v>0.1</v>
      </c>
      <c r="AA230" s="46">
        <v>0.049</v>
      </c>
      <c r="AB230" s="46">
        <f t="shared" si="105"/>
        <v>0.01875</v>
      </c>
      <c r="AC230" s="46">
        <v>0.06</v>
      </c>
      <c r="AD230" s="47"/>
      <c r="AF230" s="48" t="s">
        <v>102</v>
      </c>
      <c r="AG230" s="39">
        <f t="shared" si="93"/>
        <v>0</v>
      </c>
      <c r="AH230" s="39">
        <f t="shared" si="94"/>
        <v>0</v>
      </c>
      <c r="AI230" s="39">
        <f t="shared" si="95"/>
        <v>0</v>
      </c>
      <c r="AJ230" s="39">
        <f t="shared" si="96"/>
        <v>0</v>
      </c>
      <c r="AK230" s="39">
        <f t="shared" si="97"/>
        <v>0</v>
      </c>
      <c r="AL230" s="39">
        <f t="shared" si="98"/>
        <v>0</v>
      </c>
      <c r="AM230" s="39">
        <f t="shared" si="99"/>
        <v>0</v>
      </c>
      <c r="AN230" s="39">
        <f t="shared" si="100"/>
        <v>0</v>
      </c>
    </row>
    <row r="231" ht="50" hidden="1" customHeight="1" spans="1:40">
      <c r="A231" s="37" t="s">
        <v>96</v>
      </c>
      <c r="B231" s="37" t="s">
        <v>115</v>
      </c>
      <c r="C231" s="37" t="str">
        <f>_xlfn.XLOOKUP(F231,'6月产品包'!B:B,'6月产品包'!H:H)</f>
        <v>毛毡照片墙</v>
      </c>
      <c r="D231" s="38" t="str">
        <f>_xlfn.XLOOKUP(F231,'6月产品包'!B:B,'6月产品包'!O:O)</f>
        <v>毛毡照片公告墙</v>
      </c>
      <c r="E231" s="38" t="s">
        <v>507</v>
      </c>
      <c r="F231" s="39" t="s">
        <v>508</v>
      </c>
      <c r="G231" s="39" t="s">
        <v>126</v>
      </c>
      <c r="H231" s="39" t="s">
        <v>101</v>
      </c>
      <c r="I231" s="37" t="str">
        <f>_xlfn.XLOOKUP($F231,'6月库存'!A:A,'6月库存'!B:B)</f>
        <v>正常销售</v>
      </c>
      <c r="K231" s="39">
        <f>_xlfn.XLOOKUP(E231,'[1]6月分配 '!$B:$B,'[1]6月分配 '!$K:$K)</f>
        <v>2865</v>
      </c>
      <c r="L231" s="12" t="str">
        <f t="shared" si="106"/>
        <v>是</v>
      </c>
      <c r="M231" s="40" t="str">
        <f>_xlfn.XLOOKUP(F231,'6月产品包'!B:B,'6月产品包'!J:J)</f>
        <v>2026-01-06</v>
      </c>
      <c r="N231" s="39" t="str">
        <f ca="1" t="shared" si="102"/>
        <v>新品</v>
      </c>
      <c r="O231" s="37">
        <f>_xlfn.XLOOKUP(F231,'6月库存'!A:A,'6月库存'!R:R)</f>
        <v>78</v>
      </c>
      <c r="P231" s="39">
        <f>_xlfn.XLOOKUP(F231,'6月产品包'!B:B,'6月产品包'!S:S)</f>
        <v>840</v>
      </c>
      <c r="Q231" s="39"/>
      <c r="R231" s="41">
        <f>_xlfn.XLOOKUP(F231,'6月产品包'!B:B,'6月产品包'!AD:AD)</f>
        <v>18.7746</v>
      </c>
      <c r="S231" s="39">
        <v>37</v>
      </c>
      <c r="T231" s="39">
        <f t="shared" si="107"/>
        <v>46</v>
      </c>
      <c r="U231" s="42">
        <f t="shared" si="92"/>
        <v>36.8</v>
      </c>
      <c r="V231" s="43">
        <v>0.2</v>
      </c>
      <c r="W231" s="44">
        <f t="shared" si="108"/>
        <v>0.489820652173913</v>
      </c>
      <c r="X231" s="44">
        <f t="shared" si="109"/>
        <v>0.318239258635215</v>
      </c>
      <c r="Y231" s="44">
        <v>0.038</v>
      </c>
      <c r="Z231" s="46">
        <v>0.09</v>
      </c>
      <c r="AA231" s="46">
        <v>0.049</v>
      </c>
      <c r="AB231" s="46">
        <f t="shared" si="105"/>
        <v>0.0146739130434783</v>
      </c>
      <c r="AC231" s="46">
        <v>0.06</v>
      </c>
      <c r="AD231" s="47"/>
      <c r="AE231" s="6"/>
      <c r="AF231" s="55" t="s">
        <v>114</v>
      </c>
      <c r="AG231" s="39">
        <f t="shared" si="93"/>
        <v>0</v>
      </c>
      <c r="AH231" s="39">
        <f t="shared" si="94"/>
        <v>0</v>
      </c>
      <c r="AI231" s="39">
        <f t="shared" si="95"/>
        <v>0</v>
      </c>
      <c r="AJ231" s="39">
        <f t="shared" si="96"/>
        <v>0</v>
      </c>
      <c r="AK231" s="39">
        <f t="shared" si="97"/>
        <v>0</v>
      </c>
      <c r="AL231" s="39">
        <f t="shared" si="98"/>
        <v>0</v>
      </c>
      <c r="AM231" s="39">
        <f t="shared" si="99"/>
        <v>0</v>
      </c>
      <c r="AN231" s="39">
        <f t="shared" si="100"/>
        <v>0</v>
      </c>
    </row>
    <row r="232" ht="50" hidden="1" customHeight="1" spans="1:40">
      <c r="A232" s="37" t="s">
        <v>96</v>
      </c>
      <c r="B232" s="37" t="s">
        <v>115</v>
      </c>
      <c r="C232" s="37" t="str">
        <f>_xlfn.XLOOKUP(F232,'6月产品包'!B:B,'6月产品包'!H:H)</f>
        <v>收银箱</v>
      </c>
      <c r="D232" s="38" t="str">
        <f>_xlfn.XLOOKUP(F232,'6月产品包'!B:B,'6月产品包'!O:O)</f>
        <v>现金盒钥匙款</v>
      </c>
      <c r="E232" s="38" t="s">
        <v>509</v>
      </c>
      <c r="F232" s="39" t="s">
        <v>510</v>
      </c>
      <c r="G232" s="39" t="s">
        <v>126</v>
      </c>
      <c r="H232" s="39" t="s">
        <v>101</v>
      </c>
      <c r="I232" s="37" t="str">
        <f>_xlfn.XLOOKUP($F232,'6月库存'!A:A,'6月库存'!B:B)</f>
        <v>正常销售</v>
      </c>
      <c r="K232" s="39" t="e">
        <f>_xlfn.XLOOKUP(E232,'[1]6月分配 '!$B:$B,'[1]6月分配 '!$K:$K)</f>
        <v>#N/A</v>
      </c>
      <c r="L232" s="12" t="str">
        <f t="shared" si="106"/>
        <v>否</v>
      </c>
      <c r="M232" s="40" t="str">
        <f>_xlfn.XLOOKUP(F232,'6月产品包'!B:B,'6月产品包'!J:J)</f>
        <v>2026-01-06</v>
      </c>
      <c r="N232" s="39" t="str">
        <f ca="1" t="shared" si="102"/>
        <v>新品</v>
      </c>
      <c r="O232" s="37">
        <f>_xlfn.XLOOKUP(F232,'6月库存'!A:A,'6月库存'!R:R)</f>
        <v>39</v>
      </c>
      <c r="P232" s="39">
        <f>_xlfn.XLOOKUP(F232,'6月产品包'!B:B,'6月产品包'!S:S)</f>
        <v>1600</v>
      </c>
      <c r="Q232" s="39"/>
      <c r="R232" s="41">
        <f>_xlfn.XLOOKUP(F232,'6月产品包'!B:B,'6月产品包'!AD:AD)</f>
        <v>18.5426</v>
      </c>
      <c r="S232" s="39">
        <v>38</v>
      </c>
      <c r="T232" s="39">
        <f t="shared" si="107"/>
        <v>48</v>
      </c>
      <c r="U232" s="42">
        <f t="shared" si="92"/>
        <v>38.4</v>
      </c>
      <c r="V232" s="43">
        <v>0.2</v>
      </c>
      <c r="W232" s="44">
        <f t="shared" si="108"/>
        <v>0.517119791666667</v>
      </c>
      <c r="X232" s="44">
        <f t="shared" si="109"/>
        <v>0.344747406213779</v>
      </c>
      <c r="Y232" s="44">
        <v>0.04</v>
      </c>
      <c r="Z232" s="46">
        <v>0.1</v>
      </c>
      <c r="AA232" s="46">
        <v>0.049</v>
      </c>
      <c r="AB232" s="46">
        <f t="shared" si="105"/>
        <v>0.0140625</v>
      </c>
      <c r="AC232" s="46">
        <v>0.06</v>
      </c>
      <c r="AD232" s="47"/>
      <c r="AF232" s="48" t="s">
        <v>102</v>
      </c>
      <c r="AG232" s="39">
        <f t="shared" si="93"/>
        <v>0</v>
      </c>
      <c r="AH232" s="39">
        <f t="shared" si="94"/>
        <v>0</v>
      </c>
      <c r="AI232" s="39">
        <f t="shared" si="95"/>
        <v>0</v>
      </c>
      <c r="AJ232" s="39">
        <f t="shared" si="96"/>
        <v>0</v>
      </c>
      <c r="AK232" s="39">
        <f t="shared" si="97"/>
        <v>0</v>
      </c>
      <c r="AL232" s="39">
        <f t="shared" si="98"/>
        <v>0</v>
      </c>
      <c r="AM232" s="39">
        <f t="shared" si="99"/>
        <v>0</v>
      </c>
      <c r="AN232" s="39">
        <f t="shared" si="100"/>
        <v>0</v>
      </c>
    </row>
    <row r="233" ht="50" hidden="1" customHeight="1" spans="1:40">
      <c r="A233" s="37" t="s">
        <v>96</v>
      </c>
      <c r="B233" s="37" t="s">
        <v>115</v>
      </c>
      <c r="C233" s="37" t="str">
        <f>_xlfn.XLOOKUP(F233,'6月产品包'!B:B,'6月产品包'!H:H)</f>
        <v>标签打印纸</v>
      </c>
      <c r="D233" s="38" t="str">
        <f>_xlfn.XLOOKUP(F233,'6月产品包'!B:B,'6月产品包'!O:O)</f>
        <v>不干胶打印纸</v>
      </c>
      <c r="E233" s="38" t="s">
        <v>511</v>
      </c>
      <c r="F233" s="37" t="s">
        <v>512</v>
      </c>
      <c r="G233" s="39" t="s">
        <v>126</v>
      </c>
      <c r="H233" s="37" t="s">
        <v>101</v>
      </c>
      <c r="I233" s="37" t="str">
        <f>_xlfn.XLOOKUP($F233,'6月库存'!A:A,'6月库存'!B:B)</f>
        <v>正常销售</v>
      </c>
      <c r="K233" s="39">
        <f>_xlfn.XLOOKUP(E233,'[1]6月分配 '!$B:$B,'[1]6月分配 '!$K:$K)</f>
        <v>2793</v>
      </c>
      <c r="L233" s="12" t="str">
        <f t="shared" si="106"/>
        <v>是</v>
      </c>
      <c r="M233" s="40" t="str">
        <f>_xlfn.XLOOKUP(F233,'6月产品包'!B:B,'6月产品包'!J:J)</f>
        <v>2025-04-08</v>
      </c>
      <c r="N233" s="39" t="str">
        <f ca="1" t="shared" si="102"/>
        <v>老品</v>
      </c>
      <c r="O233" s="37">
        <f>_xlfn.XLOOKUP(F233,'6月库存'!A:A,'6月库存'!R:R)</f>
        <v>231</v>
      </c>
      <c r="P233" s="39">
        <f>_xlfn.XLOOKUP(F233,'6月产品包'!B:B,'6月产品包'!S:S)</f>
        <v>1000</v>
      </c>
      <c r="Q233" s="39"/>
      <c r="R233" s="41">
        <f>_xlfn.XLOOKUP(F233,'6月产品包'!B:B,'6月产品包'!AD:AD)</f>
        <v>13.2245</v>
      </c>
      <c r="S233" s="39">
        <v>23</v>
      </c>
      <c r="T233" s="39">
        <f t="shared" si="107"/>
        <v>29</v>
      </c>
      <c r="U233" s="42">
        <f t="shared" si="92"/>
        <v>23.2</v>
      </c>
      <c r="V233" s="43">
        <v>0.2</v>
      </c>
      <c r="W233" s="44">
        <f t="shared" si="108"/>
        <v>0.429978448275862</v>
      </c>
      <c r="X233" s="44">
        <f t="shared" si="109"/>
        <v>0.216706548521607</v>
      </c>
      <c r="Y233" s="44">
        <v>0.04</v>
      </c>
      <c r="Z233" s="46">
        <v>0.1</v>
      </c>
      <c r="AA233" s="46">
        <v>0.049</v>
      </c>
      <c r="AB233" s="46">
        <f t="shared" si="105"/>
        <v>0.0232758620689655</v>
      </c>
      <c r="AC233" s="46">
        <v>0.06</v>
      </c>
      <c r="AD233" s="47"/>
      <c r="AE233" s="6"/>
      <c r="AF233" s="55" t="s">
        <v>114</v>
      </c>
      <c r="AG233" s="39">
        <f t="shared" si="93"/>
        <v>0</v>
      </c>
      <c r="AH233" s="39">
        <f t="shared" si="94"/>
        <v>0</v>
      </c>
      <c r="AI233" s="39">
        <f t="shared" si="95"/>
        <v>0</v>
      </c>
      <c r="AJ233" s="39">
        <f t="shared" si="96"/>
        <v>0</v>
      </c>
      <c r="AK233" s="39">
        <f t="shared" si="97"/>
        <v>0</v>
      </c>
      <c r="AL233" s="39">
        <f t="shared" si="98"/>
        <v>0</v>
      </c>
      <c r="AM233" s="39">
        <f t="shared" si="99"/>
        <v>0</v>
      </c>
      <c r="AN233" s="39">
        <f t="shared" si="100"/>
        <v>0</v>
      </c>
    </row>
    <row r="234" ht="50" hidden="1" customHeight="1" spans="1:40">
      <c r="A234" s="39" t="str">
        <f>_xlfn.XLOOKUP(F234,'6月产品包'!B:B,'6月产品包'!F:F)</f>
        <v>办公安防</v>
      </c>
      <c r="B234" s="39" t="str">
        <f>_xlfn.XLOOKUP(F234,'6月产品包'!B:B,'6月产品包'!G:G)</f>
        <v>应急安防</v>
      </c>
      <c r="C234" s="37" t="str">
        <f>_xlfn.XLOOKUP(F234,'6月产品包'!B:B,'6月产品包'!H:H)</f>
        <v>单相电子式电度表</v>
      </c>
      <c r="D234" s="38" t="str">
        <f>_xlfn.XLOOKUP(F234,'6月产品包'!B:B,'6月产品包'!O:O)</f>
        <v>液晶计量电表2P</v>
      </c>
      <c r="E234" s="38" t="str">
        <f>_xlfn.XLOOKUP(F234,'6月产品包'!B:B,'6月产品包'!C:C)</f>
        <v>3B-导轨单相电能表2P液晶计量款</v>
      </c>
      <c r="F234" s="39" t="s">
        <v>513</v>
      </c>
      <c r="H234" s="39" t="s">
        <v>101</v>
      </c>
      <c r="I234" s="39" t="str">
        <f>_xlfn.XLOOKUP($F234,'6月库存'!A:A,'6月库存'!B:B)</f>
        <v>正常销售</v>
      </c>
      <c r="K234" s="39">
        <f>_xlfn.XLOOKUP(E234,'[1]6月分配 '!$B:$B,'[1]6月分配 '!$K:$K)</f>
        <v>2786</v>
      </c>
      <c r="L234" s="12" t="str">
        <f t="shared" si="106"/>
        <v>是</v>
      </c>
      <c r="M234" s="40" t="str">
        <f>_xlfn.XLOOKUP(F234,'6月产品包'!B:B,'6月产品包'!J:J)</f>
        <v>2026-02-04</v>
      </c>
      <c r="N234" s="39" t="s">
        <v>149</v>
      </c>
      <c r="O234" s="37">
        <f>_xlfn.XLOOKUP(F234,'6月库存'!A:A,'6月库存'!R:R)</f>
        <v>99</v>
      </c>
      <c r="P234" s="39">
        <f>_xlfn.XLOOKUP(F234,'6月产品包'!B:B,'6月产品包'!S:S)</f>
        <v>120</v>
      </c>
      <c r="R234" s="41">
        <f>_xlfn.XLOOKUP(F234,'6月产品包'!B:B,'6月产品包'!AD:AD)</f>
        <v>11.0316</v>
      </c>
      <c r="S234" s="39">
        <v>23</v>
      </c>
      <c r="T234" s="39">
        <f t="shared" si="107"/>
        <v>29</v>
      </c>
      <c r="U234" s="42">
        <f t="shared" si="92"/>
        <v>23.2</v>
      </c>
      <c r="V234" s="43">
        <v>12.2</v>
      </c>
      <c r="W234" s="44">
        <f t="shared" si="108"/>
        <v>0.5245</v>
      </c>
      <c r="X234" s="44">
        <f t="shared" si="109"/>
        <v>0.339330203142967</v>
      </c>
      <c r="Y234" s="44">
        <v>0.038</v>
      </c>
      <c r="Z234" s="46">
        <v>0.09</v>
      </c>
      <c r="AA234" s="46">
        <v>0.049</v>
      </c>
      <c r="AB234" s="46">
        <f t="shared" si="105"/>
        <v>0.0232758620689655</v>
      </c>
      <c r="AC234" s="46">
        <v>0.08</v>
      </c>
      <c r="AF234" s="55" t="s">
        <v>114</v>
      </c>
      <c r="AG234" s="39">
        <f t="shared" si="93"/>
        <v>0</v>
      </c>
      <c r="AH234" s="39">
        <f t="shared" si="94"/>
        <v>0</v>
      </c>
      <c r="AI234" s="39">
        <f t="shared" si="95"/>
        <v>0</v>
      </c>
      <c r="AJ234" s="39">
        <f t="shared" si="96"/>
        <v>0</v>
      </c>
      <c r="AK234" s="39">
        <f t="shared" si="97"/>
        <v>0</v>
      </c>
      <c r="AL234" s="39">
        <f t="shared" si="98"/>
        <v>0</v>
      </c>
      <c r="AM234" s="39">
        <f t="shared" si="99"/>
        <v>0</v>
      </c>
      <c r="AN234" s="39">
        <f t="shared" si="100"/>
        <v>0</v>
      </c>
    </row>
    <row r="235" ht="50" hidden="1" customHeight="1" spans="1:40">
      <c r="A235" s="37" t="s">
        <v>96</v>
      </c>
      <c r="B235" s="37" t="s">
        <v>115</v>
      </c>
      <c r="C235" s="37" t="str">
        <f>_xlfn.XLOOKUP(F235,'6月产品包'!B:B,'6月产品包'!H:H)</f>
        <v>广告支架</v>
      </c>
      <c r="D235" s="38" t="str">
        <f>_xlfn.XLOOKUP(F235,'6月产品包'!B:B,'6月产品包'!O:O)</f>
        <v>手提款展示架</v>
      </c>
      <c r="E235" s="38" t="s">
        <v>514</v>
      </c>
      <c r="F235" s="37" t="s">
        <v>515</v>
      </c>
      <c r="G235" s="39" t="e">
        <v>#N/A</v>
      </c>
      <c r="H235" s="37" t="s">
        <v>101</v>
      </c>
      <c r="I235" s="37" t="str">
        <f>_xlfn.XLOOKUP($F235,'6月库存'!A:A,'6月库存'!B:B)</f>
        <v>正常销售</v>
      </c>
      <c r="K235" s="39">
        <f>_xlfn.XLOOKUP(E235,'[1]6月分配 '!$B:$B,'[1]6月分配 '!$K:$K)</f>
        <v>2647</v>
      </c>
      <c r="L235" s="12" t="str">
        <f t="shared" si="106"/>
        <v>是</v>
      </c>
      <c r="M235" s="40" t="str">
        <f>_xlfn.XLOOKUP(F235,'6月产品包'!B:B,'6月产品包'!J:J)</f>
        <v>2025-09-18</v>
      </c>
      <c r="N235" s="39" t="str">
        <f ca="1">IF(DATEDIF(M235,TODAY(),"m")&lt;6,"新品","老品")</f>
        <v>老品</v>
      </c>
      <c r="O235" s="37">
        <f>_xlfn.XLOOKUP(F235,'6月库存'!A:A,'6月库存'!R:R)</f>
        <v>274</v>
      </c>
      <c r="P235" s="39">
        <f>_xlfn.XLOOKUP(F235,'6月产品包'!B:B,'6月产品包'!S:S)</f>
        <v>2200</v>
      </c>
      <c r="Q235" s="39"/>
      <c r="R235" s="41">
        <f>_xlfn.XLOOKUP(F235,'6月产品包'!B:B,'6月产品包'!AD:AD)</f>
        <v>23.9946</v>
      </c>
      <c r="S235" s="39">
        <v>47</v>
      </c>
      <c r="T235" s="39">
        <f t="shared" si="107"/>
        <v>59</v>
      </c>
      <c r="U235" s="42">
        <f t="shared" si="92"/>
        <v>47.2</v>
      </c>
      <c r="V235" s="43">
        <v>0.2</v>
      </c>
      <c r="W235" s="44">
        <f t="shared" si="108"/>
        <v>0.491639830508475</v>
      </c>
      <c r="X235" s="44">
        <f t="shared" si="109"/>
        <v>0.314471338453099</v>
      </c>
      <c r="Y235" s="44">
        <v>0.038</v>
      </c>
      <c r="Z235" s="46">
        <v>0.1</v>
      </c>
      <c r="AA235" s="46">
        <v>0.049</v>
      </c>
      <c r="AB235" s="46">
        <f t="shared" si="105"/>
        <v>0.0114406779661017</v>
      </c>
      <c r="AC235" s="46">
        <v>0.06</v>
      </c>
      <c r="AD235" s="47"/>
      <c r="AE235" s="6"/>
      <c r="AF235" s="55" t="s">
        <v>114</v>
      </c>
      <c r="AG235" s="39">
        <f t="shared" si="93"/>
        <v>0</v>
      </c>
      <c r="AH235" s="39">
        <f t="shared" si="94"/>
        <v>0</v>
      </c>
      <c r="AI235" s="39">
        <f t="shared" si="95"/>
        <v>0</v>
      </c>
      <c r="AJ235" s="39">
        <f t="shared" si="96"/>
        <v>0</v>
      </c>
      <c r="AK235" s="39">
        <f t="shared" si="97"/>
        <v>0</v>
      </c>
      <c r="AL235" s="39">
        <f t="shared" si="98"/>
        <v>0</v>
      </c>
      <c r="AM235" s="39">
        <f t="shared" si="99"/>
        <v>0</v>
      </c>
      <c r="AN235" s="39">
        <f t="shared" si="100"/>
        <v>0</v>
      </c>
    </row>
    <row r="236" ht="50" hidden="1" customHeight="1" spans="1:40">
      <c r="A236" s="37" t="s">
        <v>96</v>
      </c>
      <c r="B236" s="37" t="s">
        <v>115</v>
      </c>
      <c r="C236" s="37" t="str">
        <f>_xlfn.XLOOKUP(F236,'6月产品包'!B:B,'6月产品包'!H:H)</f>
        <v>收银箱</v>
      </c>
      <c r="D236" s="38" t="str">
        <f>_xlfn.XLOOKUP(F236,'6月产品包'!B:B,'6月产品包'!O:O)</f>
        <v>手提收银箱</v>
      </c>
      <c r="E236" s="38" t="s">
        <v>304</v>
      </c>
      <c r="F236" s="39" t="s">
        <v>516</v>
      </c>
      <c r="G236" s="39" t="e">
        <v>#N/A</v>
      </c>
      <c r="H236" s="39" t="s">
        <v>101</v>
      </c>
      <c r="I236" s="37" t="str">
        <f>_xlfn.XLOOKUP($F236,'6月库存'!A:A,'6月库存'!B:B)</f>
        <v>正常销售</v>
      </c>
      <c r="K236" s="39" t="e">
        <f>_xlfn.XLOOKUP(E236,'[1]6月分配 '!$B:$B,'[1]6月分配 '!$K:$K)</f>
        <v>#N/A</v>
      </c>
      <c r="L236" s="12" t="str">
        <f t="shared" si="106"/>
        <v>否</v>
      </c>
      <c r="M236" s="40" t="str">
        <f>_xlfn.XLOOKUP(F236,'6月产品包'!B:B,'6月产品包'!J:J)</f>
        <v>2026-01-26</v>
      </c>
      <c r="N236" s="39" t="str">
        <f ca="1" t="shared" si="102"/>
        <v>新品</v>
      </c>
      <c r="O236" s="37">
        <f>_xlfn.XLOOKUP(F236,'6月库存'!A:A,'6月库存'!R:R)</f>
        <v>5</v>
      </c>
      <c r="P236" s="39">
        <f>_xlfn.XLOOKUP(F236,'6月产品包'!B:B,'6月产品包'!S:S)</f>
        <v>1800</v>
      </c>
      <c r="Q236" s="2">
        <v>2450</v>
      </c>
      <c r="R236" s="41">
        <f>_xlfn.XLOOKUP(F236,'6月产品包'!B:B,'6月产品包'!AD:AD)</f>
        <v>22.707</v>
      </c>
      <c r="S236" s="39">
        <v>51</v>
      </c>
      <c r="T236" s="39">
        <f t="shared" si="107"/>
        <v>64</v>
      </c>
      <c r="U236" s="42">
        <f t="shared" ref="U233:U297" si="110">$T236*(1-0.2)</f>
        <v>51.2</v>
      </c>
      <c r="V236" s="43">
        <v>0.2</v>
      </c>
      <c r="W236" s="44">
        <f t="shared" si="108"/>
        <v>0.55650390625</v>
      </c>
      <c r="X236" s="44">
        <f t="shared" si="109"/>
        <v>0.409028920027483</v>
      </c>
      <c r="Y236" s="44">
        <v>0.04</v>
      </c>
      <c r="Z236" s="46">
        <v>0.09</v>
      </c>
      <c r="AA236" s="46">
        <v>0.049</v>
      </c>
      <c r="AB236" s="46">
        <f t="shared" si="105"/>
        <v>0.010546875</v>
      </c>
      <c r="AC236" s="46">
        <v>0.06</v>
      </c>
      <c r="AD236" s="47"/>
      <c r="AF236" s="48" t="s">
        <v>102</v>
      </c>
      <c r="AG236" s="39">
        <f t="shared" ref="AG233:AG297" si="111">MAX(AH236:AN236)</f>
        <v>3.072</v>
      </c>
      <c r="AH236" s="39">
        <f t="shared" ref="AH233:AH297" si="112">IF(U236&gt;=50,MIN(MIN(U236*0.2,20)*0.3,6),0)</f>
        <v>3.072</v>
      </c>
      <c r="AI236" s="39">
        <f t="shared" ref="AI233:AI297" si="113">IF(U236&gt;=200,MIN(MIN(U236*0.18,70)*0.3,21),0)</f>
        <v>0</v>
      </c>
      <c r="AJ236" s="39">
        <f t="shared" ref="AJ234:AJ297" si="114">IF(U236&gt;=380,MIN(MIN(U236*0.28,350)*0.3,105),0)</f>
        <v>0</v>
      </c>
      <c r="AK236" s="39">
        <f t="shared" ref="AK234:AK297" si="115">IF(U236&gt;=380,MIN(MIN(U236*0.25,350)*0.3,105),0)</f>
        <v>0</v>
      </c>
      <c r="AL236" s="39">
        <f t="shared" ref="AL233:AL297" si="116">IF(U236&gt;=380,MIN(MIN(U236*0.22,300)*0.3,90),0)</f>
        <v>0</v>
      </c>
      <c r="AM236" s="39">
        <f t="shared" ref="AM233:AM297" si="117">IF(U236&gt;=250,MIN(MIN(U236*0.18,120)*0.3,36),0)</f>
        <v>0</v>
      </c>
      <c r="AN236" s="39">
        <f t="shared" ref="AN233:AN297" si="118">IF(U236&gt;=180,MIN(MIN(U236*0.15,60)*0.3,18),0)</f>
        <v>0</v>
      </c>
    </row>
    <row r="237" ht="50" hidden="1" customHeight="1" spans="1:40">
      <c r="A237" s="37" t="s">
        <v>96</v>
      </c>
      <c r="B237" s="37" t="s">
        <v>115</v>
      </c>
      <c r="C237" s="37" t="str">
        <f>_xlfn.XLOOKUP(F237,'6月产品包'!B:B,'6月产品包'!H:H)</f>
        <v>收银箱</v>
      </c>
      <c r="D237" s="38" t="str">
        <f>_xlfn.XLOOKUP(F237,'6月产品包'!B:B,'6月产品包'!O:O)</f>
        <v>手提收银箱</v>
      </c>
      <c r="E237" s="38" t="s">
        <v>382</v>
      </c>
      <c r="F237" s="39" t="s">
        <v>517</v>
      </c>
      <c r="G237" s="39" t="e">
        <v>#N/A</v>
      </c>
      <c r="H237" s="39" t="s">
        <v>101</v>
      </c>
      <c r="I237" s="37" t="str">
        <f>_xlfn.XLOOKUP($F237,'6月库存'!A:A,'6月库存'!B:B)</f>
        <v>正常销售</v>
      </c>
      <c r="K237" s="39" t="e">
        <f>_xlfn.XLOOKUP(E237,'[1]6月分配 '!$B:$B,'[1]6月分配 '!$K:$K)</f>
        <v>#N/A</v>
      </c>
      <c r="L237" s="12" t="str">
        <f t="shared" si="106"/>
        <v>否</v>
      </c>
      <c r="M237" s="40" t="str">
        <f>_xlfn.XLOOKUP(F237,'6月产品包'!B:B,'6月产品包'!J:J)</f>
        <v>2026-01-26</v>
      </c>
      <c r="N237" s="39" t="str">
        <f ca="1" t="shared" si="102"/>
        <v>新品</v>
      </c>
      <c r="O237" s="37">
        <f>_xlfn.XLOOKUP(F237,'6月库存'!A:A,'6月库存'!R:R)</f>
        <v>15</v>
      </c>
      <c r="P237" s="39">
        <f>_xlfn.XLOOKUP(F237,'6月产品包'!B:B,'6月产品包'!S:S)</f>
        <v>1710</v>
      </c>
      <c r="Q237" s="2">
        <v>2450</v>
      </c>
      <c r="R237" s="41">
        <f>_xlfn.XLOOKUP(F237,'6月产品包'!B:B,'6月产品包'!AD:AD)</f>
        <v>23.2232</v>
      </c>
      <c r="S237" s="39">
        <v>52</v>
      </c>
      <c r="T237" s="39">
        <f t="shared" si="107"/>
        <v>65</v>
      </c>
      <c r="U237" s="42">
        <f t="shared" si="110"/>
        <v>52</v>
      </c>
      <c r="V237" s="43">
        <v>0.2</v>
      </c>
      <c r="W237" s="44">
        <f t="shared" si="108"/>
        <v>0.5534</v>
      </c>
      <c r="X237" s="44">
        <f t="shared" si="109"/>
        <v>0.405021520803443</v>
      </c>
      <c r="Y237" s="44">
        <v>0.04</v>
      </c>
      <c r="Z237" s="46">
        <v>0.09</v>
      </c>
      <c r="AA237" s="46">
        <v>0.049</v>
      </c>
      <c r="AB237" s="46">
        <f t="shared" si="105"/>
        <v>0.0103846153846154</v>
      </c>
      <c r="AC237" s="46">
        <v>0.06</v>
      </c>
      <c r="AD237" s="47"/>
      <c r="AF237" s="48" t="s">
        <v>102</v>
      </c>
      <c r="AG237" s="39">
        <f t="shared" si="111"/>
        <v>3.12</v>
      </c>
      <c r="AH237" s="39">
        <f t="shared" si="112"/>
        <v>3.12</v>
      </c>
      <c r="AI237" s="39">
        <f t="shared" si="113"/>
        <v>0</v>
      </c>
      <c r="AJ237" s="39">
        <f t="shared" si="114"/>
        <v>0</v>
      </c>
      <c r="AK237" s="39">
        <f t="shared" si="115"/>
        <v>0</v>
      </c>
      <c r="AL237" s="39">
        <f t="shared" si="116"/>
        <v>0</v>
      </c>
      <c r="AM237" s="39">
        <f t="shared" si="117"/>
        <v>0</v>
      </c>
      <c r="AN237" s="39">
        <f t="shared" si="118"/>
        <v>0</v>
      </c>
    </row>
    <row r="238" ht="50" hidden="1" customHeight="1" spans="1:40">
      <c r="A238" s="39" t="s">
        <v>96</v>
      </c>
      <c r="B238" s="39" t="s">
        <v>103</v>
      </c>
      <c r="C238" s="37" t="str">
        <f>_xlfn.XLOOKUP(F238,'6月产品包'!B:B,'6月产品包'!H:H)</f>
        <v>家用储能电源</v>
      </c>
      <c r="D238" s="38" t="str">
        <f>_xlfn.XLOOKUP(F238,'6月产品包'!B:B,'6月产品包'!O:O)</f>
        <v>家用储能电源HeroEE1</v>
      </c>
      <c r="E238" s="38" t="s">
        <v>518</v>
      </c>
      <c r="F238" s="39" t="s">
        <v>519</v>
      </c>
      <c r="G238" s="39" t="e">
        <v>#N/A</v>
      </c>
      <c r="H238" s="39" t="s">
        <v>107</v>
      </c>
      <c r="I238" s="37" t="str">
        <f>_xlfn.XLOOKUP($F238,'6月库存'!A:A,'6月库存'!B:B)</f>
        <v>等待开发</v>
      </c>
      <c r="K238" s="39" t="e">
        <f>_xlfn.XLOOKUP(E238,'[1]6月分配 '!$B:$B,'[1]6月分配 '!$K:$K)</f>
        <v>#N/A</v>
      </c>
      <c r="L238" s="12" t="str">
        <f t="shared" si="106"/>
        <v>否</v>
      </c>
      <c r="M238" s="40" t="str">
        <f>_xlfn.XLOOKUP(F238,'6月产品包'!B:B,'6月产品包'!J:J)</f>
        <v>2026-03-30</v>
      </c>
      <c r="N238" s="39" t="str">
        <f ca="1" t="shared" si="102"/>
        <v>新品</v>
      </c>
      <c r="O238" s="37">
        <f>_xlfn.XLOOKUP(F238,'6月库存'!A:A,'6月库存'!R:R)</f>
        <v>0</v>
      </c>
      <c r="P238" s="39">
        <f>_xlfn.XLOOKUP(F238,'6月产品包'!B:B,'6月产品包'!S:S)</f>
        <v>18600</v>
      </c>
      <c r="Q238" s="39"/>
      <c r="R238" s="41">
        <f>_xlfn.XLOOKUP(F238,'6月产品包'!B:B,'6月产品包'!AD:AD)</f>
        <v>587.7221</v>
      </c>
      <c r="S238" s="39">
        <v>1209</v>
      </c>
      <c r="T238" s="39">
        <f t="shared" si="107"/>
        <v>1511</v>
      </c>
      <c r="U238" s="42">
        <f t="shared" si="110"/>
        <v>1208.8</v>
      </c>
      <c r="V238" s="43">
        <v>0.2</v>
      </c>
      <c r="W238" s="44">
        <f t="shared" si="108"/>
        <v>0.513797071475844</v>
      </c>
      <c r="X238" s="44">
        <f t="shared" si="109"/>
        <v>0.349607654532368</v>
      </c>
      <c r="Y238" s="44">
        <v>0.038</v>
      </c>
      <c r="Z238" s="46">
        <v>0.105</v>
      </c>
      <c r="AA238" s="46">
        <v>0.049</v>
      </c>
      <c r="AB238" s="46">
        <f t="shared" si="105"/>
        <v>0.000446724023825281</v>
      </c>
      <c r="AC238" s="46">
        <v>0.06</v>
      </c>
      <c r="AD238" s="49"/>
      <c r="AF238" s="48" t="s">
        <v>102</v>
      </c>
      <c r="AG238" s="39">
        <f t="shared" si="111"/>
        <v>101.5392</v>
      </c>
      <c r="AH238" s="39">
        <f t="shared" si="112"/>
        <v>6</v>
      </c>
      <c r="AI238" s="39">
        <f t="shared" si="113"/>
        <v>21</v>
      </c>
      <c r="AJ238" s="39">
        <f t="shared" si="114"/>
        <v>101.5392</v>
      </c>
      <c r="AK238" s="39">
        <f t="shared" si="115"/>
        <v>90.66</v>
      </c>
      <c r="AL238" s="39">
        <f t="shared" si="116"/>
        <v>79.7808</v>
      </c>
      <c r="AM238" s="39">
        <f t="shared" si="117"/>
        <v>36</v>
      </c>
      <c r="AN238" s="39">
        <f t="shared" si="118"/>
        <v>18</v>
      </c>
    </row>
    <row r="239" ht="50" hidden="1" customHeight="1" spans="1:40">
      <c r="A239" s="39" t="s">
        <v>96</v>
      </c>
      <c r="B239" s="39" t="s">
        <v>103</v>
      </c>
      <c r="C239" s="37" t="str">
        <f>_xlfn.XLOOKUP(F239,'6月产品包'!B:B,'6月产品包'!H:H)</f>
        <v>家用储能电源</v>
      </c>
      <c r="D239" s="38" t="str">
        <f>_xlfn.XLOOKUP(F239,'6月产品包'!B:B,'6月产品包'!O:O)</f>
        <v>家用储能电源HeroEE2</v>
      </c>
      <c r="E239" s="38" t="s">
        <v>520</v>
      </c>
      <c r="F239" s="39" t="s">
        <v>521</v>
      </c>
      <c r="G239" s="39" t="e">
        <v>#N/A</v>
      </c>
      <c r="H239" s="39" t="s">
        <v>107</v>
      </c>
      <c r="I239" s="37" t="str">
        <f>_xlfn.XLOOKUP($F239,'6月库存'!A:A,'6月库存'!B:B)</f>
        <v>等待开发</v>
      </c>
      <c r="K239" s="39" t="e">
        <f>_xlfn.XLOOKUP(E239,'[1]6月分配 '!$B:$B,'[1]6月分配 '!$K:$K)</f>
        <v>#N/A</v>
      </c>
      <c r="L239" s="12" t="str">
        <f t="shared" si="106"/>
        <v>否</v>
      </c>
      <c r="M239" s="40" t="str">
        <f>_xlfn.XLOOKUP(F239,'6月产品包'!B:B,'6月产品包'!J:J)</f>
        <v>2026-03-30</v>
      </c>
      <c r="N239" s="39" t="str">
        <f ca="1" t="shared" si="102"/>
        <v>新品</v>
      </c>
      <c r="O239" s="37">
        <f>_xlfn.XLOOKUP(F239,'6月库存'!A:A,'6月库存'!R:R)</f>
        <v>0</v>
      </c>
      <c r="P239" s="39">
        <f>_xlfn.XLOOKUP(F239,'6月产品包'!B:B,'6月产品包'!S:S)</f>
        <v>20110</v>
      </c>
      <c r="Q239" s="39"/>
      <c r="R239" s="41">
        <f>_xlfn.XLOOKUP(F239,'6月产品包'!B:B,'6月产品包'!AD:AD)</f>
        <v>1283.8288</v>
      </c>
      <c r="S239" s="39">
        <v>2599</v>
      </c>
      <c r="T239" s="39">
        <f t="shared" si="107"/>
        <v>3249</v>
      </c>
      <c r="U239" s="42">
        <f t="shared" si="110"/>
        <v>2599.2</v>
      </c>
      <c r="V239" s="43">
        <v>0.2</v>
      </c>
      <c r="W239" s="44">
        <f t="shared" si="108"/>
        <v>0.506067713142505</v>
      </c>
      <c r="X239" s="44">
        <f t="shared" si="109"/>
        <v>0.339479259146757</v>
      </c>
      <c r="Y239" s="44">
        <v>0.038</v>
      </c>
      <c r="Z239" s="46">
        <v>0.105</v>
      </c>
      <c r="AA239" s="46">
        <v>0.049</v>
      </c>
      <c r="AB239" s="46">
        <f t="shared" si="105"/>
        <v>0.000207756232686981</v>
      </c>
      <c r="AC239" s="46">
        <v>0.06</v>
      </c>
      <c r="AD239" s="49"/>
      <c r="AF239" s="48" t="s">
        <v>102</v>
      </c>
      <c r="AG239" s="39">
        <f t="shared" si="111"/>
        <v>105</v>
      </c>
      <c r="AH239" s="39">
        <f t="shared" si="112"/>
        <v>6</v>
      </c>
      <c r="AI239" s="39">
        <f t="shared" si="113"/>
        <v>21</v>
      </c>
      <c r="AJ239" s="39">
        <f t="shared" si="114"/>
        <v>105</v>
      </c>
      <c r="AK239" s="39">
        <f t="shared" si="115"/>
        <v>105</v>
      </c>
      <c r="AL239" s="39">
        <f t="shared" si="116"/>
        <v>90</v>
      </c>
      <c r="AM239" s="39">
        <f t="shared" si="117"/>
        <v>36</v>
      </c>
      <c r="AN239" s="39">
        <f t="shared" si="118"/>
        <v>18</v>
      </c>
    </row>
    <row r="240" ht="50" hidden="1" customHeight="1" spans="1:40">
      <c r="A240" s="39" t="s">
        <v>96</v>
      </c>
      <c r="B240" s="39" t="s">
        <v>103</v>
      </c>
      <c r="C240" s="37" t="str">
        <f>_xlfn.XLOOKUP(F240,'6月产品包'!B:B,'6月产品包'!H:H)</f>
        <v>储能电源</v>
      </c>
      <c r="D240" s="38" t="str">
        <f>_xlfn.XLOOKUP(F240,'6月产品包'!B:B,'6月产品包'!O:O)</f>
        <v>储能电源G120</v>
      </c>
      <c r="E240" s="38" t="s">
        <v>522</v>
      </c>
      <c r="F240" s="56" t="s">
        <v>523</v>
      </c>
      <c r="G240" s="39" t="e">
        <v>#N/A</v>
      </c>
      <c r="H240" s="39" t="s">
        <v>107</v>
      </c>
      <c r="I240" s="37" t="str">
        <f>_xlfn.XLOOKUP($F240,'6月库存'!A:A,'6月库存'!B:B)</f>
        <v>等待开发</v>
      </c>
      <c r="K240" s="39" t="e">
        <f>_xlfn.XLOOKUP(E240,'[1]6月分配 '!$B:$B,'[1]6月分配 '!$K:$K)</f>
        <v>#N/A</v>
      </c>
      <c r="L240" s="12" t="str">
        <f t="shared" si="106"/>
        <v>否</v>
      </c>
      <c r="M240" s="40" t="str">
        <f>_xlfn.XLOOKUP(F240,'6月产品包'!B:B,'6月产品包'!J:J)</f>
        <v>2026-03-30</v>
      </c>
      <c r="N240" s="39" t="str">
        <f ca="1" t="shared" si="102"/>
        <v>新品</v>
      </c>
      <c r="O240" s="37">
        <f>_xlfn.XLOOKUP(F240,'6月库存'!A:A,'6月库存'!R:R)</f>
        <v>0</v>
      </c>
      <c r="P240" s="39">
        <f>_xlfn.XLOOKUP(F240,'6月产品包'!B:B,'6月产品包'!S:S)</f>
        <v>1575</v>
      </c>
      <c r="Q240" s="56"/>
      <c r="R240" s="41">
        <f>_xlfn.XLOOKUP(F240,'6月产品包'!B:B,'6月产品包'!AD:AD)</f>
        <v>166.6729</v>
      </c>
      <c r="S240" s="39">
        <v>349</v>
      </c>
      <c r="T240" s="39">
        <f t="shared" si="107"/>
        <v>436</v>
      </c>
      <c r="U240" s="42">
        <f t="shared" si="110"/>
        <v>348.8</v>
      </c>
      <c r="V240" s="43">
        <v>0.2</v>
      </c>
      <c r="W240" s="44">
        <f t="shared" si="108"/>
        <v>0.522153383027523</v>
      </c>
      <c r="X240" s="44">
        <f t="shared" si="109"/>
        <v>0.359842665453998</v>
      </c>
      <c r="Y240" s="44">
        <v>0.038</v>
      </c>
      <c r="Z240" s="46">
        <v>0.105</v>
      </c>
      <c r="AA240" s="46">
        <v>0.049</v>
      </c>
      <c r="AB240" s="46">
        <f t="shared" si="105"/>
        <v>0.00154816513761468</v>
      </c>
      <c r="AC240" s="46">
        <v>0.06</v>
      </c>
      <c r="AD240" s="47"/>
      <c r="AF240" s="48" t="s">
        <v>102</v>
      </c>
      <c r="AG240" s="39">
        <f t="shared" si="111"/>
        <v>18.8352</v>
      </c>
      <c r="AH240" s="39">
        <f t="shared" si="112"/>
        <v>6</v>
      </c>
      <c r="AI240" s="39">
        <f t="shared" si="113"/>
        <v>18.8352</v>
      </c>
      <c r="AJ240" s="39">
        <f t="shared" si="114"/>
        <v>0</v>
      </c>
      <c r="AK240" s="39">
        <f t="shared" si="115"/>
        <v>0</v>
      </c>
      <c r="AL240" s="39">
        <f t="shared" si="116"/>
        <v>0</v>
      </c>
      <c r="AM240" s="39">
        <f t="shared" si="117"/>
        <v>18.8352</v>
      </c>
      <c r="AN240" s="39">
        <f t="shared" si="118"/>
        <v>15.696</v>
      </c>
    </row>
    <row r="241" ht="50" hidden="1" customHeight="1" spans="1:40">
      <c r="A241" s="39" t="s">
        <v>96</v>
      </c>
      <c r="B241" s="39" t="s">
        <v>103</v>
      </c>
      <c r="C241" s="37" t="str">
        <f>_xlfn.XLOOKUP(F241,'6月产品包'!B:B,'6月产品包'!H:H)</f>
        <v>储能电源</v>
      </c>
      <c r="D241" s="38" t="str">
        <f>_xlfn.XLOOKUP(F241,'6月产品包'!B:B,'6月产品包'!O:O)</f>
        <v>储能电源G300</v>
      </c>
      <c r="E241" s="38" t="s">
        <v>524</v>
      </c>
      <c r="F241" s="56" t="s">
        <v>525</v>
      </c>
      <c r="G241" s="39" t="e">
        <v>#N/A</v>
      </c>
      <c r="H241" s="39" t="s">
        <v>107</v>
      </c>
      <c r="I241" s="37" t="str">
        <f>_xlfn.XLOOKUP($F241,'6月库存'!A:A,'6月库存'!B:B)</f>
        <v>等待开发</v>
      </c>
      <c r="K241" s="39" t="e">
        <f>_xlfn.XLOOKUP(E241,'[1]6月分配 '!$B:$B,'[1]6月分配 '!$K:$K)</f>
        <v>#N/A</v>
      </c>
      <c r="L241" s="12" t="str">
        <f t="shared" si="106"/>
        <v>否</v>
      </c>
      <c r="M241" s="40" t="str">
        <f>_xlfn.XLOOKUP(F241,'6月产品包'!B:B,'6月产品包'!J:J)</f>
        <v>2026-03-30</v>
      </c>
      <c r="N241" s="39" t="str">
        <f ca="1" t="shared" si="102"/>
        <v>新品</v>
      </c>
      <c r="O241" s="37">
        <f>_xlfn.XLOOKUP(F241,'6月库存'!A:A,'6月库存'!R:R)</f>
        <v>0</v>
      </c>
      <c r="P241" s="39">
        <f>_xlfn.XLOOKUP(F241,'6月产品包'!B:B,'6月产品包'!S:S)</f>
        <v>3825</v>
      </c>
      <c r="Q241" s="56"/>
      <c r="R241" s="41">
        <f>_xlfn.XLOOKUP(F241,'6月产品包'!B:B,'6月产品包'!AD:AD)</f>
        <v>343.0855</v>
      </c>
      <c r="S241" s="39">
        <v>679</v>
      </c>
      <c r="T241" s="39">
        <f t="shared" si="107"/>
        <v>849</v>
      </c>
      <c r="U241" s="42">
        <f t="shared" si="110"/>
        <v>679.2</v>
      </c>
      <c r="V241" s="43">
        <v>0.2</v>
      </c>
      <c r="W241" s="44">
        <f t="shared" si="108"/>
        <v>0.494868227326266</v>
      </c>
      <c r="X241" s="44">
        <f t="shared" si="109"/>
        <v>0.323971589449176</v>
      </c>
      <c r="Y241" s="44">
        <v>0.038</v>
      </c>
      <c r="Z241" s="46">
        <v>0.105</v>
      </c>
      <c r="AA241" s="46">
        <v>0.049</v>
      </c>
      <c r="AB241" s="46">
        <f t="shared" si="105"/>
        <v>0.000795053003533569</v>
      </c>
      <c r="AC241" s="46">
        <v>0.06</v>
      </c>
      <c r="AD241" s="49"/>
      <c r="AF241" s="48" t="s">
        <v>102</v>
      </c>
      <c r="AG241" s="39">
        <f t="shared" si="111"/>
        <v>57.0528</v>
      </c>
      <c r="AH241" s="39">
        <f t="shared" si="112"/>
        <v>6</v>
      </c>
      <c r="AI241" s="39">
        <f t="shared" si="113"/>
        <v>21</v>
      </c>
      <c r="AJ241" s="39">
        <f t="shared" si="114"/>
        <v>57.0528</v>
      </c>
      <c r="AK241" s="39">
        <f t="shared" si="115"/>
        <v>50.94</v>
      </c>
      <c r="AL241" s="39">
        <f t="shared" si="116"/>
        <v>44.8272</v>
      </c>
      <c r="AM241" s="39">
        <f t="shared" si="117"/>
        <v>36</v>
      </c>
      <c r="AN241" s="39">
        <f t="shared" si="118"/>
        <v>18</v>
      </c>
    </row>
    <row r="242" ht="50" hidden="1" customHeight="1" spans="1:40">
      <c r="A242" s="39" t="s">
        <v>96</v>
      </c>
      <c r="B242" s="39" t="s">
        <v>103</v>
      </c>
      <c r="C242" s="37" t="str">
        <f>_xlfn.XLOOKUP(F242,'6月产品包'!B:B,'6月产品包'!H:H)</f>
        <v>储能电源</v>
      </c>
      <c r="D242" s="38" t="str">
        <f>_xlfn.XLOOKUP(F242,'6月产品包'!B:B,'6月产品包'!O:O)</f>
        <v>储能电源R300</v>
      </c>
      <c r="E242" s="38" t="s">
        <v>526</v>
      </c>
      <c r="F242" s="56" t="s">
        <v>527</v>
      </c>
      <c r="G242" s="39" t="e">
        <v>#N/A</v>
      </c>
      <c r="H242" s="39" t="s">
        <v>107</v>
      </c>
      <c r="I242" s="37" t="str">
        <f>_xlfn.XLOOKUP($F242,'6月库存'!A:A,'6月库存'!B:B)</f>
        <v>等待开发</v>
      </c>
      <c r="K242" s="39" t="e">
        <f>_xlfn.XLOOKUP(E242,'[1]6月分配 '!$B:$B,'[1]6月分配 '!$K:$K)</f>
        <v>#N/A</v>
      </c>
      <c r="L242" s="12" t="str">
        <f t="shared" si="106"/>
        <v>否</v>
      </c>
      <c r="M242" s="40" t="str">
        <f>_xlfn.XLOOKUP(F242,'6月产品包'!B:B,'6月产品包'!J:J)</f>
        <v>2026-03-30</v>
      </c>
      <c r="N242" s="39" t="str">
        <f ca="1" t="shared" si="102"/>
        <v>新品</v>
      </c>
      <c r="O242" s="37">
        <f>_xlfn.XLOOKUP(F242,'6月库存'!A:A,'6月库存'!R:R)</f>
        <v>0</v>
      </c>
      <c r="P242" s="39">
        <f>_xlfn.XLOOKUP(F242,'6月产品包'!B:B,'6月产品包'!S:S)</f>
        <v>3900</v>
      </c>
      <c r="Q242" s="56"/>
      <c r="R242" s="41">
        <f>_xlfn.XLOOKUP(F242,'6月产品包'!B:B,'6月产品包'!AD:AD)</f>
        <v>375.6775</v>
      </c>
      <c r="S242" s="39">
        <v>759</v>
      </c>
      <c r="T242" s="39">
        <f t="shared" si="107"/>
        <v>949</v>
      </c>
      <c r="U242" s="42">
        <f t="shared" si="110"/>
        <v>759.2</v>
      </c>
      <c r="V242" s="43">
        <v>0.2</v>
      </c>
      <c r="W242" s="44">
        <f t="shared" si="108"/>
        <v>0.505166622760801</v>
      </c>
      <c r="X242" s="44">
        <f t="shared" si="109"/>
        <v>0.337828391219682</v>
      </c>
      <c r="Y242" s="44">
        <v>0.038</v>
      </c>
      <c r="Z242" s="46">
        <v>0.105</v>
      </c>
      <c r="AA242" s="46">
        <v>0.049</v>
      </c>
      <c r="AB242" s="46">
        <f t="shared" ref="AB242:AB264" si="119">$AB$1/U242</f>
        <v>0.00071127502634352</v>
      </c>
      <c r="AC242" s="46">
        <v>0.06</v>
      </c>
      <c r="AD242" s="49"/>
      <c r="AF242" s="48" t="s">
        <v>102</v>
      </c>
      <c r="AG242" s="39">
        <f t="shared" si="111"/>
        <v>63.7728</v>
      </c>
      <c r="AH242" s="39">
        <f t="shared" si="112"/>
        <v>6</v>
      </c>
      <c r="AI242" s="39">
        <f t="shared" si="113"/>
        <v>21</v>
      </c>
      <c r="AJ242" s="39">
        <f t="shared" si="114"/>
        <v>63.7728</v>
      </c>
      <c r="AK242" s="39">
        <f t="shared" si="115"/>
        <v>56.94</v>
      </c>
      <c r="AL242" s="39">
        <f t="shared" si="116"/>
        <v>50.1072</v>
      </c>
      <c r="AM242" s="39">
        <f t="shared" si="117"/>
        <v>36</v>
      </c>
      <c r="AN242" s="39">
        <f t="shared" si="118"/>
        <v>18</v>
      </c>
    </row>
    <row r="243" ht="50" hidden="1" customHeight="1" spans="1:40">
      <c r="A243" s="39" t="s">
        <v>96</v>
      </c>
      <c r="B243" s="39" t="s">
        <v>103</v>
      </c>
      <c r="C243" s="37" t="str">
        <f>_xlfn.XLOOKUP(F243,'6月产品包'!B:B,'6月产品包'!H:H)</f>
        <v>储能电源</v>
      </c>
      <c r="D243" s="38" t="str">
        <f>_xlfn.XLOOKUP(F243,'6月产品包'!B:B,'6月产品包'!O:O)</f>
        <v>储能电源R350</v>
      </c>
      <c r="E243" s="38" t="s">
        <v>528</v>
      </c>
      <c r="F243" s="56" t="s">
        <v>529</v>
      </c>
      <c r="G243" s="39" t="e">
        <v>#N/A</v>
      </c>
      <c r="H243" s="39" t="s">
        <v>107</v>
      </c>
      <c r="I243" s="37" t="str">
        <f>_xlfn.XLOOKUP($F243,'6月库存'!A:A,'6月库存'!B:B)</f>
        <v>等待开发</v>
      </c>
      <c r="K243" s="39" t="e">
        <f>_xlfn.XLOOKUP(E243,'[1]6月分配 '!$B:$B,'[1]6月分配 '!$K:$K)</f>
        <v>#N/A</v>
      </c>
      <c r="L243" s="12" t="str">
        <f t="shared" si="106"/>
        <v>否</v>
      </c>
      <c r="M243" s="40" t="str">
        <f>_xlfn.XLOOKUP(F243,'6月产品包'!B:B,'6月产品包'!J:J)</f>
        <v>2026-03-30</v>
      </c>
      <c r="N243" s="39" t="str">
        <f ca="1" t="shared" si="102"/>
        <v>新品</v>
      </c>
      <c r="O243" s="37">
        <f>_xlfn.XLOOKUP(F243,'6月库存'!A:A,'6月库存'!R:R)</f>
        <v>0</v>
      </c>
      <c r="P243" s="39">
        <f>_xlfn.XLOOKUP(F243,'6月产品包'!B:B,'6月产品包'!S:S)</f>
        <v>4075</v>
      </c>
      <c r="Q243" s="56"/>
      <c r="R243" s="41">
        <f>_xlfn.XLOOKUP(F243,'6月产品包'!B:B,'6月产品包'!AD:AD)</f>
        <v>341.2121</v>
      </c>
      <c r="S243" s="39">
        <v>699</v>
      </c>
      <c r="T243" s="39">
        <f t="shared" si="107"/>
        <v>874</v>
      </c>
      <c r="U243" s="42">
        <f t="shared" si="110"/>
        <v>699.2</v>
      </c>
      <c r="V243" s="43">
        <v>0.2</v>
      </c>
      <c r="W243" s="44">
        <f t="shared" si="108"/>
        <v>0.511996424485126</v>
      </c>
      <c r="X243" s="44">
        <f t="shared" si="109"/>
        <v>0.346914490940578</v>
      </c>
      <c r="Y243" s="44">
        <v>0.038</v>
      </c>
      <c r="Z243" s="46">
        <v>0.105</v>
      </c>
      <c r="AA243" s="46">
        <v>0.049</v>
      </c>
      <c r="AB243" s="46">
        <f t="shared" si="119"/>
        <v>0.000772311212814645</v>
      </c>
      <c r="AC243" s="46">
        <v>0.06</v>
      </c>
      <c r="AD243" s="49"/>
      <c r="AF243" s="48" t="s">
        <v>102</v>
      </c>
      <c r="AG243" s="39">
        <f t="shared" si="111"/>
        <v>58.7328</v>
      </c>
      <c r="AH243" s="39">
        <f t="shared" si="112"/>
        <v>6</v>
      </c>
      <c r="AI243" s="39">
        <f t="shared" si="113"/>
        <v>21</v>
      </c>
      <c r="AJ243" s="39">
        <f t="shared" si="114"/>
        <v>58.7328</v>
      </c>
      <c r="AK243" s="39">
        <f t="shared" si="115"/>
        <v>52.44</v>
      </c>
      <c r="AL243" s="39">
        <f t="shared" si="116"/>
        <v>46.1472</v>
      </c>
      <c r="AM243" s="39">
        <f t="shared" si="117"/>
        <v>36</v>
      </c>
      <c r="AN243" s="39">
        <f t="shared" si="118"/>
        <v>18</v>
      </c>
    </row>
    <row r="244" ht="50" hidden="1" customHeight="1" spans="1:40">
      <c r="A244" s="39" t="s">
        <v>96</v>
      </c>
      <c r="B244" s="39" t="s">
        <v>103</v>
      </c>
      <c r="C244" s="37" t="str">
        <f>_xlfn.XLOOKUP(F244,'6月产品包'!B:B,'6月产品包'!H:H)</f>
        <v>储能电源</v>
      </c>
      <c r="D244" s="38" t="str">
        <f>_xlfn.XLOOKUP(F244,'6月产品包'!B:B,'6月产品包'!O:O)</f>
        <v>储能电源R600</v>
      </c>
      <c r="E244" s="38" t="s">
        <v>530</v>
      </c>
      <c r="F244" s="56" t="s">
        <v>531</v>
      </c>
      <c r="G244" s="39" t="e">
        <v>#N/A</v>
      </c>
      <c r="H244" s="39" t="s">
        <v>107</v>
      </c>
      <c r="I244" s="37" t="str">
        <f>_xlfn.XLOOKUP($F244,'6月库存'!A:A,'6月库存'!B:B)</f>
        <v>等待开发</v>
      </c>
      <c r="K244" s="39" t="e">
        <f>_xlfn.XLOOKUP(E244,'[1]6月分配 '!$B:$B,'[1]6月分配 '!$K:$K)</f>
        <v>#N/A</v>
      </c>
      <c r="L244" s="12" t="str">
        <f t="shared" si="106"/>
        <v>否</v>
      </c>
      <c r="M244" s="40" t="str">
        <f>_xlfn.XLOOKUP(F244,'6月产品包'!B:B,'6月产品包'!J:J)</f>
        <v>2026-03-30</v>
      </c>
      <c r="N244" s="39" t="str">
        <f ca="1" t="shared" si="102"/>
        <v>新品</v>
      </c>
      <c r="O244" s="37">
        <f>_xlfn.XLOOKUP(F244,'6月库存'!A:A,'6月库存'!R:R)</f>
        <v>0</v>
      </c>
      <c r="P244" s="39">
        <f>_xlfn.XLOOKUP(F244,'6月产品包'!B:B,'6月产品包'!S:S)</f>
        <v>5925</v>
      </c>
      <c r="Q244" s="56"/>
      <c r="R244" s="41">
        <f>_xlfn.XLOOKUP(F244,'6月产品包'!B:B,'6月产品包'!AD:AD)</f>
        <v>554.4276</v>
      </c>
      <c r="S244" s="39">
        <v>1199</v>
      </c>
      <c r="T244" s="39">
        <f t="shared" si="107"/>
        <v>1499</v>
      </c>
      <c r="U244" s="42">
        <f t="shared" si="110"/>
        <v>1199.2</v>
      </c>
      <c r="V244" s="43">
        <v>0.2</v>
      </c>
      <c r="W244" s="44">
        <f t="shared" si="108"/>
        <v>0.537668779186124</v>
      </c>
      <c r="X244" s="44">
        <f t="shared" si="109"/>
        <v>0.381537814893577</v>
      </c>
      <c r="Y244" s="44">
        <v>0.038</v>
      </c>
      <c r="Z244" s="46">
        <v>0.105</v>
      </c>
      <c r="AA244" s="46">
        <v>0.049</v>
      </c>
      <c r="AB244" s="46">
        <f t="shared" si="119"/>
        <v>0.000450300200133422</v>
      </c>
      <c r="AC244" s="46">
        <v>0.06</v>
      </c>
      <c r="AD244" s="49"/>
      <c r="AF244" s="48" t="s">
        <v>102</v>
      </c>
      <c r="AG244" s="39">
        <f t="shared" si="111"/>
        <v>100.7328</v>
      </c>
      <c r="AH244" s="39">
        <f t="shared" si="112"/>
        <v>6</v>
      </c>
      <c r="AI244" s="39">
        <f t="shared" si="113"/>
        <v>21</v>
      </c>
      <c r="AJ244" s="39">
        <f t="shared" si="114"/>
        <v>100.7328</v>
      </c>
      <c r="AK244" s="39">
        <f t="shared" si="115"/>
        <v>89.94</v>
      </c>
      <c r="AL244" s="39">
        <f t="shared" si="116"/>
        <v>79.1472</v>
      </c>
      <c r="AM244" s="39">
        <f t="shared" si="117"/>
        <v>36</v>
      </c>
      <c r="AN244" s="39">
        <f t="shared" si="118"/>
        <v>18</v>
      </c>
    </row>
    <row r="245" ht="50" hidden="1" customHeight="1" spans="1:40">
      <c r="A245" s="39" t="s">
        <v>96</v>
      </c>
      <c r="B245" s="39" t="s">
        <v>103</v>
      </c>
      <c r="C245" s="37" t="str">
        <f>_xlfn.XLOOKUP(F245,'6月产品包'!B:B,'6月产品包'!H:H)</f>
        <v>便携式户外电源</v>
      </c>
      <c r="D245" s="38" t="str">
        <f>_xlfn.XLOOKUP(F245,'6月产品包'!B:B,'6月产品包'!O:O)</f>
        <v>家用储能电源S167型</v>
      </c>
      <c r="E245" s="60" t="s">
        <v>532</v>
      </c>
      <c r="F245" s="56" t="s">
        <v>533</v>
      </c>
      <c r="G245" s="39" t="e">
        <v>#N/A</v>
      </c>
      <c r="H245" s="39" t="s">
        <v>107</v>
      </c>
      <c r="I245" s="37" t="str">
        <f>_xlfn.XLOOKUP($F245,'6月库存'!A:A,'6月库存'!B:B)</f>
        <v>等待开发</v>
      </c>
      <c r="K245" s="39" t="e">
        <f>_xlfn.XLOOKUP(E245,'[1]6月分配 '!$B:$B,'[1]6月分配 '!$K:$K)</f>
        <v>#N/A</v>
      </c>
      <c r="L245" s="12" t="str">
        <f t="shared" si="106"/>
        <v>否</v>
      </c>
      <c r="M245" s="40" t="str">
        <f>_xlfn.XLOOKUP(F245,'6月产品包'!B:B,'6月产品包'!J:J)</f>
        <v>2026-03-30</v>
      </c>
      <c r="N245" s="39" t="str">
        <f ca="1" t="shared" si="102"/>
        <v>新品</v>
      </c>
      <c r="O245" s="37">
        <f>_xlfn.XLOOKUP(F245,'6月库存'!A:A,'6月库存'!R:R)</f>
        <v>0</v>
      </c>
      <c r="P245" s="39">
        <f>_xlfn.XLOOKUP(F245,'6月产品包'!B:B,'6月产品包'!S:S)</f>
        <v>3220</v>
      </c>
      <c r="Q245" s="56"/>
      <c r="R245" s="41">
        <f>_xlfn.XLOOKUP(F245,'6月产品包'!B:B,'6月产品包'!AD:AD)</f>
        <v>119.9978</v>
      </c>
      <c r="S245" s="39">
        <v>249</v>
      </c>
      <c r="T245" s="39">
        <f t="shared" si="107"/>
        <v>311</v>
      </c>
      <c r="U245" s="42">
        <f t="shared" si="110"/>
        <v>248.8</v>
      </c>
      <c r="V245" s="43">
        <v>0.2</v>
      </c>
      <c r="W245" s="44">
        <f t="shared" si="108"/>
        <v>0.517693729903537</v>
      </c>
      <c r="X245" s="44">
        <f t="shared" si="109"/>
        <v>0.353329122710204</v>
      </c>
      <c r="Y245" s="44">
        <v>0.038</v>
      </c>
      <c r="Z245" s="46">
        <v>0.105</v>
      </c>
      <c r="AA245" s="46">
        <v>0.049</v>
      </c>
      <c r="AB245" s="46">
        <f t="shared" si="119"/>
        <v>0.00217041800643087</v>
      </c>
      <c r="AC245" s="46">
        <v>0.06</v>
      </c>
      <c r="AD245" s="47"/>
      <c r="AF245" s="48" t="s">
        <v>102</v>
      </c>
      <c r="AG245" s="39">
        <f t="shared" si="111"/>
        <v>13.4352</v>
      </c>
      <c r="AH245" s="39">
        <f t="shared" si="112"/>
        <v>6</v>
      </c>
      <c r="AI245" s="39">
        <f t="shared" si="113"/>
        <v>13.4352</v>
      </c>
      <c r="AJ245" s="39">
        <f t="shared" si="114"/>
        <v>0</v>
      </c>
      <c r="AK245" s="39">
        <f t="shared" si="115"/>
        <v>0</v>
      </c>
      <c r="AL245" s="39">
        <f t="shared" si="116"/>
        <v>0</v>
      </c>
      <c r="AM245" s="39">
        <f t="shared" si="117"/>
        <v>0</v>
      </c>
      <c r="AN245" s="39">
        <f t="shared" si="118"/>
        <v>11.196</v>
      </c>
    </row>
    <row r="246" ht="50" hidden="1" customHeight="1" spans="1:40">
      <c r="A246" s="39" t="s">
        <v>96</v>
      </c>
      <c r="B246" s="39" t="s">
        <v>103</v>
      </c>
      <c r="C246" s="37" t="str">
        <f>_xlfn.XLOOKUP(F246,'6月产品包'!B:B,'6月产品包'!H:H)</f>
        <v>便携式户外电源</v>
      </c>
      <c r="D246" s="38" t="str">
        <f>_xlfn.XLOOKUP(F246,'6月产品包'!B:B,'6月产品包'!O:O)</f>
        <v>家用储能电源S192型</v>
      </c>
      <c r="E246" s="60" t="s">
        <v>534</v>
      </c>
      <c r="F246" s="56" t="s">
        <v>535</v>
      </c>
      <c r="G246" s="39" t="e">
        <v>#N/A</v>
      </c>
      <c r="H246" s="39" t="s">
        <v>107</v>
      </c>
      <c r="I246" s="37" t="str">
        <f>_xlfn.XLOOKUP($F246,'6月库存'!A:A,'6月库存'!B:B)</f>
        <v>等待开发</v>
      </c>
      <c r="K246" s="39" t="e">
        <f>_xlfn.XLOOKUP(E246,'[1]6月分配 '!$B:$B,'[1]6月分配 '!$K:$K)</f>
        <v>#N/A</v>
      </c>
      <c r="L246" s="12" t="str">
        <f t="shared" si="106"/>
        <v>否</v>
      </c>
      <c r="M246" s="40" t="str">
        <f>_xlfn.XLOOKUP(F246,'6月产品包'!B:B,'6月产品包'!J:J)</f>
        <v>2026-03-30</v>
      </c>
      <c r="N246" s="39" t="str">
        <f ca="1" t="shared" si="102"/>
        <v>新品</v>
      </c>
      <c r="O246" s="37">
        <f>_xlfn.XLOOKUP(F246,'6月库存'!A:A,'6月库存'!R:R)</f>
        <v>0</v>
      </c>
      <c r="P246" s="39">
        <f>_xlfn.XLOOKUP(F246,'6月产品包'!B:B,'6月产品包'!S:S)</f>
        <v>2963</v>
      </c>
      <c r="Q246" s="56"/>
      <c r="R246" s="41">
        <f>_xlfn.XLOOKUP(F246,'6月产品包'!B:B,'6月产品包'!AD:AD)</f>
        <v>144.7983</v>
      </c>
      <c r="S246" s="39">
        <v>299</v>
      </c>
      <c r="T246" s="39">
        <f t="shared" si="107"/>
        <v>374</v>
      </c>
      <c r="U246" s="42">
        <f t="shared" si="110"/>
        <v>299.2</v>
      </c>
      <c r="V246" s="43">
        <v>0.2</v>
      </c>
      <c r="W246" s="44">
        <f t="shared" si="108"/>
        <v>0.516048462566845</v>
      </c>
      <c r="X246" s="44">
        <f t="shared" si="109"/>
        <v>0.351441089735091</v>
      </c>
      <c r="Y246" s="44">
        <v>0.038</v>
      </c>
      <c r="Z246" s="46">
        <v>0.105</v>
      </c>
      <c r="AA246" s="46">
        <v>0.049</v>
      </c>
      <c r="AB246" s="46">
        <f t="shared" si="119"/>
        <v>0.0018048128342246</v>
      </c>
      <c r="AC246" s="46">
        <v>0.06</v>
      </c>
      <c r="AD246" s="47"/>
      <c r="AF246" s="48" t="s">
        <v>102</v>
      </c>
      <c r="AG246" s="39">
        <f t="shared" si="111"/>
        <v>16.1568</v>
      </c>
      <c r="AH246" s="39">
        <f t="shared" si="112"/>
        <v>6</v>
      </c>
      <c r="AI246" s="39">
        <f t="shared" si="113"/>
        <v>16.1568</v>
      </c>
      <c r="AJ246" s="39">
        <f t="shared" si="114"/>
        <v>0</v>
      </c>
      <c r="AK246" s="39">
        <f t="shared" si="115"/>
        <v>0</v>
      </c>
      <c r="AL246" s="39">
        <f t="shared" si="116"/>
        <v>0</v>
      </c>
      <c r="AM246" s="39">
        <f t="shared" si="117"/>
        <v>16.1568</v>
      </c>
      <c r="AN246" s="39">
        <f t="shared" si="118"/>
        <v>13.464</v>
      </c>
    </row>
    <row r="247" ht="50" hidden="1" customHeight="1" spans="1:40">
      <c r="A247" s="39" t="s">
        <v>96</v>
      </c>
      <c r="B247" s="39" t="s">
        <v>103</v>
      </c>
      <c r="C247" s="37" t="str">
        <f>_xlfn.XLOOKUP(F247,'6月产品包'!B:B,'6月产品包'!H:H)</f>
        <v>工具电源系统</v>
      </c>
      <c r="D247" s="38" t="str">
        <f>_xlfn.XLOOKUP(F247,'6月产品包'!B:B,'6月产品包'!O:O)</f>
        <v>家用储能电源S75型</v>
      </c>
      <c r="E247" s="60" t="s">
        <v>536</v>
      </c>
      <c r="F247" s="56" t="s">
        <v>537</v>
      </c>
      <c r="G247" s="39" t="e">
        <v>#N/A</v>
      </c>
      <c r="H247" s="39" t="s">
        <v>107</v>
      </c>
      <c r="I247" s="37" t="str">
        <f>_xlfn.XLOOKUP($F247,'6月库存'!A:A,'6月库存'!B:B)</f>
        <v>等待开发</v>
      </c>
      <c r="K247" s="39" t="e">
        <f>_xlfn.XLOOKUP(E247,'[1]6月分配 '!$B:$B,'[1]6月分配 '!$K:$K)</f>
        <v>#N/A</v>
      </c>
      <c r="L247" s="12" t="str">
        <f t="shared" si="106"/>
        <v>否</v>
      </c>
      <c r="M247" s="40" t="str">
        <f>_xlfn.XLOOKUP(F247,'6月产品包'!B:B,'6月产品包'!J:J)</f>
        <v>2026-03-30</v>
      </c>
      <c r="N247" s="39" t="str">
        <f ca="1" t="shared" si="102"/>
        <v>新品</v>
      </c>
      <c r="O247" s="37">
        <f>_xlfn.XLOOKUP(F247,'6月库存'!A:A,'6月库存'!R:R)</f>
        <v>0</v>
      </c>
      <c r="P247" s="39">
        <f>_xlfn.XLOOKUP(F247,'6月产品包'!B:B,'6月产品包'!S:S)</f>
        <v>1438</v>
      </c>
      <c r="Q247" s="56"/>
      <c r="R247" s="41">
        <f>_xlfn.XLOOKUP(F247,'6月产品包'!B:B,'6月产品包'!AD:AD)</f>
        <v>90.3211</v>
      </c>
      <c r="S247" s="39">
        <v>189</v>
      </c>
      <c r="T247" s="39">
        <f t="shared" si="107"/>
        <v>236</v>
      </c>
      <c r="U247" s="42">
        <f t="shared" si="110"/>
        <v>188.8</v>
      </c>
      <c r="V247" s="43">
        <v>0.2</v>
      </c>
      <c r="W247" s="44">
        <f t="shared" si="108"/>
        <v>0.521604343220339</v>
      </c>
      <c r="X247" s="44">
        <f t="shared" si="109"/>
        <v>0.357978681057474</v>
      </c>
      <c r="Y247" s="44">
        <v>0.038</v>
      </c>
      <c r="Z247" s="46">
        <v>0.105</v>
      </c>
      <c r="AA247" s="46">
        <v>0.049</v>
      </c>
      <c r="AB247" s="46">
        <f t="shared" si="119"/>
        <v>0.00286016949152542</v>
      </c>
      <c r="AC247" s="46">
        <v>0.06</v>
      </c>
      <c r="AD247" s="47"/>
      <c r="AF247" s="48" t="s">
        <v>102</v>
      </c>
      <c r="AG247" s="39">
        <f t="shared" si="111"/>
        <v>8.496</v>
      </c>
      <c r="AH247" s="39">
        <f t="shared" si="112"/>
        <v>6</v>
      </c>
      <c r="AI247" s="39">
        <f t="shared" si="113"/>
        <v>0</v>
      </c>
      <c r="AJ247" s="39">
        <f t="shared" si="114"/>
        <v>0</v>
      </c>
      <c r="AK247" s="39">
        <f t="shared" si="115"/>
        <v>0</v>
      </c>
      <c r="AL247" s="39">
        <f t="shared" si="116"/>
        <v>0</v>
      </c>
      <c r="AM247" s="39">
        <f t="shared" si="117"/>
        <v>0</v>
      </c>
      <c r="AN247" s="39">
        <f t="shared" si="118"/>
        <v>8.496</v>
      </c>
    </row>
    <row r="248" ht="50" hidden="1" customHeight="1" spans="1:40">
      <c r="A248" s="39" t="s">
        <v>96</v>
      </c>
      <c r="B248" s="39" t="s">
        <v>103</v>
      </c>
      <c r="C248" s="37" t="str">
        <f>_xlfn.XLOOKUP(F248,'6月产品包'!B:B,'6月产品包'!H:H)</f>
        <v>太阳能充电板</v>
      </c>
      <c r="D248" s="38" t="str">
        <f>_xlfn.XLOOKUP(F248,'6月产品包'!B:B,'6月产品包'!O:O)</f>
        <v>电源充电板</v>
      </c>
      <c r="E248" s="60" t="s">
        <v>258</v>
      </c>
      <c r="F248" s="56" t="s">
        <v>538</v>
      </c>
      <c r="G248" s="39" t="s">
        <v>106</v>
      </c>
      <c r="H248" s="39" t="s">
        <v>107</v>
      </c>
      <c r="I248" s="37" t="str">
        <f>_xlfn.XLOOKUP($F248,'6月库存'!A:A,'6月库存'!B:B)</f>
        <v>正常销售</v>
      </c>
      <c r="K248" s="39" t="e">
        <f>_xlfn.XLOOKUP(E248,'[1]6月分配 '!$B:$B,'[1]6月分配 '!$K:$K)</f>
        <v>#N/A</v>
      </c>
      <c r="L248" s="12" t="str">
        <f t="shared" si="106"/>
        <v>否</v>
      </c>
      <c r="M248" s="40" t="str">
        <f>_xlfn.XLOOKUP(F248,'6月产品包'!B:B,'6月产品包'!J:J)</f>
        <v>2026-03-30</v>
      </c>
      <c r="N248" s="39" t="str">
        <f ca="1" t="shared" si="102"/>
        <v>新品</v>
      </c>
      <c r="O248" s="37">
        <f>_xlfn.XLOOKUP(F248,'6月库存'!A:A,'6月库存'!R:R)</f>
        <v>0</v>
      </c>
      <c r="P248" s="39">
        <f>_xlfn.XLOOKUP(F248,'6月产品包'!B:B,'6月产品包'!S:S)</f>
        <v>845</v>
      </c>
      <c r="Q248" s="56"/>
      <c r="R248" s="41">
        <f>_xlfn.XLOOKUP(F248,'6月产品包'!B:B,'6月产品包'!AD:AD)</f>
        <v>14.3382</v>
      </c>
      <c r="S248" s="39">
        <v>30</v>
      </c>
      <c r="T248" s="39">
        <f t="shared" si="107"/>
        <v>38</v>
      </c>
      <c r="U248" s="42">
        <f t="shared" si="110"/>
        <v>30.4</v>
      </c>
      <c r="V248" s="43">
        <v>0.2</v>
      </c>
      <c r="W248" s="44">
        <f t="shared" si="108"/>
        <v>0.528348684210526</v>
      </c>
      <c r="X248" s="44">
        <f t="shared" si="109"/>
        <v>0.354111859886843</v>
      </c>
      <c r="Y248" s="44">
        <v>0.038</v>
      </c>
      <c r="Z248" s="46">
        <v>0.105</v>
      </c>
      <c r="AA248" s="46">
        <v>0.049</v>
      </c>
      <c r="AB248" s="46">
        <f t="shared" si="119"/>
        <v>0.0177631578947368</v>
      </c>
      <c r="AC248" s="46">
        <v>0.06</v>
      </c>
      <c r="AD248" s="47"/>
      <c r="AF248" s="48" t="s">
        <v>102</v>
      </c>
      <c r="AG248" s="39">
        <f t="shared" si="111"/>
        <v>0</v>
      </c>
      <c r="AH248" s="39">
        <f t="shared" si="112"/>
        <v>0</v>
      </c>
      <c r="AI248" s="39">
        <f t="shared" si="113"/>
        <v>0</v>
      </c>
      <c r="AJ248" s="39">
        <f t="shared" si="114"/>
        <v>0</v>
      </c>
      <c r="AK248" s="39">
        <f t="shared" si="115"/>
        <v>0</v>
      </c>
      <c r="AL248" s="39">
        <f t="shared" si="116"/>
        <v>0</v>
      </c>
      <c r="AM248" s="39">
        <f t="shared" si="117"/>
        <v>0</v>
      </c>
      <c r="AN248" s="39">
        <f t="shared" si="118"/>
        <v>0</v>
      </c>
    </row>
    <row r="249" ht="50" hidden="1" customHeight="1" spans="1:40">
      <c r="A249" s="39" t="s">
        <v>96</v>
      </c>
      <c r="B249" s="39" t="s">
        <v>103</v>
      </c>
      <c r="C249" s="37" t="str">
        <f>_xlfn.XLOOKUP(F249,'6月产品包'!B:B,'6月产品包'!H:H)</f>
        <v>太阳能充电板</v>
      </c>
      <c r="D249" s="38" t="str">
        <f>_xlfn.XLOOKUP(F249,'6月产品包'!B:B,'6月产品包'!O:O)</f>
        <v>光伏板一体层压2折10W</v>
      </c>
      <c r="E249" s="60" t="s">
        <v>539</v>
      </c>
      <c r="F249" s="56" t="s">
        <v>540</v>
      </c>
      <c r="G249" s="39" t="e">
        <v>#N/A</v>
      </c>
      <c r="H249" s="39" t="s">
        <v>107</v>
      </c>
      <c r="I249" s="37" t="str">
        <f>_xlfn.XLOOKUP($F249,'6月库存'!A:A,'6月库存'!B:B)</f>
        <v>正常销售</v>
      </c>
      <c r="K249" s="39" t="e">
        <f>_xlfn.XLOOKUP(E249,'[1]6月分配 '!$B:$B,'[1]6月分配 '!$K:$K)</f>
        <v>#N/A</v>
      </c>
      <c r="L249" s="12" t="str">
        <f t="shared" si="106"/>
        <v>否</v>
      </c>
      <c r="M249" s="40" t="str">
        <f>_xlfn.XLOOKUP(F249,'6月产品包'!B:B,'6月产品包'!J:J)</f>
        <v>2026-03-30</v>
      </c>
      <c r="N249" s="39" t="str">
        <f ca="1" t="shared" si="102"/>
        <v>新品</v>
      </c>
      <c r="O249" s="37">
        <f>_xlfn.XLOOKUP(F249,'6月库存'!A:A,'6月库存'!R:R)</f>
        <v>0</v>
      </c>
      <c r="P249" s="39">
        <f>_xlfn.XLOOKUP(F249,'6月产品包'!B:B,'6月产品包'!S:S)</f>
        <v>260</v>
      </c>
      <c r="Q249" s="56"/>
      <c r="R249" s="41">
        <f>_xlfn.XLOOKUP(F249,'6月产品包'!B:B,'6月产品包'!AD:AD)</f>
        <v>29.9957</v>
      </c>
      <c r="S249" s="39">
        <v>58</v>
      </c>
      <c r="T249" s="39">
        <f t="shared" si="107"/>
        <v>73</v>
      </c>
      <c r="U249" s="42">
        <f t="shared" si="110"/>
        <v>58.4</v>
      </c>
      <c r="V249" s="43">
        <v>0.2</v>
      </c>
      <c r="W249" s="44">
        <f t="shared" si="108"/>
        <v>0.486375</v>
      </c>
      <c r="X249" s="44">
        <f t="shared" si="109"/>
        <v>0.304740955701014</v>
      </c>
      <c r="Y249" s="44">
        <v>0.038</v>
      </c>
      <c r="Z249" s="46">
        <v>0.105</v>
      </c>
      <c r="AA249" s="46">
        <v>0.049</v>
      </c>
      <c r="AB249" s="46">
        <f t="shared" si="119"/>
        <v>0.00924657534246575</v>
      </c>
      <c r="AC249" s="46">
        <v>0.06</v>
      </c>
      <c r="AD249" s="47"/>
      <c r="AF249" s="48" t="s">
        <v>102</v>
      </c>
      <c r="AG249" s="39">
        <f t="shared" si="111"/>
        <v>3.504</v>
      </c>
      <c r="AH249" s="39">
        <f t="shared" si="112"/>
        <v>3.504</v>
      </c>
      <c r="AI249" s="39">
        <f t="shared" si="113"/>
        <v>0</v>
      </c>
      <c r="AJ249" s="39">
        <f t="shared" si="114"/>
        <v>0</v>
      </c>
      <c r="AK249" s="39">
        <f t="shared" si="115"/>
        <v>0</v>
      </c>
      <c r="AL249" s="39">
        <f t="shared" si="116"/>
        <v>0</v>
      </c>
      <c r="AM249" s="39">
        <f t="shared" si="117"/>
        <v>0</v>
      </c>
      <c r="AN249" s="39">
        <f t="shared" si="118"/>
        <v>0</v>
      </c>
    </row>
    <row r="250" ht="50" hidden="1" customHeight="1" spans="1:40">
      <c r="A250" s="39" t="s">
        <v>96</v>
      </c>
      <c r="B250" s="39" t="s">
        <v>103</v>
      </c>
      <c r="C250" s="37" t="str">
        <f>_xlfn.XLOOKUP(F250,'6月产品包'!B:B,'6月产品包'!H:H)</f>
        <v>太阳能充电板</v>
      </c>
      <c r="D250" s="38" t="str">
        <f>_xlfn.XLOOKUP(F250,'6月产品包'!B:B,'6月产品包'!O:O)</f>
        <v>光伏板一体层压3折30W</v>
      </c>
      <c r="E250" s="60" t="s">
        <v>541</v>
      </c>
      <c r="F250" s="56" t="s">
        <v>542</v>
      </c>
      <c r="G250" s="39" t="e">
        <v>#N/A</v>
      </c>
      <c r="H250" s="39" t="s">
        <v>107</v>
      </c>
      <c r="I250" s="37" t="str">
        <f>_xlfn.XLOOKUP($F250,'6月库存'!A:A,'6月库存'!B:B)</f>
        <v>正常销售</v>
      </c>
      <c r="K250" s="39" t="e">
        <f>_xlfn.XLOOKUP(E250,'[1]6月分配 '!$B:$B,'[1]6月分配 '!$K:$K)</f>
        <v>#N/A</v>
      </c>
      <c r="L250" s="12" t="str">
        <f t="shared" si="106"/>
        <v>否</v>
      </c>
      <c r="M250" s="40" t="str">
        <f>_xlfn.XLOOKUP(F250,'6月产品包'!B:B,'6月产品包'!J:J)</f>
        <v>2026-03-30</v>
      </c>
      <c r="N250" s="39" t="str">
        <f ca="1" t="shared" ref="N250:N305" si="120">IF(DATEDIF(M250,TODAY(),"m")&lt;6,"新品","老品")</f>
        <v>新品</v>
      </c>
      <c r="O250" s="37">
        <f>_xlfn.XLOOKUP(F250,'6月库存'!A:A,'6月库存'!R:R)</f>
        <v>0</v>
      </c>
      <c r="P250" s="39">
        <f>_xlfn.XLOOKUP(F250,'6月产品包'!B:B,'6月产品包'!S:S)</f>
        <v>800</v>
      </c>
      <c r="Q250" s="56"/>
      <c r="R250" s="41">
        <f>_xlfn.XLOOKUP(F250,'6月产品包'!B:B,'6月产品包'!AD:AD)</f>
        <v>48.5135</v>
      </c>
      <c r="S250" s="39">
        <v>99</v>
      </c>
      <c r="T250" s="39">
        <f t="shared" si="107"/>
        <v>124</v>
      </c>
      <c r="U250" s="42">
        <f t="shared" si="110"/>
        <v>99.2</v>
      </c>
      <c r="V250" s="43">
        <v>0.2</v>
      </c>
      <c r="W250" s="44">
        <f t="shared" si="108"/>
        <v>0.510952620967742</v>
      </c>
      <c r="X250" s="44">
        <f t="shared" si="109"/>
        <v>0.341400404009687</v>
      </c>
      <c r="Y250" s="44">
        <v>0.038</v>
      </c>
      <c r="Z250" s="46">
        <v>0.105</v>
      </c>
      <c r="AA250" s="46">
        <v>0.049</v>
      </c>
      <c r="AB250" s="46">
        <f t="shared" si="119"/>
        <v>0.00544354838709677</v>
      </c>
      <c r="AC250" s="46">
        <v>0.06</v>
      </c>
      <c r="AD250" s="47"/>
      <c r="AF250" s="48" t="s">
        <v>102</v>
      </c>
      <c r="AG250" s="39">
        <f t="shared" si="111"/>
        <v>5.952</v>
      </c>
      <c r="AH250" s="39">
        <f t="shared" si="112"/>
        <v>5.952</v>
      </c>
      <c r="AI250" s="39">
        <f t="shared" si="113"/>
        <v>0</v>
      </c>
      <c r="AJ250" s="39">
        <f t="shared" si="114"/>
        <v>0</v>
      </c>
      <c r="AK250" s="39">
        <f t="shared" si="115"/>
        <v>0</v>
      </c>
      <c r="AL250" s="39">
        <f t="shared" si="116"/>
        <v>0</v>
      </c>
      <c r="AM250" s="39">
        <f t="shared" si="117"/>
        <v>0</v>
      </c>
      <c r="AN250" s="39">
        <f t="shared" si="118"/>
        <v>0</v>
      </c>
    </row>
    <row r="251" ht="50" hidden="1" customHeight="1" spans="1:40">
      <c r="A251" s="39" t="s">
        <v>96</v>
      </c>
      <c r="B251" s="39" t="s">
        <v>103</v>
      </c>
      <c r="C251" s="37" t="str">
        <f>_xlfn.XLOOKUP(F251,'6月产品包'!B:B,'6月产品包'!H:H)</f>
        <v>太阳能充电板</v>
      </c>
      <c r="D251" s="38" t="str">
        <f>_xlfn.XLOOKUP(F251,'6月产品包'!B:B,'6月产品包'!O:O)</f>
        <v>光伏板车缝3折21W</v>
      </c>
      <c r="E251" s="60" t="s">
        <v>543</v>
      </c>
      <c r="F251" s="56" t="s">
        <v>544</v>
      </c>
      <c r="G251" s="39" t="e">
        <v>#N/A</v>
      </c>
      <c r="H251" s="39" t="s">
        <v>107</v>
      </c>
      <c r="I251" s="37" t="str">
        <f>_xlfn.XLOOKUP($F251,'6月库存'!A:A,'6月库存'!B:B)</f>
        <v>等待开发</v>
      </c>
      <c r="K251" s="39" t="e">
        <f>_xlfn.XLOOKUP(E251,'[1]6月分配 '!$B:$B,'[1]6月分配 '!$K:$K)</f>
        <v>#N/A</v>
      </c>
      <c r="L251" s="12" t="str">
        <f t="shared" si="106"/>
        <v>否</v>
      </c>
      <c r="M251" s="40" t="str">
        <f>_xlfn.XLOOKUP(F251,'6月产品包'!B:B,'6月产品包'!J:J)</f>
        <v>2026-03-30</v>
      </c>
      <c r="N251" s="39" t="str">
        <f ca="1" t="shared" si="120"/>
        <v>新品</v>
      </c>
      <c r="O251" s="37">
        <f>_xlfn.XLOOKUP(F251,'6月库存'!A:A,'6月库存'!R:R)</f>
        <v>0</v>
      </c>
      <c r="P251" s="39">
        <f>_xlfn.XLOOKUP(F251,'6月产品包'!B:B,'6月产品包'!S:S)</f>
        <v>660</v>
      </c>
      <c r="Q251" s="56"/>
      <c r="R251" s="41">
        <f>_xlfn.XLOOKUP(F251,'6月产品包'!B:B,'6月产品包'!AD:AD)</f>
        <v>60.2268</v>
      </c>
      <c r="S251" s="39">
        <v>120</v>
      </c>
      <c r="T251" s="39">
        <f t="shared" si="107"/>
        <v>150</v>
      </c>
      <c r="U251" s="42">
        <f t="shared" si="110"/>
        <v>120</v>
      </c>
      <c r="V251" s="43">
        <v>0.2</v>
      </c>
      <c r="W251" s="44">
        <f t="shared" si="108"/>
        <v>0.49811</v>
      </c>
      <c r="X251" s="44">
        <f t="shared" si="109"/>
        <v>0.324963012777404</v>
      </c>
      <c r="Y251" s="44">
        <v>0.038</v>
      </c>
      <c r="Z251" s="46">
        <v>0.105</v>
      </c>
      <c r="AA251" s="46">
        <v>0.049</v>
      </c>
      <c r="AB251" s="46">
        <f t="shared" si="119"/>
        <v>0.0045</v>
      </c>
      <c r="AC251" s="46">
        <v>0.06</v>
      </c>
      <c r="AD251" s="47"/>
      <c r="AF251" s="48" t="s">
        <v>102</v>
      </c>
      <c r="AG251" s="39">
        <f t="shared" si="111"/>
        <v>6</v>
      </c>
      <c r="AH251" s="39">
        <f t="shared" si="112"/>
        <v>6</v>
      </c>
      <c r="AI251" s="39">
        <f t="shared" si="113"/>
        <v>0</v>
      </c>
      <c r="AJ251" s="39">
        <f t="shared" si="114"/>
        <v>0</v>
      </c>
      <c r="AK251" s="39">
        <f t="shared" si="115"/>
        <v>0</v>
      </c>
      <c r="AL251" s="39">
        <f t="shared" si="116"/>
        <v>0</v>
      </c>
      <c r="AM251" s="39">
        <f t="shared" si="117"/>
        <v>0</v>
      </c>
      <c r="AN251" s="39">
        <f t="shared" si="118"/>
        <v>0</v>
      </c>
    </row>
    <row r="252" ht="50" hidden="1" customHeight="1" spans="1:40">
      <c r="A252" s="39" t="s">
        <v>96</v>
      </c>
      <c r="B252" s="39" t="s">
        <v>103</v>
      </c>
      <c r="C252" s="37" t="str">
        <f>_xlfn.XLOOKUP(F252,'6月产品包'!B:B,'6月产品包'!H:H)</f>
        <v>太阳能充电板</v>
      </c>
      <c r="D252" s="38" t="str">
        <f>_xlfn.XLOOKUP(F252,'6月产品包'!B:B,'6月产品包'!O:O)</f>
        <v>光伏板一体层压8折25W</v>
      </c>
      <c r="E252" s="60" t="s">
        <v>545</v>
      </c>
      <c r="F252" s="56" t="s">
        <v>546</v>
      </c>
      <c r="G252" s="39" t="e">
        <v>#N/A</v>
      </c>
      <c r="H252" s="39" t="s">
        <v>107</v>
      </c>
      <c r="I252" s="37" t="str">
        <f>_xlfn.XLOOKUP($F252,'6月库存'!A:A,'6月库存'!B:B)</f>
        <v>正常销售</v>
      </c>
      <c r="K252" s="39" t="e">
        <f>_xlfn.XLOOKUP(E252,'[1]6月分配 '!$B:$B,'[1]6月分配 '!$K:$K)</f>
        <v>#N/A</v>
      </c>
      <c r="L252" s="12" t="str">
        <f t="shared" si="106"/>
        <v>否</v>
      </c>
      <c r="M252" s="40" t="str">
        <f>_xlfn.XLOOKUP(F252,'6月产品包'!B:B,'6月产品包'!J:J)</f>
        <v>2026-03-30</v>
      </c>
      <c r="N252" s="39" t="str">
        <f ca="1" t="shared" si="120"/>
        <v>新品</v>
      </c>
      <c r="O252" s="37">
        <f>_xlfn.XLOOKUP(F252,'6月库存'!A:A,'6月库存'!R:R)</f>
        <v>0</v>
      </c>
      <c r="P252" s="39">
        <f>_xlfn.XLOOKUP(F252,'6月产品包'!B:B,'6月产品包'!S:S)</f>
        <v>560</v>
      </c>
      <c r="Q252" s="56"/>
      <c r="R252" s="41">
        <f>_xlfn.XLOOKUP(F252,'6月产品包'!B:B,'6月产品包'!AD:AD)</f>
        <v>55.5725</v>
      </c>
      <c r="S252" s="39">
        <v>110</v>
      </c>
      <c r="T252" s="39">
        <f t="shared" si="107"/>
        <v>138</v>
      </c>
      <c r="U252" s="42">
        <f t="shared" si="110"/>
        <v>110.4</v>
      </c>
      <c r="V252" s="43">
        <v>0.2</v>
      </c>
      <c r="W252" s="44">
        <f t="shared" si="108"/>
        <v>0.496625905797101</v>
      </c>
      <c r="X252" s="44">
        <f t="shared" si="109"/>
        <v>0.322610410632966</v>
      </c>
      <c r="Y252" s="44">
        <v>0.038</v>
      </c>
      <c r="Z252" s="46">
        <v>0.105</v>
      </c>
      <c r="AA252" s="46">
        <v>0.049</v>
      </c>
      <c r="AB252" s="46">
        <f t="shared" si="119"/>
        <v>0.00489130434782609</v>
      </c>
      <c r="AC252" s="46">
        <v>0.06</v>
      </c>
      <c r="AD252" s="47"/>
      <c r="AF252" s="48" t="s">
        <v>102</v>
      </c>
      <c r="AG252" s="39">
        <f t="shared" si="111"/>
        <v>6</v>
      </c>
      <c r="AH252" s="39">
        <f t="shared" si="112"/>
        <v>6</v>
      </c>
      <c r="AI252" s="39">
        <f t="shared" si="113"/>
        <v>0</v>
      </c>
      <c r="AJ252" s="39">
        <f t="shared" si="114"/>
        <v>0</v>
      </c>
      <c r="AK252" s="39">
        <f t="shared" si="115"/>
        <v>0</v>
      </c>
      <c r="AL252" s="39">
        <f t="shared" si="116"/>
        <v>0</v>
      </c>
      <c r="AM252" s="39">
        <f t="shared" si="117"/>
        <v>0</v>
      </c>
      <c r="AN252" s="39">
        <f t="shared" si="118"/>
        <v>0</v>
      </c>
    </row>
    <row r="253" ht="50" hidden="1" customHeight="1" spans="1:40">
      <c r="A253" s="39" t="s">
        <v>96</v>
      </c>
      <c r="B253" s="39" t="s">
        <v>103</v>
      </c>
      <c r="C253" s="37" t="str">
        <f>_xlfn.XLOOKUP(F253,'6月产品包'!B:B,'6月产品包'!H:H)</f>
        <v>太阳能充电板</v>
      </c>
      <c r="D253" s="38" t="str">
        <f>_xlfn.XLOOKUP(F253,'6月产品包'!B:B,'6月产品包'!O:O)</f>
        <v>光伏板太阳能单面发电板12W</v>
      </c>
      <c r="E253" s="60" t="s">
        <v>547</v>
      </c>
      <c r="F253" s="56" t="s">
        <v>548</v>
      </c>
      <c r="G253" s="39" t="e">
        <v>#N/A</v>
      </c>
      <c r="H253" s="39" t="s">
        <v>107</v>
      </c>
      <c r="I253" s="37" t="str">
        <f>_xlfn.XLOOKUP($F253,'6月库存'!A:A,'6月库存'!B:B)</f>
        <v>正常销售</v>
      </c>
      <c r="K253" s="39" t="e">
        <f>_xlfn.XLOOKUP(E253,'[1]6月分配 '!$B:$B,'[1]6月分配 '!$K:$K)</f>
        <v>#N/A</v>
      </c>
      <c r="L253" s="12" t="str">
        <f t="shared" si="106"/>
        <v>否</v>
      </c>
      <c r="M253" s="40" t="str">
        <f>_xlfn.XLOOKUP(F253,'6月产品包'!B:B,'6月产品包'!J:J)</f>
        <v>2026-03-30</v>
      </c>
      <c r="N253" s="39" t="str">
        <f ca="1" t="shared" si="120"/>
        <v>新品</v>
      </c>
      <c r="O253" s="37">
        <f>_xlfn.XLOOKUP(F253,'6月库存'!A:A,'6月库存'!R:R)</f>
        <v>0</v>
      </c>
      <c r="P253" s="39">
        <f>_xlfn.XLOOKUP(F253,'6月产品包'!B:B,'6月产品包'!S:S)</f>
        <v>150</v>
      </c>
      <c r="Q253" s="56"/>
      <c r="R253" s="41">
        <f>_xlfn.XLOOKUP(F253,'6月产品包'!B:B,'6月产品包'!AD:AD)</f>
        <v>21.6118</v>
      </c>
      <c r="S253" s="39">
        <v>45</v>
      </c>
      <c r="T253" s="39">
        <f t="shared" si="107"/>
        <v>56</v>
      </c>
      <c r="U253" s="42">
        <f t="shared" si="110"/>
        <v>44.8</v>
      </c>
      <c r="V253" s="43">
        <v>0.2</v>
      </c>
      <c r="W253" s="44">
        <f t="shared" si="108"/>
        <v>0.51759375</v>
      </c>
      <c r="X253" s="44">
        <f t="shared" si="109"/>
        <v>0.344509014146022</v>
      </c>
      <c r="Y253" s="44">
        <v>0.038</v>
      </c>
      <c r="Z253" s="46">
        <v>0.105</v>
      </c>
      <c r="AA253" s="46">
        <v>0.049</v>
      </c>
      <c r="AB253" s="46">
        <f t="shared" si="119"/>
        <v>0.0120535714285714</v>
      </c>
      <c r="AC253" s="46">
        <v>0.06</v>
      </c>
      <c r="AD253" s="47"/>
      <c r="AF253" s="48" t="s">
        <v>102</v>
      </c>
      <c r="AG253" s="39">
        <f t="shared" si="111"/>
        <v>0</v>
      </c>
      <c r="AH253" s="39">
        <f t="shared" si="112"/>
        <v>0</v>
      </c>
      <c r="AI253" s="39">
        <f t="shared" si="113"/>
        <v>0</v>
      </c>
      <c r="AJ253" s="39">
        <f t="shared" si="114"/>
        <v>0</v>
      </c>
      <c r="AK253" s="39">
        <f t="shared" si="115"/>
        <v>0</v>
      </c>
      <c r="AL253" s="39">
        <f t="shared" si="116"/>
        <v>0</v>
      </c>
      <c r="AM253" s="39">
        <f t="shared" si="117"/>
        <v>0</v>
      </c>
      <c r="AN253" s="39">
        <f t="shared" si="118"/>
        <v>0</v>
      </c>
    </row>
    <row r="254" ht="50" hidden="1" customHeight="1" spans="1:40">
      <c r="A254" s="39" t="s">
        <v>96</v>
      </c>
      <c r="B254" s="39" t="s">
        <v>103</v>
      </c>
      <c r="C254" s="37" t="str">
        <f>_xlfn.XLOOKUP(F254,'6月产品包'!B:B,'6月产品包'!H:H)</f>
        <v>太阳能充电板</v>
      </c>
      <c r="D254" s="38" t="str">
        <f>_xlfn.XLOOKUP(F254,'6月产品包'!B:B,'6月产品包'!O:O)</f>
        <v>光伏板轻量化车缝2折100W</v>
      </c>
      <c r="E254" s="60" t="s">
        <v>549</v>
      </c>
      <c r="F254" s="56" t="s">
        <v>550</v>
      </c>
      <c r="G254" s="39" t="e">
        <v>#N/A</v>
      </c>
      <c r="H254" s="39" t="s">
        <v>107</v>
      </c>
      <c r="I254" s="37" t="str">
        <f>_xlfn.XLOOKUP($F254,'6月库存'!A:A,'6月库存'!B:B)</f>
        <v>正常销售</v>
      </c>
      <c r="K254" s="39" t="e">
        <f>_xlfn.XLOOKUP(E254,'[1]6月分配 '!$B:$B,'[1]6月分配 '!$K:$K)</f>
        <v>#N/A</v>
      </c>
      <c r="L254" s="12" t="str">
        <f t="shared" si="106"/>
        <v>否</v>
      </c>
      <c r="M254" s="40" t="str">
        <f>_xlfn.XLOOKUP(F254,'6月产品包'!B:B,'6月产品包'!J:J)</f>
        <v>2026-03-30</v>
      </c>
      <c r="N254" s="39" t="str">
        <f ca="1" t="shared" si="120"/>
        <v>新品</v>
      </c>
      <c r="O254" s="37">
        <f>_xlfn.XLOOKUP(F254,'6月库存'!A:A,'6月库存'!R:R)</f>
        <v>0</v>
      </c>
      <c r="P254" s="39">
        <f>_xlfn.XLOOKUP(F254,'6月产品包'!B:B,'6月产品包'!S:S)</f>
        <v>3195</v>
      </c>
      <c r="Q254" s="56"/>
      <c r="R254" s="41">
        <f>_xlfn.XLOOKUP(F254,'6月产品包'!B:B,'6月产品包'!AD:AD)</f>
        <v>201.4193</v>
      </c>
      <c r="S254" s="39">
        <v>415</v>
      </c>
      <c r="T254" s="39">
        <f t="shared" si="107"/>
        <v>519</v>
      </c>
      <c r="U254" s="42">
        <f t="shared" si="110"/>
        <v>415.2</v>
      </c>
      <c r="V254" s="43">
        <v>0.2</v>
      </c>
      <c r="W254" s="44">
        <f t="shared" si="108"/>
        <v>0.514886078998073</v>
      </c>
      <c r="X254" s="44">
        <f t="shared" si="109"/>
        <v>0.350322356316945</v>
      </c>
      <c r="Y254" s="44">
        <v>0.038</v>
      </c>
      <c r="Z254" s="46">
        <v>0.105</v>
      </c>
      <c r="AA254" s="46">
        <v>0.049</v>
      </c>
      <c r="AB254" s="46">
        <f t="shared" si="119"/>
        <v>0.00130057803468208</v>
      </c>
      <c r="AC254" s="46">
        <v>0.06</v>
      </c>
      <c r="AD254" s="49"/>
      <c r="AF254" s="48" t="s">
        <v>102</v>
      </c>
      <c r="AG254" s="39">
        <f t="shared" si="111"/>
        <v>34.8768</v>
      </c>
      <c r="AH254" s="39">
        <f t="shared" si="112"/>
        <v>6</v>
      </c>
      <c r="AI254" s="39">
        <f t="shared" si="113"/>
        <v>21</v>
      </c>
      <c r="AJ254" s="39">
        <f t="shared" si="114"/>
        <v>34.8768</v>
      </c>
      <c r="AK254" s="39">
        <f t="shared" si="115"/>
        <v>31.14</v>
      </c>
      <c r="AL254" s="39">
        <f t="shared" si="116"/>
        <v>27.4032</v>
      </c>
      <c r="AM254" s="39">
        <f t="shared" si="117"/>
        <v>22.4208</v>
      </c>
      <c r="AN254" s="39">
        <f t="shared" si="118"/>
        <v>18</v>
      </c>
    </row>
    <row r="255" ht="50" hidden="1" customHeight="1" spans="1:40">
      <c r="A255" s="39" t="s">
        <v>96</v>
      </c>
      <c r="B255" s="39" t="s">
        <v>103</v>
      </c>
      <c r="C255" s="37" t="str">
        <f>_xlfn.XLOOKUP(F255,'6月产品包'!B:B,'6月产品包'!H:H)</f>
        <v>太阳能充电板</v>
      </c>
      <c r="D255" s="38" t="str">
        <f>_xlfn.XLOOKUP(F255,'6月产品包'!B:B,'6月产品包'!O:O)</f>
        <v>光伏板轻量化车缝4折200W</v>
      </c>
      <c r="E255" s="60" t="s">
        <v>551</v>
      </c>
      <c r="F255" s="56" t="s">
        <v>552</v>
      </c>
      <c r="G255" s="39" t="e">
        <v>#N/A</v>
      </c>
      <c r="H255" s="39" t="s">
        <v>107</v>
      </c>
      <c r="I255" s="37" t="str">
        <f>_xlfn.XLOOKUP($F255,'6月库存'!A:A,'6月库存'!B:B)</f>
        <v>正常销售</v>
      </c>
      <c r="K255" s="39" t="e">
        <f>_xlfn.XLOOKUP(E255,'[1]6月分配 '!$B:$B,'[1]6月分配 '!$K:$K)</f>
        <v>#N/A</v>
      </c>
      <c r="L255" s="12" t="str">
        <f t="shared" si="106"/>
        <v>否</v>
      </c>
      <c r="M255" s="40" t="str">
        <f>_xlfn.XLOOKUP(F255,'6月产品包'!B:B,'6月产品包'!J:J)</f>
        <v>2026-03-30</v>
      </c>
      <c r="N255" s="39" t="str">
        <f ca="1" t="shared" si="120"/>
        <v>新品</v>
      </c>
      <c r="O255" s="37">
        <f>_xlfn.XLOOKUP(F255,'6月库存'!A:A,'6月库存'!R:R)</f>
        <v>0</v>
      </c>
      <c r="P255" s="39">
        <f>_xlfn.XLOOKUP(F255,'6月产品包'!B:B,'6月产品包'!S:S)</f>
        <v>5035</v>
      </c>
      <c r="Q255" s="56"/>
      <c r="R255" s="41">
        <f>_xlfn.XLOOKUP(F255,'6月产品包'!B:B,'6月产品包'!AD:AD)</f>
        <v>342.1393</v>
      </c>
      <c r="S255" s="39">
        <v>669</v>
      </c>
      <c r="T255" s="39">
        <f t="shared" si="107"/>
        <v>836</v>
      </c>
      <c r="U255" s="42">
        <f t="shared" si="110"/>
        <v>668.8</v>
      </c>
      <c r="V255" s="43">
        <v>0.2</v>
      </c>
      <c r="W255" s="44">
        <f t="shared" si="108"/>
        <v>0.488428080143541</v>
      </c>
      <c r="X255" s="44">
        <f t="shared" si="109"/>
        <v>0.315341277477255</v>
      </c>
      <c r="Y255" s="44">
        <v>0.038</v>
      </c>
      <c r="Z255" s="46">
        <v>0.105</v>
      </c>
      <c r="AA255" s="46">
        <v>0.049</v>
      </c>
      <c r="AB255" s="46">
        <f t="shared" si="119"/>
        <v>0.000807416267942584</v>
      </c>
      <c r="AC255" s="46">
        <v>0.06</v>
      </c>
      <c r="AD255" s="49"/>
      <c r="AF255" s="48" t="s">
        <v>102</v>
      </c>
      <c r="AG255" s="39">
        <f t="shared" si="111"/>
        <v>56.1792</v>
      </c>
      <c r="AH255" s="39">
        <f t="shared" si="112"/>
        <v>6</v>
      </c>
      <c r="AI255" s="39">
        <f t="shared" si="113"/>
        <v>21</v>
      </c>
      <c r="AJ255" s="39">
        <f t="shared" si="114"/>
        <v>56.1792</v>
      </c>
      <c r="AK255" s="39">
        <f t="shared" si="115"/>
        <v>50.16</v>
      </c>
      <c r="AL255" s="39">
        <f t="shared" si="116"/>
        <v>44.1408</v>
      </c>
      <c r="AM255" s="39">
        <f t="shared" si="117"/>
        <v>36</v>
      </c>
      <c r="AN255" s="39">
        <f t="shared" si="118"/>
        <v>18</v>
      </c>
    </row>
    <row r="256" ht="50" hidden="1" customHeight="1" spans="1:40">
      <c r="A256" s="39" t="s">
        <v>96</v>
      </c>
      <c r="B256" s="39" t="s">
        <v>103</v>
      </c>
      <c r="C256" s="37" t="str">
        <f>_xlfn.XLOOKUP(F256,'6月产品包'!B:B,'6月产品包'!H:H)</f>
        <v>锂离子蓄电池</v>
      </c>
      <c r="D256" s="38" t="str">
        <f>_xlfn.XLOOKUP(F256,'6月产品包'!B:B,'6月产品包'!O:O)</f>
        <v>锂离子蓄电池12V30AH</v>
      </c>
      <c r="E256" s="60" t="s">
        <v>553</v>
      </c>
      <c r="F256" s="56" t="s">
        <v>554</v>
      </c>
      <c r="G256" s="39" t="e">
        <v>#N/A</v>
      </c>
      <c r="H256" s="39" t="s">
        <v>107</v>
      </c>
      <c r="I256" s="37" t="str">
        <f>_xlfn.XLOOKUP($F256,'6月库存'!A:A,'6月库存'!B:B)</f>
        <v>等待开发</v>
      </c>
      <c r="K256" s="39" t="e">
        <f>_xlfn.XLOOKUP(E256,'[1]6月分配 '!$B:$B,'[1]6月分配 '!$K:$K)</f>
        <v>#N/A</v>
      </c>
      <c r="L256" s="12" t="str">
        <f t="shared" si="106"/>
        <v>否</v>
      </c>
      <c r="M256" s="40" t="str">
        <f>_xlfn.XLOOKUP(F256,'6月产品包'!B:B,'6月产品包'!J:J)</f>
        <v>2026-03-30</v>
      </c>
      <c r="N256" s="39" t="str">
        <f ca="1" t="shared" si="120"/>
        <v>新品</v>
      </c>
      <c r="O256" s="37">
        <f>_xlfn.XLOOKUP(F256,'6月库存'!A:A,'6月库存'!R:R)</f>
        <v>0</v>
      </c>
      <c r="P256" s="39">
        <f>_xlfn.XLOOKUP(F256,'6月产品包'!B:B,'6月产品包'!S:S)</f>
        <v>3110</v>
      </c>
      <c r="Q256" s="56"/>
      <c r="R256" s="41">
        <f>_xlfn.XLOOKUP(F256,'6月产品包'!B:B,'6月产品包'!AD:AD)</f>
        <v>136.8739</v>
      </c>
      <c r="S256" s="39">
        <v>269</v>
      </c>
      <c r="T256" s="39">
        <f t="shared" si="107"/>
        <v>336</v>
      </c>
      <c r="U256" s="42">
        <f t="shared" si="110"/>
        <v>268.8</v>
      </c>
      <c r="V256" s="43">
        <v>0.2</v>
      </c>
      <c r="W256" s="44">
        <f t="shared" si="108"/>
        <v>0.490796502976191</v>
      </c>
      <c r="X256" s="44">
        <f t="shared" si="109"/>
        <v>0.317413416156998</v>
      </c>
      <c r="Y256" s="44">
        <v>0.038</v>
      </c>
      <c r="Z256" s="46">
        <v>0.105</v>
      </c>
      <c r="AA256" s="46">
        <v>0.049</v>
      </c>
      <c r="AB256" s="46">
        <f t="shared" si="119"/>
        <v>0.00200892857142857</v>
      </c>
      <c r="AC256" s="46">
        <v>0.06</v>
      </c>
      <c r="AD256" s="47"/>
      <c r="AF256" s="48" t="s">
        <v>102</v>
      </c>
      <c r="AG256" s="39">
        <f t="shared" si="111"/>
        <v>14.5152</v>
      </c>
      <c r="AH256" s="39">
        <f t="shared" si="112"/>
        <v>6</v>
      </c>
      <c r="AI256" s="39">
        <f t="shared" si="113"/>
        <v>14.5152</v>
      </c>
      <c r="AJ256" s="39">
        <f t="shared" si="114"/>
        <v>0</v>
      </c>
      <c r="AK256" s="39">
        <f t="shared" si="115"/>
        <v>0</v>
      </c>
      <c r="AL256" s="39">
        <f t="shared" si="116"/>
        <v>0</v>
      </c>
      <c r="AM256" s="39">
        <f t="shared" si="117"/>
        <v>14.5152</v>
      </c>
      <c r="AN256" s="39">
        <f t="shared" si="118"/>
        <v>12.096</v>
      </c>
    </row>
    <row r="257" ht="50" hidden="1" customHeight="1" spans="1:40">
      <c r="A257" s="39" t="s">
        <v>96</v>
      </c>
      <c r="B257" s="39" t="s">
        <v>103</v>
      </c>
      <c r="C257" s="37" t="str">
        <f>_xlfn.XLOOKUP(F257,'6月产品包'!B:B,'6月产品包'!H:H)</f>
        <v>锂离子蓄电池</v>
      </c>
      <c r="D257" s="38" t="str">
        <f>_xlfn.XLOOKUP(F257,'6月产品包'!B:B,'6月产品包'!O:O)</f>
        <v>锂离子蓄电池12V100AH</v>
      </c>
      <c r="E257" s="60" t="s">
        <v>555</v>
      </c>
      <c r="F257" s="56" t="s">
        <v>556</v>
      </c>
      <c r="G257" s="39" t="e">
        <v>#N/A</v>
      </c>
      <c r="H257" s="39" t="s">
        <v>107</v>
      </c>
      <c r="I257" s="37" t="str">
        <f>_xlfn.XLOOKUP($F257,'6月库存'!A:A,'6月库存'!B:B)</f>
        <v>等待开发</v>
      </c>
      <c r="K257" s="39" t="e">
        <f>_xlfn.XLOOKUP(E257,'[1]6月分配 '!$B:$B,'[1]6月分配 '!$K:$K)</f>
        <v>#N/A</v>
      </c>
      <c r="L257" s="12" t="str">
        <f t="shared" si="106"/>
        <v>否</v>
      </c>
      <c r="M257" s="40" t="str">
        <f>_xlfn.XLOOKUP(F257,'6月产品包'!B:B,'6月产品包'!J:J)</f>
        <v>2026-03-30</v>
      </c>
      <c r="N257" s="39" t="str">
        <f ca="1" t="shared" si="120"/>
        <v>新品</v>
      </c>
      <c r="O257" s="37">
        <f>_xlfn.XLOOKUP(F257,'6月库存'!A:A,'6月库存'!R:R)</f>
        <v>0</v>
      </c>
      <c r="P257" s="39">
        <f>_xlfn.XLOOKUP(F257,'6月产品包'!B:B,'6月产品包'!S:S)</f>
        <v>9140</v>
      </c>
      <c r="Q257" s="56"/>
      <c r="R257" s="41">
        <f>_xlfn.XLOOKUP(F257,'6月产品包'!B:B,'6月产品包'!AD:AD)</f>
        <v>510.1142</v>
      </c>
      <c r="S257" s="39">
        <v>999</v>
      </c>
      <c r="T257" s="39">
        <f t="shared" si="107"/>
        <v>1249</v>
      </c>
      <c r="U257" s="42">
        <f t="shared" si="110"/>
        <v>999.2</v>
      </c>
      <c r="V257" s="43">
        <v>0.2</v>
      </c>
      <c r="W257" s="44">
        <f t="shared" si="108"/>
        <v>0.489477381905524</v>
      </c>
      <c r="X257" s="44">
        <f t="shared" si="109"/>
        <v>0.316989653772533</v>
      </c>
      <c r="Y257" s="44">
        <v>0.038</v>
      </c>
      <c r="Z257" s="46">
        <v>0.105</v>
      </c>
      <c r="AA257" s="46">
        <v>0.049</v>
      </c>
      <c r="AB257" s="46">
        <f t="shared" si="119"/>
        <v>0.000540432345876701</v>
      </c>
      <c r="AC257" s="46">
        <v>0.06</v>
      </c>
      <c r="AD257" s="49"/>
      <c r="AF257" s="48" t="s">
        <v>102</v>
      </c>
      <c r="AG257" s="39">
        <f t="shared" si="111"/>
        <v>83.9328</v>
      </c>
      <c r="AH257" s="39">
        <f t="shared" si="112"/>
        <v>6</v>
      </c>
      <c r="AI257" s="39">
        <f t="shared" si="113"/>
        <v>21</v>
      </c>
      <c r="AJ257" s="39">
        <f t="shared" si="114"/>
        <v>83.9328</v>
      </c>
      <c r="AK257" s="39">
        <f t="shared" si="115"/>
        <v>74.94</v>
      </c>
      <c r="AL257" s="39">
        <f t="shared" si="116"/>
        <v>65.9472</v>
      </c>
      <c r="AM257" s="39">
        <f t="shared" si="117"/>
        <v>36</v>
      </c>
      <c r="AN257" s="39">
        <f t="shared" si="118"/>
        <v>18</v>
      </c>
    </row>
    <row r="258" ht="50" hidden="1" customHeight="1" spans="1:40">
      <c r="A258" s="37" t="s">
        <v>96</v>
      </c>
      <c r="B258" s="37" t="s">
        <v>115</v>
      </c>
      <c r="C258" s="37" t="str">
        <f>_xlfn.XLOOKUP(F258,'6月产品包'!B:B,'6月产品包'!H:H)</f>
        <v>过胶机</v>
      </c>
      <c r="D258" s="38" t="str">
        <f>_xlfn.XLOOKUP(F258,'6月产品包'!B:B,'6月产品包'!O:O)</f>
        <v>A4简易过胶机</v>
      </c>
      <c r="E258" s="38" t="s">
        <v>557</v>
      </c>
      <c r="F258" s="39" t="s">
        <v>558</v>
      </c>
      <c r="G258" s="39" t="e">
        <v>#N/A</v>
      </c>
      <c r="H258" s="39" t="s">
        <v>101</v>
      </c>
      <c r="I258" s="37" t="str">
        <f>_xlfn.XLOOKUP($F258,'6月库存'!A:A,'6月库存'!B:B)</f>
        <v>正常销售</v>
      </c>
      <c r="K258" s="39">
        <f>_xlfn.XLOOKUP(E258,'[1]6月分配 '!$B:$B,'[1]6月分配 '!$K:$K)</f>
        <v>2645</v>
      </c>
      <c r="L258" s="12" t="str">
        <f t="shared" si="106"/>
        <v>是</v>
      </c>
      <c r="M258" s="40" t="str">
        <f>_xlfn.XLOOKUP(F258,'6月产品包'!B:B,'6月产品包'!J:J)</f>
        <v>2025-12-02</v>
      </c>
      <c r="N258" s="39" t="str">
        <f ca="1" t="shared" si="120"/>
        <v>老品</v>
      </c>
      <c r="O258" s="37">
        <f>_xlfn.XLOOKUP(F258,'6月库存'!A:A,'6月库存'!R:R)</f>
        <v>32</v>
      </c>
      <c r="P258" s="39">
        <f>_xlfn.XLOOKUP(F258,'6月产品包'!B:B,'6月产品包'!S:S)</f>
        <v>1050</v>
      </c>
      <c r="Q258" s="39"/>
      <c r="R258" s="41">
        <f>_xlfn.XLOOKUP(F258,'6月产品包'!B:B,'6月产品包'!AD:AD)</f>
        <v>33.35</v>
      </c>
      <c r="S258" s="39">
        <v>66</v>
      </c>
      <c r="T258" s="39">
        <f t="shared" si="107"/>
        <v>83</v>
      </c>
      <c r="U258" s="42">
        <f t="shared" si="110"/>
        <v>66.4</v>
      </c>
      <c r="V258" s="43">
        <v>0.2</v>
      </c>
      <c r="W258" s="44">
        <f t="shared" si="108"/>
        <v>0.497740963855422</v>
      </c>
      <c r="X258" s="44">
        <f t="shared" si="109"/>
        <v>0.334639448399145</v>
      </c>
      <c r="Y258" s="44">
        <v>0.038</v>
      </c>
      <c r="Z258" s="46">
        <v>0.09</v>
      </c>
      <c r="AA258" s="46">
        <v>0.049</v>
      </c>
      <c r="AB258" s="46">
        <f t="shared" si="119"/>
        <v>0.00813253012048193</v>
      </c>
      <c r="AC258" s="46">
        <v>0.06</v>
      </c>
      <c r="AD258" s="47"/>
      <c r="AE258" s="6"/>
      <c r="AF258" s="55" t="s">
        <v>114</v>
      </c>
      <c r="AG258" s="39">
        <f t="shared" si="111"/>
        <v>3.984</v>
      </c>
      <c r="AH258" s="39">
        <f t="shared" si="112"/>
        <v>3.984</v>
      </c>
      <c r="AI258" s="39">
        <f t="shared" si="113"/>
        <v>0</v>
      </c>
      <c r="AJ258" s="39">
        <f t="shared" si="114"/>
        <v>0</v>
      </c>
      <c r="AK258" s="39">
        <f t="shared" si="115"/>
        <v>0</v>
      </c>
      <c r="AL258" s="39">
        <f t="shared" si="116"/>
        <v>0</v>
      </c>
      <c r="AM258" s="39">
        <f t="shared" si="117"/>
        <v>0</v>
      </c>
      <c r="AN258" s="39">
        <f t="shared" si="118"/>
        <v>0</v>
      </c>
    </row>
    <row r="259" ht="50" hidden="1" customHeight="1" spans="1:40">
      <c r="A259" s="37" t="s">
        <v>96</v>
      </c>
      <c r="B259" s="37" t="s">
        <v>97</v>
      </c>
      <c r="C259" s="37" t="str">
        <f>_xlfn.XLOOKUP(F259,'6月产品包'!B:B,'6月产品包'!H:H)</f>
        <v>密码锁</v>
      </c>
      <c r="D259" s="38" t="str">
        <f>_xlfn.XLOOKUP(F259,'6月产品包'!B:B,'6月产品包'!O:O)</f>
        <v>密码锁</v>
      </c>
      <c r="E259" s="38" t="s">
        <v>559</v>
      </c>
      <c r="F259" s="37" t="s">
        <v>560</v>
      </c>
      <c r="G259" s="39" t="s">
        <v>106</v>
      </c>
      <c r="H259" s="37" t="s">
        <v>101</v>
      </c>
      <c r="I259" s="37" t="str">
        <f>_xlfn.XLOOKUP($F259,'6月库存'!A:A,'6月库存'!B:B)</f>
        <v>正常销售</v>
      </c>
      <c r="K259" s="39">
        <f>_xlfn.XLOOKUP(E259,'[1]6月分配 '!$B:$B,'[1]6月分配 '!$K:$K)</f>
        <v>2640</v>
      </c>
      <c r="L259" s="12" t="str">
        <f t="shared" si="106"/>
        <v>是</v>
      </c>
      <c r="M259" s="40" t="str">
        <f>_xlfn.XLOOKUP(F259,'6月产品包'!B:B,'6月产品包'!J:J)</f>
        <v>2025-09-25</v>
      </c>
      <c r="N259" s="39" t="str">
        <f ca="1" t="shared" si="120"/>
        <v>老品</v>
      </c>
      <c r="O259" s="37">
        <f>_xlfn.XLOOKUP(F259,'6月库存'!A:A,'6月库存'!R:R)</f>
        <v>23</v>
      </c>
      <c r="P259" s="39">
        <f>_xlfn.XLOOKUP(F259,'6月产品包'!B:B,'6月产品包'!S:S)</f>
        <v>2100</v>
      </c>
      <c r="Q259" s="39"/>
      <c r="R259" s="41">
        <f>_xlfn.XLOOKUP(F259,'6月产品包'!B:B,'6月产品包'!AD:AD)</f>
        <v>98.7972</v>
      </c>
      <c r="S259" s="39">
        <v>206</v>
      </c>
      <c r="T259" s="39">
        <f t="shared" si="107"/>
        <v>258</v>
      </c>
      <c r="U259" s="42">
        <f t="shared" si="110"/>
        <v>206.4</v>
      </c>
      <c r="V259" s="43">
        <v>0.2</v>
      </c>
      <c r="W259" s="44">
        <f t="shared" si="108"/>
        <v>0.521331395348837</v>
      </c>
      <c r="X259" s="44">
        <f t="shared" si="109"/>
        <v>0.34909001786759</v>
      </c>
      <c r="Y259" s="51">
        <v>0.038</v>
      </c>
      <c r="Z259" s="45">
        <v>0.115</v>
      </c>
      <c r="AA259" s="46">
        <v>0.049</v>
      </c>
      <c r="AB259" s="46">
        <f t="shared" si="119"/>
        <v>0.00261627906976744</v>
      </c>
      <c r="AC259" s="46">
        <v>0.06</v>
      </c>
      <c r="AD259" s="47"/>
      <c r="AE259" s="50"/>
      <c r="AF259" s="55" t="s">
        <v>114</v>
      </c>
      <c r="AG259" s="39">
        <f t="shared" si="111"/>
        <v>11.1456</v>
      </c>
      <c r="AH259" s="39">
        <f t="shared" si="112"/>
        <v>6</v>
      </c>
      <c r="AI259" s="39">
        <f t="shared" si="113"/>
        <v>11.1456</v>
      </c>
      <c r="AJ259" s="39">
        <f t="shared" si="114"/>
        <v>0</v>
      </c>
      <c r="AK259" s="39">
        <f t="shared" si="115"/>
        <v>0</v>
      </c>
      <c r="AL259" s="39">
        <f t="shared" si="116"/>
        <v>0</v>
      </c>
      <c r="AM259" s="39">
        <f t="shared" si="117"/>
        <v>0</v>
      </c>
      <c r="AN259" s="39">
        <f t="shared" si="118"/>
        <v>9.288</v>
      </c>
    </row>
    <row r="260" ht="50" hidden="1" customHeight="1" spans="1:40">
      <c r="A260" s="39" t="e">
        <f>_xlfn.XLOOKUP(F260,'6月产品包'!B:B,'6月产品包'!F:F)</f>
        <v>#N/A</v>
      </c>
      <c r="B260" s="39" t="e">
        <f>_xlfn.XLOOKUP(F260,'6月产品包'!B:B,'6月产品包'!G:G)</f>
        <v>#N/A</v>
      </c>
      <c r="C260" s="37" t="e">
        <f>_xlfn.XLOOKUP(F260,'6月产品包'!B:B,'6月产品包'!H:H)</f>
        <v>#N/A</v>
      </c>
      <c r="D260" s="38" t="e">
        <f>_xlfn.XLOOKUP(F260,'6月产品包'!B:B,'6月产品包'!O:O)</f>
        <v>#N/A</v>
      </c>
      <c r="E260" s="38" t="e">
        <f>_xlfn.XLOOKUP(F260,'6月产品包'!B:B,'6月产品包'!C:C)</f>
        <v>#N/A</v>
      </c>
      <c r="F260" s="39" t="s">
        <v>561</v>
      </c>
      <c r="G260" s="39" t="s">
        <v>106</v>
      </c>
      <c r="H260" s="39" t="s">
        <v>107</v>
      </c>
      <c r="I260" s="37" t="e">
        <f>_xlfn.XLOOKUP($F260,'6月库存'!A:A,'6月库存'!B:B)</f>
        <v>#N/A</v>
      </c>
      <c r="K260" s="39" t="e">
        <f>_xlfn.XLOOKUP(E260,'[1]6月分配 '!$B:$B,'[1]6月分配 '!$K:$K)</f>
        <v>#N/A</v>
      </c>
      <c r="L260" s="12" t="str">
        <f t="shared" si="106"/>
        <v>否</v>
      </c>
      <c r="M260" s="40" t="e">
        <f>_xlfn.XLOOKUP(F260,'6月产品包'!B:B,'6月产品包'!J:J)</f>
        <v>#N/A</v>
      </c>
      <c r="N260" s="39" t="e">
        <f ca="1" t="shared" si="120"/>
        <v>#N/A</v>
      </c>
      <c r="O260" s="37" t="e">
        <f>_xlfn.XLOOKUP(F260,'6月库存'!A:A,'6月库存'!R:R)</f>
        <v>#N/A</v>
      </c>
      <c r="P260" s="39" t="e">
        <f>_xlfn.XLOOKUP(F260,'6月产品包'!B:B,'6月产品包'!S:S)</f>
        <v>#N/A</v>
      </c>
      <c r="Q260" s="56"/>
      <c r="R260" s="41" t="e">
        <f>_xlfn.XLOOKUP(F260,'6月产品包'!B:B,'6月产品包'!AD:AD)</f>
        <v>#N/A</v>
      </c>
      <c r="S260" s="39">
        <v>310</v>
      </c>
      <c r="T260" s="39">
        <f t="shared" ref="T258:T312" si="121">ROUND(S260*(1+0.25),0)</f>
        <v>388</v>
      </c>
      <c r="U260" s="42">
        <f t="shared" si="110"/>
        <v>310.4</v>
      </c>
      <c r="V260" s="43">
        <v>0.2</v>
      </c>
      <c r="W260" s="44" t="e">
        <f t="shared" ref="W258:W312" si="122">(U260-R260)/U260</f>
        <v>#N/A</v>
      </c>
      <c r="X260" s="44" t="e">
        <f t="shared" si="109"/>
        <v>#N/A</v>
      </c>
      <c r="Y260" s="44">
        <v>0.038</v>
      </c>
      <c r="Z260" s="46">
        <v>0.09</v>
      </c>
      <c r="AA260" s="46">
        <v>0.049</v>
      </c>
      <c r="AB260" s="46">
        <v>0.00173969072164948</v>
      </c>
      <c r="AC260" s="46">
        <v>0.06</v>
      </c>
      <c r="AF260" s="48" t="s">
        <v>102</v>
      </c>
      <c r="AG260" s="39">
        <f t="shared" si="111"/>
        <v>16.7616</v>
      </c>
      <c r="AH260" s="39">
        <f t="shared" si="112"/>
        <v>6</v>
      </c>
      <c r="AI260" s="39">
        <f t="shared" si="113"/>
        <v>16.7616</v>
      </c>
      <c r="AJ260" s="39">
        <f t="shared" si="114"/>
        <v>0</v>
      </c>
      <c r="AK260" s="39">
        <f t="shared" si="115"/>
        <v>0</v>
      </c>
      <c r="AL260" s="39">
        <f t="shared" si="116"/>
        <v>0</v>
      </c>
      <c r="AM260" s="39">
        <f t="shared" si="117"/>
        <v>16.7616</v>
      </c>
      <c r="AN260" s="39">
        <f t="shared" si="118"/>
        <v>13.968</v>
      </c>
    </row>
    <row r="261" ht="50" hidden="1" customHeight="1" spans="1:40">
      <c r="A261" s="39" t="e">
        <f>_xlfn.XLOOKUP(F261,'6月产品包'!B:B,'6月产品包'!F:F)</f>
        <v>#N/A</v>
      </c>
      <c r="B261" s="39" t="e">
        <f>_xlfn.XLOOKUP(F261,'6月产品包'!B:B,'6月产品包'!G:G)</f>
        <v>#N/A</v>
      </c>
      <c r="C261" s="37" t="e">
        <f>_xlfn.XLOOKUP(F261,'6月产品包'!B:B,'6月产品包'!H:H)</f>
        <v>#N/A</v>
      </c>
      <c r="D261" s="38" t="e">
        <f>_xlfn.XLOOKUP(F261,'6月产品包'!B:B,'6月产品包'!O:O)</f>
        <v>#N/A</v>
      </c>
      <c r="E261" s="38" t="e">
        <f>_xlfn.XLOOKUP(F261,'6月产品包'!B:B,'6月产品包'!C:C)</f>
        <v>#N/A</v>
      </c>
      <c r="F261" s="39" t="s">
        <v>562</v>
      </c>
      <c r="G261" s="39" t="s">
        <v>106</v>
      </c>
      <c r="H261" s="39" t="s">
        <v>107</v>
      </c>
      <c r="I261" s="37" t="e">
        <f>_xlfn.XLOOKUP($F261,'6月库存'!A:A,'6月库存'!B:B)</f>
        <v>#N/A</v>
      </c>
      <c r="K261" s="39" t="e">
        <f>_xlfn.XLOOKUP(E261,'[1]6月分配 '!$B:$B,'[1]6月分配 '!$K:$K)</f>
        <v>#N/A</v>
      </c>
      <c r="L261" s="12" t="str">
        <f t="shared" si="106"/>
        <v>否</v>
      </c>
      <c r="M261" s="40" t="e">
        <f>_xlfn.XLOOKUP(F261,'6月产品包'!B:B,'6月产品包'!J:J)</f>
        <v>#N/A</v>
      </c>
      <c r="N261" s="39" t="e">
        <f ca="1" t="shared" si="120"/>
        <v>#N/A</v>
      </c>
      <c r="O261" s="37" t="e">
        <f>_xlfn.XLOOKUP(F261,'6月库存'!A:A,'6月库存'!R:R)</f>
        <v>#N/A</v>
      </c>
      <c r="P261" s="39" t="e">
        <f>_xlfn.XLOOKUP(F261,'6月产品包'!B:B,'6月产品包'!S:S)</f>
        <v>#N/A</v>
      </c>
      <c r="Q261" s="56"/>
      <c r="R261" s="41" t="e">
        <f>_xlfn.XLOOKUP(F261,'6月产品包'!B:B,'6月产品包'!AD:AD)</f>
        <v>#N/A</v>
      </c>
      <c r="S261" s="39">
        <v>390</v>
      </c>
      <c r="T261" s="39">
        <f t="shared" si="121"/>
        <v>488</v>
      </c>
      <c r="U261" s="42">
        <f t="shared" si="110"/>
        <v>390.4</v>
      </c>
      <c r="V261" s="43">
        <v>0.2</v>
      </c>
      <c r="W261" s="44" t="e">
        <f t="shared" si="122"/>
        <v>#N/A</v>
      </c>
      <c r="X261" s="44" t="e">
        <f t="shared" si="109"/>
        <v>#N/A</v>
      </c>
      <c r="Y261" s="44">
        <v>0.038</v>
      </c>
      <c r="Z261" s="46">
        <v>0.09</v>
      </c>
      <c r="AA261" s="46">
        <v>0.049</v>
      </c>
      <c r="AB261" s="46">
        <v>0.00173969072164948</v>
      </c>
      <c r="AC261" s="46">
        <v>0.06</v>
      </c>
      <c r="AF261" s="48" t="s">
        <v>102</v>
      </c>
      <c r="AG261" s="39">
        <f t="shared" si="111"/>
        <v>32.7936</v>
      </c>
      <c r="AH261" s="39">
        <f t="shared" si="112"/>
        <v>6</v>
      </c>
      <c r="AI261" s="39">
        <f t="shared" si="113"/>
        <v>21</v>
      </c>
      <c r="AJ261" s="39">
        <f t="shared" si="114"/>
        <v>32.7936</v>
      </c>
      <c r="AK261" s="39">
        <f t="shared" si="115"/>
        <v>29.28</v>
      </c>
      <c r="AL261" s="39">
        <f t="shared" si="116"/>
        <v>25.7664</v>
      </c>
      <c r="AM261" s="39">
        <f t="shared" si="117"/>
        <v>21.0816</v>
      </c>
      <c r="AN261" s="39">
        <f t="shared" si="118"/>
        <v>17.568</v>
      </c>
    </row>
    <row r="262" ht="50" hidden="1" customHeight="1" spans="1:40">
      <c r="A262" s="39" t="e">
        <f>_xlfn.XLOOKUP(F262,'6月产品包'!B:B,'6月产品包'!F:F)</f>
        <v>#N/A</v>
      </c>
      <c r="B262" s="39" t="e">
        <f>_xlfn.XLOOKUP(F262,'6月产品包'!B:B,'6月产品包'!G:G)</f>
        <v>#N/A</v>
      </c>
      <c r="C262" s="37" t="e">
        <f>_xlfn.XLOOKUP(F262,'6月产品包'!B:B,'6月产品包'!H:H)</f>
        <v>#N/A</v>
      </c>
      <c r="D262" s="38" t="e">
        <f>_xlfn.XLOOKUP(F262,'6月产品包'!B:B,'6月产品包'!O:O)</f>
        <v>#N/A</v>
      </c>
      <c r="E262" s="38" t="e">
        <f>_xlfn.XLOOKUP(F262,'6月产品包'!B:B,'6月产品包'!C:C)</f>
        <v>#N/A</v>
      </c>
      <c r="F262" s="39" t="s">
        <v>563</v>
      </c>
      <c r="G262" s="39" t="s">
        <v>106</v>
      </c>
      <c r="H262" s="39" t="s">
        <v>107</v>
      </c>
      <c r="I262" s="37" t="e">
        <f>_xlfn.XLOOKUP($F262,'6月库存'!A:A,'6月库存'!B:B)</f>
        <v>#N/A</v>
      </c>
      <c r="K262" s="39" t="e">
        <f>_xlfn.XLOOKUP(E262,'[1]6月分配 '!$B:$B,'[1]6月分配 '!$K:$K)</f>
        <v>#N/A</v>
      </c>
      <c r="L262" s="12" t="str">
        <f t="shared" si="106"/>
        <v>否</v>
      </c>
      <c r="M262" s="40" t="e">
        <f>_xlfn.XLOOKUP(F262,'6月产品包'!B:B,'6月产品包'!J:J)</f>
        <v>#N/A</v>
      </c>
      <c r="N262" s="39" t="e">
        <f ca="1" t="shared" si="120"/>
        <v>#N/A</v>
      </c>
      <c r="O262" s="37" t="e">
        <f>_xlfn.XLOOKUP(F262,'6月库存'!A:A,'6月库存'!R:R)</f>
        <v>#N/A</v>
      </c>
      <c r="P262" s="39" t="e">
        <f>_xlfn.XLOOKUP(F262,'6月产品包'!B:B,'6月产品包'!S:S)</f>
        <v>#N/A</v>
      </c>
      <c r="Q262" s="56"/>
      <c r="R262" s="41" t="e">
        <f>_xlfn.XLOOKUP(F262,'6月产品包'!B:B,'6月产品包'!AD:AD)</f>
        <v>#N/A</v>
      </c>
      <c r="S262" s="39">
        <v>526</v>
      </c>
      <c r="T262" s="39">
        <f t="shared" si="121"/>
        <v>658</v>
      </c>
      <c r="U262" s="42">
        <f t="shared" si="110"/>
        <v>526.4</v>
      </c>
      <c r="V262" s="43">
        <v>0.2</v>
      </c>
      <c r="W262" s="44" t="e">
        <f t="shared" si="122"/>
        <v>#N/A</v>
      </c>
      <c r="X262" s="44" t="e">
        <f t="shared" si="109"/>
        <v>#N/A</v>
      </c>
      <c r="Y262" s="44">
        <v>0.038</v>
      </c>
      <c r="Z262" s="46">
        <v>0.09</v>
      </c>
      <c r="AA262" s="46">
        <v>0.049</v>
      </c>
      <c r="AB262" s="46">
        <v>0.00173969072164948</v>
      </c>
      <c r="AC262" s="46">
        <v>0.06</v>
      </c>
      <c r="AF262" s="48" t="s">
        <v>102</v>
      </c>
      <c r="AG262" s="39">
        <f t="shared" si="111"/>
        <v>44.2176</v>
      </c>
      <c r="AH262" s="39">
        <f t="shared" si="112"/>
        <v>6</v>
      </c>
      <c r="AI262" s="39">
        <f t="shared" si="113"/>
        <v>21</v>
      </c>
      <c r="AJ262" s="39">
        <f t="shared" si="114"/>
        <v>44.2176</v>
      </c>
      <c r="AK262" s="39">
        <f t="shared" si="115"/>
        <v>39.48</v>
      </c>
      <c r="AL262" s="39">
        <f t="shared" si="116"/>
        <v>34.7424</v>
      </c>
      <c r="AM262" s="39">
        <f t="shared" si="117"/>
        <v>28.4256</v>
      </c>
      <c r="AN262" s="39">
        <f t="shared" si="118"/>
        <v>18</v>
      </c>
    </row>
    <row r="263" ht="50" hidden="1" customHeight="1" spans="1:40">
      <c r="A263" s="39" t="e">
        <f>_xlfn.XLOOKUP(F263,'6月产品包'!B:B,'6月产品包'!F:F)</f>
        <v>#N/A</v>
      </c>
      <c r="B263" s="39" t="e">
        <f>_xlfn.XLOOKUP(F263,'6月产品包'!B:B,'6月产品包'!G:G)</f>
        <v>#N/A</v>
      </c>
      <c r="C263" s="37" t="e">
        <f>_xlfn.XLOOKUP(F263,'6月产品包'!B:B,'6月产品包'!H:H)</f>
        <v>#N/A</v>
      </c>
      <c r="D263" s="38" t="e">
        <f>_xlfn.XLOOKUP(F263,'6月产品包'!B:B,'6月产品包'!O:O)</f>
        <v>#N/A</v>
      </c>
      <c r="E263" s="38" t="e">
        <f>_xlfn.XLOOKUP(F263,'6月产品包'!B:B,'6月产品包'!C:C)</f>
        <v>#N/A</v>
      </c>
      <c r="F263" s="39" t="s">
        <v>564</v>
      </c>
      <c r="G263" s="39" t="s">
        <v>106</v>
      </c>
      <c r="H263" s="39" t="s">
        <v>107</v>
      </c>
      <c r="I263" s="37" t="e">
        <f>_xlfn.XLOOKUP($F263,'6月库存'!A:A,'6月库存'!B:B)</f>
        <v>#N/A</v>
      </c>
      <c r="K263" s="39" t="e">
        <f>_xlfn.XLOOKUP(E263,'[1]6月分配 '!$B:$B,'[1]6月分配 '!$K:$K)</f>
        <v>#N/A</v>
      </c>
      <c r="L263" s="12" t="str">
        <f t="shared" si="106"/>
        <v>否</v>
      </c>
      <c r="M263" s="40" t="e">
        <f>_xlfn.XLOOKUP(F263,'6月产品包'!B:B,'6月产品包'!J:J)</f>
        <v>#N/A</v>
      </c>
      <c r="N263" s="39" t="e">
        <f ca="1" t="shared" si="120"/>
        <v>#N/A</v>
      </c>
      <c r="O263" s="37" t="e">
        <f>_xlfn.XLOOKUP(F263,'6月库存'!A:A,'6月库存'!R:R)</f>
        <v>#N/A</v>
      </c>
      <c r="P263" s="39" t="e">
        <f>_xlfn.XLOOKUP(F263,'6月产品包'!B:B,'6月产品包'!S:S)</f>
        <v>#N/A</v>
      </c>
      <c r="Q263" s="56"/>
      <c r="R263" s="41" t="e">
        <f>_xlfn.XLOOKUP(F263,'6月产品包'!B:B,'6月产品包'!AD:AD)</f>
        <v>#N/A</v>
      </c>
      <c r="S263" s="39">
        <v>629</v>
      </c>
      <c r="T263" s="39">
        <f t="shared" si="121"/>
        <v>786</v>
      </c>
      <c r="U263" s="42">
        <f t="shared" si="110"/>
        <v>628.8</v>
      </c>
      <c r="V263" s="43">
        <v>0.2</v>
      </c>
      <c r="W263" s="44" t="e">
        <f t="shared" si="122"/>
        <v>#N/A</v>
      </c>
      <c r="X263" s="44" t="e">
        <f t="shared" si="109"/>
        <v>#N/A</v>
      </c>
      <c r="Y263" s="44">
        <v>0.038</v>
      </c>
      <c r="Z263" s="46">
        <v>0.09</v>
      </c>
      <c r="AA263" s="46">
        <v>0.049</v>
      </c>
      <c r="AB263" s="46">
        <v>0.00173969072164948</v>
      </c>
      <c r="AC263" s="46">
        <v>0.06</v>
      </c>
      <c r="AF263" s="48" t="s">
        <v>102</v>
      </c>
      <c r="AG263" s="39">
        <f t="shared" si="111"/>
        <v>52.8192</v>
      </c>
      <c r="AH263" s="39">
        <f t="shared" si="112"/>
        <v>6</v>
      </c>
      <c r="AI263" s="39">
        <f t="shared" si="113"/>
        <v>21</v>
      </c>
      <c r="AJ263" s="39">
        <f t="shared" si="114"/>
        <v>52.8192</v>
      </c>
      <c r="AK263" s="39">
        <f t="shared" si="115"/>
        <v>47.16</v>
      </c>
      <c r="AL263" s="39">
        <f t="shared" si="116"/>
        <v>41.5008</v>
      </c>
      <c r="AM263" s="39">
        <f t="shared" si="117"/>
        <v>33.9552</v>
      </c>
      <c r="AN263" s="39">
        <f t="shared" si="118"/>
        <v>18</v>
      </c>
    </row>
    <row r="264" ht="50" hidden="1" customHeight="1" spans="1:40">
      <c r="A264" s="39" t="e">
        <f>_xlfn.XLOOKUP(F264,'6月产品包'!B:B,'6月产品包'!F:F)</f>
        <v>#N/A</v>
      </c>
      <c r="B264" s="39" t="e">
        <f>_xlfn.XLOOKUP(F264,'6月产品包'!B:B,'6月产品包'!G:G)</f>
        <v>#N/A</v>
      </c>
      <c r="C264" s="37" t="e">
        <f>_xlfn.XLOOKUP(F264,'6月产品包'!B:B,'6月产品包'!H:H)</f>
        <v>#N/A</v>
      </c>
      <c r="D264" s="38" t="e">
        <f>_xlfn.XLOOKUP(F264,'6月产品包'!B:B,'6月产品包'!O:O)</f>
        <v>#N/A</v>
      </c>
      <c r="E264" s="38" t="e">
        <f>_xlfn.XLOOKUP(F264,'6月产品包'!B:B,'6月产品包'!C:C)</f>
        <v>#N/A</v>
      </c>
      <c r="F264" s="39" t="s">
        <v>565</v>
      </c>
      <c r="G264" s="39" t="s">
        <v>106</v>
      </c>
      <c r="H264" s="39" t="s">
        <v>107</v>
      </c>
      <c r="I264" s="37" t="e">
        <f>_xlfn.XLOOKUP($F264,'6月库存'!A:A,'6月库存'!B:B)</f>
        <v>#N/A</v>
      </c>
      <c r="K264" s="39" t="e">
        <f>_xlfn.XLOOKUP(E264,'[1]6月分配 '!$B:$B,'[1]6月分配 '!$K:$K)</f>
        <v>#N/A</v>
      </c>
      <c r="L264" s="12" t="str">
        <f t="shared" si="106"/>
        <v>否</v>
      </c>
      <c r="M264" s="40" t="e">
        <f>_xlfn.XLOOKUP(F264,'6月产品包'!B:B,'6月产品包'!J:J)</f>
        <v>#N/A</v>
      </c>
      <c r="N264" s="39" t="e">
        <f ca="1" t="shared" si="120"/>
        <v>#N/A</v>
      </c>
      <c r="O264" s="37" t="e">
        <f>_xlfn.XLOOKUP(F264,'6月库存'!A:A,'6月库存'!R:R)</f>
        <v>#N/A</v>
      </c>
      <c r="P264" s="39" t="e">
        <f>_xlfn.XLOOKUP(F264,'6月产品包'!B:B,'6月产品包'!S:S)</f>
        <v>#N/A</v>
      </c>
      <c r="Q264" s="56"/>
      <c r="R264" s="41" t="e">
        <f>_xlfn.XLOOKUP(F264,'6月产品包'!B:B,'6月产品包'!AD:AD)</f>
        <v>#N/A</v>
      </c>
      <c r="S264" s="39">
        <v>409</v>
      </c>
      <c r="T264" s="39">
        <f t="shared" si="121"/>
        <v>511</v>
      </c>
      <c r="U264" s="42">
        <f t="shared" si="110"/>
        <v>408.8</v>
      </c>
      <c r="V264" s="43">
        <v>0.2</v>
      </c>
      <c r="W264" s="44" t="e">
        <f t="shared" si="122"/>
        <v>#N/A</v>
      </c>
      <c r="X264" s="44" t="e">
        <f t="shared" si="109"/>
        <v>#N/A</v>
      </c>
      <c r="Y264" s="44">
        <v>0.038</v>
      </c>
      <c r="Z264" s="46">
        <v>0.09</v>
      </c>
      <c r="AA264" s="46">
        <v>0.049</v>
      </c>
      <c r="AB264" s="46">
        <v>0.00173969072164948</v>
      </c>
      <c r="AC264" s="46">
        <v>0.06</v>
      </c>
      <c r="AF264" s="48" t="s">
        <v>102</v>
      </c>
      <c r="AG264" s="39">
        <f t="shared" si="111"/>
        <v>34.3392</v>
      </c>
      <c r="AH264" s="39">
        <f t="shared" si="112"/>
        <v>6</v>
      </c>
      <c r="AI264" s="39">
        <f t="shared" si="113"/>
        <v>21</v>
      </c>
      <c r="AJ264" s="39">
        <f t="shared" si="114"/>
        <v>34.3392</v>
      </c>
      <c r="AK264" s="39">
        <f t="shared" si="115"/>
        <v>30.66</v>
      </c>
      <c r="AL264" s="39">
        <f t="shared" si="116"/>
        <v>26.9808</v>
      </c>
      <c r="AM264" s="39">
        <f t="shared" si="117"/>
        <v>22.0752</v>
      </c>
      <c r="AN264" s="39">
        <f t="shared" si="118"/>
        <v>18</v>
      </c>
    </row>
    <row r="265" ht="50" hidden="1" customHeight="1" spans="1:40">
      <c r="A265" s="39" t="e">
        <f>_xlfn.XLOOKUP(F265,'6月产品包'!B:B,'6月产品包'!F:F)</f>
        <v>#N/A</v>
      </c>
      <c r="B265" s="39" t="e">
        <f>_xlfn.XLOOKUP(F265,'6月产品包'!B:B,'6月产品包'!G:G)</f>
        <v>#N/A</v>
      </c>
      <c r="C265" s="37" t="e">
        <f>_xlfn.XLOOKUP(F265,'6月产品包'!B:B,'6月产品包'!H:H)</f>
        <v>#N/A</v>
      </c>
      <c r="D265" s="38" t="e">
        <f>_xlfn.XLOOKUP(F265,'6月产品包'!B:B,'6月产品包'!O:O)</f>
        <v>#N/A</v>
      </c>
      <c r="E265" s="38" t="e">
        <f>_xlfn.XLOOKUP(F265,'6月产品包'!B:B,'6月产品包'!C:C)</f>
        <v>#N/A</v>
      </c>
      <c r="F265" s="39" t="s">
        <v>566</v>
      </c>
      <c r="G265" s="39" t="s">
        <v>106</v>
      </c>
      <c r="H265" s="39" t="s">
        <v>107</v>
      </c>
      <c r="I265" s="37" t="e">
        <f>_xlfn.XLOOKUP($F265,'6月库存'!A:A,'6月库存'!B:B)</f>
        <v>#N/A</v>
      </c>
      <c r="K265" s="39" t="e">
        <f>_xlfn.XLOOKUP(E265,'[1]6月分配 '!$B:$B,'[1]6月分配 '!$K:$K)</f>
        <v>#N/A</v>
      </c>
      <c r="L265" s="12" t="str">
        <f t="shared" si="106"/>
        <v>否</v>
      </c>
      <c r="M265" s="40" t="e">
        <f>_xlfn.XLOOKUP(F265,'6月产品包'!B:B,'6月产品包'!J:J)</f>
        <v>#N/A</v>
      </c>
      <c r="N265" s="39" t="e">
        <f ca="1" t="shared" si="120"/>
        <v>#N/A</v>
      </c>
      <c r="O265" s="37" t="e">
        <f>_xlfn.XLOOKUP(F265,'6月库存'!A:A,'6月库存'!R:R)</f>
        <v>#N/A</v>
      </c>
      <c r="P265" s="39" t="e">
        <f>_xlfn.XLOOKUP(F265,'6月产品包'!B:B,'6月产品包'!S:S)</f>
        <v>#N/A</v>
      </c>
      <c r="Q265" s="56"/>
      <c r="R265" s="41" t="e">
        <f>_xlfn.XLOOKUP(F265,'6月产品包'!B:B,'6月产品包'!AD:AD)</f>
        <v>#N/A</v>
      </c>
      <c r="S265" s="39">
        <v>518</v>
      </c>
      <c r="T265" s="39">
        <f t="shared" si="121"/>
        <v>648</v>
      </c>
      <c r="U265" s="42">
        <f t="shared" si="110"/>
        <v>518.4</v>
      </c>
      <c r="V265" s="43">
        <v>0.2</v>
      </c>
      <c r="W265" s="44" t="e">
        <f t="shared" si="122"/>
        <v>#N/A</v>
      </c>
      <c r="X265" s="44" t="e">
        <f t="shared" si="109"/>
        <v>#N/A</v>
      </c>
      <c r="Y265" s="44">
        <v>0.038</v>
      </c>
      <c r="Z265" s="46">
        <v>0.09</v>
      </c>
      <c r="AA265" s="46">
        <v>0.049</v>
      </c>
      <c r="AB265" s="46">
        <v>0.00173969072164948</v>
      </c>
      <c r="AC265" s="46">
        <v>0.06</v>
      </c>
      <c r="AF265" s="48" t="s">
        <v>102</v>
      </c>
      <c r="AG265" s="39">
        <f t="shared" si="111"/>
        <v>43.5456</v>
      </c>
      <c r="AH265" s="39">
        <f t="shared" si="112"/>
        <v>6</v>
      </c>
      <c r="AI265" s="39">
        <f t="shared" si="113"/>
        <v>21</v>
      </c>
      <c r="AJ265" s="39">
        <f t="shared" si="114"/>
        <v>43.5456</v>
      </c>
      <c r="AK265" s="39">
        <f t="shared" si="115"/>
        <v>38.88</v>
      </c>
      <c r="AL265" s="39">
        <f t="shared" si="116"/>
        <v>34.2144</v>
      </c>
      <c r="AM265" s="39">
        <f t="shared" si="117"/>
        <v>27.9936</v>
      </c>
      <c r="AN265" s="39">
        <f t="shared" si="118"/>
        <v>18</v>
      </c>
    </row>
    <row r="266" ht="50" hidden="1" customHeight="1" spans="1:40">
      <c r="A266" s="39" t="e">
        <f>_xlfn.XLOOKUP(F266,'6月产品包'!B:B,'6月产品包'!F:F)</f>
        <v>#N/A</v>
      </c>
      <c r="B266" s="39" t="e">
        <f>_xlfn.XLOOKUP(F266,'6月产品包'!B:B,'6月产品包'!G:G)</f>
        <v>#N/A</v>
      </c>
      <c r="C266" s="37" t="e">
        <f>_xlfn.XLOOKUP(F266,'6月产品包'!B:B,'6月产品包'!H:H)</f>
        <v>#N/A</v>
      </c>
      <c r="D266" s="38" t="e">
        <f>_xlfn.XLOOKUP(F266,'6月产品包'!B:B,'6月产品包'!O:O)</f>
        <v>#N/A</v>
      </c>
      <c r="E266" s="38" t="e">
        <f>_xlfn.XLOOKUP(F266,'6月产品包'!B:B,'6月产品包'!C:C)</f>
        <v>#N/A</v>
      </c>
      <c r="F266" s="39" t="s">
        <v>567</v>
      </c>
      <c r="G266" s="39" t="s">
        <v>106</v>
      </c>
      <c r="H266" s="39" t="s">
        <v>107</v>
      </c>
      <c r="I266" s="37" t="e">
        <f>_xlfn.XLOOKUP($F266,'6月库存'!A:A,'6月库存'!B:B)</f>
        <v>#N/A</v>
      </c>
      <c r="K266" s="39" t="e">
        <f>_xlfn.XLOOKUP(E266,'[1]6月分配 '!$B:$B,'[1]6月分配 '!$K:$K)</f>
        <v>#N/A</v>
      </c>
      <c r="L266" s="12" t="str">
        <f t="shared" si="106"/>
        <v>否</v>
      </c>
      <c r="M266" s="40" t="e">
        <f>_xlfn.XLOOKUP(F266,'6月产品包'!B:B,'6月产品包'!J:J)</f>
        <v>#N/A</v>
      </c>
      <c r="N266" s="39" t="e">
        <f ca="1" t="shared" si="120"/>
        <v>#N/A</v>
      </c>
      <c r="O266" s="37" t="e">
        <f>_xlfn.XLOOKUP(F266,'6月库存'!A:A,'6月库存'!R:R)</f>
        <v>#N/A</v>
      </c>
      <c r="P266" s="39" t="e">
        <f>_xlfn.XLOOKUP(F266,'6月产品包'!B:B,'6月产品包'!S:S)</f>
        <v>#N/A</v>
      </c>
      <c r="Q266" s="56"/>
      <c r="R266" s="41" t="e">
        <f>_xlfn.XLOOKUP(F266,'6月产品包'!B:B,'6月产品包'!AD:AD)</f>
        <v>#N/A</v>
      </c>
      <c r="S266" s="39">
        <v>752</v>
      </c>
      <c r="T266" s="39">
        <f t="shared" si="121"/>
        <v>940</v>
      </c>
      <c r="U266" s="42">
        <f t="shared" si="110"/>
        <v>752</v>
      </c>
      <c r="V266" s="43">
        <v>0.2</v>
      </c>
      <c r="W266" s="44" t="e">
        <f t="shared" si="122"/>
        <v>#N/A</v>
      </c>
      <c r="X266" s="44" t="e">
        <f t="shared" si="109"/>
        <v>#N/A</v>
      </c>
      <c r="Y266" s="44">
        <v>0.038</v>
      </c>
      <c r="Z266" s="46">
        <v>0.09</v>
      </c>
      <c r="AA266" s="46">
        <v>0.049</v>
      </c>
      <c r="AB266" s="46">
        <v>0.00173969072164948</v>
      </c>
      <c r="AC266" s="46">
        <v>0.06</v>
      </c>
      <c r="AF266" s="48" t="s">
        <v>102</v>
      </c>
      <c r="AG266" s="39">
        <f t="shared" si="111"/>
        <v>63.168</v>
      </c>
      <c r="AH266" s="39">
        <f t="shared" si="112"/>
        <v>6</v>
      </c>
      <c r="AI266" s="39">
        <f t="shared" si="113"/>
        <v>21</v>
      </c>
      <c r="AJ266" s="39">
        <f t="shared" si="114"/>
        <v>63.168</v>
      </c>
      <c r="AK266" s="39">
        <f t="shared" si="115"/>
        <v>56.4</v>
      </c>
      <c r="AL266" s="39">
        <f t="shared" si="116"/>
        <v>49.632</v>
      </c>
      <c r="AM266" s="39">
        <f t="shared" si="117"/>
        <v>36</v>
      </c>
      <c r="AN266" s="39">
        <f t="shared" si="118"/>
        <v>18</v>
      </c>
    </row>
    <row r="267" ht="50" hidden="1" customHeight="1" spans="1:40">
      <c r="A267" s="39" t="e">
        <f>_xlfn.XLOOKUP(F267,'6月产品包'!B:B,'6月产品包'!F:F)</f>
        <v>#N/A</v>
      </c>
      <c r="B267" s="39" t="e">
        <f>_xlfn.XLOOKUP(F267,'6月产品包'!B:B,'6月产品包'!G:G)</f>
        <v>#N/A</v>
      </c>
      <c r="C267" s="37" t="e">
        <f>_xlfn.XLOOKUP(F267,'6月产品包'!B:B,'6月产品包'!H:H)</f>
        <v>#N/A</v>
      </c>
      <c r="D267" s="38" t="e">
        <f>_xlfn.XLOOKUP(F267,'6月产品包'!B:B,'6月产品包'!O:O)</f>
        <v>#N/A</v>
      </c>
      <c r="E267" s="38" t="e">
        <f>_xlfn.XLOOKUP(F267,'6月产品包'!B:B,'6月产品包'!C:C)</f>
        <v>#N/A</v>
      </c>
      <c r="F267" s="39" t="s">
        <v>568</v>
      </c>
      <c r="G267" s="39" t="s">
        <v>106</v>
      </c>
      <c r="H267" s="39" t="s">
        <v>107</v>
      </c>
      <c r="I267" s="37" t="e">
        <f>_xlfn.XLOOKUP($F267,'6月库存'!A:A,'6月库存'!B:B)</f>
        <v>#N/A</v>
      </c>
      <c r="K267" s="39" t="e">
        <f>_xlfn.XLOOKUP(E267,'[1]6月分配 '!$B:$B,'[1]6月分配 '!$K:$K)</f>
        <v>#N/A</v>
      </c>
      <c r="L267" s="12" t="str">
        <f t="shared" si="106"/>
        <v>否</v>
      </c>
      <c r="M267" s="40" t="e">
        <f>_xlfn.XLOOKUP(F267,'6月产品包'!B:B,'6月产品包'!J:J)</f>
        <v>#N/A</v>
      </c>
      <c r="N267" s="39" t="e">
        <f ca="1" t="shared" si="120"/>
        <v>#N/A</v>
      </c>
      <c r="O267" s="37" t="e">
        <f>_xlfn.XLOOKUP(F267,'6月库存'!A:A,'6月库存'!R:R)</f>
        <v>#N/A</v>
      </c>
      <c r="P267" s="39" t="e">
        <f>_xlfn.XLOOKUP(F267,'6月产品包'!B:B,'6月产品包'!S:S)</f>
        <v>#N/A</v>
      </c>
      <c r="Q267" s="56"/>
      <c r="R267" s="41" t="e">
        <f>_xlfn.XLOOKUP(F267,'6月产品包'!B:B,'6月产品包'!AD:AD)</f>
        <v>#N/A</v>
      </c>
      <c r="S267" s="39">
        <v>900</v>
      </c>
      <c r="T267" s="39">
        <f t="shared" si="121"/>
        <v>1125</v>
      </c>
      <c r="U267" s="42">
        <f t="shared" si="110"/>
        <v>900</v>
      </c>
      <c r="V267" s="43">
        <v>0.2</v>
      </c>
      <c r="W267" s="44" t="e">
        <f t="shared" si="122"/>
        <v>#N/A</v>
      </c>
      <c r="X267" s="44" t="e">
        <f t="shared" si="109"/>
        <v>#N/A</v>
      </c>
      <c r="Y267" s="44">
        <v>0.038</v>
      </c>
      <c r="Z267" s="46">
        <v>0.09</v>
      </c>
      <c r="AA267" s="46">
        <v>0.049</v>
      </c>
      <c r="AB267" s="46">
        <v>0.00173969072164948</v>
      </c>
      <c r="AC267" s="46">
        <v>0.06</v>
      </c>
      <c r="AF267" s="48" t="s">
        <v>102</v>
      </c>
      <c r="AG267" s="39">
        <f t="shared" si="111"/>
        <v>75.6</v>
      </c>
      <c r="AH267" s="39">
        <f t="shared" si="112"/>
        <v>6</v>
      </c>
      <c r="AI267" s="39">
        <f t="shared" si="113"/>
        <v>21</v>
      </c>
      <c r="AJ267" s="39">
        <f t="shared" si="114"/>
        <v>75.6</v>
      </c>
      <c r="AK267" s="39">
        <f t="shared" si="115"/>
        <v>67.5</v>
      </c>
      <c r="AL267" s="39">
        <f t="shared" si="116"/>
        <v>59.4</v>
      </c>
      <c r="AM267" s="39">
        <f t="shared" si="117"/>
        <v>36</v>
      </c>
      <c r="AN267" s="39">
        <f t="shared" si="118"/>
        <v>18</v>
      </c>
    </row>
    <row r="268" ht="50" hidden="1" customHeight="1" spans="1:40">
      <c r="A268" s="39" t="str">
        <f>_xlfn.XLOOKUP(F268,'6月产品包'!B:B,'6月产品包'!F:F)</f>
        <v>办公安防</v>
      </c>
      <c r="B268" s="39" t="str">
        <f>_xlfn.XLOOKUP(F268,'6月产品包'!B:B,'6月产品包'!G:G)</f>
        <v>办公周边</v>
      </c>
      <c r="C268" s="37" t="str">
        <f>_xlfn.XLOOKUP(F268,'6月产品包'!B:B,'6月产品包'!H:H)</f>
        <v>硬币清分机</v>
      </c>
      <c r="D268" s="38" t="str">
        <f>_xlfn.XLOOKUP(F268,'6月产品包'!B:B,'6月产品包'!O:O)</f>
        <v>硬币清分机5188</v>
      </c>
      <c r="E268" s="38" t="str">
        <f>_xlfn.XLOOKUP(F268,'6月产品包'!B:B,'6月产品包'!C:C)</f>
        <v>3B-硬币清分机5188</v>
      </c>
      <c r="F268" s="39" t="s">
        <v>569</v>
      </c>
      <c r="G268" s="39" t="s">
        <v>106</v>
      </c>
      <c r="H268" s="49" t="s">
        <v>101</v>
      </c>
      <c r="I268" s="37" t="str">
        <f>_xlfn.XLOOKUP($F268,'6月库存'!A:A,'6月库存'!B:B)</f>
        <v>正常销售</v>
      </c>
      <c r="K268" s="39" t="e">
        <f>_xlfn.XLOOKUP(E268,'[1]6月分配 '!$B:$B,'[1]6月分配 '!$K:$K)</f>
        <v>#N/A</v>
      </c>
      <c r="L268" s="12" t="str">
        <f t="shared" si="106"/>
        <v>否</v>
      </c>
      <c r="M268" s="40" t="str">
        <f>_xlfn.XLOOKUP(F268,'6月产品包'!B:B,'6月产品包'!J:J)</f>
        <v>2026-02-26</v>
      </c>
      <c r="N268" s="39" t="str">
        <f ca="1" t="shared" si="120"/>
        <v>新品</v>
      </c>
      <c r="O268" s="37">
        <f>_xlfn.XLOOKUP(F268,'6月库存'!A:A,'6月库存'!R:R)</f>
        <v>40</v>
      </c>
      <c r="P268" s="39">
        <f>_xlfn.XLOOKUP(F268,'6月产品包'!B:B,'6月产品包'!S:S)</f>
        <v>5700</v>
      </c>
      <c r="Q268" s="56"/>
      <c r="R268" s="41">
        <f>_xlfn.XLOOKUP(F268,'6月产品包'!B:B,'6月产品包'!AD:AD)</f>
        <v>220.284</v>
      </c>
      <c r="S268" s="39">
        <v>419</v>
      </c>
      <c r="T268" s="39">
        <f t="shared" si="121"/>
        <v>524</v>
      </c>
      <c r="U268" s="42">
        <f t="shared" si="110"/>
        <v>419.2</v>
      </c>
      <c r="V268" s="43">
        <v>0.2</v>
      </c>
      <c r="W268" s="44">
        <f t="shared" si="122"/>
        <v>0.474513358778626</v>
      </c>
      <c r="X268" s="44">
        <f t="shared" si="109"/>
        <v>0.300946694186551</v>
      </c>
      <c r="Y268" s="44">
        <v>0.038</v>
      </c>
      <c r="Z268" s="46">
        <v>0.1</v>
      </c>
      <c r="AA268" s="46">
        <v>0.049</v>
      </c>
      <c r="AB268" s="46">
        <f t="shared" ref="AB268:AB290" si="123">$AB$1/U268</f>
        <v>0.0012881679389313</v>
      </c>
      <c r="AC268" s="46">
        <v>0.06</v>
      </c>
      <c r="AF268" s="48" t="s">
        <v>102</v>
      </c>
      <c r="AG268" s="39">
        <f t="shared" si="111"/>
        <v>35.2128</v>
      </c>
      <c r="AH268" s="39">
        <f t="shared" si="112"/>
        <v>6</v>
      </c>
      <c r="AI268" s="39">
        <f t="shared" si="113"/>
        <v>21</v>
      </c>
      <c r="AJ268" s="39">
        <f t="shared" si="114"/>
        <v>35.2128</v>
      </c>
      <c r="AK268" s="39">
        <f t="shared" si="115"/>
        <v>31.44</v>
      </c>
      <c r="AL268" s="39">
        <f t="shared" si="116"/>
        <v>27.6672</v>
      </c>
      <c r="AM268" s="39">
        <f t="shared" si="117"/>
        <v>22.6368</v>
      </c>
      <c r="AN268" s="39">
        <f t="shared" si="118"/>
        <v>18</v>
      </c>
    </row>
    <row r="269" ht="50" hidden="1" customHeight="1" spans="1:40">
      <c r="A269" s="39" t="str">
        <f>_xlfn.XLOOKUP(F269,'6月产品包'!B:B,'6月产品包'!F:F)</f>
        <v>办公安防</v>
      </c>
      <c r="B269" s="39" t="str">
        <f>_xlfn.XLOOKUP(F269,'6月产品包'!B:B,'6月产品包'!G:G)</f>
        <v>办公周边</v>
      </c>
      <c r="C269" s="37" t="str">
        <f>_xlfn.XLOOKUP(F269,'6月产品包'!B:B,'6月产品包'!H:H)</f>
        <v>点钞机</v>
      </c>
      <c r="D269" s="38" t="str">
        <f>_xlfn.XLOOKUP(F269,'6月产品包'!B:B,'6月产品包'!O:O)</f>
        <v>便携式点钞机V30</v>
      </c>
      <c r="E269" s="38" t="str">
        <f>_xlfn.XLOOKUP(F269,'6月产品包'!B:B,'6月产品包'!C:C)</f>
        <v>3B-便携式点钞机V30</v>
      </c>
      <c r="F269" s="39" t="s">
        <v>570</v>
      </c>
      <c r="G269" s="39" t="s">
        <v>106</v>
      </c>
      <c r="H269" s="49" t="s">
        <v>101</v>
      </c>
      <c r="I269" s="37" t="str">
        <f>_xlfn.XLOOKUP($F269,'6月库存'!A:A,'6月库存'!B:B)</f>
        <v>正常销售</v>
      </c>
      <c r="K269" s="39" t="e">
        <f>_xlfn.XLOOKUP(E269,'[1]6月分配 '!$B:$B,'[1]6月分配 '!$K:$K)</f>
        <v>#N/A</v>
      </c>
      <c r="L269" s="12" t="str">
        <f t="shared" si="106"/>
        <v>否</v>
      </c>
      <c r="M269" s="40" t="str">
        <f>_xlfn.XLOOKUP(F269,'6月产品包'!B:B,'6月产品包'!J:J)</f>
        <v>2026-02-26</v>
      </c>
      <c r="N269" s="39" t="str">
        <f ca="1" t="shared" si="120"/>
        <v>新品</v>
      </c>
      <c r="O269" s="37">
        <f>_xlfn.XLOOKUP(F269,'6月库存'!A:A,'6月库存'!R:R)</f>
        <v>1</v>
      </c>
      <c r="P269" s="39">
        <f>_xlfn.XLOOKUP(F269,'6月产品包'!B:B,'6月产品包'!S:S)</f>
        <v>720</v>
      </c>
      <c r="Q269" s="56"/>
      <c r="R269" s="41">
        <f>_xlfn.XLOOKUP(F269,'6月产品包'!B:B,'6月产品包'!AD:AD)</f>
        <v>67.0944</v>
      </c>
      <c r="S269" s="39">
        <v>129</v>
      </c>
      <c r="T269" s="39">
        <f t="shared" si="121"/>
        <v>161</v>
      </c>
      <c r="U269" s="42">
        <f t="shared" si="110"/>
        <v>128.8</v>
      </c>
      <c r="V269" s="43">
        <v>0.2</v>
      </c>
      <c r="W269" s="44">
        <f t="shared" si="122"/>
        <v>0.479080745341615</v>
      </c>
      <c r="X269" s="44">
        <f t="shared" si="109"/>
        <v>0.304334842980142</v>
      </c>
      <c r="Y269" s="44">
        <v>0.038</v>
      </c>
      <c r="Z269" s="46">
        <v>0.1</v>
      </c>
      <c r="AA269" s="46">
        <v>0.049</v>
      </c>
      <c r="AB269" s="46">
        <f t="shared" si="123"/>
        <v>0.00419254658385093</v>
      </c>
      <c r="AC269" s="46">
        <v>0.06</v>
      </c>
      <c r="AF269" s="48" t="s">
        <v>102</v>
      </c>
      <c r="AG269" s="39">
        <f t="shared" si="111"/>
        <v>6</v>
      </c>
      <c r="AH269" s="39">
        <f t="shared" si="112"/>
        <v>6</v>
      </c>
      <c r="AI269" s="39">
        <f t="shared" si="113"/>
        <v>0</v>
      </c>
      <c r="AJ269" s="39">
        <f t="shared" si="114"/>
        <v>0</v>
      </c>
      <c r="AK269" s="39">
        <f t="shared" si="115"/>
        <v>0</v>
      </c>
      <c r="AL269" s="39">
        <f t="shared" si="116"/>
        <v>0</v>
      </c>
      <c r="AM269" s="39">
        <f t="shared" si="117"/>
        <v>0</v>
      </c>
      <c r="AN269" s="39">
        <f t="shared" si="118"/>
        <v>0</v>
      </c>
    </row>
    <row r="270" ht="50" hidden="1" customHeight="1" spans="1:40">
      <c r="A270" s="39" t="str">
        <f>_xlfn.XLOOKUP(F270,'6月产品包'!B:B,'6月产品包'!F:F)</f>
        <v>办公安防</v>
      </c>
      <c r="B270" s="39" t="str">
        <f>_xlfn.XLOOKUP(F270,'6月产品包'!B:B,'6月产品包'!G:G)</f>
        <v>办公周边</v>
      </c>
      <c r="C270" s="37" t="str">
        <f>_xlfn.XLOOKUP(F270,'6月产品包'!B:B,'6月产品包'!H:H)</f>
        <v>针式纸片打卡机</v>
      </c>
      <c r="D270" s="38" t="str">
        <f>_xlfn.XLOOKUP(F270,'6月产品包'!B:B,'6月产品包'!O:O)</f>
        <v>微型考勤机</v>
      </c>
      <c r="E270" s="38" t="str">
        <f>_xlfn.XLOOKUP(F270,'6月产品包'!B:B,'6月产品包'!C:C)</f>
        <v>3B-微型电脑纸卡考勤机</v>
      </c>
      <c r="F270" s="39" t="s">
        <v>571</v>
      </c>
      <c r="G270" s="39" t="s">
        <v>106</v>
      </c>
      <c r="H270" s="49" t="s">
        <v>101</v>
      </c>
      <c r="I270" s="37" t="str">
        <f>_xlfn.XLOOKUP($F270,'6月库存'!A:A,'6月库存'!B:B)</f>
        <v>等待开发</v>
      </c>
      <c r="K270" s="39" t="e">
        <f>_xlfn.XLOOKUP(E270,'[1]6月分配 '!$B:$B,'[1]6月分配 '!$K:$K)</f>
        <v>#N/A</v>
      </c>
      <c r="L270" s="12" t="str">
        <f t="shared" si="106"/>
        <v>否</v>
      </c>
      <c r="M270" s="40" t="str">
        <f>_xlfn.XLOOKUP(F270,'6月产品包'!B:B,'6月产品包'!J:J)</f>
        <v>2026-02-26</v>
      </c>
      <c r="N270" s="39" t="str">
        <f ca="1" t="shared" si="120"/>
        <v>新品</v>
      </c>
      <c r="O270" s="37">
        <f>_xlfn.XLOOKUP(F270,'6月库存'!A:A,'6月库存'!R:R)</f>
        <v>0</v>
      </c>
      <c r="P270" s="39">
        <f>_xlfn.XLOOKUP(F270,'6月产品包'!B:B,'6月产品包'!S:S)</f>
        <v>1700</v>
      </c>
      <c r="Q270" s="56"/>
      <c r="R270" s="41">
        <f>_xlfn.XLOOKUP(F270,'6月产品包'!B:B,'6月产品包'!AD:AD)</f>
        <v>116.7656</v>
      </c>
      <c r="S270" s="39">
        <v>219</v>
      </c>
      <c r="T270" s="39">
        <f t="shared" si="121"/>
        <v>274</v>
      </c>
      <c r="U270" s="42">
        <f t="shared" si="110"/>
        <v>219.2</v>
      </c>
      <c r="V270" s="43">
        <v>0.2</v>
      </c>
      <c r="W270" s="44">
        <f t="shared" si="122"/>
        <v>0.467310218978102</v>
      </c>
      <c r="X270" s="44">
        <f t="shared" si="109"/>
        <v>0.290254659683827</v>
      </c>
      <c r="Y270" s="44">
        <v>0.038</v>
      </c>
      <c r="Z270" s="46">
        <v>0.1</v>
      </c>
      <c r="AA270" s="46">
        <v>0.049</v>
      </c>
      <c r="AB270" s="46">
        <f t="shared" si="123"/>
        <v>0.00246350364963504</v>
      </c>
      <c r="AC270" s="46">
        <v>0.06</v>
      </c>
      <c r="AF270" s="48" t="s">
        <v>102</v>
      </c>
      <c r="AG270" s="39">
        <f t="shared" si="111"/>
        <v>11.8368</v>
      </c>
      <c r="AH270" s="39">
        <f t="shared" si="112"/>
        <v>6</v>
      </c>
      <c r="AI270" s="39">
        <f t="shared" si="113"/>
        <v>11.8368</v>
      </c>
      <c r="AJ270" s="39">
        <f t="shared" si="114"/>
        <v>0</v>
      </c>
      <c r="AK270" s="39">
        <f t="shared" si="115"/>
        <v>0</v>
      </c>
      <c r="AL270" s="39">
        <f t="shared" si="116"/>
        <v>0</v>
      </c>
      <c r="AM270" s="39">
        <f t="shared" si="117"/>
        <v>0</v>
      </c>
      <c r="AN270" s="39">
        <f t="shared" si="118"/>
        <v>9.864</v>
      </c>
    </row>
    <row r="271" ht="50" hidden="1" customHeight="1" spans="1:40">
      <c r="A271" s="39" t="str">
        <f>_xlfn.XLOOKUP(F271,'6月产品包'!B:B,'6月产品包'!F:F)</f>
        <v>办公安防</v>
      </c>
      <c r="B271" s="39" t="str">
        <f>_xlfn.XLOOKUP(F271,'6月产品包'!B:B,'6月产品包'!G:G)</f>
        <v>储能设备</v>
      </c>
      <c r="C271" s="37" t="str">
        <f>_xlfn.XLOOKUP(F271,'6月产品包'!B:B,'6月产品包'!H:H)</f>
        <v>便携储能电源</v>
      </c>
      <c r="D271" s="38" t="str">
        <f>_xlfn.XLOOKUP(F271,'6月产品包'!B:B,'6月产品包'!O:O)</f>
        <v>便携电源</v>
      </c>
      <c r="E271" s="38" t="str">
        <f>_xlfn.XLOOKUP(F271,'6月产品包'!B:B,'6月产品包'!C:C)</f>
        <v>3B-便携式太阳能一体储能电源</v>
      </c>
      <c r="F271" s="39" t="s">
        <v>572</v>
      </c>
      <c r="G271" s="39" t="s">
        <v>106</v>
      </c>
      <c r="H271" s="39" t="s">
        <v>107</v>
      </c>
      <c r="I271" s="37" t="str">
        <f>_xlfn.XLOOKUP($F271,'6月库存'!A:A,'6月库存'!B:B)</f>
        <v>等待开发</v>
      </c>
      <c r="K271" s="39" t="e">
        <f>_xlfn.XLOOKUP(E271,'[1]6月分配 '!$B:$B,'[1]6月分配 '!$K:$K)</f>
        <v>#N/A</v>
      </c>
      <c r="L271" s="12" t="str">
        <f t="shared" si="106"/>
        <v>否</v>
      </c>
      <c r="M271" s="40" t="str">
        <f>_xlfn.XLOOKUP(F271,'6月产品包'!B:B,'6月产品包'!J:J)</f>
        <v>2026-03-30</v>
      </c>
      <c r="N271" s="39" t="str">
        <f ca="1" t="shared" si="120"/>
        <v>新品</v>
      </c>
      <c r="O271" s="37">
        <f>_xlfn.XLOOKUP(F271,'6月库存'!A:A,'6月库存'!R:R)</f>
        <v>0</v>
      </c>
      <c r="P271" s="39">
        <f>_xlfn.XLOOKUP(F271,'6月产品包'!B:B,'6月产品包'!S:S)</f>
        <v>2045</v>
      </c>
      <c r="Q271" s="56"/>
      <c r="R271" s="41">
        <f>_xlfn.XLOOKUP(F271,'6月产品包'!B:B,'6月产品包'!AD:AD)</f>
        <v>143.2675</v>
      </c>
      <c r="S271" s="39">
        <v>289</v>
      </c>
      <c r="T271" s="39">
        <f t="shared" si="121"/>
        <v>361</v>
      </c>
      <c r="U271" s="42">
        <f t="shared" si="110"/>
        <v>288.8</v>
      </c>
      <c r="V271" s="43">
        <v>0.2</v>
      </c>
      <c r="W271" s="44">
        <f t="shared" si="122"/>
        <v>0.503921398891967</v>
      </c>
      <c r="X271" s="44">
        <f t="shared" si="109"/>
        <v>0.335131314668855</v>
      </c>
      <c r="Y271" s="44">
        <v>0.038</v>
      </c>
      <c r="Z271" s="46">
        <v>0.105</v>
      </c>
      <c r="AA271" s="46">
        <v>0.049</v>
      </c>
      <c r="AB271" s="46">
        <f t="shared" si="123"/>
        <v>0.00186980609418283</v>
      </c>
      <c r="AC271" s="46">
        <v>0.06</v>
      </c>
      <c r="AD271" s="50">
        <v>0.05</v>
      </c>
      <c r="AE271" s="50">
        <v>0.03</v>
      </c>
      <c r="AF271" s="48" t="s">
        <v>102</v>
      </c>
      <c r="AG271" s="39">
        <f t="shared" si="111"/>
        <v>15.5952</v>
      </c>
      <c r="AH271" s="39">
        <f t="shared" si="112"/>
        <v>6</v>
      </c>
      <c r="AI271" s="39">
        <f t="shared" si="113"/>
        <v>15.5952</v>
      </c>
      <c r="AJ271" s="39">
        <f t="shared" si="114"/>
        <v>0</v>
      </c>
      <c r="AK271" s="39">
        <f t="shared" si="115"/>
        <v>0</v>
      </c>
      <c r="AL271" s="39">
        <f t="shared" si="116"/>
        <v>0</v>
      </c>
      <c r="AM271" s="39">
        <f t="shared" si="117"/>
        <v>15.5952</v>
      </c>
      <c r="AN271" s="39">
        <f t="shared" si="118"/>
        <v>12.996</v>
      </c>
    </row>
    <row r="272" ht="50" hidden="1" customHeight="1" spans="1:40">
      <c r="A272" s="39" t="str">
        <f>_xlfn.XLOOKUP(F272,'6月产品包'!B:B,'6月产品包'!F:F)</f>
        <v>3C数码</v>
      </c>
      <c r="B272" s="39" t="str">
        <f>_xlfn.XLOOKUP(F272,'6月产品包'!B:B,'6月产品包'!G:G)</f>
        <v>影像摄影</v>
      </c>
      <c r="C272" s="37" t="str">
        <f>_xlfn.XLOOKUP(F272,'6月产品包'!B:B,'6月产品包'!H:H)</f>
        <v>螺丝配件</v>
      </c>
      <c r="D272" s="38" t="str">
        <f>_xlfn.XLOOKUP(F272,'6月产品包'!B:B,'6月产品包'!O:O)</f>
        <v>投影仪支架螺丝</v>
      </c>
      <c r="E272" s="38" t="str">
        <f>_xlfn.XLOOKUP(F272,'6月产品包'!B:B,'6月产品包'!C:C)</f>
        <v>3C-投影仪支架螺丝</v>
      </c>
      <c r="F272" s="39" t="s">
        <v>573</v>
      </c>
      <c r="G272" s="39" t="s">
        <v>106</v>
      </c>
      <c r="H272" s="49" t="s">
        <v>101</v>
      </c>
      <c r="I272" s="37" t="str">
        <f>_xlfn.XLOOKUP($F272,'6月库存'!A:A,'6月库存'!B:B)</f>
        <v>等待开发</v>
      </c>
      <c r="K272" s="39" t="e">
        <f>_xlfn.XLOOKUP(E272,'[1]6月分配 '!$B:$B,'[1]6月分配 '!$K:$K)</f>
        <v>#N/A</v>
      </c>
      <c r="L272" s="12" t="str">
        <f t="shared" si="106"/>
        <v>否</v>
      </c>
      <c r="M272" s="40" t="str">
        <f>_xlfn.XLOOKUP(F272,'6月产品包'!B:B,'6月产品包'!J:J)</f>
        <v>2024-01-01</v>
      </c>
      <c r="N272" s="39" t="str">
        <f ca="1" t="shared" si="120"/>
        <v>老品</v>
      </c>
      <c r="O272" s="37">
        <f>_xlfn.XLOOKUP(F272,'6月库存'!A:A,'6月库存'!R:R)</f>
        <v>0</v>
      </c>
      <c r="P272" s="39">
        <f>_xlfn.XLOOKUP(F272,'6月产品包'!B:B,'6月产品包'!S:S)</f>
        <v>0</v>
      </c>
      <c r="Q272" s="56"/>
      <c r="R272" s="41">
        <f>_xlfn.XLOOKUP(F272,'6月产品包'!B:B,'6月产品包'!AD:AD)</f>
        <v>0.0001</v>
      </c>
      <c r="S272" s="39">
        <v>1</v>
      </c>
      <c r="T272" s="39">
        <f t="shared" si="121"/>
        <v>1</v>
      </c>
      <c r="U272" s="42">
        <f t="shared" si="110"/>
        <v>0.8</v>
      </c>
      <c r="V272" s="43">
        <v>0.2</v>
      </c>
      <c r="W272" s="44">
        <f t="shared" si="122"/>
        <v>0.999875</v>
      </c>
      <c r="X272" s="44">
        <f t="shared" si="109"/>
        <v>0.998015873015873</v>
      </c>
      <c r="Y272" s="44">
        <v>0.038</v>
      </c>
      <c r="Z272" s="46">
        <v>0.115</v>
      </c>
      <c r="AA272" s="46">
        <v>0.049</v>
      </c>
      <c r="AB272" s="46">
        <f t="shared" si="123"/>
        <v>0.675</v>
      </c>
      <c r="AC272" s="46">
        <v>0.06</v>
      </c>
      <c r="AF272" s="48" t="s">
        <v>102</v>
      </c>
      <c r="AG272" s="39">
        <f t="shared" si="111"/>
        <v>0</v>
      </c>
      <c r="AH272" s="39">
        <f t="shared" si="112"/>
        <v>0</v>
      </c>
      <c r="AI272" s="39">
        <f t="shared" si="113"/>
        <v>0</v>
      </c>
      <c r="AJ272" s="39">
        <f t="shared" si="114"/>
        <v>0</v>
      </c>
      <c r="AK272" s="39">
        <f t="shared" si="115"/>
        <v>0</v>
      </c>
      <c r="AL272" s="39">
        <f t="shared" si="116"/>
        <v>0</v>
      </c>
      <c r="AM272" s="39">
        <f t="shared" si="117"/>
        <v>0</v>
      </c>
      <c r="AN272" s="39">
        <f t="shared" si="118"/>
        <v>0</v>
      </c>
    </row>
    <row r="273" s="6" customFormat="1" ht="50" hidden="1" customHeight="1" spans="1:40">
      <c r="A273" s="37" t="s">
        <v>96</v>
      </c>
      <c r="B273" s="37" t="s">
        <v>127</v>
      </c>
      <c r="C273" s="37" t="str">
        <f>_xlfn.XLOOKUP(F273,'6月产品包'!B:B,'6月产品包'!H:H)</f>
        <v>保险箱</v>
      </c>
      <c r="D273" s="38" t="str">
        <f>_xlfn.XLOOKUP(F273,'6月产品包'!B:B,'6月产品包'!O:O)</f>
        <v>小尺寸保险箱</v>
      </c>
      <c r="E273" s="38" t="s">
        <v>574</v>
      </c>
      <c r="F273" s="39" t="s">
        <v>575</v>
      </c>
      <c r="G273" s="39" t="s">
        <v>126</v>
      </c>
      <c r="H273" s="37" t="s">
        <v>101</v>
      </c>
      <c r="I273" s="37" t="str">
        <f>_xlfn.XLOOKUP($F273,'6月库存'!A:A,'6月库存'!B:B)</f>
        <v>正常销售</v>
      </c>
      <c r="J273" s="12"/>
      <c r="K273" s="39" t="e">
        <f>_xlfn.XLOOKUP(E273,'[1]6月分配 '!$B:$B,'[1]6月分配 '!$K:$K)</f>
        <v>#N/A</v>
      </c>
      <c r="L273" s="12" t="str">
        <f t="shared" si="106"/>
        <v>否</v>
      </c>
      <c r="M273" s="40" t="str">
        <f>_xlfn.XLOOKUP(F273,'6月产品包'!B:B,'6月产品包'!J:J)</f>
        <v>2024-11-01</v>
      </c>
      <c r="N273" s="39" t="str">
        <f ca="1" t="shared" si="120"/>
        <v>老品</v>
      </c>
      <c r="O273" s="37">
        <f>_xlfn.XLOOKUP(F273,'6月库存'!A:A,'6月库存'!R:R)</f>
        <v>0</v>
      </c>
      <c r="P273" s="39">
        <f>_xlfn.XLOOKUP(F273,'6月产品包'!B:B,'6月产品包'!S:S)</f>
        <v>2600</v>
      </c>
      <c r="Q273" s="39"/>
      <c r="R273" s="41">
        <f>_xlfn.XLOOKUP(F273,'6月产品包'!B:B,'6月产品包'!AD:AD)</f>
        <v>38.86</v>
      </c>
      <c r="S273" s="39">
        <v>66</v>
      </c>
      <c r="T273" s="39">
        <f t="shared" si="121"/>
        <v>83</v>
      </c>
      <c r="U273" s="42">
        <f t="shared" si="110"/>
        <v>66.4</v>
      </c>
      <c r="V273" s="43">
        <v>0.2</v>
      </c>
      <c r="W273" s="44">
        <f t="shared" si="122"/>
        <v>0.414759036144578</v>
      </c>
      <c r="X273" s="44">
        <f t="shared" si="109"/>
        <v>0.212186577573064</v>
      </c>
      <c r="Y273" s="52">
        <v>0.04</v>
      </c>
      <c r="Z273" s="46">
        <v>0.1</v>
      </c>
      <c r="AA273" s="46">
        <v>0.049</v>
      </c>
      <c r="AB273" s="46">
        <f t="shared" si="123"/>
        <v>0.00813253012048193</v>
      </c>
      <c r="AC273" s="46">
        <v>0.06</v>
      </c>
      <c r="AD273" s="47"/>
      <c r="AF273" s="48" t="s">
        <v>102</v>
      </c>
      <c r="AG273" s="39">
        <f t="shared" si="111"/>
        <v>3.984</v>
      </c>
      <c r="AH273" s="39">
        <f t="shared" si="112"/>
        <v>3.984</v>
      </c>
      <c r="AI273" s="39">
        <f t="shared" si="113"/>
        <v>0</v>
      </c>
      <c r="AJ273" s="39">
        <f t="shared" si="114"/>
        <v>0</v>
      </c>
      <c r="AK273" s="39">
        <f t="shared" si="115"/>
        <v>0</v>
      </c>
      <c r="AL273" s="39">
        <f t="shared" si="116"/>
        <v>0</v>
      </c>
      <c r="AM273" s="39">
        <f t="shared" si="117"/>
        <v>0</v>
      </c>
      <c r="AN273" s="39">
        <f t="shared" si="118"/>
        <v>0</v>
      </c>
    </row>
    <row r="274" s="6" customFormat="1" ht="50" hidden="1" customHeight="1" spans="1:40">
      <c r="A274" s="37" t="s">
        <v>96</v>
      </c>
      <c r="B274" s="37" t="s">
        <v>127</v>
      </c>
      <c r="C274" s="37" t="str">
        <f>_xlfn.XLOOKUP(F274,'6月产品包'!B:B,'6月产品包'!H:H)</f>
        <v>保险箱</v>
      </c>
      <c r="D274" s="38" t="str">
        <f>_xlfn.XLOOKUP(F274,'6月产品包'!B:B,'6月产品包'!O:O)</f>
        <v>小尺寸保险箱</v>
      </c>
      <c r="E274" s="38" t="s">
        <v>574</v>
      </c>
      <c r="F274" s="39" t="s">
        <v>576</v>
      </c>
      <c r="G274" s="39" t="s">
        <v>126</v>
      </c>
      <c r="H274" s="37" t="s">
        <v>101</v>
      </c>
      <c r="I274" s="37" t="str">
        <f>_xlfn.XLOOKUP($F274,'6月库存'!A:A,'6月库存'!B:B)</f>
        <v>正常销售</v>
      </c>
      <c r="J274" s="12"/>
      <c r="K274" s="39" t="e">
        <f>_xlfn.XLOOKUP(E274,'[1]6月分配 '!$B:$B,'[1]6月分配 '!$K:$K)</f>
        <v>#N/A</v>
      </c>
      <c r="L274" s="12" t="str">
        <f t="shared" si="106"/>
        <v>否</v>
      </c>
      <c r="M274" s="40" t="str">
        <f>_xlfn.XLOOKUP(F274,'6月产品包'!B:B,'6月产品包'!J:J)</f>
        <v>2024-11-21</v>
      </c>
      <c r="N274" s="39" t="str">
        <f ca="1" t="shared" si="120"/>
        <v>老品</v>
      </c>
      <c r="O274" s="37">
        <f>_xlfn.XLOOKUP(F274,'6月库存'!A:A,'6月库存'!R:R)</f>
        <v>0</v>
      </c>
      <c r="P274" s="39">
        <f>_xlfn.XLOOKUP(F274,'6月产品包'!B:B,'6月产品包'!S:S)</f>
        <v>2800</v>
      </c>
      <c r="Q274" s="39"/>
      <c r="R274" s="41">
        <f>_xlfn.XLOOKUP(F274,'6月产品包'!B:B,'6月产品包'!AD:AD)</f>
        <v>34.6202</v>
      </c>
      <c r="S274" s="39">
        <v>66</v>
      </c>
      <c r="T274" s="39">
        <f t="shared" si="121"/>
        <v>83</v>
      </c>
      <c r="U274" s="42">
        <f t="shared" si="110"/>
        <v>66.4</v>
      </c>
      <c r="V274" s="43">
        <v>0.2</v>
      </c>
      <c r="W274" s="44">
        <f t="shared" si="122"/>
        <v>0.478611445783133</v>
      </c>
      <c r="X274" s="44">
        <f t="shared" si="109"/>
        <v>0.29814054948263</v>
      </c>
      <c r="Y274" s="52">
        <v>0.04</v>
      </c>
      <c r="Z274" s="46">
        <v>0.1</v>
      </c>
      <c r="AA274" s="46">
        <v>0.049</v>
      </c>
      <c r="AB274" s="46">
        <f t="shared" si="123"/>
        <v>0.00813253012048193</v>
      </c>
      <c r="AC274" s="46">
        <v>0.06</v>
      </c>
      <c r="AD274" s="47"/>
      <c r="AF274" s="48" t="s">
        <v>102</v>
      </c>
      <c r="AG274" s="39">
        <f t="shared" si="111"/>
        <v>3.984</v>
      </c>
      <c r="AH274" s="39">
        <f t="shared" si="112"/>
        <v>3.984</v>
      </c>
      <c r="AI274" s="39">
        <f t="shared" si="113"/>
        <v>0</v>
      </c>
      <c r="AJ274" s="39">
        <f t="shared" si="114"/>
        <v>0</v>
      </c>
      <c r="AK274" s="39">
        <f t="shared" si="115"/>
        <v>0</v>
      </c>
      <c r="AL274" s="39">
        <f t="shared" si="116"/>
        <v>0</v>
      </c>
      <c r="AM274" s="39">
        <f t="shared" si="117"/>
        <v>0</v>
      </c>
      <c r="AN274" s="39">
        <f t="shared" si="118"/>
        <v>0</v>
      </c>
    </row>
    <row r="275" s="6" customFormat="1" ht="50" hidden="1" customHeight="1" spans="1:40">
      <c r="A275" s="37" t="s">
        <v>96</v>
      </c>
      <c r="B275" s="37" t="s">
        <v>127</v>
      </c>
      <c r="C275" s="37" t="str">
        <f>_xlfn.XLOOKUP(F275,'6月产品包'!B:B,'6月产品包'!H:H)</f>
        <v>保险箱</v>
      </c>
      <c r="D275" s="38" t="str">
        <f>_xlfn.XLOOKUP(F275,'6月产品包'!B:B,'6月产品包'!O:O)</f>
        <v>投币款保险箱</v>
      </c>
      <c r="E275" s="38" t="s">
        <v>577</v>
      </c>
      <c r="F275" s="39" t="s">
        <v>578</v>
      </c>
      <c r="G275" s="39" t="s">
        <v>106</v>
      </c>
      <c r="H275" s="37" t="s">
        <v>101</v>
      </c>
      <c r="I275" s="37" t="str">
        <f>_xlfn.XLOOKUP($F275,'6月库存'!A:A,'6月库存'!B:B)</f>
        <v>正常销售</v>
      </c>
      <c r="J275" s="12"/>
      <c r="K275" s="39" t="e">
        <f>_xlfn.XLOOKUP(E275,'[1]6月分配 '!$B:$B,'[1]6月分配 '!$K:$K)</f>
        <v>#N/A</v>
      </c>
      <c r="L275" s="12" t="str">
        <f t="shared" si="106"/>
        <v>否</v>
      </c>
      <c r="M275" s="40" t="str">
        <f>_xlfn.XLOOKUP(F275,'6月产品包'!B:B,'6月产品包'!J:J)</f>
        <v>2025-03-18</v>
      </c>
      <c r="N275" s="39" t="str">
        <f ca="1" t="shared" si="120"/>
        <v>老品</v>
      </c>
      <c r="O275" s="37">
        <f>_xlfn.XLOOKUP(F275,'6月库存'!A:A,'6月库存'!R:R)</f>
        <v>0</v>
      </c>
      <c r="P275" s="39">
        <f>_xlfn.XLOOKUP(F275,'6月产品包'!B:B,'6月产品包'!S:S)</f>
        <v>2300</v>
      </c>
      <c r="Q275" s="39"/>
      <c r="R275" s="41">
        <f>_xlfn.XLOOKUP(F275,'6月产品包'!B:B,'6月产品包'!AD:AD)</f>
        <v>36.0818</v>
      </c>
      <c r="S275" s="39">
        <v>75</v>
      </c>
      <c r="T275" s="39">
        <f t="shared" si="121"/>
        <v>94</v>
      </c>
      <c r="U275" s="42">
        <f t="shared" si="110"/>
        <v>75.2</v>
      </c>
      <c r="V275" s="43">
        <v>0.2</v>
      </c>
      <c r="W275" s="44">
        <f t="shared" si="122"/>
        <v>0.520188829787234</v>
      </c>
      <c r="X275" s="44">
        <f t="shared" si="109"/>
        <v>0.356665525553796</v>
      </c>
      <c r="Y275" s="51">
        <v>0.038</v>
      </c>
      <c r="Z275" s="46">
        <v>0.1</v>
      </c>
      <c r="AA275" s="46">
        <v>0.049</v>
      </c>
      <c r="AB275" s="46">
        <f t="shared" si="123"/>
        <v>0.00718085106382979</v>
      </c>
      <c r="AC275" s="46">
        <v>0.06</v>
      </c>
      <c r="AD275" s="47"/>
      <c r="AF275" s="48" t="s">
        <v>102</v>
      </c>
      <c r="AG275" s="39">
        <f t="shared" si="111"/>
        <v>4.512</v>
      </c>
      <c r="AH275" s="39">
        <f t="shared" si="112"/>
        <v>4.512</v>
      </c>
      <c r="AI275" s="39">
        <f t="shared" si="113"/>
        <v>0</v>
      </c>
      <c r="AJ275" s="39">
        <f t="shared" si="114"/>
        <v>0</v>
      </c>
      <c r="AK275" s="39">
        <f t="shared" si="115"/>
        <v>0</v>
      </c>
      <c r="AL275" s="39">
        <f t="shared" si="116"/>
        <v>0</v>
      </c>
      <c r="AM275" s="39">
        <f t="shared" si="117"/>
        <v>0</v>
      </c>
      <c r="AN275" s="39">
        <f t="shared" si="118"/>
        <v>0</v>
      </c>
    </row>
    <row r="276" s="6" customFormat="1" ht="50" hidden="1" customHeight="1" spans="1:40">
      <c r="A276" s="37" t="s">
        <v>96</v>
      </c>
      <c r="B276" s="37" t="s">
        <v>127</v>
      </c>
      <c r="C276" s="37" t="str">
        <f>_xlfn.XLOOKUP(F276,'6月产品包'!B:B,'6月产品包'!H:H)</f>
        <v>保险箱</v>
      </c>
      <c r="D276" s="38" t="str">
        <f>_xlfn.XLOOKUP(F276,'6月产品包'!B:B,'6月产品包'!O:O)</f>
        <v>小尺寸保险箱</v>
      </c>
      <c r="E276" s="38" t="s">
        <v>579</v>
      </c>
      <c r="F276" s="39" t="s">
        <v>580</v>
      </c>
      <c r="G276" s="39" t="s">
        <v>100</v>
      </c>
      <c r="H276" s="37" t="s">
        <v>101</v>
      </c>
      <c r="I276" s="37" t="str">
        <f>_xlfn.XLOOKUP($F276,'6月库存'!A:A,'6月库存'!B:B)</f>
        <v>正常销售</v>
      </c>
      <c r="J276" s="12"/>
      <c r="K276" s="39" t="e">
        <f>_xlfn.XLOOKUP(E276,'[1]6月分配 '!$B:$B,'[1]6月分配 '!$K:$K)</f>
        <v>#N/A</v>
      </c>
      <c r="L276" s="12" t="str">
        <f t="shared" si="106"/>
        <v>否</v>
      </c>
      <c r="M276" s="40" t="str">
        <f>_xlfn.XLOOKUP(F276,'6月产品包'!B:B,'6月产品包'!J:J)</f>
        <v>2025-02-11</v>
      </c>
      <c r="N276" s="39" t="str">
        <f ca="1" t="shared" si="120"/>
        <v>老品</v>
      </c>
      <c r="O276" s="37">
        <f>_xlfn.XLOOKUP(F276,'6月库存'!A:A,'6月库存'!R:R)</f>
        <v>115</v>
      </c>
      <c r="P276" s="39">
        <f>_xlfn.XLOOKUP(F276,'6月产品包'!B:B,'6月产品包'!S:S)</f>
        <v>2300</v>
      </c>
      <c r="Q276" s="39"/>
      <c r="R276" s="41">
        <f>_xlfn.XLOOKUP(F276,'6月产品包'!B:B,'6月产品包'!AD:AD)</f>
        <v>31.5056</v>
      </c>
      <c r="S276" s="39">
        <v>59</v>
      </c>
      <c r="T276" s="39">
        <f t="shared" si="121"/>
        <v>74</v>
      </c>
      <c r="U276" s="42">
        <f t="shared" si="110"/>
        <v>59.2</v>
      </c>
      <c r="V276" s="43">
        <v>0.2</v>
      </c>
      <c r="W276" s="44">
        <f t="shared" si="122"/>
        <v>0.467810810810811</v>
      </c>
      <c r="X276" s="44">
        <f t="shared" si="109"/>
        <v>0.282646314140512</v>
      </c>
      <c r="Y276" s="52">
        <v>0.04</v>
      </c>
      <c r="Z276" s="46">
        <v>0.1</v>
      </c>
      <c r="AA276" s="46">
        <v>0.049</v>
      </c>
      <c r="AB276" s="46">
        <f t="shared" si="123"/>
        <v>0.00912162162162162</v>
      </c>
      <c r="AC276" s="46">
        <v>0.06</v>
      </c>
      <c r="AD276" s="47"/>
      <c r="AF276" s="48" t="s">
        <v>102</v>
      </c>
      <c r="AG276" s="39">
        <f t="shared" si="111"/>
        <v>3.552</v>
      </c>
      <c r="AH276" s="39">
        <f t="shared" si="112"/>
        <v>3.552</v>
      </c>
      <c r="AI276" s="39">
        <f t="shared" si="113"/>
        <v>0</v>
      </c>
      <c r="AJ276" s="39">
        <f t="shared" si="114"/>
        <v>0</v>
      </c>
      <c r="AK276" s="39">
        <f t="shared" si="115"/>
        <v>0</v>
      </c>
      <c r="AL276" s="39">
        <f t="shared" si="116"/>
        <v>0</v>
      </c>
      <c r="AM276" s="39">
        <f t="shared" si="117"/>
        <v>0</v>
      </c>
      <c r="AN276" s="39">
        <f t="shared" si="118"/>
        <v>0</v>
      </c>
    </row>
    <row r="277" s="6" customFormat="1" ht="50" hidden="1" customHeight="1" spans="1:40">
      <c r="A277" s="37" t="s">
        <v>96</v>
      </c>
      <c r="B277" s="37" t="s">
        <v>127</v>
      </c>
      <c r="C277" s="37" t="str">
        <f>_xlfn.XLOOKUP(F277,'6月产品包'!B:B,'6月产品包'!H:H)</f>
        <v>保险箱</v>
      </c>
      <c r="D277" s="38" t="str">
        <f>_xlfn.XLOOKUP(F277,'6月产品包'!B:B,'6月产品包'!O:O)</f>
        <v>小尺寸保险箱</v>
      </c>
      <c r="E277" s="38" t="s">
        <v>581</v>
      </c>
      <c r="F277" s="39" t="s">
        <v>582</v>
      </c>
      <c r="G277" s="39" t="s">
        <v>100</v>
      </c>
      <c r="H277" s="37" t="s">
        <v>101</v>
      </c>
      <c r="I277" s="37" t="str">
        <f>_xlfn.XLOOKUP($F277,'6月库存'!A:A,'6月库存'!B:B)</f>
        <v>正常销售</v>
      </c>
      <c r="J277" s="12"/>
      <c r="K277" s="39" t="e">
        <f>_xlfn.XLOOKUP(E277,'[1]6月分配 '!$B:$B,'[1]6月分配 '!$K:$K)</f>
        <v>#N/A</v>
      </c>
      <c r="L277" s="12" t="str">
        <f t="shared" si="106"/>
        <v>否</v>
      </c>
      <c r="M277" s="40" t="str">
        <f>_xlfn.XLOOKUP(F277,'6月产品包'!B:B,'6月产品包'!J:J)</f>
        <v>2024-11-21</v>
      </c>
      <c r="N277" s="39" t="str">
        <f ca="1" t="shared" si="120"/>
        <v>老品</v>
      </c>
      <c r="O277" s="37">
        <f>_xlfn.XLOOKUP(F277,'6月库存'!A:A,'6月库存'!R:R)</f>
        <v>248</v>
      </c>
      <c r="P277" s="39">
        <f>_xlfn.XLOOKUP(F277,'6月产品包'!B:B,'6月产品包'!S:S)</f>
        <v>4600</v>
      </c>
      <c r="Q277" s="39"/>
      <c r="R277" s="41">
        <f>_xlfn.XLOOKUP(F277,'6月产品包'!B:B,'6月产品包'!AD:AD)</f>
        <v>55.6684</v>
      </c>
      <c r="S277" s="39">
        <v>105</v>
      </c>
      <c r="T277" s="39">
        <f t="shared" si="121"/>
        <v>131</v>
      </c>
      <c r="U277" s="42">
        <f t="shared" si="110"/>
        <v>104.8</v>
      </c>
      <c r="V277" s="43">
        <v>0.2</v>
      </c>
      <c r="W277" s="44">
        <f t="shared" si="122"/>
        <v>0.468812977099237</v>
      </c>
      <c r="X277" s="44">
        <f t="shared" si="109"/>
        <v>0.287807299449369</v>
      </c>
      <c r="Y277" s="52">
        <v>0.04</v>
      </c>
      <c r="Z277" s="46">
        <v>0.1</v>
      </c>
      <c r="AA277" s="46">
        <v>0.049</v>
      </c>
      <c r="AB277" s="46">
        <f t="shared" si="123"/>
        <v>0.00515267175572519</v>
      </c>
      <c r="AC277" s="46">
        <v>0.06</v>
      </c>
      <c r="AD277" s="47"/>
      <c r="AF277" s="48" t="s">
        <v>102</v>
      </c>
      <c r="AG277" s="39">
        <f t="shared" si="111"/>
        <v>6</v>
      </c>
      <c r="AH277" s="39">
        <f t="shared" si="112"/>
        <v>6</v>
      </c>
      <c r="AI277" s="39">
        <f t="shared" si="113"/>
        <v>0</v>
      </c>
      <c r="AJ277" s="39">
        <f t="shared" si="114"/>
        <v>0</v>
      </c>
      <c r="AK277" s="39">
        <f t="shared" si="115"/>
        <v>0</v>
      </c>
      <c r="AL277" s="39">
        <f t="shared" si="116"/>
        <v>0</v>
      </c>
      <c r="AM277" s="39">
        <f t="shared" si="117"/>
        <v>0</v>
      </c>
      <c r="AN277" s="39">
        <f t="shared" si="118"/>
        <v>0</v>
      </c>
    </row>
    <row r="278" s="6" customFormat="1" ht="50" hidden="1" customHeight="1" spans="1:40">
      <c r="A278" s="37" t="s">
        <v>96</v>
      </c>
      <c r="B278" s="37" t="s">
        <v>127</v>
      </c>
      <c r="C278" s="37" t="str">
        <f>_xlfn.XLOOKUP(F278,'6月产品包'!B:B,'6月产品包'!H:H)</f>
        <v>保险箱</v>
      </c>
      <c r="D278" s="38" t="str">
        <f>_xlfn.XLOOKUP(F278,'6月产品包'!B:B,'6月产品包'!O:O)</f>
        <v>小尺寸保险箱</v>
      </c>
      <c r="E278" s="38" t="s">
        <v>581</v>
      </c>
      <c r="F278" s="39" t="s">
        <v>583</v>
      </c>
      <c r="G278" s="39" t="s">
        <v>100</v>
      </c>
      <c r="H278" s="37" t="s">
        <v>101</v>
      </c>
      <c r="I278" s="37" t="str">
        <f>_xlfn.XLOOKUP($F278,'6月库存'!A:A,'6月库存'!B:B)</f>
        <v>正常销售</v>
      </c>
      <c r="J278" s="12"/>
      <c r="K278" s="39" t="e">
        <f>_xlfn.XLOOKUP(E278,'[1]6月分配 '!$B:$B,'[1]6月分配 '!$K:$K)</f>
        <v>#N/A</v>
      </c>
      <c r="L278" s="12" t="str">
        <f t="shared" si="106"/>
        <v>否</v>
      </c>
      <c r="M278" s="40" t="str">
        <f>_xlfn.XLOOKUP(F278,'6月产品包'!B:B,'6月产品包'!J:J)</f>
        <v>2024-05-01</v>
      </c>
      <c r="N278" s="39" t="str">
        <f ca="1" t="shared" si="120"/>
        <v>老品</v>
      </c>
      <c r="O278" s="37">
        <f>_xlfn.XLOOKUP(F278,'6月库存'!A:A,'6月库存'!R:R)</f>
        <v>1</v>
      </c>
      <c r="P278" s="39">
        <f>_xlfn.XLOOKUP(F278,'6月产品包'!B:B,'6月产品包'!S:S)</f>
        <v>4600</v>
      </c>
      <c r="Q278" s="39"/>
      <c r="R278" s="41">
        <f>_xlfn.XLOOKUP(F278,'6月产品包'!B:B,'6月产品包'!AD:AD)</f>
        <v>58.0348</v>
      </c>
      <c r="S278" s="39">
        <v>108</v>
      </c>
      <c r="T278" s="39">
        <f t="shared" si="121"/>
        <v>135</v>
      </c>
      <c r="U278" s="42">
        <f t="shared" si="110"/>
        <v>108</v>
      </c>
      <c r="V278" s="43">
        <v>0.2</v>
      </c>
      <c r="W278" s="44">
        <f t="shared" si="122"/>
        <v>0.462640740740741</v>
      </c>
      <c r="X278" s="44">
        <f t="shared" si="109"/>
        <v>0.27967927713236</v>
      </c>
      <c r="Y278" s="52">
        <v>0.04</v>
      </c>
      <c r="Z278" s="46">
        <v>0.1</v>
      </c>
      <c r="AA278" s="46">
        <v>0.049</v>
      </c>
      <c r="AB278" s="46">
        <f t="shared" si="123"/>
        <v>0.005</v>
      </c>
      <c r="AC278" s="46">
        <v>0.06</v>
      </c>
      <c r="AD278" s="47"/>
      <c r="AF278" s="48" t="s">
        <v>102</v>
      </c>
      <c r="AG278" s="39">
        <f t="shared" si="111"/>
        <v>6</v>
      </c>
      <c r="AH278" s="39">
        <f t="shared" si="112"/>
        <v>6</v>
      </c>
      <c r="AI278" s="39">
        <f t="shared" si="113"/>
        <v>0</v>
      </c>
      <c r="AJ278" s="39">
        <f t="shared" si="114"/>
        <v>0</v>
      </c>
      <c r="AK278" s="39">
        <f t="shared" si="115"/>
        <v>0</v>
      </c>
      <c r="AL278" s="39">
        <f t="shared" si="116"/>
        <v>0</v>
      </c>
      <c r="AM278" s="39">
        <f t="shared" si="117"/>
        <v>0</v>
      </c>
      <c r="AN278" s="39">
        <f t="shared" si="118"/>
        <v>0</v>
      </c>
    </row>
    <row r="279" s="6" customFormat="1" ht="50" hidden="1" customHeight="1" spans="1:40">
      <c r="A279" s="39" t="str">
        <f>_xlfn.XLOOKUP(F279,'6月产品包'!B:B,'6月产品包'!F:F)</f>
        <v>3C数码</v>
      </c>
      <c r="B279" s="39" t="str">
        <f>_xlfn.XLOOKUP(F279,'6月产品包'!B:B,'6月产品包'!G:G)</f>
        <v>游戏娱乐</v>
      </c>
      <c r="C279" s="37" t="str">
        <f>_xlfn.XLOOKUP(F279,'6月产品包'!B:B,'6月产品包'!H:H)</f>
        <v>游戏手柄</v>
      </c>
      <c r="D279" s="38" t="str">
        <f>_xlfn.XLOOKUP(F279,'6月产品包'!B:B,'6月产品包'!O:O)</f>
        <v>RGB蓝牙无线拉伸手机游戏手柄</v>
      </c>
      <c r="E279" s="38" t="s">
        <v>584</v>
      </c>
      <c r="F279" s="39" t="s">
        <v>585</v>
      </c>
      <c r="G279" s="39" t="s">
        <v>106</v>
      </c>
      <c r="H279" s="37" t="s">
        <v>107</v>
      </c>
      <c r="I279" s="37" t="str">
        <f>_xlfn.XLOOKUP($F279,'6月库存'!A:A,'6月库存'!B:B)</f>
        <v>正常销售</v>
      </c>
      <c r="J279" s="12"/>
      <c r="K279" s="39">
        <f>_xlfn.XLOOKUP(E279,'[1]6月分配 '!$B:$B,'[1]6月分配 '!$K:$K)</f>
        <v>2635</v>
      </c>
      <c r="L279" s="12" t="str">
        <f t="shared" si="106"/>
        <v>是</v>
      </c>
      <c r="M279" s="40" t="str">
        <f>_xlfn.XLOOKUP(F279,'6月产品包'!B:B,'6月产品包'!J:J)</f>
        <v>2025-09-27</v>
      </c>
      <c r="N279" s="37" t="s">
        <v>149</v>
      </c>
      <c r="O279" s="37">
        <f>_xlfn.XLOOKUP(F279,'6月库存'!A:A,'6月库存'!R:R)</f>
        <v>101</v>
      </c>
      <c r="P279" s="39">
        <f>_xlfn.XLOOKUP(F279,'6月产品包'!B:B,'6月产品包'!S:S)</f>
        <v>490</v>
      </c>
      <c r="Q279" s="39"/>
      <c r="R279" s="41">
        <f>_xlfn.XLOOKUP(F279,'6月产品包'!B:B,'6月产品包'!AD:AD)</f>
        <v>54.5722</v>
      </c>
      <c r="S279" s="39">
        <v>119</v>
      </c>
      <c r="T279" s="39">
        <f t="shared" si="121"/>
        <v>149</v>
      </c>
      <c r="U279" s="42">
        <f t="shared" si="110"/>
        <v>119.2</v>
      </c>
      <c r="V279" s="43">
        <v>0.2</v>
      </c>
      <c r="W279" s="44">
        <f t="shared" si="122"/>
        <v>0.542179530201342</v>
      </c>
      <c r="X279" s="44">
        <f t="shared" si="109"/>
        <v>0.380041715137415</v>
      </c>
      <c r="Y279" s="44">
        <v>0.038</v>
      </c>
      <c r="Z279" s="46">
        <v>0.09</v>
      </c>
      <c r="AA279" s="46">
        <v>0.049</v>
      </c>
      <c r="AB279" s="46">
        <f t="shared" si="123"/>
        <v>0.00453020134228188</v>
      </c>
      <c r="AC279" s="46">
        <v>0.08</v>
      </c>
      <c r="AD279" s="50">
        <v>0.08</v>
      </c>
      <c r="AE279" s="58">
        <v>0.05</v>
      </c>
      <c r="AF279" s="55" t="s">
        <v>114</v>
      </c>
      <c r="AG279" s="39">
        <f t="shared" si="111"/>
        <v>6</v>
      </c>
      <c r="AH279" s="39">
        <f t="shared" si="112"/>
        <v>6</v>
      </c>
      <c r="AI279" s="39">
        <f t="shared" si="113"/>
        <v>0</v>
      </c>
      <c r="AJ279" s="39">
        <f t="shared" si="114"/>
        <v>0</v>
      </c>
      <c r="AK279" s="39">
        <f t="shared" si="115"/>
        <v>0</v>
      </c>
      <c r="AL279" s="39">
        <f t="shared" si="116"/>
        <v>0</v>
      </c>
      <c r="AM279" s="39">
        <f t="shared" si="117"/>
        <v>0</v>
      </c>
      <c r="AN279" s="39">
        <f t="shared" si="118"/>
        <v>0</v>
      </c>
    </row>
    <row r="280" s="6" customFormat="1" ht="50" hidden="1" customHeight="1" spans="1:40">
      <c r="A280" s="39" t="str">
        <f>_xlfn.XLOOKUP(F280,'6月产品包'!B:B,'6月产品包'!F:F)</f>
        <v>3C数码</v>
      </c>
      <c r="B280" s="39" t="str">
        <f>_xlfn.XLOOKUP(F280,'6月产品包'!B:B,'6月产品包'!G:G)</f>
        <v>游戏娱乐</v>
      </c>
      <c r="C280" s="37" t="str">
        <f>_xlfn.XLOOKUP(F280,'6月产品包'!B:B,'6月产品包'!H:H)</f>
        <v>游戏手柄</v>
      </c>
      <c r="D280" s="38" t="str">
        <f>_xlfn.XLOOKUP(F280,'6月产品包'!B:B,'6月产品包'!O:O)</f>
        <v>RGB蓝牙无线拉伸手机游戏手柄</v>
      </c>
      <c r="E280" s="38" t="str">
        <f>_xlfn.XLOOKUP(F280,'6月产品包'!B:B,'6月产品包'!C:C)</f>
        <v>3C-RGB蓝牙无线拉伸手机游戏手柄STK7009</v>
      </c>
      <c r="F280" s="39" t="s">
        <v>586</v>
      </c>
      <c r="G280" s="39" t="s">
        <v>106</v>
      </c>
      <c r="H280" s="39" t="s">
        <v>107</v>
      </c>
      <c r="I280" s="37" t="str">
        <f>_xlfn.XLOOKUP($F280,'6月库存'!A:A,'6月库存'!B:B)</f>
        <v>等待开发</v>
      </c>
      <c r="J280" s="12"/>
      <c r="K280" s="39">
        <f>_xlfn.XLOOKUP(E280,'[1]6月分配 '!$B:$B,'[1]6月分配 '!$K:$K)</f>
        <v>2635</v>
      </c>
      <c r="L280" s="12" t="str">
        <f t="shared" si="106"/>
        <v>是</v>
      </c>
      <c r="M280" s="40" t="str">
        <f>_xlfn.XLOOKUP(F280,'6月产品包'!B:B,'6月产品包'!J:J)</f>
        <v>2026-04-18</v>
      </c>
      <c r="N280" s="39" t="s">
        <v>149</v>
      </c>
      <c r="O280" s="37">
        <f>_xlfn.XLOOKUP(F280,'6月库存'!A:A,'6月库存'!R:R)</f>
        <v>0</v>
      </c>
      <c r="P280" s="39">
        <f>_xlfn.XLOOKUP(F280,'6月产品包'!B:B,'6月产品包'!S:S)</f>
        <v>490</v>
      </c>
      <c r="Q280" s="56"/>
      <c r="R280" s="41">
        <f>_xlfn.XLOOKUP(F280,'6月产品包'!B:B,'6月产品包'!AD:AD)</f>
        <v>53.3078</v>
      </c>
      <c r="S280" s="39">
        <v>119</v>
      </c>
      <c r="T280" s="39">
        <f t="shared" si="121"/>
        <v>149</v>
      </c>
      <c r="U280" s="42">
        <f t="shared" si="110"/>
        <v>119.2</v>
      </c>
      <c r="V280" s="43">
        <v>0.2</v>
      </c>
      <c r="W280" s="44">
        <f t="shared" si="122"/>
        <v>0.552786912751678</v>
      </c>
      <c r="X280" s="44">
        <f t="shared" si="109"/>
        <v>0.394405718336484</v>
      </c>
      <c r="Y280" s="44">
        <v>0.038</v>
      </c>
      <c r="Z280" s="46">
        <v>0.09</v>
      </c>
      <c r="AA280" s="46">
        <v>0.049</v>
      </c>
      <c r="AB280" s="46">
        <f t="shared" si="123"/>
        <v>0.00453020134228188</v>
      </c>
      <c r="AC280" s="46">
        <v>0.08</v>
      </c>
      <c r="AD280" s="58">
        <v>0.08</v>
      </c>
      <c r="AE280" s="58">
        <v>0.05</v>
      </c>
      <c r="AF280" s="55" t="s">
        <v>114</v>
      </c>
      <c r="AG280" s="39">
        <f t="shared" si="111"/>
        <v>6</v>
      </c>
      <c r="AH280" s="39">
        <f t="shared" si="112"/>
        <v>6</v>
      </c>
      <c r="AI280" s="39">
        <f t="shared" si="113"/>
        <v>0</v>
      </c>
      <c r="AJ280" s="39">
        <f t="shared" si="114"/>
        <v>0</v>
      </c>
      <c r="AK280" s="39">
        <f t="shared" si="115"/>
        <v>0</v>
      </c>
      <c r="AL280" s="39">
        <f t="shared" si="116"/>
        <v>0</v>
      </c>
      <c r="AM280" s="39">
        <f t="shared" si="117"/>
        <v>0</v>
      </c>
      <c r="AN280" s="39">
        <f t="shared" si="118"/>
        <v>0</v>
      </c>
    </row>
    <row r="281" s="6" customFormat="1" ht="50" hidden="1" customHeight="1" spans="1:40">
      <c r="A281" s="37" t="s">
        <v>96</v>
      </c>
      <c r="B281" s="37" t="s">
        <v>97</v>
      </c>
      <c r="C281" s="37" t="str">
        <f>_xlfn.XLOOKUP(F281,'6月产品包'!B:B,'6月产品包'!H:H)</f>
        <v>锁体</v>
      </c>
      <c r="D281" s="38" t="str">
        <f>_xlfn.XLOOKUP(F281,'6月产品包'!B:B,'6月产品包'!O:O)</f>
        <v>断桥铝门方舌锁体</v>
      </c>
      <c r="E281" s="38" t="s">
        <v>587</v>
      </c>
      <c r="F281" s="37" t="s">
        <v>588</v>
      </c>
      <c r="G281" s="39" t="s">
        <v>126</v>
      </c>
      <c r="H281" s="37" t="s">
        <v>101</v>
      </c>
      <c r="I281" s="37" t="str">
        <f>_xlfn.XLOOKUP($F281,'6月库存'!A:A,'6月库存'!B:B)</f>
        <v>正常销售</v>
      </c>
      <c r="J281" s="12"/>
      <c r="K281" s="39">
        <f>_xlfn.XLOOKUP(E281,'[1]6月分配 '!$B:$B,'[1]6月分配 '!$K:$K)</f>
        <v>2616</v>
      </c>
      <c r="L281" s="12" t="str">
        <f t="shared" si="106"/>
        <v>是</v>
      </c>
      <c r="M281" s="40" t="str">
        <f>_xlfn.XLOOKUP(F281,'6月产品包'!B:B,'6月产品包'!J:J)</f>
        <v>2025-10-30</v>
      </c>
      <c r="N281" s="39" t="str">
        <f ca="1">IF(DATEDIF(M281,TODAY(),"m")&lt;6,"新品","老品")</f>
        <v>老品</v>
      </c>
      <c r="O281" s="37">
        <f>_xlfn.XLOOKUP(F281,'6月库存'!A:A,'6月库存'!R:R)</f>
        <v>80</v>
      </c>
      <c r="P281" s="39">
        <f>_xlfn.XLOOKUP(F281,'6月产品包'!B:B,'6月产品包'!S:S)</f>
        <v>380</v>
      </c>
      <c r="Q281" s="39"/>
      <c r="R281" s="41">
        <f>_xlfn.XLOOKUP(F281,'6月产品包'!B:B,'6月产品包'!AD:AD)</f>
        <v>16.3212</v>
      </c>
      <c r="S281" s="39">
        <v>33</v>
      </c>
      <c r="T281" s="39">
        <f t="shared" si="121"/>
        <v>41</v>
      </c>
      <c r="U281" s="42">
        <f t="shared" si="110"/>
        <v>32.8</v>
      </c>
      <c r="V281" s="43">
        <v>0.2</v>
      </c>
      <c r="W281" s="44">
        <f t="shared" si="122"/>
        <v>0.50240243902439</v>
      </c>
      <c r="X281" s="44">
        <f t="shared" si="109"/>
        <v>0.310364060440118</v>
      </c>
      <c r="Y281" s="51">
        <v>0.038</v>
      </c>
      <c r="Z281" s="45">
        <v>0.115</v>
      </c>
      <c r="AA281" s="46">
        <v>0.049</v>
      </c>
      <c r="AB281" s="46">
        <f t="shared" si="123"/>
        <v>0.0164634146341463</v>
      </c>
      <c r="AC281" s="46">
        <v>0.06</v>
      </c>
      <c r="AD281" s="47"/>
      <c r="AE281" s="50"/>
      <c r="AF281" s="55" t="s">
        <v>114</v>
      </c>
      <c r="AG281" s="39">
        <f t="shared" si="111"/>
        <v>0</v>
      </c>
      <c r="AH281" s="39">
        <f t="shared" si="112"/>
        <v>0</v>
      </c>
      <c r="AI281" s="39">
        <f t="shared" si="113"/>
        <v>0</v>
      </c>
      <c r="AJ281" s="39">
        <f t="shared" si="114"/>
        <v>0</v>
      </c>
      <c r="AK281" s="39">
        <f t="shared" si="115"/>
        <v>0</v>
      </c>
      <c r="AL281" s="39">
        <f t="shared" si="116"/>
        <v>0</v>
      </c>
      <c r="AM281" s="39">
        <f t="shared" si="117"/>
        <v>0</v>
      </c>
      <c r="AN281" s="39">
        <f t="shared" si="118"/>
        <v>0</v>
      </c>
    </row>
    <row r="282" s="6" customFormat="1" ht="50" hidden="1" customHeight="1" spans="1:40">
      <c r="A282" s="37" t="s">
        <v>96</v>
      </c>
      <c r="B282" s="37" t="s">
        <v>97</v>
      </c>
      <c r="C282" s="37" t="str">
        <f>_xlfn.XLOOKUP(F282,'6月产品包'!B:B,'6月产品包'!H:H)</f>
        <v>伸缩护栏</v>
      </c>
      <c r="D282" s="38" t="str">
        <f>_xlfn.XLOOKUP(F282,'6月产品包'!B:B,'6月产品包'!O:O)</f>
        <v>折叠安全护栏</v>
      </c>
      <c r="E282" s="38" t="s">
        <v>589</v>
      </c>
      <c r="F282" s="37" t="s">
        <v>590</v>
      </c>
      <c r="G282" s="39" t="e">
        <v>#N/A</v>
      </c>
      <c r="H282" s="37" t="s">
        <v>101</v>
      </c>
      <c r="I282" s="37" t="str">
        <f>_xlfn.XLOOKUP($F282,'6月库存'!A:A,'6月库存'!B:B)</f>
        <v>正常销售</v>
      </c>
      <c r="J282" s="12"/>
      <c r="K282" s="39">
        <f>_xlfn.XLOOKUP(E282,'[1]6月分配 '!$B:$B,'[1]6月分配 '!$K:$K)</f>
        <v>2599</v>
      </c>
      <c r="L282" s="12" t="str">
        <f t="shared" si="106"/>
        <v>是</v>
      </c>
      <c r="M282" s="40" t="str">
        <f>_xlfn.XLOOKUP(F282,'6月产品包'!B:B,'6月产品包'!J:J)</f>
        <v>2025-07-03</v>
      </c>
      <c r="N282" s="39" t="str">
        <f ca="1">IF(DATEDIF(M282,TODAY(),"m")&lt;6,"新品","老品")</f>
        <v>老品</v>
      </c>
      <c r="O282" s="37">
        <f>_xlfn.XLOOKUP(F282,'6月库存'!A:A,'6月库存'!R:R)</f>
        <v>20</v>
      </c>
      <c r="P282" s="39">
        <f>_xlfn.XLOOKUP(F282,'6月产品包'!B:B,'6月产品包'!S:S)</f>
        <v>2540</v>
      </c>
      <c r="Q282" s="39"/>
      <c r="R282" s="41">
        <f>_xlfn.XLOOKUP(F282,'6月产品包'!B:B,'6月产品包'!AD:AD)</f>
        <v>50.2454</v>
      </c>
      <c r="S282" s="39">
        <v>82</v>
      </c>
      <c r="T282" s="39">
        <f t="shared" si="121"/>
        <v>103</v>
      </c>
      <c r="U282" s="42">
        <f t="shared" si="110"/>
        <v>82.4</v>
      </c>
      <c r="V282" s="43">
        <v>0.2</v>
      </c>
      <c r="W282" s="44">
        <f t="shared" si="122"/>
        <v>0.39022572815534</v>
      </c>
      <c r="X282" s="44">
        <f t="shared" si="109"/>
        <v>0.234381475973377</v>
      </c>
      <c r="Y282" s="44">
        <v>0.038</v>
      </c>
      <c r="Z282" s="46">
        <v>0.1</v>
      </c>
      <c r="AA282" s="46">
        <v>0.049</v>
      </c>
      <c r="AB282" s="46">
        <f t="shared" si="123"/>
        <v>0.00655339805825243</v>
      </c>
      <c r="AC282" s="46">
        <v>0.01</v>
      </c>
      <c r="AD282" s="47"/>
      <c r="AF282" s="55" t="s">
        <v>114</v>
      </c>
      <c r="AG282" s="39">
        <f t="shared" si="111"/>
        <v>4.944</v>
      </c>
      <c r="AH282" s="39">
        <f t="shared" si="112"/>
        <v>4.944</v>
      </c>
      <c r="AI282" s="39">
        <f t="shared" si="113"/>
        <v>0</v>
      </c>
      <c r="AJ282" s="39">
        <f t="shared" si="114"/>
        <v>0</v>
      </c>
      <c r="AK282" s="39">
        <f t="shared" si="115"/>
        <v>0</v>
      </c>
      <c r="AL282" s="39">
        <f t="shared" si="116"/>
        <v>0</v>
      </c>
      <c r="AM282" s="39">
        <f t="shared" si="117"/>
        <v>0</v>
      </c>
      <c r="AN282" s="39">
        <f t="shared" si="118"/>
        <v>0</v>
      </c>
    </row>
    <row r="283" s="6" customFormat="1" ht="50" hidden="1" customHeight="1" spans="1:40">
      <c r="A283" s="37" t="s">
        <v>108</v>
      </c>
      <c r="B283" s="37" t="s">
        <v>146</v>
      </c>
      <c r="C283" s="37" t="str">
        <f>_xlfn.XLOOKUP(F283,'6月产品包'!B:B,'6月产品包'!H:H)</f>
        <v>混音器</v>
      </c>
      <c r="D283" s="38" t="str">
        <f>_xlfn.XLOOKUP(F283,'6月产品包'!B:B,'6月产品包'!O:O)</f>
        <v>混音器</v>
      </c>
      <c r="E283" s="38" t="s">
        <v>591</v>
      </c>
      <c r="F283" s="39" t="s">
        <v>592</v>
      </c>
      <c r="G283" s="39" t="s">
        <v>262</v>
      </c>
      <c r="H283" s="39" t="s">
        <v>101</v>
      </c>
      <c r="I283" s="37" t="str">
        <f>_xlfn.XLOOKUP($F283,'6月库存'!A:A,'6月库存'!B:B)</f>
        <v>正常销售</v>
      </c>
      <c r="J283" s="12"/>
      <c r="K283" s="39">
        <f>_xlfn.XLOOKUP(E283,'[1]6月分配 '!$B:$B,'[1]6月分配 '!$K:$K)</f>
        <v>2550</v>
      </c>
      <c r="L283" s="12" t="str">
        <f t="shared" si="106"/>
        <v>是</v>
      </c>
      <c r="M283" s="40" t="str">
        <f>_xlfn.XLOOKUP(F283,'6月产品包'!B:B,'6月产品包'!J:J)</f>
        <v>2025-12-08</v>
      </c>
      <c r="N283" s="39" t="s">
        <v>149</v>
      </c>
      <c r="O283" s="37">
        <f>_xlfn.XLOOKUP(F283,'6月库存'!A:A,'6月库存'!R:R)</f>
        <v>16</v>
      </c>
      <c r="P283" s="39">
        <f>_xlfn.XLOOKUP(F283,'6月产品包'!B:B,'6月产品包'!S:S)</f>
        <v>620</v>
      </c>
      <c r="Q283" s="39"/>
      <c r="R283" s="41">
        <f>_xlfn.XLOOKUP(F283,'6月产品包'!B:B,'6月产品包'!AD:AD)</f>
        <v>67.2336</v>
      </c>
      <c r="S283" s="39">
        <v>135</v>
      </c>
      <c r="T283" s="39">
        <f t="shared" si="121"/>
        <v>169</v>
      </c>
      <c r="U283" s="42">
        <f t="shared" si="110"/>
        <v>135.2</v>
      </c>
      <c r="V283" s="43">
        <v>0.2</v>
      </c>
      <c r="W283" s="44">
        <f t="shared" si="122"/>
        <v>0.502710059171598</v>
      </c>
      <c r="X283" s="44">
        <f t="shared" si="109"/>
        <v>0.344814144941998</v>
      </c>
      <c r="Y283" s="44">
        <v>0.038</v>
      </c>
      <c r="Z283" s="46">
        <v>0.09</v>
      </c>
      <c r="AA283" s="46">
        <v>0.049</v>
      </c>
      <c r="AB283" s="46">
        <f t="shared" si="123"/>
        <v>0.00399408284023669</v>
      </c>
      <c r="AC283" s="46">
        <v>0.06</v>
      </c>
      <c r="AD283" s="47"/>
      <c r="AE283" s="11"/>
      <c r="AF283" s="55" t="s">
        <v>114</v>
      </c>
      <c r="AG283" s="39">
        <f t="shared" si="111"/>
        <v>6</v>
      </c>
      <c r="AH283" s="39">
        <f t="shared" si="112"/>
        <v>6</v>
      </c>
      <c r="AI283" s="39">
        <f t="shared" si="113"/>
        <v>0</v>
      </c>
      <c r="AJ283" s="39">
        <f t="shared" si="114"/>
        <v>0</v>
      </c>
      <c r="AK283" s="39">
        <f t="shared" si="115"/>
        <v>0</v>
      </c>
      <c r="AL283" s="39">
        <f t="shared" si="116"/>
        <v>0</v>
      </c>
      <c r="AM283" s="39">
        <f t="shared" si="117"/>
        <v>0</v>
      </c>
      <c r="AN283" s="39">
        <f t="shared" si="118"/>
        <v>0</v>
      </c>
    </row>
    <row r="284" s="6" customFormat="1" ht="50" hidden="1" customHeight="1" spans="1:40">
      <c r="A284" s="37" t="s">
        <v>108</v>
      </c>
      <c r="B284" s="37" t="s">
        <v>109</v>
      </c>
      <c r="C284" s="37" t="str">
        <f>_xlfn.XLOOKUP(F284,'6月产品包'!B:B,'6月产品包'!H:H)</f>
        <v>电脑机箱</v>
      </c>
      <c r="D284" s="38" t="str">
        <f>_xlfn.XLOOKUP(F284,'6月产品包'!B:B,'6月产品包'!O:O)</f>
        <v>电脑机箱T6风扇款</v>
      </c>
      <c r="E284" s="38" t="s">
        <v>593</v>
      </c>
      <c r="F284" s="39" t="s">
        <v>594</v>
      </c>
      <c r="G284" s="39" t="s">
        <v>100</v>
      </c>
      <c r="H284" s="39" t="s">
        <v>101</v>
      </c>
      <c r="I284" s="37" t="str">
        <f>_xlfn.XLOOKUP($F284,'6月库存'!A:A,'6月库存'!B:B)</f>
        <v>正常销售</v>
      </c>
      <c r="J284" s="12"/>
      <c r="K284" s="39">
        <f>_xlfn.XLOOKUP(E284,'[1]6月分配 '!$B:$B,'[1]6月分配 '!$K:$K)</f>
        <v>2517</v>
      </c>
      <c r="L284" s="12" t="str">
        <f t="shared" si="106"/>
        <v>是</v>
      </c>
      <c r="M284" s="40" t="str">
        <f>_xlfn.XLOOKUP(F284,'6月产品包'!B:B,'6月产品包'!J:J)</f>
        <v>2025-12-23</v>
      </c>
      <c r="N284" s="39" t="str">
        <f ca="1">IF(DATEDIF(M284,TODAY(),"m")&lt;6,"新品","老品")</f>
        <v>新品</v>
      </c>
      <c r="O284" s="37">
        <f>_xlfn.XLOOKUP(F284,'6月库存'!A:A,'6月库存'!R:R)</f>
        <v>41</v>
      </c>
      <c r="P284" s="39">
        <f>_xlfn.XLOOKUP(F284,'6月产品包'!B:B,'6月产品包'!S:S)</f>
        <v>5890</v>
      </c>
      <c r="Q284" s="39"/>
      <c r="R284" s="41">
        <f>_xlfn.XLOOKUP(F284,'6月产品包'!B:B,'6月产品包'!AD:AD)</f>
        <v>112.2996</v>
      </c>
      <c r="S284" s="15">
        <v>205</v>
      </c>
      <c r="T284" s="39">
        <f t="shared" si="121"/>
        <v>256</v>
      </c>
      <c r="U284" s="42">
        <f t="shared" si="110"/>
        <v>204.8</v>
      </c>
      <c r="V284" s="43">
        <v>0.2</v>
      </c>
      <c r="W284" s="44">
        <f t="shared" si="122"/>
        <v>0.451662109375</v>
      </c>
      <c r="X284" s="44">
        <f t="shared" si="109"/>
        <v>0.280739374375528</v>
      </c>
      <c r="Y284" s="52">
        <v>0.04</v>
      </c>
      <c r="Z284" s="46">
        <v>0.086</v>
      </c>
      <c r="AA284" s="46">
        <v>0.049</v>
      </c>
      <c r="AB284" s="46">
        <f t="shared" si="123"/>
        <v>0.00263671875</v>
      </c>
      <c r="AC284" s="46">
        <v>0.06</v>
      </c>
      <c r="AD284" s="47"/>
      <c r="AF284" s="55" t="s">
        <v>114</v>
      </c>
      <c r="AG284" s="39">
        <f t="shared" si="111"/>
        <v>11.0592</v>
      </c>
      <c r="AH284" s="39">
        <f t="shared" si="112"/>
        <v>6</v>
      </c>
      <c r="AI284" s="39">
        <f t="shared" si="113"/>
        <v>11.0592</v>
      </c>
      <c r="AJ284" s="39">
        <f t="shared" si="114"/>
        <v>0</v>
      </c>
      <c r="AK284" s="39">
        <f t="shared" si="115"/>
        <v>0</v>
      </c>
      <c r="AL284" s="39">
        <f t="shared" si="116"/>
        <v>0</v>
      </c>
      <c r="AM284" s="39">
        <f t="shared" si="117"/>
        <v>0</v>
      </c>
      <c r="AN284" s="39">
        <f t="shared" si="118"/>
        <v>9.216</v>
      </c>
    </row>
    <row r="285" s="6" customFormat="1" ht="50" hidden="1" customHeight="1" spans="1:40">
      <c r="A285" s="37" t="s">
        <v>96</v>
      </c>
      <c r="B285" s="37" t="s">
        <v>97</v>
      </c>
      <c r="C285" s="37" t="str">
        <f>_xlfn.XLOOKUP(F285,'6月产品包'!B:B,'6月产品包'!H:H)</f>
        <v>门锁IC卡</v>
      </c>
      <c r="D285" s="38" t="str">
        <f>_xlfn.XLOOKUP(F285,'6月产品包'!B:B,'6月产品包'!O:O)</f>
        <v>智能门锁IC卡</v>
      </c>
      <c r="E285" s="38" t="s">
        <v>595</v>
      </c>
      <c r="F285" s="39" t="s">
        <v>596</v>
      </c>
      <c r="G285" s="39" t="s">
        <v>126</v>
      </c>
      <c r="H285" s="39" t="s">
        <v>101</v>
      </c>
      <c r="I285" s="37" t="str">
        <f>_xlfn.XLOOKUP($F285,'6月库存'!A:A,'6月库存'!B:B)</f>
        <v>正常销售</v>
      </c>
      <c r="J285" s="12"/>
      <c r="K285" s="39">
        <f>_xlfn.XLOOKUP(E285,'[1]6月分配 '!$B:$B,'[1]6月分配 '!$K:$K)</f>
        <v>2450</v>
      </c>
      <c r="L285" s="12" t="str">
        <f t="shared" si="106"/>
        <v>是</v>
      </c>
      <c r="M285" s="40" t="str">
        <f>_xlfn.XLOOKUP(F285,'6月产品包'!B:B,'6月产品包'!J:J)</f>
        <v>2025-11-13</v>
      </c>
      <c r="N285" s="39" t="str">
        <f ca="1">IF(DATEDIF(M285,TODAY(),"m")&lt;6,"新品","老品")</f>
        <v>老品</v>
      </c>
      <c r="O285" s="37">
        <f>_xlfn.XLOOKUP(F285,'6月库存'!A:A,'6月库存'!R:R)</f>
        <v>382</v>
      </c>
      <c r="P285" s="39">
        <f>_xlfn.XLOOKUP(F285,'6月产品包'!B:B,'6月产品包'!S:S)</f>
        <v>13</v>
      </c>
      <c r="Q285" s="39"/>
      <c r="R285" s="41">
        <f>_xlfn.XLOOKUP(F285,'6月产品包'!B:B,'6月产品包'!AD:AD)</f>
        <v>2.5926</v>
      </c>
      <c r="S285" s="39">
        <v>8</v>
      </c>
      <c r="T285" s="39">
        <f t="shared" si="121"/>
        <v>10</v>
      </c>
      <c r="U285" s="42">
        <f t="shared" si="110"/>
        <v>8</v>
      </c>
      <c r="V285" s="43">
        <v>0.2</v>
      </c>
      <c r="W285" s="44">
        <f t="shared" si="122"/>
        <v>0.675925</v>
      </c>
      <c r="X285" s="44">
        <f t="shared" si="109"/>
        <v>0.516666666666667</v>
      </c>
      <c r="Y285" s="44">
        <v>0.038</v>
      </c>
      <c r="Z285" s="45">
        <v>0.115</v>
      </c>
      <c r="AA285" s="46">
        <v>0.049</v>
      </c>
      <c r="AB285" s="46">
        <f t="shared" si="123"/>
        <v>0.0675</v>
      </c>
      <c r="AC285" s="46">
        <v>0.06</v>
      </c>
      <c r="AD285" s="47"/>
      <c r="AF285" s="55" t="s">
        <v>114</v>
      </c>
      <c r="AG285" s="39">
        <f t="shared" si="111"/>
        <v>0</v>
      </c>
      <c r="AH285" s="39">
        <f t="shared" si="112"/>
        <v>0</v>
      </c>
      <c r="AI285" s="39">
        <f t="shared" si="113"/>
        <v>0</v>
      </c>
      <c r="AJ285" s="39">
        <f t="shared" si="114"/>
        <v>0</v>
      </c>
      <c r="AK285" s="39">
        <f t="shared" si="115"/>
        <v>0</v>
      </c>
      <c r="AL285" s="39">
        <f t="shared" si="116"/>
        <v>0</v>
      </c>
      <c r="AM285" s="39">
        <f t="shared" si="117"/>
        <v>0</v>
      </c>
      <c r="AN285" s="39">
        <f t="shared" si="118"/>
        <v>0</v>
      </c>
    </row>
    <row r="286" s="6" customFormat="1" ht="50" hidden="1" customHeight="1" spans="1:40">
      <c r="A286" s="37" t="s">
        <v>96</v>
      </c>
      <c r="B286" s="37" t="s">
        <v>97</v>
      </c>
      <c r="C286" s="37" t="str">
        <f>_xlfn.XLOOKUP(F286,'6月产品包'!B:B,'6月产品包'!H:H)</f>
        <v>钥匙密码盒</v>
      </c>
      <c r="D286" s="38" t="str">
        <f>_xlfn.XLOOKUP(F286,'6月产品包'!B:B,'6月产品包'!O:O)</f>
        <v>钥匙盒</v>
      </c>
      <c r="E286" s="38" t="s">
        <v>597</v>
      </c>
      <c r="F286" s="37" t="s">
        <v>598</v>
      </c>
      <c r="G286" s="39" t="s">
        <v>126</v>
      </c>
      <c r="H286" s="37" t="s">
        <v>101</v>
      </c>
      <c r="I286" s="37" t="str">
        <f>_xlfn.XLOOKUP($F286,'6月库存'!A:A,'6月库存'!B:B)</f>
        <v>商品清仓</v>
      </c>
      <c r="J286" s="12"/>
      <c r="K286" s="39">
        <f>_xlfn.XLOOKUP(E286,'[1]6月分配 '!$B:$B,'[1]6月分配 '!$K:$K)</f>
        <v>2444</v>
      </c>
      <c r="L286" s="12" t="str">
        <f t="shared" si="106"/>
        <v>是</v>
      </c>
      <c r="M286" s="40" t="str">
        <f>_xlfn.XLOOKUP(F286,'6月产品包'!B:B,'6月产品包'!J:J)</f>
        <v>2024-11-28</v>
      </c>
      <c r="N286" s="39" t="str">
        <f ca="1">IF(DATEDIF(M286,TODAY(),"m")&lt;6,"新品","老品")</f>
        <v>老品</v>
      </c>
      <c r="O286" s="37">
        <f>_xlfn.XLOOKUP(F286,'6月库存'!A:A,'6月库存'!R:R)</f>
        <v>37</v>
      </c>
      <c r="P286" s="39">
        <f>_xlfn.XLOOKUP(F286,'6月产品包'!B:B,'6月产品包'!S:S)</f>
        <v>1400</v>
      </c>
      <c r="Q286" s="39"/>
      <c r="R286" s="41">
        <f>_xlfn.XLOOKUP(F286,'6月产品包'!B:B,'6月产品包'!AD:AD)</f>
        <v>28.6346</v>
      </c>
      <c r="S286" s="39">
        <v>41</v>
      </c>
      <c r="T286" s="39">
        <f t="shared" si="121"/>
        <v>51</v>
      </c>
      <c r="U286" s="42">
        <f t="shared" si="110"/>
        <v>40.8</v>
      </c>
      <c r="V286" s="43">
        <v>0.2</v>
      </c>
      <c r="W286" s="44">
        <f t="shared" si="122"/>
        <v>0.298171568627451</v>
      </c>
      <c r="X286" s="44">
        <f t="shared" si="109"/>
        <v>0.111344902924674</v>
      </c>
      <c r="Y286" s="44">
        <v>0.038</v>
      </c>
      <c r="Z286" s="46">
        <v>0.1</v>
      </c>
      <c r="AA286" s="46">
        <v>0.049</v>
      </c>
      <c r="AB286" s="46">
        <f t="shared" si="123"/>
        <v>0.0132352941176471</v>
      </c>
      <c r="AC286" s="46">
        <v>0.01</v>
      </c>
      <c r="AD286" s="47"/>
      <c r="AF286" s="55" t="s">
        <v>114</v>
      </c>
      <c r="AG286" s="39">
        <f t="shared" si="111"/>
        <v>0</v>
      </c>
      <c r="AH286" s="39">
        <f t="shared" si="112"/>
        <v>0</v>
      </c>
      <c r="AI286" s="39">
        <f t="shared" si="113"/>
        <v>0</v>
      </c>
      <c r="AJ286" s="39">
        <f t="shared" si="114"/>
        <v>0</v>
      </c>
      <c r="AK286" s="39">
        <f t="shared" si="115"/>
        <v>0</v>
      </c>
      <c r="AL286" s="39">
        <f t="shared" si="116"/>
        <v>0</v>
      </c>
      <c r="AM286" s="39">
        <f t="shared" si="117"/>
        <v>0</v>
      </c>
      <c r="AN286" s="39">
        <f t="shared" si="118"/>
        <v>0</v>
      </c>
    </row>
    <row r="287" s="6" customFormat="1" ht="50" hidden="1" customHeight="1" spans="1:40">
      <c r="A287" s="37" t="s">
        <v>96</v>
      </c>
      <c r="B287" s="37" t="s">
        <v>127</v>
      </c>
      <c r="C287" s="37" t="str">
        <f>_xlfn.XLOOKUP(F287,'6月产品包'!B:B,'6月产品包'!H:H)</f>
        <v>文件柜</v>
      </c>
      <c r="D287" s="38" t="str">
        <f>_xlfn.XLOOKUP(F287,'6月产品包'!B:B,'6月产品包'!O:O)</f>
        <v>文件保险箱</v>
      </c>
      <c r="E287" s="38" t="s">
        <v>599</v>
      </c>
      <c r="F287" s="39" t="s">
        <v>600</v>
      </c>
      <c r="G287" s="39" t="s">
        <v>106</v>
      </c>
      <c r="H287" s="37" t="s">
        <v>101</v>
      </c>
      <c r="I287" s="37" t="str">
        <f>_xlfn.XLOOKUP($F287,'6月库存'!A:A,'6月库存'!B:B)</f>
        <v>正常销售</v>
      </c>
      <c r="J287" s="12"/>
      <c r="K287" s="39" t="e">
        <f>_xlfn.XLOOKUP(E287,'[1]6月分配 '!$B:$B,'[1]6月分配 '!$K:$K)</f>
        <v>#N/A</v>
      </c>
      <c r="L287" s="12" t="str">
        <f t="shared" ref="L287:L305" si="124">IF(ISNUMBER(K287),"是",IF(ISNA(K287),"否",""))</f>
        <v>否</v>
      </c>
      <c r="M287" s="40" t="str">
        <f>_xlfn.XLOOKUP(F287,'6月产品包'!B:B,'6月产品包'!J:J)</f>
        <v>2025-09-25</v>
      </c>
      <c r="N287" s="39" t="str">
        <f ca="1" t="shared" si="120"/>
        <v>老品</v>
      </c>
      <c r="O287" s="37">
        <f>_xlfn.XLOOKUP(F287,'6月库存'!A:A,'6月库存'!R:R)</f>
        <v>24</v>
      </c>
      <c r="P287" s="39">
        <f>_xlfn.XLOOKUP(F287,'6月产品包'!B:B,'6月产品包'!S:S)</f>
        <v>18000</v>
      </c>
      <c r="Q287" s="39"/>
      <c r="R287" s="41">
        <f>_xlfn.XLOOKUP(F287,'6月产品包'!B:B,'6月产品包'!AD:AD)</f>
        <v>136.5668</v>
      </c>
      <c r="S287" s="39">
        <v>269</v>
      </c>
      <c r="T287" s="39">
        <f t="shared" si="121"/>
        <v>336</v>
      </c>
      <c r="U287" s="42">
        <f t="shared" si="110"/>
        <v>268.8</v>
      </c>
      <c r="V287" s="43">
        <v>0.2</v>
      </c>
      <c r="W287" s="44">
        <f t="shared" si="122"/>
        <v>0.491938988095238</v>
      </c>
      <c r="X287" s="44">
        <f t="shared" ref="X280:X305" si="125">(U287*(1-Y287-Z287-AA287-AC287-AB287)-R287)/(U287*(1-Y287-Z287-AA287-AC287-AB287))</f>
        <v>0.317114100671651</v>
      </c>
      <c r="Y287" s="44">
        <v>0.045</v>
      </c>
      <c r="Z287" s="46">
        <v>0.1</v>
      </c>
      <c r="AA287" s="46">
        <v>0.049</v>
      </c>
      <c r="AB287" s="46">
        <f t="shared" si="123"/>
        <v>0.00200892857142857</v>
      </c>
      <c r="AC287" s="46">
        <v>0.06</v>
      </c>
      <c r="AD287" s="47"/>
      <c r="AF287" s="48" t="s">
        <v>102</v>
      </c>
      <c r="AG287" s="39">
        <f t="shared" si="111"/>
        <v>14.5152</v>
      </c>
      <c r="AH287" s="39">
        <f t="shared" si="112"/>
        <v>6</v>
      </c>
      <c r="AI287" s="39">
        <f t="shared" si="113"/>
        <v>14.5152</v>
      </c>
      <c r="AJ287" s="39">
        <f t="shared" si="114"/>
        <v>0</v>
      </c>
      <c r="AK287" s="39">
        <f t="shared" si="115"/>
        <v>0</v>
      </c>
      <c r="AL287" s="39">
        <f t="shared" si="116"/>
        <v>0</v>
      </c>
      <c r="AM287" s="39">
        <f t="shared" si="117"/>
        <v>14.5152</v>
      </c>
      <c r="AN287" s="39">
        <f t="shared" si="118"/>
        <v>12.096</v>
      </c>
    </row>
    <row r="288" s="6" customFormat="1" ht="50" hidden="1" customHeight="1" spans="1:40">
      <c r="A288" s="37" t="s">
        <v>96</v>
      </c>
      <c r="B288" s="37" t="s">
        <v>115</v>
      </c>
      <c r="C288" s="37" t="str">
        <f>_xlfn.XLOOKUP(F288,'6月产品包'!B:B,'6月产品包'!H:H)</f>
        <v>标签打印纸</v>
      </c>
      <c r="D288" s="38" t="str">
        <f>_xlfn.XLOOKUP(F288,'6月产品包'!B:B,'6月产品包'!O:O)</f>
        <v>不干胶打印纸</v>
      </c>
      <c r="E288" s="38" t="s">
        <v>601</v>
      </c>
      <c r="F288" s="37" t="s">
        <v>602</v>
      </c>
      <c r="G288" s="39" t="s">
        <v>126</v>
      </c>
      <c r="H288" s="37" t="s">
        <v>101</v>
      </c>
      <c r="I288" s="37" t="str">
        <f>_xlfn.XLOOKUP($F288,'6月库存'!A:A,'6月库存'!B:B)</f>
        <v>正常销售</v>
      </c>
      <c r="J288" s="12"/>
      <c r="K288" s="39">
        <f>_xlfn.XLOOKUP(E288,'[1]6月分配 '!$B:$B,'[1]6月分配 '!$K:$K)</f>
        <v>2378</v>
      </c>
      <c r="L288" s="12" t="str">
        <f t="shared" si="124"/>
        <v>是</v>
      </c>
      <c r="M288" s="40" t="str">
        <f>_xlfn.XLOOKUP(F288,'6月产品包'!B:B,'6月产品包'!J:J)</f>
        <v>2025-02-11</v>
      </c>
      <c r="N288" s="39" t="str">
        <f ca="1" t="shared" si="120"/>
        <v>老品</v>
      </c>
      <c r="O288" s="37">
        <f>_xlfn.XLOOKUP(F288,'6月库存'!A:A,'6月库存'!R:R)</f>
        <v>462</v>
      </c>
      <c r="P288" s="39">
        <f>_xlfn.XLOOKUP(F288,'6月产品包'!B:B,'6月产品包'!S:S)</f>
        <v>108</v>
      </c>
      <c r="Q288" s="39"/>
      <c r="R288" s="41">
        <f>_xlfn.XLOOKUP(F288,'6月产品包'!B:B,'6月产品包'!AD:AD)</f>
        <v>3.9019</v>
      </c>
      <c r="S288" s="39">
        <v>8.5</v>
      </c>
      <c r="T288" s="39">
        <f t="shared" si="121"/>
        <v>11</v>
      </c>
      <c r="U288" s="42">
        <f t="shared" si="110"/>
        <v>8.8</v>
      </c>
      <c r="V288" s="43">
        <v>0.2</v>
      </c>
      <c r="W288" s="44">
        <f t="shared" si="122"/>
        <v>0.556602272727273</v>
      </c>
      <c r="X288" s="44">
        <f t="shared" si="125"/>
        <v>0.357055760611653</v>
      </c>
      <c r="Y288" s="44">
        <v>0.04</v>
      </c>
      <c r="Z288" s="46">
        <v>0.1</v>
      </c>
      <c r="AA288" s="46">
        <v>0.049</v>
      </c>
      <c r="AB288" s="46">
        <f t="shared" si="123"/>
        <v>0.0613636363636364</v>
      </c>
      <c r="AC288" s="46">
        <v>0.06</v>
      </c>
      <c r="AD288" s="47"/>
      <c r="AF288" s="55" t="s">
        <v>114</v>
      </c>
      <c r="AG288" s="39">
        <f t="shared" si="111"/>
        <v>0</v>
      </c>
      <c r="AH288" s="39">
        <f t="shared" si="112"/>
        <v>0</v>
      </c>
      <c r="AI288" s="39">
        <f t="shared" si="113"/>
        <v>0</v>
      </c>
      <c r="AJ288" s="39">
        <f t="shared" si="114"/>
        <v>0</v>
      </c>
      <c r="AK288" s="39">
        <f t="shared" si="115"/>
        <v>0</v>
      </c>
      <c r="AL288" s="39">
        <f t="shared" si="116"/>
        <v>0</v>
      </c>
      <c r="AM288" s="39">
        <f t="shared" si="117"/>
        <v>0</v>
      </c>
      <c r="AN288" s="39">
        <f t="shared" si="118"/>
        <v>0</v>
      </c>
    </row>
    <row r="289" s="6" customFormat="1" ht="50" hidden="1" customHeight="1" spans="1:40">
      <c r="A289" s="37" t="s">
        <v>108</v>
      </c>
      <c r="B289" s="37" t="s">
        <v>146</v>
      </c>
      <c r="C289" s="37" t="str">
        <f>_xlfn.XLOOKUP(F289,'6月产品包'!B:B,'6月产品包'!H:H)</f>
        <v>有线麦克风</v>
      </c>
      <c r="D289" s="38" t="str">
        <f>_xlfn.XLOOKUP(F289,'6月产品包'!B:B,'6月产品包'!O:O)</f>
        <v>RGB动圈降噪桌面麦克风</v>
      </c>
      <c r="E289" s="38" t="s">
        <v>603</v>
      </c>
      <c r="F289" s="39" t="s">
        <v>604</v>
      </c>
      <c r="G289" s="39" t="s">
        <v>262</v>
      </c>
      <c r="H289" s="39" t="s">
        <v>101</v>
      </c>
      <c r="I289" s="37" t="str">
        <f>_xlfn.XLOOKUP($F289,'6月库存'!A:A,'6月库存'!B:B)</f>
        <v>正常销售</v>
      </c>
      <c r="J289" s="12"/>
      <c r="K289" s="39">
        <f>_xlfn.XLOOKUP(E289,'[1]6月分配 '!$B:$B,'[1]6月分配 '!$K:$K)</f>
        <v>2313</v>
      </c>
      <c r="L289" s="12" t="str">
        <f t="shared" si="124"/>
        <v>是</v>
      </c>
      <c r="M289" s="40" t="str">
        <f>_xlfn.XLOOKUP(F289,'6月产品包'!B:B,'6月产品包'!J:J)</f>
        <v>2025-12-08</v>
      </c>
      <c r="N289" s="39" t="s">
        <v>149</v>
      </c>
      <c r="O289" s="37">
        <f>_xlfn.XLOOKUP(F289,'6月库存'!A:A,'6月库存'!R:R)</f>
        <v>29</v>
      </c>
      <c r="P289" s="39">
        <f>_xlfn.XLOOKUP(F289,'6月产品包'!B:B,'6月产品包'!S:S)</f>
        <v>813</v>
      </c>
      <c r="Q289" s="39"/>
      <c r="R289" s="41">
        <f>_xlfn.XLOOKUP(F289,'6月产品包'!B:B,'6月产品包'!AD:AD)</f>
        <v>59.6182</v>
      </c>
      <c r="S289" s="39">
        <v>123</v>
      </c>
      <c r="T289" s="39">
        <f t="shared" si="121"/>
        <v>154</v>
      </c>
      <c r="U289" s="42">
        <f t="shared" si="110"/>
        <v>123.2</v>
      </c>
      <c r="V289" s="43">
        <v>0.2</v>
      </c>
      <c r="W289" s="44">
        <f t="shared" si="122"/>
        <v>0.516086038961039</v>
      </c>
      <c r="X289" s="44">
        <f t="shared" si="125"/>
        <v>0.347487938778905</v>
      </c>
      <c r="Y289" s="44">
        <v>0.04</v>
      </c>
      <c r="Z289" s="46">
        <v>0.105</v>
      </c>
      <c r="AA289" s="46">
        <v>0.049</v>
      </c>
      <c r="AB289" s="46">
        <f t="shared" si="123"/>
        <v>0.00438311688311688</v>
      </c>
      <c r="AC289" s="46">
        <v>0.06</v>
      </c>
      <c r="AD289" s="47"/>
      <c r="AF289" s="57">
        <v>0.16</v>
      </c>
      <c r="AG289" s="39">
        <f t="shared" si="111"/>
        <v>6</v>
      </c>
      <c r="AH289" s="39">
        <f t="shared" si="112"/>
        <v>6</v>
      </c>
      <c r="AI289" s="39">
        <f t="shared" si="113"/>
        <v>0</v>
      </c>
      <c r="AJ289" s="39">
        <f t="shared" si="114"/>
        <v>0</v>
      </c>
      <c r="AK289" s="39">
        <f t="shared" si="115"/>
        <v>0</v>
      </c>
      <c r="AL289" s="39">
        <f t="shared" si="116"/>
        <v>0</v>
      </c>
      <c r="AM289" s="39">
        <f t="shared" si="117"/>
        <v>0</v>
      </c>
      <c r="AN289" s="39">
        <f t="shared" si="118"/>
        <v>0</v>
      </c>
    </row>
    <row r="290" s="6" customFormat="1" ht="50" hidden="1" customHeight="1" spans="1:40">
      <c r="A290" s="37" t="s">
        <v>96</v>
      </c>
      <c r="B290" s="37" t="s">
        <v>115</v>
      </c>
      <c r="C290" s="37" t="str">
        <f>_xlfn.XLOOKUP(F290,'6月产品包'!B:B,'6月产品包'!H:H)</f>
        <v>扎钞纸</v>
      </c>
      <c r="D290" s="38" t="str">
        <f>_xlfn.XLOOKUP(F290,'6月产品包'!B:B,'6月产品包'!O:O)</f>
        <v>扎钞纸</v>
      </c>
      <c r="E290" s="38" t="s">
        <v>605</v>
      </c>
      <c r="F290" s="39" t="s">
        <v>606</v>
      </c>
      <c r="G290" s="39" t="e">
        <v>#N/A</v>
      </c>
      <c r="H290" s="39" t="s">
        <v>101</v>
      </c>
      <c r="I290" s="37" t="str">
        <f>_xlfn.XLOOKUP($F290,'6月库存'!A:A,'6月库存'!B:B)</f>
        <v>正常销售</v>
      </c>
      <c r="J290" s="12"/>
      <c r="K290" s="39">
        <f>_xlfn.XLOOKUP(E290,'[1]6月分配 '!$B:$B,'[1]6月分配 '!$K:$K)</f>
        <v>2249</v>
      </c>
      <c r="L290" s="12" t="str">
        <f t="shared" si="124"/>
        <v>是</v>
      </c>
      <c r="M290" s="40" t="str">
        <f>_xlfn.XLOOKUP(F290,'6月产品包'!B:B,'6月产品包'!J:J)</f>
        <v>2025-12-02</v>
      </c>
      <c r="N290" s="39" t="str">
        <f ca="1">IF(DATEDIF(M290,TODAY(),"m")&lt;6,"新品","老品")</f>
        <v>老品</v>
      </c>
      <c r="O290" s="37">
        <f>_xlfn.XLOOKUP(F290,'6月库存'!A:A,'6月库存'!R:R)</f>
        <v>29</v>
      </c>
      <c r="P290" s="39">
        <f>_xlfn.XLOOKUP(F290,'6月产品包'!B:B,'6月产品包'!S:S)</f>
        <v>1438</v>
      </c>
      <c r="Q290" s="39"/>
      <c r="R290" s="41">
        <f>_xlfn.XLOOKUP(F290,'6月产品包'!B:B,'6月产品包'!AD:AD)</f>
        <v>38.3612</v>
      </c>
      <c r="S290" s="39">
        <v>69</v>
      </c>
      <c r="T290" s="39">
        <f t="shared" si="121"/>
        <v>86</v>
      </c>
      <c r="U290" s="42">
        <f t="shared" si="110"/>
        <v>68.8</v>
      </c>
      <c r="V290" s="43">
        <v>0.2</v>
      </c>
      <c r="W290" s="44">
        <f t="shared" si="122"/>
        <v>0.442424418604651</v>
      </c>
      <c r="X290" s="44">
        <f t="shared" si="125"/>
        <v>0.261637127942965</v>
      </c>
      <c r="Y290" s="44">
        <v>0.038</v>
      </c>
      <c r="Z290" s="46">
        <v>0.09</v>
      </c>
      <c r="AA290" s="46">
        <v>0.049</v>
      </c>
      <c r="AB290" s="46">
        <f t="shared" si="123"/>
        <v>0.00784883720930233</v>
      </c>
      <c r="AC290" s="46">
        <v>0.06</v>
      </c>
      <c r="AD290" s="47"/>
      <c r="AF290" s="57">
        <v>0.15</v>
      </c>
      <c r="AG290" s="39">
        <f t="shared" si="111"/>
        <v>4.128</v>
      </c>
      <c r="AH290" s="39">
        <f t="shared" si="112"/>
        <v>4.128</v>
      </c>
      <c r="AI290" s="39">
        <f t="shared" si="113"/>
        <v>0</v>
      </c>
      <c r="AJ290" s="39">
        <f t="shared" si="114"/>
        <v>0</v>
      </c>
      <c r="AK290" s="39">
        <f t="shared" si="115"/>
        <v>0</v>
      </c>
      <c r="AL290" s="39">
        <f t="shared" si="116"/>
        <v>0</v>
      </c>
      <c r="AM290" s="39">
        <f t="shared" si="117"/>
        <v>0</v>
      </c>
      <c r="AN290" s="39">
        <f t="shared" si="118"/>
        <v>0</v>
      </c>
    </row>
    <row r="291" ht="50" hidden="1" customHeight="1" spans="1:40">
      <c r="A291" s="39" t="str">
        <f>_xlfn.XLOOKUP(F291,'6月产品包'!B:B,'6月产品包'!F:F)</f>
        <v>办公安防</v>
      </c>
      <c r="B291" s="39" t="str">
        <f>_xlfn.XLOOKUP(F291,'6月产品包'!B:B,'6月产品包'!G:G)</f>
        <v>安防存储</v>
      </c>
      <c r="C291" s="37" t="str">
        <f>_xlfn.XLOOKUP(F291,'6月产品包'!B:B,'6月产品包'!H:H)</f>
        <v>保险箱</v>
      </c>
      <c r="D291" s="38" t="str">
        <f>_xlfn.XLOOKUP(F291,'6月产品包'!B:B,'6月产品包'!O:O)</f>
        <v>XT保险箱内柜密码45S款</v>
      </c>
      <c r="E291" s="38" t="str">
        <f>_xlfn.XLOOKUP(F291,'6月产品包'!B:B,'6月产品包'!C:C)</f>
        <v>3B-XT香槟金保险箱内柜密码45S款</v>
      </c>
      <c r="F291" s="39" t="s">
        <v>607</v>
      </c>
      <c r="G291" s="39" t="s">
        <v>106</v>
      </c>
      <c r="H291" s="49" t="s">
        <v>101</v>
      </c>
      <c r="I291" s="37" t="str">
        <f>_xlfn.XLOOKUP($F291,'6月库存'!A:A,'6月库存'!B:B)</f>
        <v>等待开发</v>
      </c>
      <c r="K291" s="39" t="e">
        <f>_xlfn.XLOOKUP(E291,'[1]6月分配 '!$B:$B,'[1]6月分配 '!$K:$K)</f>
        <v>#N/A</v>
      </c>
      <c r="L291" s="12" t="str">
        <f t="shared" si="124"/>
        <v>否</v>
      </c>
      <c r="M291" s="40" t="str">
        <f>_xlfn.XLOOKUP(F291,'6月产品包'!B:B,'6月产品包'!J:J)</f>
        <v>2026-04-28</v>
      </c>
      <c r="N291" s="39" t="str">
        <f ca="1" t="shared" si="120"/>
        <v>新品</v>
      </c>
      <c r="O291" s="37">
        <f>_xlfn.XLOOKUP(F291,'6月库存'!A:A,'6月库存'!R:R)</f>
        <v>0</v>
      </c>
      <c r="P291" s="39">
        <f>_xlfn.XLOOKUP(F291,'6月产品包'!B:B,'6月产品包'!S:S)</f>
        <v>14500</v>
      </c>
      <c r="Q291" s="56"/>
      <c r="R291" s="41">
        <f>_xlfn.XLOOKUP(F291,'6月产品包'!B:B,'6月产品包'!AD:AD)</f>
        <v>131.2714</v>
      </c>
      <c r="S291" s="39">
        <v>289</v>
      </c>
      <c r="T291" s="39">
        <f t="shared" si="121"/>
        <v>361</v>
      </c>
      <c r="U291" s="42">
        <f t="shared" si="110"/>
        <v>288.8</v>
      </c>
      <c r="V291" s="43">
        <v>0.2</v>
      </c>
      <c r="W291" s="44">
        <f t="shared" si="122"/>
        <v>0.545459141274238</v>
      </c>
      <c r="X291" s="44">
        <f t="shared" si="125"/>
        <v>0.362942034021357</v>
      </c>
      <c r="Y291" s="52">
        <v>0.04</v>
      </c>
      <c r="Z291" s="46">
        <v>0.1</v>
      </c>
      <c r="AA291" s="46">
        <v>0.049</v>
      </c>
      <c r="AB291" s="46">
        <f>$AB$1/U195</f>
        <v>0.0375</v>
      </c>
      <c r="AC291" s="46">
        <v>0.06</v>
      </c>
      <c r="AF291" s="48" t="s">
        <v>102</v>
      </c>
      <c r="AG291" s="39">
        <f t="shared" si="111"/>
        <v>15.5952</v>
      </c>
      <c r="AH291" s="39">
        <f t="shared" si="112"/>
        <v>6</v>
      </c>
      <c r="AI291" s="39">
        <f t="shared" si="113"/>
        <v>15.5952</v>
      </c>
      <c r="AJ291" s="39">
        <f t="shared" si="114"/>
        <v>0</v>
      </c>
      <c r="AK291" s="39">
        <f t="shared" si="115"/>
        <v>0</v>
      </c>
      <c r="AL291" s="39">
        <f t="shared" si="116"/>
        <v>0</v>
      </c>
      <c r="AM291" s="39">
        <f t="shared" si="117"/>
        <v>15.5952</v>
      </c>
      <c r="AN291" s="39">
        <f t="shared" si="118"/>
        <v>12.996</v>
      </c>
    </row>
    <row r="292" ht="50" hidden="1" customHeight="1" spans="1:40">
      <c r="A292" s="39" t="str">
        <f>_xlfn.XLOOKUP(F292,'6月产品包'!B:B,'6月产品包'!F:F)</f>
        <v>办公安防</v>
      </c>
      <c r="B292" s="39" t="str">
        <f>_xlfn.XLOOKUP(F292,'6月产品包'!B:B,'6月产品包'!G:G)</f>
        <v>安防存储</v>
      </c>
      <c r="C292" s="37" t="str">
        <f>_xlfn.XLOOKUP(F292,'6月产品包'!B:B,'6月产品包'!H:H)</f>
        <v>保险箱</v>
      </c>
      <c r="D292" s="38" t="str">
        <f>_xlfn.XLOOKUP(F292,'6月产品包'!B:B,'6月产品包'!O:O)</f>
        <v>XT保险箱内柜指纹45FS款</v>
      </c>
      <c r="E292" s="38" t="str">
        <f>_xlfn.XLOOKUP(F292,'6月产品包'!B:B,'6月产品包'!C:C)</f>
        <v>3B-XT香槟金保险箱内柜指纹45FS款</v>
      </c>
      <c r="F292" s="39" t="s">
        <v>608</v>
      </c>
      <c r="G292" s="39" t="s">
        <v>106</v>
      </c>
      <c r="H292" s="49" t="s">
        <v>101</v>
      </c>
      <c r="I292" s="37" t="str">
        <f>_xlfn.XLOOKUP($F292,'6月库存'!A:A,'6月库存'!B:B)</f>
        <v>等待开发</v>
      </c>
      <c r="K292" s="39" t="e">
        <f>_xlfn.XLOOKUP(E292,'[1]6月分配 '!$B:$B,'[1]6月分配 '!$K:$K)</f>
        <v>#N/A</v>
      </c>
      <c r="L292" s="12" t="str">
        <f t="shared" si="124"/>
        <v>否</v>
      </c>
      <c r="M292" s="40" t="str">
        <f>_xlfn.XLOOKUP(F292,'6月产品包'!B:B,'6月产品包'!J:J)</f>
        <v>2026-04-28</v>
      </c>
      <c r="N292" s="39" t="str">
        <f ca="1" t="shared" si="120"/>
        <v>新品</v>
      </c>
      <c r="O292" s="37">
        <f>_xlfn.XLOOKUP(F292,'6月库存'!A:A,'6月库存'!R:R)</f>
        <v>0</v>
      </c>
      <c r="P292" s="39">
        <f>_xlfn.XLOOKUP(F292,'6月产品包'!B:B,'6月产品包'!S:S)</f>
        <v>14500</v>
      </c>
      <c r="Q292" s="56"/>
      <c r="R292" s="41">
        <f>_xlfn.XLOOKUP(F292,'6月产品包'!B:B,'6月产品包'!AD:AD)</f>
        <v>148.7178</v>
      </c>
      <c r="S292" s="39">
        <v>309</v>
      </c>
      <c r="T292" s="39">
        <f t="shared" si="121"/>
        <v>386</v>
      </c>
      <c r="U292" s="42">
        <f t="shared" si="110"/>
        <v>308.8</v>
      </c>
      <c r="V292" s="43">
        <v>0.2</v>
      </c>
      <c r="W292" s="44">
        <f t="shared" si="122"/>
        <v>0.518400906735751</v>
      </c>
      <c r="X292" s="44">
        <f t="shared" si="125"/>
        <v>0.357233944864769</v>
      </c>
      <c r="Y292" s="52">
        <v>0.04</v>
      </c>
      <c r="Z292" s="46">
        <v>0.1</v>
      </c>
      <c r="AA292" s="46">
        <v>0.049</v>
      </c>
      <c r="AB292" s="46">
        <f>$AB$1/U196</f>
        <v>0.00173969072164948</v>
      </c>
      <c r="AC292" s="46">
        <v>0.06</v>
      </c>
      <c r="AF292" s="48" t="s">
        <v>102</v>
      </c>
      <c r="AG292" s="39">
        <f t="shared" si="111"/>
        <v>16.6752</v>
      </c>
      <c r="AH292" s="39">
        <f t="shared" si="112"/>
        <v>6</v>
      </c>
      <c r="AI292" s="39">
        <f t="shared" si="113"/>
        <v>16.6752</v>
      </c>
      <c r="AJ292" s="39">
        <f t="shared" si="114"/>
        <v>0</v>
      </c>
      <c r="AK292" s="39">
        <f t="shared" si="115"/>
        <v>0</v>
      </c>
      <c r="AL292" s="39">
        <f t="shared" si="116"/>
        <v>0</v>
      </c>
      <c r="AM292" s="39">
        <f t="shared" si="117"/>
        <v>16.6752</v>
      </c>
      <c r="AN292" s="39">
        <f t="shared" si="118"/>
        <v>13.896</v>
      </c>
    </row>
    <row r="293" s="6" customFormat="1" ht="50" hidden="1" customHeight="1" spans="1:40">
      <c r="A293" s="37" t="s">
        <v>96</v>
      </c>
      <c r="B293" s="37" t="s">
        <v>127</v>
      </c>
      <c r="C293" s="37" t="str">
        <f>_xlfn.XLOOKUP(F293,'6月产品包'!B:B,'6月产品包'!H:H)</f>
        <v>保险柜</v>
      </c>
      <c r="D293" s="38" t="str">
        <f>_xlfn.XLOOKUP(F293,'6月产品包'!B:B,'6月产品包'!O:O)</f>
        <v>功勋仓保险箱密码款</v>
      </c>
      <c r="E293" s="38" t="s">
        <v>609</v>
      </c>
      <c r="F293" s="39" t="s">
        <v>610</v>
      </c>
      <c r="G293" s="39" t="e">
        <v>#N/A</v>
      </c>
      <c r="H293" s="39" t="s">
        <v>101</v>
      </c>
      <c r="I293" s="37" t="str">
        <f>_xlfn.XLOOKUP($F293,'6月库存'!A:A,'6月库存'!B:B)</f>
        <v>正常销售</v>
      </c>
      <c r="J293" s="12"/>
      <c r="K293" s="39" t="e">
        <f>_xlfn.XLOOKUP(E293,'[1]6月分配 '!$B:$B,'[1]6月分配 '!$K:$K)</f>
        <v>#N/A</v>
      </c>
      <c r="L293" s="12" t="str">
        <f t="shared" si="124"/>
        <v>否</v>
      </c>
      <c r="M293" s="40" t="str">
        <f>_xlfn.XLOOKUP(F293,'6月产品包'!B:B,'6月产品包'!J:J)</f>
        <v>2025-12-02</v>
      </c>
      <c r="N293" s="39" t="str">
        <f ca="1" t="shared" si="120"/>
        <v>老品</v>
      </c>
      <c r="O293" s="37">
        <f>_xlfn.XLOOKUP(F293,'6月库存'!A:A,'6月库存'!R:R)</f>
        <v>62</v>
      </c>
      <c r="P293" s="39">
        <f>_xlfn.XLOOKUP(F293,'6月产品包'!B:B,'6月产品包'!S:S)</f>
        <v>14450</v>
      </c>
      <c r="Q293" s="39"/>
      <c r="R293" s="41">
        <f>_xlfn.XLOOKUP(F293,'6月产品包'!B:B,'6月产品包'!AD:AD)</f>
        <v>188.4536</v>
      </c>
      <c r="S293" s="39">
        <v>369</v>
      </c>
      <c r="T293" s="39">
        <f t="shared" si="121"/>
        <v>461</v>
      </c>
      <c r="U293" s="42">
        <f t="shared" si="110"/>
        <v>368.8</v>
      </c>
      <c r="V293" s="43">
        <v>0.2</v>
      </c>
      <c r="W293" s="44">
        <f t="shared" si="122"/>
        <v>0.489008676789588</v>
      </c>
      <c r="X293" s="44">
        <f t="shared" si="125"/>
        <v>0.327232068908398</v>
      </c>
      <c r="Y293" s="52">
        <v>0.04</v>
      </c>
      <c r="Z293" s="46">
        <v>0.09</v>
      </c>
      <c r="AA293" s="46">
        <v>0.049</v>
      </c>
      <c r="AB293" s="46">
        <f>$AB$1/U293</f>
        <v>0.00146420824295011</v>
      </c>
      <c r="AC293" s="46">
        <v>0.06</v>
      </c>
      <c r="AD293" s="54">
        <v>0.05</v>
      </c>
      <c r="AE293" s="54">
        <v>0.03</v>
      </c>
      <c r="AF293" s="48" t="s">
        <v>102</v>
      </c>
      <c r="AG293" s="39">
        <f t="shared" si="111"/>
        <v>19.9152</v>
      </c>
      <c r="AH293" s="39">
        <f t="shared" si="112"/>
        <v>6</v>
      </c>
      <c r="AI293" s="39">
        <f t="shared" si="113"/>
        <v>19.9152</v>
      </c>
      <c r="AJ293" s="39">
        <f t="shared" si="114"/>
        <v>0</v>
      </c>
      <c r="AK293" s="39">
        <f t="shared" si="115"/>
        <v>0</v>
      </c>
      <c r="AL293" s="39">
        <f t="shared" si="116"/>
        <v>0</v>
      </c>
      <c r="AM293" s="39">
        <f t="shared" si="117"/>
        <v>19.9152</v>
      </c>
      <c r="AN293" s="39">
        <f t="shared" si="118"/>
        <v>16.596</v>
      </c>
    </row>
    <row r="294" ht="50" hidden="1" customHeight="1" spans="1:40">
      <c r="A294" s="39" t="str">
        <f>_xlfn.XLOOKUP(F294,'6月产品包'!B:B,'6月产品包'!F:F)</f>
        <v>办公安防</v>
      </c>
      <c r="B294" s="39" t="str">
        <f>_xlfn.XLOOKUP(F294,'6月产品包'!B:B,'6月产品包'!G:G)</f>
        <v>安防存储</v>
      </c>
      <c r="C294" s="37" t="str">
        <f>_xlfn.XLOOKUP(F294,'6月产品包'!B:B,'6月产品包'!H:H)</f>
        <v>保险箱</v>
      </c>
      <c r="D294" s="38" t="str">
        <f>_xlfn.XLOOKUP(F294,'6月产品包'!B:B,'6月产品包'!O:O)</f>
        <v>功勋仓保险箱密码45S2款</v>
      </c>
      <c r="E294" s="38" t="str">
        <f>_xlfn.XLOOKUP(F294,'6月产品包'!B:B,'6月产品包'!C:C)</f>
        <v>3B-功勋仓咖啡金保险箱密码45S2款</v>
      </c>
      <c r="F294" s="39" t="s">
        <v>611</v>
      </c>
      <c r="G294" s="39" t="s">
        <v>106</v>
      </c>
      <c r="H294" s="49" t="s">
        <v>101</v>
      </c>
      <c r="I294" s="37" t="str">
        <f>_xlfn.XLOOKUP($F294,'6月库存'!A:A,'6月库存'!B:B)</f>
        <v>等待开发</v>
      </c>
      <c r="K294" s="39" t="e">
        <f>_xlfn.XLOOKUP(E294,'[1]6月分配 '!$B:$B,'[1]6月分配 '!$K:$K)</f>
        <v>#N/A</v>
      </c>
      <c r="L294" s="12" t="str">
        <f t="shared" si="124"/>
        <v>否</v>
      </c>
      <c r="M294" s="40" t="str">
        <f>_xlfn.XLOOKUP(F294,'6月产品包'!B:B,'6月产品包'!J:J)</f>
        <v>2026-04-28</v>
      </c>
      <c r="N294" s="39" t="str">
        <f ca="1" t="shared" si="120"/>
        <v>新品</v>
      </c>
      <c r="O294" s="37">
        <f>_xlfn.XLOOKUP(F294,'6月库存'!A:A,'6月库存'!R:R)</f>
        <v>0</v>
      </c>
      <c r="P294" s="39">
        <f>_xlfn.XLOOKUP(F294,'6月产品包'!B:B,'6月产品包'!S:S)</f>
        <v>14500</v>
      </c>
      <c r="Q294" s="56"/>
      <c r="R294" s="41">
        <f>_xlfn.XLOOKUP(F294,'6月产品包'!B:B,'6月产品包'!AD:AD)</f>
        <v>117.9256</v>
      </c>
      <c r="S294" s="39">
        <v>249</v>
      </c>
      <c r="T294" s="39">
        <f t="shared" si="121"/>
        <v>311</v>
      </c>
      <c r="U294" s="42">
        <f t="shared" si="110"/>
        <v>248.8</v>
      </c>
      <c r="V294" s="43">
        <v>0.2</v>
      </c>
      <c r="W294" s="44">
        <f t="shared" si="122"/>
        <v>0.526022508038585</v>
      </c>
      <c r="X294" s="44">
        <f t="shared" si="125"/>
        <v>0.364511376507632</v>
      </c>
      <c r="Y294" s="52">
        <v>0.04</v>
      </c>
      <c r="Z294" s="46">
        <v>0.1</v>
      </c>
      <c r="AA294" s="46">
        <v>0.049</v>
      </c>
      <c r="AB294" s="46">
        <f>$AB$1/U193</f>
        <v>0.00515267175572519</v>
      </c>
      <c r="AC294" s="46">
        <v>0.06</v>
      </c>
      <c r="AE294" s="54"/>
      <c r="AF294" s="48" t="s">
        <v>102</v>
      </c>
      <c r="AG294" s="39">
        <f t="shared" si="111"/>
        <v>13.4352</v>
      </c>
      <c r="AH294" s="39">
        <f t="shared" si="112"/>
        <v>6</v>
      </c>
      <c r="AI294" s="39">
        <f t="shared" si="113"/>
        <v>13.4352</v>
      </c>
      <c r="AJ294" s="39">
        <f t="shared" si="114"/>
        <v>0</v>
      </c>
      <c r="AK294" s="39">
        <f t="shared" si="115"/>
        <v>0</v>
      </c>
      <c r="AL294" s="39">
        <f t="shared" si="116"/>
        <v>0</v>
      </c>
      <c r="AM294" s="39">
        <f t="shared" si="117"/>
        <v>0</v>
      </c>
      <c r="AN294" s="39">
        <f t="shared" si="118"/>
        <v>11.196</v>
      </c>
    </row>
    <row r="295" ht="50" hidden="1" customHeight="1" spans="1:40">
      <c r="A295" s="39" t="str">
        <f>_xlfn.XLOOKUP(F295,'6月产品包'!B:B,'6月产品包'!F:F)</f>
        <v>办公安防</v>
      </c>
      <c r="B295" s="39" t="str">
        <f>_xlfn.XLOOKUP(F295,'6月产品包'!B:B,'6月产品包'!G:G)</f>
        <v>安防存储</v>
      </c>
      <c r="C295" s="37" t="str">
        <f>_xlfn.XLOOKUP(F295,'6月产品包'!B:B,'6月产品包'!H:H)</f>
        <v>保险箱</v>
      </c>
      <c r="D295" s="38" t="str">
        <f>_xlfn.XLOOKUP(F295,'6月产品包'!B:B,'6月产品包'!O:O)</f>
        <v>功勋仓保险箱密码45FS款</v>
      </c>
      <c r="E295" s="38" t="str">
        <f>_xlfn.XLOOKUP(F295,'6月产品包'!B:B,'6月产品包'!C:C)</f>
        <v>3B-功勋仓咖啡金保险箱内柜指纹45FS款</v>
      </c>
      <c r="F295" s="39" t="s">
        <v>612</v>
      </c>
      <c r="G295" s="39" t="s">
        <v>106</v>
      </c>
      <c r="H295" s="49" t="s">
        <v>101</v>
      </c>
      <c r="I295" s="37" t="str">
        <f>_xlfn.XLOOKUP($F295,'6月库存'!A:A,'6月库存'!B:B)</f>
        <v>等待开发</v>
      </c>
      <c r="K295" s="39" t="e">
        <f>_xlfn.XLOOKUP(E295,'[1]6月分配 '!$B:$B,'[1]6月分配 '!$K:$K)</f>
        <v>#N/A</v>
      </c>
      <c r="L295" s="12" t="str">
        <f t="shared" si="124"/>
        <v>否</v>
      </c>
      <c r="M295" s="40" t="str">
        <f>_xlfn.XLOOKUP(F295,'6月产品包'!B:B,'6月产品包'!J:J)</f>
        <v>2026-04-28</v>
      </c>
      <c r="N295" s="39" t="str">
        <f ca="1" t="shared" si="120"/>
        <v>新品</v>
      </c>
      <c r="O295" s="37">
        <f>_xlfn.XLOOKUP(F295,'6月库存'!A:A,'6月库存'!R:R)</f>
        <v>0</v>
      </c>
      <c r="P295" s="39">
        <f>_xlfn.XLOOKUP(F295,'6月产品包'!B:B,'6月产品包'!S:S)</f>
        <v>14500</v>
      </c>
      <c r="Q295" s="56"/>
      <c r="R295" s="41">
        <f>_xlfn.XLOOKUP(F295,'6月产品包'!B:B,'6月产品包'!AD:AD)</f>
        <v>148.7178</v>
      </c>
      <c r="S295" s="39">
        <v>309</v>
      </c>
      <c r="T295" s="39">
        <f t="shared" si="121"/>
        <v>386</v>
      </c>
      <c r="U295" s="42">
        <f t="shared" si="110"/>
        <v>308.8</v>
      </c>
      <c r="V295" s="43">
        <v>0.2</v>
      </c>
      <c r="W295" s="44">
        <f t="shared" si="122"/>
        <v>0.518400906735751</v>
      </c>
      <c r="X295" s="44">
        <f t="shared" si="125"/>
        <v>0.354424807956771</v>
      </c>
      <c r="Y295" s="52">
        <v>0.04</v>
      </c>
      <c r="Z295" s="46">
        <v>0.1</v>
      </c>
      <c r="AA295" s="46">
        <v>0.049</v>
      </c>
      <c r="AB295" s="46">
        <f>$AB$1/U194</f>
        <v>0.005</v>
      </c>
      <c r="AC295" s="46">
        <v>0.06</v>
      </c>
      <c r="AE295" s="54"/>
      <c r="AF295" s="48" t="s">
        <v>102</v>
      </c>
      <c r="AG295" s="39">
        <f t="shared" si="111"/>
        <v>16.6752</v>
      </c>
      <c r="AH295" s="39">
        <f t="shared" si="112"/>
        <v>6</v>
      </c>
      <c r="AI295" s="39">
        <f t="shared" si="113"/>
        <v>16.6752</v>
      </c>
      <c r="AJ295" s="39">
        <f t="shared" si="114"/>
        <v>0</v>
      </c>
      <c r="AK295" s="39">
        <f t="shared" si="115"/>
        <v>0</v>
      </c>
      <c r="AL295" s="39">
        <f t="shared" si="116"/>
        <v>0</v>
      </c>
      <c r="AM295" s="39">
        <f t="shared" si="117"/>
        <v>16.6752</v>
      </c>
      <c r="AN295" s="39">
        <f t="shared" si="118"/>
        <v>13.896</v>
      </c>
    </row>
    <row r="296" s="6" customFormat="1" ht="50" hidden="1" customHeight="1" spans="1:40">
      <c r="A296" s="37" t="s">
        <v>96</v>
      </c>
      <c r="B296" s="37" t="s">
        <v>127</v>
      </c>
      <c r="C296" s="37" t="str">
        <f>_xlfn.XLOOKUP(F296,'6月产品包'!B:B,'6月产品包'!H:H)</f>
        <v>保险柜</v>
      </c>
      <c r="D296" s="38" t="str">
        <f>_xlfn.XLOOKUP(F296,'6月产品包'!B:B,'6月产品包'!O:O)</f>
        <v>功勋仓保险箱指纹款</v>
      </c>
      <c r="E296" s="38" t="s">
        <v>613</v>
      </c>
      <c r="F296" s="39" t="s">
        <v>614</v>
      </c>
      <c r="G296" s="39" t="e">
        <v>#N/A</v>
      </c>
      <c r="H296" s="39" t="s">
        <v>101</v>
      </c>
      <c r="I296" s="37" t="str">
        <f>_xlfn.XLOOKUP($F296,'6月库存'!A:A,'6月库存'!B:B)</f>
        <v>正常销售</v>
      </c>
      <c r="J296" s="12"/>
      <c r="K296" s="39" t="e">
        <f>_xlfn.XLOOKUP(E296,'[1]6月分配 '!$B:$B,'[1]6月分配 '!$K:$K)</f>
        <v>#N/A</v>
      </c>
      <c r="L296" s="12" t="str">
        <f t="shared" si="124"/>
        <v>否</v>
      </c>
      <c r="M296" s="40" t="str">
        <f>_xlfn.XLOOKUP(F296,'6月产品包'!B:B,'6月产品包'!J:J)</f>
        <v>2025-12-02</v>
      </c>
      <c r="N296" s="39" t="str">
        <f ca="1" t="shared" si="120"/>
        <v>老品</v>
      </c>
      <c r="O296" s="37">
        <f>_xlfn.XLOOKUP(F296,'6月库存'!A:A,'6月库存'!R:R)</f>
        <v>0</v>
      </c>
      <c r="P296" s="39">
        <f>_xlfn.XLOOKUP(F296,'6月产品包'!B:B,'6月产品包'!S:S)</f>
        <v>14450</v>
      </c>
      <c r="Q296" s="39"/>
      <c r="R296" s="41">
        <f>_xlfn.XLOOKUP(F296,'6月产品包'!B:B,'6月产品包'!AD:AD)</f>
        <v>229.5118</v>
      </c>
      <c r="S296" s="39">
        <v>449</v>
      </c>
      <c r="T296" s="39">
        <f t="shared" si="121"/>
        <v>561</v>
      </c>
      <c r="U296" s="42">
        <f t="shared" si="110"/>
        <v>448.8</v>
      </c>
      <c r="V296" s="43">
        <v>0.2</v>
      </c>
      <c r="W296" s="44">
        <f t="shared" si="122"/>
        <v>0.488610071301248</v>
      </c>
      <c r="X296" s="44">
        <f t="shared" si="125"/>
        <v>0.32693855191603</v>
      </c>
      <c r="Y296" s="52">
        <v>0.04</v>
      </c>
      <c r="Z296" s="46">
        <v>0.09</v>
      </c>
      <c r="AA296" s="46">
        <v>0.049</v>
      </c>
      <c r="AB296" s="46">
        <f>$AB$1/U296</f>
        <v>0.00120320855614973</v>
      </c>
      <c r="AC296" s="46">
        <v>0.06</v>
      </c>
      <c r="AD296" s="54">
        <v>0.05</v>
      </c>
      <c r="AE296" s="54">
        <v>0.03</v>
      </c>
      <c r="AF296" s="48" t="s">
        <v>102</v>
      </c>
      <c r="AG296" s="39">
        <f t="shared" si="111"/>
        <v>37.6992</v>
      </c>
      <c r="AH296" s="39">
        <f t="shared" si="112"/>
        <v>6</v>
      </c>
      <c r="AI296" s="39">
        <f t="shared" si="113"/>
        <v>21</v>
      </c>
      <c r="AJ296" s="39">
        <f t="shared" si="114"/>
        <v>37.6992</v>
      </c>
      <c r="AK296" s="39">
        <f t="shared" si="115"/>
        <v>33.66</v>
      </c>
      <c r="AL296" s="39">
        <f t="shared" si="116"/>
        <v>29.6208</v>
      </c>
      <c r="AM296" s="39">
        <f t="shared" si="117"/>
        <v>24.2352</v>
      </c>
      <c r="AN296" s="39">
        <f t="shared" si="118"/>
        <v>18</v>
      </c>
    </row>
    <row r="297" s="6" customFormat="1" ht="50" hidden="1" customHeight="1" spans="1:40">
      <c r="A297" s="37" t="s">
        <v>108</v>
      </c>
      <c r="B297" s="37" t="s">
        <v>206</v>
      </c>
      <c r="C297" s="37" t="str">
        <f>_xlfn.XLOOKUP(F297,'6月产品包'!B:B,'6月产品包'!H:H)</f>
        <v>自拍杆</v>
      </c>
      <c r="D297" s="38" t="str">
        <f>_xlfn.XLOOKUP(F297,'6月产品包'!B:B,'6月产品包'!O:O)</f>
        <v>直播自动支撑自拍杆P510</v>
      </c>
      <c r="E297" s="38" t="s">
        <v>615</v>
      </c>
      <c r="F297" s="39" t="s">
        <v>616</v>
      </c>
      <c r="G297" s="39" t="e">
        <v>#N/A</v>
      </c>
      <c r="H297" s="39" t="s">
        <v>101</v>
      </c>
      <c r="I297" s="37" t="str">
        <f>_xlfn.XLOOKUP($F297,'6月库存'!A:A,'6月库存'!B:B)</f>
        <v>正常销售</v>
      </c>
      <c r="J297" s="12"/>
      <c r="K297" s="39">
        <f>_xlfn.XLOOKUP(E297,'[1]6月分配 '!$B:$B,'[1]6月分配 '!$K:$K)</f>
        <v>2206</v>
      </c>
      <c r="L297" s="12" t="str">
        <f t="shared" si="124"/>
        <v>是</v>
      </c>
      <c r="M297" s="40" t="str">
        <f>_xlfn.XLOOKUP(F297,'6月产品包'!B:B,'6月产品包'!J:J)</f>
        <v>2026-01-10</v>
      </c>
      <c r="N297" s="39" t="str">
        <f ca="1" t="shared" si="120"/>
        <v>新品</v>
      </c>
      <c r="O297" s="37">
        <f>_xlfn.XLOOKUP(F297,'6月库存'!A:A,'6月库存'!R:R)</f>
        <v>47</v>
      </c>
      <c r="P297" s="39">
        <f>_xlfn.XLOOKUP(F297,'6月产品包'!B:B,'6月产品包'!S:S)</f>
        <v>684</v>
      </c>
      <c r="Q297" s="39"/>
      <c r="R297" s="41">
        <f>_xlfn.XLOOKUP(F297,'6月产品包'!B:B,'6月产品包'!AD:AD)</f>
        <v>20.9786</v>
      </c>
      <c r="S297" s="39">
        <v>39</v>
      </c>
      <c r="T297" s="39">
        <f t="shared" si="121"/>
        <v>49</v>
      </c>
      <c r="U297" s="42">
        <f t="shared" si="110"/>
        <v>39.2</v>
      </c>
      <c r="V297" s="43">
        <v>0.2</v>
      </c>
      <c r="W297" s="44">
        <f t="shared" si="122"/>
        <v>0.464831632653061</v>
      </c>
      <c r="X297" s="44">
        <f t="shared" si="125"/>
        <v>0.285703584658967</v>
      </c>
      <c r="Y297" s="51">
        <v>0.038</v>
      </c>
      <c r="Z297" s="46">
        <v>0.09</v>
      </c>
      <c r="AA297" s="46">
        <v>0.049</v>
      </c>
      <c r="AB297" s="46">
        <f>$AB$1/U297</f>
        <v>0.0137755102040816</v>
      </c>
      <c r="AC297" s="46">
        <v>0.06</v>
      </c>
      <c r="AD297" s="47"/>
      <c r="AF297" s="55" t="s">
        <v>114</v>
      </c>
      <c r="AG297" s="39">
        <f t="shared" si="111"/>
        <v>0</v>
      </c>
      <c r="AH297" s="39">
        <f t="shared" si="112"/>
        <v>0</v>
      </c>
      <c r="AI297" s="39">
        <f t="shared" si="113"/>
        <v>0</v>
      </c>
      <c r="AJ297" s="39">
        <f t="shared" si="114"/>
        <v>0</v>
      </c>
      <c r="AK297" s="39">
        <f t="shared" si="115"/>
        <v>0</v>
      </c>
      <c r="AL297" s="39">
        <f t="shared" si="116"/>
        <v>0</v>
      </c>
      <c r="AM297" s="39">
        <f t="shared" si="117"/>
        <v>0</v>
      </c>
      <c r="AN297" s="39">
        <f t="shared" si="118"/>
        <v>0</v>
      </c>
    </row>
    <row r="298" ht="50" hidden="1" customHeight="1" spans="1:40">
      <c r="A298" s="39" t="str">
        <f>_xlfn.XLOOKUP(F298,'6月产品包'!B:B,'6月产品包'!F:F)</f>
        <v>办公安防</v>
      </c>
      <c r="B298" s="39" t="str">
        <f>_xlfn.XLOOKUP(F298,'6月产品包'!B:B,'6月产品包'!G:G)</f>
        <v>安防存储</v>
      </c>
      <c r="C298" s="37" t="str">
        <f>_xlfn.XLOOKUP(F298,'6月产品包'!B:B,'6月产品包'!H:H)</f>
        <v>保险箱</v>
      </c>
      <c r="D298" s="38" t="str">
        <f>_xlfn.XLOOKUP(F298,'6月产品包'!B:B,'6月产品包'!O:O)</f>
        <v>保险箱密码45S2款</v>
      </c>
      <c r="E298" s="38" t="str">
        <f>_xlfn.XLOOKUP(F298,'6月产品包'!B:B,'6月产品包'!C:C)</f>
        <v>3B-液晶面板黑色保险箱密码45S2款</v>
      </c>
      <c r="F298" s="39" t="s">
        <v>617</v>
      </c>
      <c r="G298" s="39" t="s">
        <v>106</v>
      </c>
      <c r="H298" s="49" t="s">
        <v>101</v>
      </c>
      <c r="I298" s="37" t="str">
        <f>_xlfn.XLOOKUP($F298,'6月库存'!A:A,'6月库存'!B:B)</f>
        <v>等待开发</v>
      </c>
      <c r="K298" s="39" t="e">
        <f>_xlfn.XLOOKUP(E298,'[1]6月分配 '!$B:$B,'[1]6月分配 '!$K:$K)</f>
        <v>#N/A</v>
      </c>
      <c r="L298" s="12" t="str">
        <f t="shared" si="124"/>
        <v>否</v>
      </c>
      <c r="M298" s="40" t="str">
        <f>_xlfn.XLOOKUP(F298,'6月产品包'!B:B,'6月产品包'!J:J)</f>
        <v>2026-04-28</v>
      </c>
      <c r="N298" s="39" t="str">
        <f ca="1" t="shared" si="120"/>
        <v>新品</v>
      </c>
      <c r="O298" s="37">
        <f>_xlfn.XLOOKUP(F298,'6月库存'!A:A,'6月库存'!R:R)</f>
        <v>0</v>
      </c>
      <c r="P298" s="39">
        <f>_xlfn.XLOOKUP(F298,'6月产品包'!B:B,'6月产品包'!S:S)</f>
        <v>14500</v>
      </c>
      <c r="Q298" s="56"/>
      <c r="R298" s="41">
        <f>_xlfn.XLOOKUP(F298,'6月产品包'!B:B,'6月产品包'!AD:AD)</f>
        <v>117.9256</v>
      </c>
      <c r="S298" s="39">
        <v>249</v>
      </c>
      <c r="T298" s="39">
        <f t="shared" si="121"/>
        <v>311</v>
      </c>
      <c r="U298" s="42">
        <f t="shared" ref="U297:U320" si="126">$T298*(1-0.2)</f>
        <v>248.8</v>
      </c>
      <c r="V298" s="43">
        <v>0.2</v>
      </c>
      <c r="W298" s="44">
        <f t="shared" si="122"/>
        <v>0.526022508038585</v>
      </c>
      <c r="X298" s="44">
        <f t="shared" si="125"/>
        <v>0.365041301317604</v>
      </c>
      <c r="Y298" s="52">
        <v>0.04</v>
      </c>
      <c r="Z298" s="46">
        <v>0.1</v>
      </c>
      <c r="AA298" s="46">
        <v>0.049</v>
      </c>
      <c r="AB298" s="46">
        <f>$AB$1/U279</f>
        <v>0.00453020134228188</v>
      </c>
      <c r="AC298" s="46">
        <v>0.06</v>
      </c>
      <c r="AF298" s="48" t="s">
        <v>102</v>
      </c>
      <c r="AG298" s="39">
        <f t="shared" ref="AG297:AG361" si="127">MAX(AH298:AN298)</f>
        <v>13.4352</v>
      </c>
      <c r="AH298" s="39">
        <f t="shared" ref="AH297:AH361" si="128">IF(U298&gt;=50,MIN(MIN(U298*0.2,20)*0.3,6),0)</f>
        <v>6</v>
      </c>
      <c r="AI298" s="39">
        <f t="shared" ref="AI297:AI361" si="129">IF(U298&gt;=200,MIN(MIN(U298*0.18,70)*0.3,21),0)</f>
        <v>13.4352</v>
      </c>
      <c r="AJ298" s="39">
        <f t="shared" ref="AJ298:AJ361" si="130">IF(U298&gt;=380,MIN(MIN(U298*0.28,350)*0.3,105),0)</f>
        <v>0</v>
      </c>
      <c r="AK298" s="39">
        <f t="shared" ref="AK298:AK361" si="131">IF(U298&gt;=380,MIN(MIN(U298*0.25,350)*0.3,105),0)</f>
        <v>0</v>
      </c>
      <c r="AL298" s="39">
        <f t="shared" ref="AL297:AL361" si="132">IF(U298&gt;=380,MIN(MIN(U298*0.22,300)*0.3,90),0)</f>
        <v>0</v>
      </c>
      <c r="AM298" s="39">
        <f t="shared" ref="AM297:AM361" si="133">IF(U298&gt;=250,MIN(MIN(U298*0.18,120)*0.3,36),0)</f>
        <v>0</v>
      </c>
      <c r="AN298" s="39">
        <f t="shared" ref="AN297:AN361" si="134">IF(U298&gt;=180,MIN(MIN(U298*0.15,60)*0.3,18),0)</f>
        <v>11.196</v>
      </c>
    </row>
    <row r="299" ht="50" hidden="1" customHeight="1" spans="1:40">
      <c r="A299" s="39" t="str">
        <f>_xlfn.XLOOKUP(F299,'6月产品包'!B:B,'6月产品包'!F:F)</f>
        <v>办公安防</v>
      </c>
      <c r="B299" s="39" t="str">
        <f>_xlfn.XLOOKUP(F299,'6月产品包'!B:B,'6月产品包'!G:G)</f>
        <v>安防存储</v>
      </c>
      <c r="C299" s="37" t="str">
        <f>_xlfn.XLOOKUP(F299,'6月产品包'!B:B,'6月产品包'!H:H)</f>
        <v>保险箱</v>
      </c>
      <c r="D299" s="38" t="str">
        <f>_xlfn.XLOOKUP(F299,'6月产品包'!B:B,'6月产品包'!O:O)</f>
        <v>保险箱内柜指纹45FS款</v>
      </c>
      <c r="E299" s="38" t="str">
        <f>_xlfn.XLOOKUP(F299,'6月产品包'!B:B,'6月产品包'!C:C)</f>
        <v>3B-液晶面板黑色保险箱内柜指纹45FS款</v>
      </c>
      <c r="F299" s="39" t="s">
        <v>618</v>
      </c>
      <c r="G299" s="39" t="s">
        <v>106</v>
      </c>
      <c r="H299" s="49" t="s">
        <v>101</v>
      </c>
      <c r="I299" s="37" t="str">
        <f>_xlfn.XLOOKUP($F299,'6月库存'!A:A,'6月库存'!B:B)</f>
        <v>等待开发</v>
      </c>
      <c r="K299" s="39" t="e">
        <f>_xlfn.XLOOKUP(E299,'[1]6月分配 '!$B:$B,'[1]6月分配 '!$K:$K)</f>
        <v>#N/A</v>
      </c>
      <c r="L299" s="12" t="str">
        <f t="shared" si="124"/>
        <v>否</v>
      </c>
      <c r="M299" s="40" t="str">
        <f>_xlfn.XLOOKUP(F299,'6月产品包'!B:B,'6月产品包'!J:J)</f>
        <v>2026-04-28</v>
      </c>
      <c r="N299" s="39" t="str">
        <f ca="1" t="shared" si="120"/>
        <v>新品</v>
      </c>
      <c r="O299" s="37">
        <f>_xlfn.XLOOKUP(F299,'6月库存'!A:A,'6月库存'!R:R)</f>
        <v>0</v>
      </c>
      <c r="P299" s="39">
        <f>_xlfn.XLOOKUP(F299,'6月产品包'!B:B,'6月产品包'!S:S)</f>
        <v>14500</v>
      </c>
      <c r="Q299" s="56"/>
      <c r="R299" s="41">
        <f>_xlfn.XLOOKUP(F299,'6月产品包'!B:B,'6月产品包'!AD:AD)</f>
        <v>148.7178</v>
      </c>
      <c r="S299" s="39">
        <v>309</v>
      </c>
      <c r="T299" s="39">
        <f t="shared" si="121"/>
        <v>386</v>
      </c>
      <c r="U299" s="42">
        <f t="shared" si="126"/>
        <v>308.8</v>
      </c>
      <c r="V299" s="43">
        <v>0.2</v>
      </c>
      <c r="W299" s="44">
        <f t="shared" si="122"/>
        <v>0.518400906735751</v>
      </c>
      <c r="X299" s="44">
        <f t="shared" si="125"/>
        <v>0.354831107527394</v>
      </c>
      <c r="Y299" s="52">
        <v>0.04</v>
      </c>
      <c r="Z299" s="46">
        <v>0.1</v>
      </c>
      <c r="AA299" s="46">
        <v>0.049</v>
      </c>
      <c r="AB299" s="46">
        <f>$AB$1/U280</f>
        <v>0.00453020134228188</v>
      </c>
      <c r="AC299" s="46">
        <v>0.06</v>
      </c>
      <c r="AF299" s="48" t="s">
        <v>102</v>
      </c>
      <c r="AG299" s="39">
        <f t="shared" si="127"/>
        <v>16.6752</v>
      </c>
      <c r="AH299" s="39">
        <f t="shared" si="128"/>
        <v>6</v>
      </c>
      <c r="AI299" s="39">
        <f t="shared" si="129"/>
        <v>16.6752</v>
      </c>
      <c r="AJ299" s="39">
        <f t="shared" si="130"/>
        <v>0</v>
      </c>
      <c r="AK299" s="39">
        <f t="shared" si="131"/>
        <v>0</v>
      </c>
      <c r="AL299" s="39">
        <f t="shared" si="132"/>
        <v>0</v>
      </c>
      <c r="AM299" s="39">
        <f t="shared" si="133"/>
        <v>16.6752</v>
      </c>
      <c r="AN299" s="39">
        <f t="shared" si="134"/>
        <v>13.896</v>
      </c>
    </row>
    <row r="300" ht="50" hidden="1" customHeight="1" spans="1:40">
      <c r="A300" s="39" t="str">
        <f>_xlfn.XLOOKUP(F300,'6月产品包'!B:B,'6月产品包'!F:F)</f>
        <v>办公安防</v>
      </c>
      <c r="B300" s="39" t="str">
        <f>_xlfn.XLOOKUP(F300,'6月产品包'!B:B,'6月产品包'!G:G)</f>
        <v>安防存储</v>
      </c>
      <c r="C300" s="37" t="str">
        <f>_xlfn.XLOOKUP(F300,'6月产品包'!B:B,'6月产品包'!H:H)</f>
        <v>保险箱</v>
      </c>
      <c r="D300" s="38" t="str">
        <f>_xlfn.XLOOKUP(F300,'6月产品包'!B:B,'6月产品包'!O:O)</f>
        <v>保险箱指纹45FS2款</v>
      </c>
      <c r="E300" s="38" t="str">
        <f>_xlfn.XLOOKUP(F300,'6月产品包'!B:B,'6月产品包'!C:C)</f>
        <v>3B-液晶面板黑色保险箱指纹45FS2款</v>
      </c>
      <c r="F300" s="39" t="s">
        <v>619</v>
      </c>
      <c r="G300" s="39" t="s">
        <v>106</v>
      </c>
      <c r="H300" s="49" t="s">
        <v>101</v>
      </c>
      <c r="I300" s="37" t="str">
        <f>_xlfn.XLOOKUP($F300,'6月库存'!A:A,'6月库存'!B:B)</f>
        <v>等待开发</v>
      </c>
      <c r="K300" s="39" t="e">
        <f>_xlfn.XLOOKUP(E300,'[1]6月分配 '!$B:$B,'[1]6月分配 '!$K:$K)</f>
        <v>#N/A</v>
      </c>
      <c r="L300" s="12" t="str">
        <f t="shared" si="124"/>
        <v>否</v>
      </c>
      <c r="M300" s="40" t="str">
        <f>_xlfn.XLOOKUP(F300,'6月产品包'!B:B,'6月产品包'!J:J)</f>
        <v>2026-04-28</v>
      </c>
      <c r="N300" s="39" t="str">
        <f ca="1" t="shared" si="120"/>
        <v>新品</v>
      </c>
      <c r="O300" s="37">
        <f>_xlfn.XLOOKUP(F300,'6月库存'!A:A,'6月库存'!R:R)</f>
        <v>0</v>
      </c>
      <c r="P300" s="39">
        <f>_xlfn.XLOOKUP(F300,'6月产品包'!B:B,'6月产品包'!S:S)</f>
        <v>14500</v>
      </c>
      <c r="Q300" s="56"/>
      <c r="R300" s="41">
        <f>_xlfn.XLOOKUP(F300,'6月产品包'!B:B,'6月产品包'!AD:AD)</f>
        <v>139.9946</v>
      </c>
      <c r="S300" s="39">
        <v>289</v>
      </c>
      <c r="T300" s="39">
        <f t="shared" si="121"/>
        <v>361</v>
      </c>
      <c r="U300" s="42">
        <f t="shared" si="126"/>
        <v>288.8</v>
      </c>
      <c r="V300" s="43">
        <v>0.2</v>
      </c>
      <c r="W300" s="44">
        <f t="shared" si="122"/>
        <v>0.515254155124654</v>
      </c>
      <c r="X300" s="44">
        <f t="shared" si="125"/>
        <v>0.350238664087215</v>
      </c>
      <c r="Y300" s="52">
        <v>0.04</v>
      </c>
      <c r="Z300" s="46">
        <v>0.1</v>
      </c>
      <c r="AA300" s="46">
        <v>0.049</v>
      </c>
      <c r="AB300" s="46">
        <f>$AB$1/U192</f>
        <v>0.00496323529411765</v>
      </c>
      <c r="AC300" s="46">
        <v>0.06</v>
      </c>
      <c r="AF300" s="48" t="s">
        <v>102</v>
      </c>
      <c r="AG300" s="39">
        <f t="shared" si="127"/>
        <v>15.5952</v>
      </c>
      <c r="AH300" s="39">
        <f t="shared" si="128"/>
        <v>6</v>
      </c>
      <c r="AI300" s="39">
        <f t="shared" si="129"/>
        <v>15.5952</v>
      </c>
      <c r="AJ300" s="39">
        <f t="shared" si="130"/>
        <v>0</v>
      </c>
      <c r="AK300" s="39">
        <f t="shared" si="131"/>
        <v>0</v>
      </c>
      <c r="AL300" s="39">
        <f t="shared" si="132"/>
        <v>0</v>
      </c>
      <c r="AM300" s="39">
        <f t="shared" si="133"/>
        <v>15.5952</v>
      </c>
      <c r="AN300" s="39">
        <f t="shared" si="134"/>
        <v>12.996</v>
      </c>
    </row>
    <row r="301" ht="50" hidden="1" customHeight="1" spans="1:40">
      <c r="A301" s="39" t="str">
        <f>_xlfn.XLOOKUP(F301,'6月产品包'!B:B,'6月产品包'!F:F)</f>
        <v>办公安防</v>
      </c>
      <c r="B301" s="39" t="str">
        <f>_xlfn.XLOOKUP(F301,'6月产品包'!B:B,'6月产品包'!G:G)</f>
        <v>安防存储</v>
      </c>
      <c r="C301" s="37" t="str">
        <f>_xlfn.XLOOKUP(F301,'6月产品包'!B:B,'6月产品包'!H:H)</f>
        <v>保险箱</v>
      </c>
      <c r="D301" s="38" t="str">
        <f>_xlfn.XLOOKUP(F301,'6月产品包'!B:B,'6月产品包'!O:O)</f>
        <v>新A6保险箱密码25H9款</v>
      </c>
      <c r="E301" s="38" t="str">
        <f>_xlfn.XLOOKUP(F301,'6月产品包'!B:B,'6月产品包'!C:C)</f>
        <v>3B-新A6黑色保险箱密码25H9款</v>
      </c>
      <c r="F301" s="39" t="s">
        <v>620</v>
      </c>
      <c r="G301" s="39" t="s">
        <v>106</v>
      </c>
      <c r="H301" s="49" t="s">
        <v>101</v>
      </c>
      <c r="I301" s="37" t="str">
        <f>_xlfn.XLOOKUP($F301,'6月库存'!A:A,'6月库存'!B:B)</f>
        <v>等待开发</v>
      </c>
      <c r="K301" s="39" t="e">
        <f>_xlfn.XLOOKUP(E301,'[1]6月分配 '!$B:$B,'[1]6月分配 '!$K:$K)</f>
        <v>#N/A</v>
      </c>
      <c r="L301" s="12" t="str">
        <f t="shared" si="124"/>
        <v>否</v>
      </c>
      <c r="M301" s="40" t="str">
        <f>_xlfn.XLOOKUP(F301,'6月产品包'!B:B,'6月产品包'!J:J)</f>
        <v>2026-04-28</v>
      </c>
      <c r="N301" s="39" t="str">
        <f ca="1" t="shared" si="120"/>
        <v>新品</v>
      </c>
      <c r="O301" s="37">
        <f>_xlfn.XLOOKUP(F301,'6月库存'!A:A,'6月库存'!R:R)</f>
        <v>0</v>
      </c>
      <c r="P301" s="39">
        <f>_xlfn.XLOOKUP(F301,'6月产品包'!B:B,'6月产品包'!S:S)</f>
        <v>8500</v>
      </c>
      <c r="Q301" s="56"/>
      <c r="R301" s="41">
        <f>_xlfn.XLOOKUP(F301,'6月产品包'!B:B,'6月产品包'!AD:AD)</f>
        <v>87.841</v>
      </c>
      <c r="S301" s="39">
        <v>179</v>
      </c>
      <c r="T301" s="39">
        <f t="shared" si="121"/>
        <v>224</v>
      </c>
      <c r="U301" s="42">
        <f t="shared" si="126"/>
        <v>179.2</v>
      </c>
      <c r="V301" s="43">
        <v>0.2</v>
      </c>
      <c r="W301" s="44">
        <f t="shared" si="122"/>
        <v>0.509815848214286</v>
      </c>
      <c r="X301" s="44">
        <f t="shared" si="125"/>
        <v>0.34285045371845</v>
      </c>
      <c r="Y301" s="52">
        <v>0.04</v>
      </c>
      <c r="Z301" s="46">
        <v>0.1</v>
      </c>
      <c r="AA301" s="46">
        <v>0.049</v>
      </c>
      <c r="AB301" s="46">
        <f>$AB$1/U197</f>
        <v>0.00507518796992481</v>
      </c>
      <c r="AC301" s="46">
        <v>0.06</v>
      </c>
      <c r="AF301" s="48" t="s">
        <v>102</v>
      </c>
      <c r="AG301" s="39">
        <f t="shared" si="127"/>
        <v>6</v>
      </c>
      <c r="AH301" s="39">
        <f t="shared" si="128"/>
        <v>6</v>
      </c>
      <c r="AI301" s="39">
        <f t="shared" si="129"/>
        <v>0</v>
      </c>
      <c r="AJ301" s="39">
        <f t="shared" si="130"/>
        <v>0</v>
      </c>
      <c r="AK301" s="39">
        <f t="shared" si="131"/>
        <v>0</v>
      </c>
      <c r="AL301" s="39">
        <f t="shared" si="132"/>
        <v>0</v>
      </c>
      <c r="AM301" s="39">
        <f t="shared" si="133"/>
        <v>0</v>
      </c>
      <c r="AN301" s="39">
        <f t="shared" si="134"/>
        <v>0</v>
      </c>
    </row>
    <row r="302" ht="50" hidden="1" customHeight="1" spans="1:40">
      <c r="A302" s="39" t="str">
        <f>_xlfn.XLOOKUP(F302,'6月产品包'!B:B,'6月产品包'!F:F)</f>
        <v>办公安防</v>
      </c>
      <c r="B302" s="39" t="str">
        <f>_xlfn.XLOOKUP(F302,'6月产品包'!B:B,'6月产品包'!G:G)</f>
        <v>安防存储</v>
      </c>
      <c r="C302" s="37" t="str">
        <f>_xlfn.XLOOKUP(F302,'6月产品包'!B:B,'6月产品包'!H:H)</f>
        <v>保险箱</v>
      </c>
      <c r="D302" s="38" t="str">
        <f>_xlfn.XLOOKUP(F302,'6月产品包'!B:B,'6月产品包'!O:O)</f>
        <v>新A6保险箱指纹25FH9款</v>
      </c>
      <c r="E302" s="38" t="str">
        <f>_xlfn.XLOOKUP(F302,'6月产品包'!B:B,'6月产品包'!C:C)</f>
        <v>3B-新A6黑色保险箱指纹25FH9款</v>
      </c>
      <c r="F302" s="39" t="s">
        <v>621</v>
      </c>
      <c r="G302" s="39" t="s">
        <v>106</v>
      </c>
      <c r="H302" s="49" t="s">
        <v>101</v>
      </c>
      <c r="I302" s="37" t="str">
        <f>_xlfn.XLOOKUP($F302,'6月库存'!A:A,'6月库存'!B:B)</f>
        <v>等待开发</v>
      </c>
      <c r="K302" s="39" t="e">
        <f>_xlfn.XLOOKUP(E302,'[1]6月分配 '!$B:$B,'[1]6月分配 '!$K:$K)</f>
        <v>#N/A</v>
      </c>
      <c r="L302" s="12" t="str">
        <f t="shared" si="124"/>
        <v>否</v>
      </c>
      <c r="M302" s="40" t="str">
        <f>_xlfn.XLOOKUP(F302,'6月产品包'!B:B,'6月产品包'!J:J)</f>
        <v>2026-04-28</v>
      </c>
      <c r="N302" s="39" t="str">
        <f ca="1" t="shared" si="120"/>
        <v>新品</v>
      </c>
      <c r="O302" s="37">
        <f>_xlfn.XLOOKUP(F302,'6月库存'!A:A,'6月库存'!R:R)</f>
        <v>0</v>
      </c>
      <c r="P302" s="39">
        <f>_xlfn.XLOOKUP(F302,'6月产品包'!B:B,'6月产品包'!S:S)</f>
        <v>8500</v>
      </c>
      <c r="Q302" s="56"/>
      <c r="R302" s="41">
        <f>_xlfn.XLOOKUP(F302,'6月产品包'!B:B,'6月产品包'!AD:AD)</f>
        <v>114.0164</v>
      </c>
      <c r="S302" s="39">
        <v>229</v>
      </c>
      <c r="T302" s="39">
        <f t="shared" si="121"/>
        <v>286</v>
      </c>
      <c r="U302" s="42">
        <f t="shared" si="126"/>
        <v>228.8</v>
      </c>
      <c r="V302" s="43">
        <v>0.2</v>
      </c>
      <c r="W302" s="44">
        <f t="shared" si="122"/>
        <v>0.501676573426573</v>
      </c>
      <c r="X302" s="44">
        <f t="shared" si="125"/>
        <v>0.321581203031263</v>
      </c>
      <c r="Y302" s="52">
        <v>0.04</v>
      </c>
      <c r="Z302" s="46">
        <v>0.1</v>
      </c>
      <c r="AA302" s="46">
        <v>0.049</v>
      </c>
      <c r="AB302" s="46">
        <f>$AB$1/U198</f>
        <v>0.0164634146341463</v>
      </c>
      <c r="AC302" s="46">
        <v>0.06</v>
      </c>
      <c r="AF302" s="48" t="s">
        <v>102</v>
      </c>
      <c r="AG302" s="39">
        <f t="shared" si="127"/>
        <v>12.3552</v>
      </c>
      <c r="AH302" s="39">
        <f t="shared" si="128"/>
        <v>6</v>
      </c>
      <c r="AI302" s="39">
        <f t="shared" si="129"/>
        <v>12.3552</v>
      </c>
      <c r="AJ302" s="39">
        <f t="shared" si="130"/>
        <v>0</v>
      </c>
      <c r="AK302" s="39">
        <f t="shared" si="131"/>
        <v>0</v>
      </c>
      <c r="AL302" s="39">
        <f t="shared" si="132"/>
        <v>0</v>
      </c>
      <c r="AM302" s="39">
        <f t="shared" si="133"/>
        <v>0</v>
      </c>
      <c r="AN302" s="39">
        <f t="shared" si="134"/>
        <v>10.296</v>
      </c>
    </row>
    <row r="303" s="6" customFormat="1" ht="50" hidden="1" customHeight="1" spans="1:40">
      <c r="A303" s="37" t="s">
        <v>96</v>
      </c>
      <c r="B303" s="37" t="s">
        <v>127</v>
      </c>
      <c r="C303" s="37" t="str">
        <f>_xlfn.XLOOKUP(F303,'6月产品包'!B:B,'6月产品包'!H:H)</f>
        <v>保险箱</v>
      </c>
      <c r="D303" s="38" t="str">
        <f>_xlfn.XLOOKUP(F303,'6月产品包'!B:B,'6月产品包'!O:O)</f>
        <v>新A6保险箱密码款</v>
      </c>
      <c r="E303" s="38" t="s">
        <v>622</v>
      </c>
      <c r="F303" s="39" t="s">
        <v>623</v>
      </c>
      <c r="G303" s="39" t="e">
        <v>#N/A</v>
      </c>
      <c r="H303" s="39" t="s">
        <v>101</v>
      </c>
      <c r="I303" s="37" t="str">
        <f>_xlfn.XLOOKUP($F303,'6月库存'!A:A,'6月库存'!B:B)</f>
        <v>正常销售</v>
      </c>
      <c r="J303" s="12"/>
      <c r="K303" s="39" t="e">
        <f>_xlfn.XLOOKUP(E303,'[1]6月分配 '!$B:$B,'[1]6月分配 '!$K:$K)</f>
        <v>#N/A</v>
      </c>
      <c r="L303" s="12" t="str">
        <f t="shared" si="124"/>
        <v>否</v>
      </c>
      <c r="M303" s="40" t="str">
        <f>_xlfn.XLOOKUP(F303,'6月产品包'!B:B,'6月产品包'!J:J)</f>
        <v>2026-01-06</v>
      </c>
      <c r="N303" s="39" t="str">
        <f ca="1" t="shared" si="120"/>
        <v>新品</v>
      </c>
      <c r="O303" s="37">
        <f>_xlfn.XLOOKUP(F303,'6月库存'!A:A,'6月库存'!R:R)</f>
        <v>17</v>
      </c>
      <c r="P303" s="39">
        <f>_xlfn.XLOOKUP(F303,'6月产品包'!B:B,'6月产品包'!S:S)</f>
        <v>8000</v>
      </c>
      <c r="Q303" s="39"/>
      <c r="R303" s="41">
        <f>_xlfn.XLOOKUP(F303,'6月产品包'!B:B,'6月产品包'!AD:AD)</f>
        <v>101.5406</v>
      </c>
      <c r="S303" s="39">
        <v>198</v>
      </c>
      <c r="T303" s="39">
        <f t="shared" si="121"/>
        <v>248</v>
      </c>
      <c r="U303" s="42">
        <f t="shared" si="126"/>
        <v>198.4</v>
      </c>
      <c r="V303" s="43">
        <v>0.2</v>
      </c>
      <c r="W303" s="44">
        <f t="shared" si="122"/>
        <v>0.488202620967742</v>
      </c>
      <c r="X303" s="44">
        <f t="shared" si="125"/>
        <v>0.326828834944762</v>
      </c>
      <c r="Y303" s="51">
        <v>0.038</v>
      </c>
      <c r="Z303" s="46">
        <v>0.09</v>
      </c>
      <c r="AA303" s="46">
        <v>0.049</v>
      </c>
      <c r="AB303" s="46">
        <f>$AB$1/U303</f>
        <v>0.00272177419354839</v>
      </c>
      <c r="AC303" s="46">
        <v>0.06</v>
      </c>
      <c r="AD303" s="47"/>
      <c r="AF303" s="48" t="s">
        <v>102</v>
      </c>
      <c r="AG303" s="39">
        <f t="shared" si="127"/>
        <v>8.928</v>
      </c>
      <c r="AH303" s="39">
        <f t="shared" si="128"/>
        <v>6</v>
      </c>
      <c r="AI303" s="39">
        <f t="shared" si="129"/>
        <v>0</v>
      </c>
      <c r="AJ303" s="39">
        <f t="shared" si="130"/>
        <v>0</v>
      </c>
      <c r="AK303" s="39">
        <f t="shared" si="131"/>
        <v>0</v>
      </c>
      <c r="AL303" s="39">
        <f t="shared" si="132"/>
        <v>0</v>
      </c>
      <c r="AM303" s="39">
        <f t="shared" si="133"/>
        <v>0</v>
      </c>
      <c r="AN303" s="39">
        <f t="shared" si="134"/>
        <v>8.928</v>
      </c>
    </row>
    <row r="304" s="6" customFormat="1" ht="50" hidden="1" customHeight="1" spans="1:40">
      <c r="A304" s="37" t="s">
        <v>96</v>
      </c>
      <c r="B304" s="37" t="s">
        <v>97</v>
      </c>
      <c r="C304" s="37" t="str">
        <f>_xlfn.XLOOKUP(F304,'6月产品包'!B:B,'6月产品包'!H:H)</f>
        <v>减速带</v>
      </c>
      <c r="D304" s="38" t="str">
        <f>_xlfn.XLOOKUP(F304,'6月产品包'!B:B,'6月产品包'!O:O)</f>
        <v>斜坡垫</v>
      </c>
      <c r="E304" s="38" t="s">
        <v>624</v>
      </c>
      <c r="F304" s="37" t="s">
        <v>625</v>
      </c>
      <c r="G304" s="39" t="s">
        <v>126</v>
      </c>
      <c r="H304" s="37" t="s">
        <v>101</v>
      </c>
      <c r="I304" s="37" t="str">
        <f>_xlfn.XLOOKUP($F304,'6月库存'!A:A,'6月库存'!B:B)</f>
        <v>商品清仓</v>
      </c>
      <c r="J304" s="12"/>
      <c r="K304" s="39">
        <f>_xlfn.XLOOKUP(E304,'[1]6月分配 '!$B:$B,'[1]6月分配 '!$K:$K)</f>
        <v>2167</v>
      </c>
      <c r="L304" s="12" t="str">
        <f t="shared" si="124"/>
        <v>是</v>
      </c>
      <c r="M304" s="40" t="str">
        <f>_xlfn.XLOOKUP(F304,'6月产品包'!B:B,'6月产品包'!J:J)</f>
        <v>2025-07-03</v>
      </c>
      <c r="N304" s="39" t="str">
        <f ca="1" t="shared" si="120"/>
        <v>老品</v>
      </c>
      <c r="O304" s="37">
        <f>_xlfn.XLOOKUP(F304,'6月库存'!A:A,'6月库存'!R:R)</f>
        <v>65</v>
      </c>
      <c r="P304" s="39">
        <f>_xlfn.XLOOKUP(F304,'6月产品包'!B:B,'6月产品包'!S:S)</f>
        <v>2900</v>
      </c>
      <c r="Q304" s="39"/>
      <c r="R304" s="41">
        <f>_xlfn.XLOOKUP(F304,'6月产品包'!B:B,'6月产品包'!AD:AD)</f>
        <v>12.8934</v>
      </c>
      <c r="S304" s="39">
        <v>20</v>
      </c>
      <c r="T304" s="39">
        <f t="shared" si="121"/>
        <v>25</v>
      </c>
      <c r="U304" s="42">
        <f t="shared" si="126"/>
        <v>20</v>
      </c>
      <c r="V304" s="43">
        <v>0.2</v>
      </c>
      <c r="W304" s="44">
        <f t="shared" si="122"/>
        <v>0.35533</v>
      </c>
      <c r="X304" s="44">
        <f t="shared" si="125"/>
        <v>0.169239690721649</v>
      </c>
      <c r="Y304" s="44">
        <v>0.038</v>
      </c>
      <c r="Z304" s="46">
        <v>0.1</v>
      </c>
      <c r="AA304" s="46">
        <v>0.049</v>
      </c>
      <c r="AB304" s="46">
        <f>$AB$1/U304</f>
        <v>0.027</v>
      </c>
      <c r="AC304" s="46">
        <v>0.01</v>
      </c>
      <c r="AD304" s="47"/>
      <c r="AF304" s="55" t="s">
        <v>114</v>
      </c>
      <c r="AG304" s="39">
        <f t="shared" si="127"/>
        <v>0</v>
      </c>
      <c r="AH304" s="39">
        <f t="shared" si="128"/>
        <v>0</v>
      </c>
      <c r="AI304" s="39">
        <f t="shared" si="129"/>
        <v>0</v>
      </c>
      <c r="AJ304" s="39">
        <f t="shared" si="130"/>
        <v>0</v>
      </c>
      <c r="AK304" s="39">
        <f t="shared" si="131"/>
        <v>0</v>
      </c>
      <c r="AL304" s="39">
        <f t="shared" si="132"/>
        <v>0</v>
      </c>
      <c r="AM304" s="39">
        <f t="shared" si="133"/>
        <v>0</v>
      </c>
      <c r="AN304" s="39">
        <f t="shared" si="134"/>
        <v>0</v>
      </c>
    </row>
    <row r="305" s="6" customFormat="1" ht="50" hidden="1" customHeight="1" spans="1:40">
      <c r="A305" s="37" t="s">
        <v>108</v>
      </c>
      <c r="B305" s="37" t="s">
        <v>168</v>
      </c>
      <c r="C305" s="37" t="str">
        <f>_xlfn.XLOOKUP(F305,'6月产品包'!B:B,'6月产品包'!H:H)</f>
        <v>电视支架托盘</v>
      </c>
      <c r="D305" s="38" t="str">
        <f>_xlfn.XLOOKUP(F305,'6月产品包'!B:B,'6月产品包'!O:O)</f>
        <v>移动电视支架</v>
      </c>
      <c r="E305" s="38" t="s">
        <v>626</v>
      </c>
      <c r="F305" s="39" t="s">
        <v>627</v>
      </c>
      <c r="G305" s="39" t="s">
        <v>100</v>
      </c>
      <c r="H305" s="37" t="s">
        <v>101</v>
      </c>
      <c r="I305" s="37" t="str">
        <f>_xlfn.XLOOKUP($F305,'6月库存'!A:A,'6月库存'!B:B)</f>
        <v>正常销售</v>
      </c>
      <c r="J305" s="12"/>
      <c r="K305" s="39">
        <f>_xlfn.XLOOKUP(E305,'[1]6月分配 '!$B:$B,'[1]6月分配 '!$K:$K)</f>
        <v>2129</v>
      </c>
      <c r="L305" s="12" t="str">
        <f t="shared" si="124"/>
        <v>是</v>
      </c>
      <c r="M305" s="40" t="str">
        <f>_xlfn.XLOOKUP(F305,'6月产品包'!B:B,'6月产品包'!J:J)</f>
        <v>2024-01-01</v>
      </c>
      <c r="N305" s="39" t="str">
        <f ca="1" t="shared" si="120"/>
        <v>老品</v>
      </c>
      <c r="O305" s="37">
        <f>_xlfn.XLOOKUP(F305,'6月库存'!A:A,'6月库存'!R:R)</f>
        <v>354</v>
      </c>
      <c r="P305" s="39">
        <f>_xlfn.XLOOKUP(F305,'6月产品包'!B:B,'6月产品包'!S:S)</f>
        <v>1400</v>
      </c>
      <c r="Q305" s="39"/>
      <c r="R305" s="41">
        <f>_xlfn.XLOOKUP(F305,'6月产品包'!B:B,'6月产品包'!AD:AD)</f>
        <v>8.2302</v>
      </c>
      <c r="S305" s="39">
        <v>15</v>
      </c>
      <c r="T305" s="39">
        <f t="shared" si="121"/>
        <v>19</v>
      </c>
      <c r="U305" s="42">
        <f t="shared" si="126"/>
        <v>15.2</v>
      </c>
      <c r="V305" s="43">
        <v>0.2</v>
      </c>
      <c r="W305" s="44">
        <f t="shared" si="122"/>
        <v>0.458539473684211</v>
      </c>
      <c r="X305" s="44">
        <f t="shared" si="125"/>
        <v>0.255697438865577</v>
      </c>
      <c r="Y305" s="51">
        <v>0.038</v>
      </c>
      <c r="Z305" s="46">
        <v>0.09</v>
      </c>
      <c r="AA305" s="46">
        <v>0.049</v>
      </c>
      <c r="AB305" s="46">
        <f>$AB$1/U305</f>
        <v>0.0355263157894737</v>
      </c>
      <c r="AC305" s="46">
        <v>0.06</v>
      </c>
      <c r="AD305" s="47"/>
      <c r="AF305" s="55" t="s">
        <v>114</v>
      </c>
      <c r="AG305" s="39">
        <f t="shared" si="127"/>
        <v>0</v>
      </c>
      <c r="AH305" s="39">
        <f t="shared" si="128"/>
        <v>0</v>
      </c>
      <c r="AI305" s="39">
        <f t="shared" si="129"/>
        <v>0</v>
      </c>
      <c r="AJ305" s="39">
        <f t="shared" si="130"/>
        <v>0</v>
      </c>
      <c r="AK305" s="39">
        <f t="shared" si="131"/>
        <v>0</v>
      </c>
      <c r="AL305" s="39">
        <f t="shared" si="132"/>
        <v>0</v>
      </c>
      <c r="AM305" s="39">
        <f t="shared" si="133"/>
        <v>0</v>
      </c>
      <c r="AN305" s="39">
        <f t="shared" si="134"/>
        <v>0</v>
      </c>
    </row>
    <row r="306" ht="50" hidden="1" customHeight="1" spans="1:40">
      <c r="A306" s="39" t="str">
        <f>_xlfn.XLOOKUP(F306,'6月产品包'!B:B,'6月产品包'!F:F)</f>
        <v>3C数码</v>
      </c>
      <c r="B306" s="39" t="str">
        <f>_xlfn.XLOOKUP(F306,'6月产品包'!B:B,'6月产品包'!G:G)</f>
        <v>电脑周边</v>
      </c>
      <c r="C306" s="37" t="str">
        <f>_xlfn.XLOOKUP(F306,'6月产品包'!B:B,'6月产品包'!H:H)</f>
        <v>显示器支架</v>
      </c>
      <c r="D306" s="38" t="str">
        <f>_xlfn.XLOOKUP(F306,'6月产品包'!B:B,'6月产品包'!O:O)</f>
        <v>显示器桌面支架T001</v>
      </c>
      <c r="E306" s="38" t="str">
        <f>_xlfn.XLOOKUP(F306,'6月产品包'!B:B,'6月产品包'!C:C)</f>
        <v>3C-显示器桌面支架T001</v>
      </c>
      <c r="F306" s="39" t="s">
        <v>628</v>
      </c>
      <c r="G306" s="39" t="s">
        <v>106</v>
      </c>
      <c r="H306" s="49" t="s">
        <v>101</v>
      </c>
      <c r="I306" s="37" t="str">
        <f>_xlfn.XLOOKUP($F306,'6月库存'!A:A,'6月库存'!B:B)</f>
        <v>等待开发</v>
      </c>
      <c r="K306" s="39" t="e">
        <f>_xlfn.XLOOKUP(E306,'[1]6月分配 '!$B:$B,'[1]6月分配 '!$K:$K)</f>
        <v>#N/A</v>
      </c>
      <c r="L306" s="12" t="str">
        <f t="shared" ref="L306:L334" si="135">IF(ISNUMBER(K306),"是",IF(ISNA(K306),"否",""))</f>
        <v>否</v>
      </c>
      <c r="M306" s="40" t="str">
        <f>_xlfn.XLOOKUP(F306,'6月产品包'!B:B,'6月产品包'!J:J)</f>
        <v>2026-03-30</v>
      </c>
      <c r="N306" s="39" t="str">
        <f ca="1" t="shared" ref="N306:N333" si="136">IF(DATEDIF(M306,TODAY(),"m")&lt;6,"新品","老品")</f>
        <v>新品</v>
      </c>
      <c r="O306" s="37">
        <f>_xlfn.XLOOKUP(F306,'6月库存'!A:A,'6月库存'!R:R)</f>
        <v>0</v>
      </c>
      <c r="P306" s="39">
        <f>_xlfn.XLOOKUP(F306,'6月产品包'!B:B,'6月产品包'!S:S)</f>
        <v>2360</v>
      </c>
      <c r="Q306" s="56"/>
      <c r="R306" s="41">
        <f>_xlfn.XLOOKUP(F306,'6月产品包'!B:B,'6月产品包'!AD:AD)</f>
        <v>25.2068</v>
      </c>
      <c r="S306" s="39">
        <v>50</v>
      </c>
      <c r="T306" s="39">
        <f t="shared" si="121"/>
        <v>63</v>
      </c>
      <c r="U306" s="42">
        <f t="shared" si="126"/>
        <v>50.4</v>
      </c>
      <c r="V306" s="43">
        <v>0.2</v>
      </c>
      <c r="W306" s="44">
        <f t="shared" si="122"/>
        <v>0.499865079365079</v>
      </c>
      <c r="X306" s="44">
        <f t="shared" ref="X306:X334" si="137">(U306*(1-Y306-Z306-AA306-AC306-AB306)-R306)/(U306*(1-Y306-Z306-AA306-AC306-AB306))</f>
        <v>0.319808734322043</v>
      </c>
      <c r="Y306" s="44">
        <v>0.04</v>
      </c>
      <c r="Z306" s="46">
        <v>0.105</v>
      </c>
      <c r="AA306" s="46">
        <v>0.049</v>
      </c>
      <c r="AB306" s="46">
        <f>$AB$1/U306</f>
        <v>0.0107142857142857</v>
      </c>
      <c r="AC306" s="46">
        <v>0.06</v>
      </c>
      <c r="AF306" s="48" t="s">
        <v>102</v>
      </c>
      <c r="AG306" s="39">
        <f t="shared" si="127"/>
        <v>3.024</v>
      </c>
      <c r="AH306" s="39">
        <f t="shared" si="128"/>
        <v>3.024</v>
      </c>
      <c r="AI306" s="39">
        <f t="shared" si="129"/>
        <v>0</v>
      </c>
      <c r="AJ306" s="39">
        <f t="shared" si="130"/>
        <v>0</v>
      </c>
      <c r="AK306" s="39">
        <f t="shared" si="131"/>
        <v>0</v>
      </c>
      <c r="AL306" s="39">
        <f t="shared" si="132"/>
        <v>0</v>
      </c>
      <c r="AM306" s="39">
        <f t="shared" si="133"/>
        <v>0</v>
      </c>
      <c r="AN306" s="39">
        <f t="shared" si="134"/>
        <v>0</v>
      </c>
    </row>
    <row r="307" ht="50" hidden="1" customHeight="1" spans="1:40">
      <c r="A307" s="39" t="str">
        <f>_xlfn.XLOOKUP(F307,'6月产品包'!B:B,'6月产品包'!F:F)</f>
        <v>3C数码</v>
      </c>
      <c r="B307" s="39" t="str">
        <f>_xlfn.XLOOKUP(F307,'6月产品包'!B:B,'6月产品包'!G:G)</f>
        <v>电脑周边</v>
      </c>
      <c r="C307" s="37" t="str">
        <f>_xlfn.XLOOKUP(F307,'6月产品包'!B:B,'6月产品包'!H:H)</f>
        <v>显示器</v>
      </c>
      <c r="D307" s="38" t="str">
        <f>_xlfn.XLOOKUP(F307,'6月产品包'!B:B,'6月产品包'!O:O)</f>
        <v>15.6寸无线投屏便携显示器非触摸款</v>
      </c>
      <c r="E307" s="38" t="str">
        <f>_xlfn.XLOOKUP(F307,'6月产品包'!B:B,'6月产品包'!C:C)</f>
        <v>3C-15.6寸60Hz直面1K便携式无线投屏显示器黑色</v>
      </c>
      <c r="F307" s="39" t="s">
        <v>629</v>
      </c>
      <c r="G307" s="39" t="s">
        <v>106</v>
      </c>
      <c r="H307" s="39" t="s">
        <v>107</v>
      </c>
      <c r="I307" s="37" t="str">
        <f>_xlfn.XLOOKUP($F307,'6月库存'!A:A,'6月库存'!B:B)</f>
        <v>等待开发</v>
      </c>
      <c r="K307" s="39" t="e">
        <f>_xlfn.XLOOKUP(E307,'[1]6月分配 '!$B:$B,'[1]6月分配 '!$K:$K)</f>
        <v>#N/A</v>
      </c>
      <c r="L307" s="12" t="str">
        <f t="shared" si="135"/>
        <v>否</v>
      </c>
      <c r="M307" s="40" t="str">
        <f>_xlfn.XLOOKUP(F307,'6月产品包'!B:B,'6月产品包'!J:J)</f>
        <v>2026-03-07</v>
      </c>
      <c r="N307" s="39" t="str">
        <f ca="1" t="shared" si="136"/>
        <v>新品</v>
      </c>
      <c r="O307" s="37">
        <f>_xlfn.XLOOKUP(F307,'6月库存'!A:A,'6月库存'!R:R)</f>
        <v>0</v>
      </c>
      <c r="P307" s="39">
        <f>_xlfn.XLOOKUP(F307,'6月产品包'!B:B,'6月产品包'!S:S)</f>
        <v>1444</v>
      </c>
      <c r="Q307" s="56"/>
      <c r="R307" s="41">
        <f>_xlfn.XLOOKUP(F307,'6月产品包'!B:B,'6月产品包'!AD:AD)</f>
        <v>187.0442</v>
      </c>
      <c r="S307" s="39">
        <v>369</v>
      </c>
      <c r="T307" s="39">
        <f t="shared" si="121"/>
        <v>461</v>
      </c>
      <c r="U307" s="42">
        <f t="shared" si="126"/>
        <v>368.8</v>
      </c>
      <c r="V307" s="43">
        <v>0.2</v>
      </c>
      <c r="W307" s="44">
        <f t="shared" si="122"/>
        <v>0.492830260303688</v>
      </c>
      <c r="X307" s="44">
        <f t="shared" si="137"/>
        <v>0.333776195192558</v>
      </c>
      <c r="Y307" s="44">
        <v>0.038</v>
      </c>
      <c r="Z307" s="46">
        <v>0.09</v>
      </c>
      <c r="AA307" s="46">
        <v>0.049</v>
      </c>
      <c r="AB307" s="46">
        <v>0.00173969072164948</v>
      </c>
      <c r="AC307" s="46">
        <v>0.06</v>
      </c>
      <c r="AF307" s="48" t="s">
        <v>102</v>
      </c>
      <c r="AG307" s="39">
        <f t="shared" si="127"/>
        <v>19.9152</v>
      </c>
      <c r="AH307" s="39">
        <f t="shared" si="128"/>
        <v>6</v>
      </c>
      <c r="AI307" s="39">
        <f t="shared" si="129"/>
        <v>19.9152</v>
      </c>
      <c r="AJ307" s="39">
        <f t="shared" si="130"/>
        <v>0</v>
      </c>
      <c r="AK307" s="39">
        <f t="shared" si="131"/>
        <v>0</v>
      </c>
      <c r="AL307" s="39">
        <f t="shared" si="132"/>
        <v>0</v>
      </c>
      <c r="AM307" s="39">
        <f t="shared" si="133"/>
        <v>19.9152</v>
      </c>
      <c r="AN307" s="39">
        <f t="shared" si="134"/>
        <v>16.596</v>
      </c>
    </row>
    <row r="308" ht="50" hidden="1" customHeight="1" spans="1:40">
      <c r="A308" s="39" t="str">
        <f>_xlfn.XLOOKUP(F308,'6月产品包'!B:B,'6月产品包'!F:F)</f>
        <v>办公安防</v>
      </c>
      <c r="B308" s="39" t="str">
        <f>_xlfn.XLOOKUP(F308,'6月产品包'!B:B,'6月产品包'!G:G)</f>
        <v>教学周边</v>
      </c>
      <c r="C308" s="37" t="str">
        <f>_xlfn.XLOOKUP(F308,'6月产品包'!B:B,'6月产品包'!H:H)</f>
        <v>白板</v>
      </c>
      <c r="D308" s="38" t="str">
        <f>_xlfn.XLOOKUP(F308,'6月产品包'!B:B,'6月产品包'!O:O)</f>
        <v>木框白板</v>
      </c>
      <c r="E308" s="38" t="str">
        <f>_xlfn.XLOOKUP(F308,'6月产品包'!B:B,'6月产品包'!C:C)</f>
        <v>3B-木框白板60cm*90cm</v>
      </c>
      <c r="F308" s="39" t="s">
        <v>630</v>
      </c>
      <c r="G308" s="39" t="s">
        <v>106</v>
      </c>
      <c r="H308" s="49" t="s">
        <v>101</v>
      </c>
      <c r="I308" s="37" t="str">
        <f>_xlfn.XLOOKUP($F308,'6月库存'!A:A,'6月库存'!B:B)</f>
        <v>正常销售</v>
      </c>
      <c r="K308" s="39" t="e">
        <f>_xlfn.XLOOKUP(E308,'[1]6月分配 '!$B:$B,'[1]6月分配 '!$K:$K)</f>
        <v>#N/A</v>
      </c>
      <c r="L308" s="12" t="str">
        <f t="shared" si="135"/>
        <v>否</v>
      </c>
      <c r="M308" s="40" t="str">
        <f>_xlfn.XLOOKUP(F308,'6月产品包'!B:B,'6月产品包'!J:J)</f>
        <v>2026-02-26</v>
      </c>
      <c r="N308" s="39" t="str">
        <f ca="1" t="shared" si="136"/>
        <v>新品</v>
      </c>
      <c r="O308" s="37">
        <f>_xlfn.XLOOKUP(F308,'6月库存'!A:A,'6月库存'!R:R)</f>
        <v>0</v>
      </c>
      <c r="P308" s="39">
        <f>_xlfn.XLOOKUP(F308,'6月产品包'!B:B,'6月产品包'!S:S)</f>
        <v>1800</v>
      </c>
      <c r="Q308" s="56"/>
      <c r="R308" s="41">
        <f>_xlfn.XLOOKUP(F308,'6月产品包'!B:B,'6月产品包'!AD:AD)</f>
        <v>17.2028</v>
      </c>
      <c r="S308" s="39">
        <v>34</v>
      </c>
      <c r="T308" s="39">
        <f t="shared" si="121"/>
        <v>43</v>
      </c>
      <c r="U308" s="42">
        <f t="shared" si="126"/>
        <v>34.4</v>
      </c>
      <c r="V308" s="43">
        <v>0.2</v>
      </c>
      <c r="W308" s="44">
        <f t="shared" si="122"/>
        <v>0.499918604651163</v>
      </c>
      <c r="X308" s="44">
        <f t="shared" si="137"/>
        <v>0.297936596036436</v>
      </c>
      <c r="Y308" s="44">
        <v>0.038</v>
      </c>
      <c r="Z308" s="46">
        <v>0.105</v>
      </c>
      <c r="AA308" s="46">
        <v>0.049</v>
      </c>
      <c r="AB308" s="46">
        <f>$AB$1/U308</f>
        <v>0.0156976744186047</v>
      </c>
      <c r="AC308" s="46">
        <v>0.08</v>
      </c>
      <c r="AD308" s="58">
        <v>0.05</v>
      </c>
      <c r="AE308" s="58">
        <v>0.05</v>
      </c>
      <c r="AF308" s="48" t="s">
        <v>102</v>
      </c>
      <c r="AG308" s="39">
        <f t="shared" si="127"/>
        <v>0</v>
      </c>
      <c r="AH308" s="39">
        <f t="shared" si="128"/>
        <v>0</v>
      </c>
      <c r="AI308" s="39">
        <f t="shared" si="129"/>
        <v>0</v>
      </c>
      <c r="AJ308" s="39">
        <f t="shared" si="130"/>
        <v>0</v>
      </c>
      <c r="AK308" s="39">
        <f t="shared" si="131"/>
        <v>0</v>
      </c>
      <c r="AL308" s="39">
        <f t="shared" si="132"/>
        <v>0</v>
      </c>
      <c r="AM308" s="39">
        <f t="shared" si="133"/>
        <v>0</v>
      </c>
      <c r="AN308" s="39">
        <f t="shared" si="134"/>
        <v>0</v>
      </c>
    </row>
    <row r="309" ht="50" hidden="1" customHeight="1" spans="1:40">
      <c r="A309" s="39" t="str">
        <f>_xlfn.XLOOKUP(F309,'6月产品包'!B:B,'6月产品包'!F:F)</f>
        <v>办公安防</v>
      </c>
      <c r="B309" s="39" t="str">
        <f>_xlfn.XLOOKUP(F309,'6月产品包'!B:B,'6月产品包'!G:G)</f>
        <v>教学周边</v>
      </c>
      <c r="C309" s="37" t="str">
        <f>_xlfn.XLOOKUP(F309,'6月产品包'!B:B,'6月产品包'!H:H)</f>
        <v>白板</v>
      </c>
      <c r="D309" s="38" t="str">
        <f>_xlfn.XLOOKUP(F309,'6月产品包'!B:B,'6月产品包'!O:O)</f>
        <v>木框留言板</v>
      </c>
      <c r="E309" s="38" t="str">
        <f>_xlfn.XLOOKUP(F309,'6月产品包'!B:B,'6月产品包'!C:C)</f>
        <v>3B-木框留言板60cm*90cm</v>
      </c>
      <c r="F309" s="39" t="s">
        <v>631</v>
      </c>
      <c r="G309" s="39" t="s">
        <v>106</v>
      </c>
      <c r="H309" s="49" t="s">
        <v>101</v>
      </c>
      <c r="I309" s="37" t="str">
        <f>_xlfn.XLOOKUP($F309,'6月库存'!A:A,'6月库存'!B:B)</f>
        <v>正常销售</v>
      </c>
      <c r="K309" s="39" t="e">
        <f>_xlfn.XLOOKUP(E309,'[1]6月分配 '!$B:$B,'[1]6月分配 '!$K:$K)</f>
        <v>#N/A</v>
      </c>
      <c r="L309" s="12" t="str">
        <f t="shared" si="135"/>
        <v>否</v>
      </c>
      <c r="M309" s="40" t="str">
        <f>_xlfn.XLOOKUP(F309,'6月产品包'!B:B,'6月产品包'!J:J)</f>
        <v>2026-02-26</v>
      </c>
      <c r="N309" s="39" t="str">
        <f ca="1" t="shared" si="136"/>
        <v>新品</v>
      </c>
      <c r="O309" s="37">
        <f>_xlfn.XLOOKUP(F309,'6月库存'!A:A,'6月库存'!R:R)</f>
        <v>0</v>
      </c>
      <c r="P309" s="39">
        <f>_xlfn.XLOOKUP(F309,'6月产品包'!B:B,'6月产品包'!S:S)</f>
        <v>1900</v>
      </c>
      <c r="Q309" s="56"/>
      <c r="R309" s="41">
        <f>_xlfn.XLOOKUP(F309,'6月产品包'!B:B,'6月产品包'!AD:AD)</f>
        <v>17.2028</v>
      </c>
      <c r="S309" s="39">
        <v>34</v>
      </c>
      <c r="T309" s="39">
        <f t="shared" si="121"/>
        <v>43</v>
      </c>
      <c r="U309" s="42">
        <f t="shared" si="126"/>
        <v>34.4</v>
      </c>
      <c r="V309" s="43">
        <v>0.2</v>
      </c>
      <c r="W309" s="44">
        <f t="shared" si="122"/>
        <v>0.499918604651163</v>
      </c>
      <c r="X309" s="44">
        <f t="shared" si="137"/>
        <v>0.297936596036436</v>
      </c>
      <c r="Y309" s="44">
        <v>0.038</v>
      </c>
      <c r="Z309" s="46">
        <v>0.105</v>
      </c>
      <c r="AA309" s="46">
        <v>0.049</v>
      </c>
      <c r="AB309" s="46">
        <f>$AB$1/U309</f>
        <v>0.0156976744186047</v>
      </c>
      <c r="AC309" s="46">
        <v>0.08</v>
      </c>
      <c r="AD309" s="58">
        <v>0.05</v>
      </c>
      <c r="AE309" s="58">
        <v>0.05</v>
      </c>
      <c r="AF309" s="48" t="s">
        <v>102</v>
      </c>
      <c r="AG309" s="39">
        <f t="shared" si="127"/>
        <v>0</v>
      </c>
      <c r="AH309" s="39">
        <f t="shared" si="128"/>
        <v>0</v>
      </c>
      <c r="AI309" s="39">
        <f t="shared" si="129"/>
        <v>0</v>
      </c>
      <c r="AJ309" s="39">
        <f t="shared" si="130"/>
        <v>0</v>
      </c>
      <c r="AK309" s="39">
        <f t="shared" si="131"/>
        <v>0</v>
      </c>
      <c r="AL309" s="39">
        <f t="shared" si="132"/>
        <v>0</v>
      </c>
      <c r="AM309" s="39">
        <f t="shared" si="133"/>
        <v>0</v>
      </c>
      <c r="AN309" s="39">
        <f t="shared" si="134"/>
        <v>0</v>
      </c>
    </row>
    <row r="310" ht="50" hidden="1" customHeight="1" spans="1:40">
      <c r="A310" s="39" t="str">
        <f>_xlfn.XLOOKUP(F310,'6月产品包'!B:B,'6月产品包'!F:F)</f>
        <v>3C数码</v>
      </c>
      <c r="B310" s="39" t="str">
        <f>_xlfn.XLOOKUP(F310,'6月产品包'!B:B,'6月产品包'!G:G)</f>
        <v>电脑周边</v>
      </c>
      <c r="C310" s="37" t="str">
        <f>_xlfn.XLOOKUP(F310,'6月产品包'!B:B,'6月产品包'!H:H)</f>
        <v>电脑机箱</v>
      </c>
      <c r="D310" s="38" t="str">
        <f>_xlfn.XLOOKUP(F310,'6月产品包'!B:B,'6月产品包'!O:O)</f>
        <v>电脑机箱异形01灯板款</v>
      </c>
      <c r="E310" s="38" t="str">
        <f>_xlfn.XLOOKUP(F310,'6月产品包'!B:B,'6月产品包'!C:C)</f>
        <v>3C-电脑机箱异形01机箱黑色灯板款</v>
      </c>
      <c r="F310" s="39" t="s">
        <v>632</v>
      </c>
      <c r="G310" s="39" t="s">
        <v>106</v>
      </c>
      <c r="H310" s="39" t="s">
        <v>107</v>
      </c>
      <c r="I310" s="37" t="str">
        <f>_xlfn.XLOOKUP($F310,'6月库存'!A:A,'6月库存'!B:B)</f>
        <v>等待开发</v>
      </c>
      <c r="K310" s="39" t="e">
        <f>_xlfn.XLOOKUP(E310,'[1]6月分配 '!$B:$B,'[1]6月分配 '!$K:$K)</f>
        <v>#N/A</v>
      </c>
      <c r="L310" s="12" t="str">
        <f t="shared" si="135"/>
        <v>否</v>
      </c>
      <c r="M310" s="40" t="str">
        <f>_xlfn.XLOOKUP(F310,'6月产品包'!B:B,'6月产品包'!J:J)</f>
        <v>2026-03-30</v>
      </c>
      <c r="N310" s="39" t="str">
        <f ca="1" t="shared" si="136"/>
        <v>新品</v>
      </c>
      <c r="O310" s="37">
        <f>_xlfn.XLOOKUP(F310,'6月库存'!A:A,'6月库存'!R:R)</f>
        <v>0</v>
      </c>
      <c r="P310" s="39">
        <f>_xlfn.XLOOKUP(F310,'6月产品包'!B:B,'6月产品包'!S:S)</f>
        <v>6600</v>
      </c>
      <c r="Q310" s="56"/>
      <c r="R310" s="41">
        <f>_xlfn.XLOOKUP(F310,'6月产品包'!B:B,'6月产品包'!AD:AD)</f>
        <v>114.5094</v>
      </c>
      <c r="S310" s="39">
        <v>229</v>
      </c>
      <c r="T310" s="39">
        <f t="shared" si="121"/>
        <v>286</v>
      </c>
      <c r="U310" s="42">
        <f t="shared" si="126"/>
        <v>228.8</v>
      </c>
      <c r="V310" s="43">
        <v>0.2</v>
      </c>
      <c r="W310" s="44">
        <f t="shared" si="122"/>
        <v>0.499521853146853</v>
      </c>
      <c r="X310" s="44">
        <f t="shared" si="137"/>
        <v>0.328793733265183</v>
      </c>
      <c r="Y310" s="44">
        <v>0.038</v>
      </c>
      <c r="Z310" s="46">
        <v>0.105</v>
      </c>
      <c r="AA310" s="46">
        <v>0.049</v>
      </c>
      <c r="AB310" s="46">
        <f>$AB$1/U310</f>
        <v>0.00236013986013986</v>
      </c>
      <c r="AC310" s="46">
        <v>0.06</v>
      </c>
      <c r="AF310" s="48" t="s">
        <v>102</v>
      </c>
      <c r="AG310" s="39">
        <f t="shared" si="127"/>
        <v>12.3552</v>
      </c>
      <c r="AH310" s="39">
        <f t="shared" si="128"/>
        <v>6</v>
      </c>
      <c r="AI310" s="39">
        <f t="shared" si="129"/>
        <v>12.3552</v>
      </c>
      <c r="AJ310" s="39">
        <f t="shared" si="130"/>
        <v>0</v>
      </c>
      <c r="AK310" s="39">
        <f t="shared" si="131"/>
        <v>0</v>
      </c>
      <c r="AL310" s="39">
        <f t="shared" si="132"/>
        <v>0</v>
      </c>
      <c r="AM310" s="39">
        <f t="shared" si="133"/>
        <v>0</v>
      </c>
      <c r="AN310" s="39">
        <f t="shared" si="134"/>
        <v>10.296</v>
      </c>
    </row>
    <row r="311" ht="50" hidden="1" customHeight="1" spans="1:40">
      <c r="A311" s="39" t="str">
        <f>_xlfn.XLOOKUP(F311,'6月产品包'!B:B,'6月产品包'!F:F)</f>
        <v>3C数码</v>
      </c>
      <c r="B311" s="39" t="str">
        <f>_xlfn.XLOOKUP(F311,'6月产品包'!B:B,'6月产品包'!G:G)</f>
        <v>电脑周边</v>
      </c>
      <c r="C311" s="37" t="str">
        <f>_xlfn.XLOOKUP(F311,'6月产品包'!B:B,'6月产品包'!H:H)</f>
        <v>电脑机箱</v>
      </c>
      <c r="D311" s="38" t="str">
        <f>_xlfn.XLOOKUP(F311,'6月产品包'!B:B,'6月产品包'!O:O)</f>
        <v>电脑机箱异形01风扇款</v>
      </c>
      <c r="E311" s="38" t="str">
        <f>_xlfn.XLOOKUP(F311,'6月产品包'!B:B,'6月产品包'!C:C)</f>
        <v>3C-电脑机箱异形01机箱黑色风扇款</v>
      </c>
      <c r="F311" s="39" t="s">
        <v>633</v>
      </c>
      <c r="G311" s="39" t="s">
        <v>106</v>
      </c>
      <c r="H311" s="39" t="s">
        <v>107</v>
      </c>
      <c r="I311" s="37" t="str">
        <f>_xlfn.XLOOKUP($F311,'6月库存'!A:A,'6月库存'!B:B)</f>
        <v>等待开发</v>
      </c>
      <c r="K311" s="39" t="e">
        <f>_xlfn.XLOOKUP(E311,'[1]6月分配 '!$B:$B,'[1]6月分配 '!$K:$K)</f>
        <v>#N/A</v>
      </c>
      <c r="L311" s="12" t="str">
        <f t="shared" si="135"/>
        <v>否</v>
      </c>
      <c r="M311" s="40" t="str">
        <f>_xlfn.XLOOKUP(F311,'6月产品包'!B:B,'6月产品包'!J:J)</f>
        <v>2026-03-30</v>
      </c>
      <c r="N311" s="39" t="str">
        <f ca="1" t="shared" si="136"/>
        <v>新品</v>
      </c>
      <c r="O311" s="37">
        <f>_xlfn.XLOOKUP(F311,'6月库存'!A:A,'6月库存'!R:R)</f>
        <v>0</v>
      </c>
      <c r="P311" s="39">
        <f>_xlfn.XLOOKUP(F311,'6月产品包'!B:B,'6月产品包'!S:S)</f>
        <v>6200</v>
      </c>
      <c r="Q311" s="56"/>
      <c r="R311" s="41">
        <f>_xlfn.XLOOKUP(F311,'6月产品包'!B:B,'6月产品包'!AD:AD)</f>
        <v>98.7624</v>
      </c>
      <c r="S311" s="39">
        <v>198</v>
      </c>
      <c r="T311" s="39">
        <f t="shared" si="121"/>
        <v>248</v>
      </c>
      <c r="U311" s="42">
        <f t="shared" si="126"/>
        <v>198.4</v>
      </c>
      <c r="V311" s="43">
        <v>0.2</v>
      </c>
      <c r="W311" s="44">
        <f t="shared" si="122"/>
        <v>0.50220564516129</v>
      </c>
      <c r="X311" s="44">
        <f t="shared" si="137"/>
        <v>0.332069101710229</v>
      </c>
      <c r="Y311" s="44">
        <v>0.038</v>
      </c>
      <c r="Z311" s="46">
        <v>0.105</v>
      </c>
      <c r="AA311" s="46">
        <v>0.049</v>
      </c>
      <c r="AB311" s="46">
        <f>$AB$1/U311</f>
        <v>0.00272177419354839</v>
      </c>
      <c r="AC311" s="46">
        <v>0.06</v>
      </c>
      <c r="AF311" s="48" t="s">
        <v>102</v>
      </c>
      <c r="AG311" s="39">
        <f t="shared" si="127"/>
        <v>8.928</v>
      </c>
      <c r="AH311" s="39">
        <f t="shared" si="128"/>
        <v>6</v>
      </c>
      <c r="AI311" s="39">
        <f t="shared" si="129"/>
        <v>0</v>
      </c>
      <c r="AJ311" s="39">
        <f t="shared" si="130"/>
        <v>0</v>
      </c>
      <c r="AK311" s="39">
        <f t="shared" si="131"/>
        <v>0</v>
      </c>
      <c r="AL311" s="39">
        <f t="shared" si="132"/>
        <v>0</v>
      </c>
      <c r="AM311" s="39">
        <f t="shared" si="133"/>
        <v>0</v>
      </c>
      <c r="AN311" s="39">
        <f t="shared" si="134"/>
        <v>8.928</v>
      </c>
    </row>
    <row r="312" ht="50" hidden="1" customHeight="1" spans="1:40">
      <c r="A312" s="37" t="s">
        <v>96</v>
      </c>
      <c r="B312" s="39" t="s">
        <v>115</v>
      </c>
      <c r="C312" s="37" t="str">
        <f>_xlfn.XLOOKUP(F312,'6月产品包'!B:B,'6月产品包'!H:H)</f>
        <v>银钱盒</v>
      </c>
      <c r="D312" s="38" t="str">
        <f>_xlfn.XLOOKUP(F312,'6月产品包'!B:B,'6月产品包'!O:O)</f>
        <v>迷你收银箱</v>
      </c>
      <c r="E312" s="38" t="s">
        <v>634</v>
      </c>
      <c r="F312" s="39" t="s">
        <v>635</v>
      </c>
      <c r="G312" s="39" t="s">
        <v>126</v>
      </c>
      <c r="H312" s="37" t="s">
        <v>101</v>
      </c>
      <c r="I312" s="37" t="str">
        <f>_xlfn.XLOOKUP($F312,'6月库存'!A:A,'6月库存'!B:B)</f>
        <v>商品清仓</v>
      </c>
      <c r="K312" s="39">
        <f>_xlfn.XLOOKUP(E312,'[1]6月分配 '!$B:$B,'[1]6月分配 '!$K:$K)</f>
        <v>2124</v>
      </c>
      <c r="L312" s="12" t="str">
        <f t="shared" si="135"/>
        <v>是</v>
      </c>
      <c r="M312" s="40" t="str">
        <f>_xlfn.XLOOKUP(F312,'6月产品包'!B:B,'6月产品包'!J:J)</f>
        <v>2025-03-15</v>
      </c>
      <c r="N312" s="39" t="s">
        <v>155</v>
      </c>
      <c r="O312" s="37">
        <f>_xlfn.XLOOKUP(F312,'6月库存'!A:A,'6月库存'!R:R)</f>
        <v>1</v>
      </c>
      <c r="P312" s="39">
        <f>_xlfn.XLOOKUP(F312,'6月产品包'!B:B,'6月产品包'!S:S)</f>
        <v>1050</v>
      </c>
      <c r="Q312" s="39"/>
      <c r="R312" s="41">
        <f>_xlfn.XLOOKUP(F312,'6月产品包'!B:B,'6月产品包'!AD:AD)</f>
        <v>10.5328</v>
      </c>
      <c r="S312" s="39">
        <v>23</v>
      </c>
      <c r="T312" s="39">
        <f t="shared" si="121"/>
        <v>29</v>
      </c>
      <c r="U312" s="42">
        <f t="shared" si="126"/>
        <v>23.2</v>
      </c>
      <c r="V312" s="43">
        <v>0.2</v>
      </c>
      <c r="W312" s="44">
        <f t="shared" si="122"/>
        <v>0.546</v>
      </c>
      <c r="X312" s="44">
        <f t="shared" si="137"/>
        <v>0.376137225170584</v>
      </c>
      <c r="Y312" s="44">
        <v>0.04</v>
      </c>
      <c r="Z312" s="46">
        <v>0.1</v>
      </c>
      <c r="AA312" s="46">
        <v>0.049</v>
      </c>
      <c r="AB312" s="46">
        <f>$AB$1/U312</f>
        <v>0.0232758620689655</v>
      </c>
      <c r="AC312" s="46">
        <v>0.06</v>
      </c>
      <c r="AD312" s="47"/>
      <c r="AE312" s="6"/>
      <c r="AF312" s="55" t="s">
        <v>114</v>
      </c>
      <c r="AG312" s="39">
        <f t="shared" si="127"/>
        <v>0</v>
      </c>
      <c r="AH312" s="39">
        <f t="shared" si="128"/>
        <v>0</v>
      </c>
      <c r="AI312" s="39">
        <f t="shared" si="129"/>
        <v>0</v>
      </c>
      <c r="AJ312" s="39">
        <f t="shared" si="130"/>
        <v>0</v>
      </c>
      <c r="AK312" s="39">
        <f t="shared" si="131"/>
        <v>0</v>
      </c>
      <c r="AL312" s="39">
        <f t="shared" si="132"/>
        <v>0</v>
      </c>
      <c r="AM312" s="39">
        <f t="shared" si="133"/>
        <v>0</v>
      </c>
      <c r="AN312" s="39">
        <f t="shared" si="134"/>
        <v>0</v>
      </c>
    </row>
    <row r="313" s="6" customFormat="1" ht="50" hidden="1" customHeight="1" spans="1:40">
      <c r="A313" s="39" t="str">
        <f>_xlfn.XLOOKUP(F313,'6月产品包'!B:B,'6月产品包'!F:F)</f>
        <v>办公安防</v>
      </c>
      <c r="B313" s="39" t="str">
        <f>_xlfn.XLOOKUP(F313,'6月产品包'!B:B,'6月产品包'!G:G)</f>
        <v>储能设备</v>
      </c>
      <c r="C313" s="37" t="str">
        <f>_xlfn.XLOOKUP(F313,'6月产品包'!B:B,'6月产品包'!H:H)</f>
        <v>太阳能充电板</v>
      </c>
      <c r="D313" s="38" t="str">
        <f>_xlfn.XLOOKUP(F313,'6月产品包'!B:B,'6月产品包'!O:O)</f>
        <v>电源充电板</v>
      </c>
      <c r="E313" s="38" t="str">
        <f>_xlfn.XLOOKUP(F313,'6月产品包'!B:B,'6月产品包'!C:C)</f>
        <v>3B-储能电源光伏充电板</v>
      </c>
      <c r="F313" s="39" t="s">
        <v>636</v>
      </c>
      <c r="G313" s="39" t="s">
        <v>106</v>
      </c>
      <c r="H313" s="39" t="s">
        <v>107</v>
      </c>
      <c r="I313" s="37" t="str">
        <f>_xlfn.XLOOKUP($F313,'6月库存'!A:A,'6月库存'!B:B)</f>
        <v>正常销售</v>
      </c>
      <c r="J313" s="12"/>
      <c r="K313" s="39" t="e">
        <f>_xlfn.XLOOKUP(E313,'[1]6月分配 '!$B:$B,'[1]6月分配 '!$K:$K)</f>
        <v>#N/A</v>
      </c>
      <c r="L313" s="12" t="str">
        <f t="shared" si="135"/>
        <v>否</v>
      </c>
      <c r="M313" s="40" t="str">
        <f>_xlfn.XLOOKUP(F313,'6月产品包'!B:B,'6月产品包'!J:J)</f>
        <v>2026-04-07</v>
      </c>
      <c r="N313" s="39" t="str">
        <f ca="1" t="shared" si="136"/>
        <v>新品</v>
      </c>
      <c r="O313" s="37">
        <f>_xlfn.XLOOKUP(F313,'6月库存'!A:A,'6月库存'!R:R)</f>
        <v>0</v>
      </c>
      <c r="P313" s="39">
        <f>_xlfn.XLOOKUP(F313,'6月产品包'!B:B,'6月产品包'!S:S)</f>
        <v>770</v>
      </c>
      <c r="Q313" s="56"/>
      <c r="R313" s="41">
        <f>_xlfn.XLOOKUP(F313,'6月产品包'!B:B,'6月产品包'!AD:AD)</f>
        <v>13.0253</v>
      </c>
      <c r="S313" s="39">
        <v>25</v>
      </c>
      <c r="T313" s="39">
        <f t="shared" ref="T313:T334" si="138">ROUND(S313*(1+0.25),0)</f>
        <v>31</v>
      </c>
      <c r="U313" s="42">
        <f t="shared" si="126"/>
        <v>24.8</v>
      </c>
      <c r="V313" s="43">
        <v>0.2</v>
      </c>
      <c r="W313" s="44">
        <f t="shared" ref="W313:W334" si="139">(U313-R313)/U313</f>
        <v>0.474786290322581</v>
      </c>
      <c r="X313" s="44">
        <f t="shared" si="137"/>
        <v>0.27679007684449</v>
      </c>
      <c r="Y313" s="44">
        <v>0.038</v>
      </c>
      <c r="Z313" s="46">
        <v>0.105</v>
      </c>
      <c r="AA313" s="46">
        <v>0.049</v>
      </c>
      <c r="AB313" s="46">
        <f t="shared" ref="AB313:AB334" si="140">$AB$1/U313</f>
        <v>0.0217741935483871</v>
      </c>
      <c r="AC313" s="46">
        <v>0.06</v>
      </c>
      <c r="AD313" s="11"/>
      <c r="AF313" s="48" t="s">
        <v>102</v>
      </c>
      <c r="AG313" s="39">
        <f t="shared" si="127"/>
        <v>0</v>
      </c>
      <c r="AH313" s="39">
        <f t="shared" si="128"/>
        <v>0</v>
      </c>
      <c r="AI313" s="39">
        <f t="shared" si="129"/>
        <v>0</v>
      </c>
      <c r="AJ313" s="39">
        <f t="shared" si="130"/>
        <v>0</v>
      </c>
      <c r="AK313" s="39">
        <f t="shared" si="131"/>
        <v>0</v>
      </c>
      <c r="AL313" s="39">
        <f t="shared" si="132"/>
        <v>0</v>
      </c>
      <c r="AM313" s="39">
        <f t="shared" si="133"/>
        <v>0</v>
      </c>
      <c r="AN313" s="39">
        <f t="shared" si="134"/>
        <v>0</v>
      </c>
    </row>
    <row r="314" s="6" customFormat="1" ht="50" hidden="1" customHeight="1" spans="1:40">
      <c r="A314" s="39" t="str">
        <f>_xlfn.XLOOKUP(F314,'6月产品包'!B:B,'6月产品包'!F:F)</f>
        <v>办公安防</v>
      </c>
      <c r="B314" s="39" t="str">
        <f>_xlfn.XLOOKUP(F314,'6月产品包'!B:B,'6月产品包'!G:G)</f>
        <v>储能设备</v>
      </c>
      <c r="C314" s="37" t="str">
        <f>_xlfn.XLOOKUP(F314,'6月产品包'!B:B,'6月产品包'!H:H)</f>
        <v>太阳能充电板</v>
      </c>
      <c r="D314" s="38" t="str">
        <f>_xlfn.XLOOKUP(F314,'6月产品包'!B:B,'6月产品包'!O:O)</f>
        <v>电源充电板</v>
      </c>
      <c r="E314" s="38" t="str">
        <f>_xlfn.XLOOKUP(F314,'6月产品包'!B:B,'6月产品包'!C:C)</f>
        <v>3B-储能电源光伏充电板16V</v>
      </c>
      <c r="F314" s="39" t="s">
        <v>637</v>
      </c>
      <c r="G314" s="39" t="s">
        <v>106</v>
      </c>
      <c r="H314" s="39" t="s">
        <v>107</v>
      </c>
      <c r="I314" s="37" t="str">
        <f>_xlfn.XLOOKUP($F314,'6月库存'!A:A,'6月库存'!B:B)</f>
        <v>正常销售</v>
      </c>
      <c r="J314" s="12"/>
      <c r="K314" s="39" t="e">
        <f>_xlfn.XLOOKUP(E314,'[1]6月分配 '!$B:$B,'[1]6月分配 '!$K:$K)</f>
        <v>#N/A</v>
      </c>
      <c r="L314" s="12" t="str">
        <f t="shared" si="135"/>
        <v>否</v>
      </c>
      <c r="M314" s="40" t="str">
        <f>_xlfn.XLOOKUP(F314,'6月产品包'!B:B,'6月产品包'!J:J)</f>
        <v>2026-04-07</v>
      </c>
      <c r="N314" s="39" t="str">
        <f ca="1" t="shared" si="136"/>
        <v>新品</v>
      </c>
      <c r="O314" s="37">
        <f>_xlfn.XLOOKUP(F314,'6月库存'!A:A,'6月库存'!R:R)</f>
        <v>0</v>
      </c>
      <c r="P314" s="39">
        <f>_xlfn.XLOOKUP(F314,'6月产品包'!B:B,'6月产品包'!S:S)</f>
        <v>770</v>
      </c>
      <c r="Q314" s="56"/>
      <c r="R314" s="41">
        <f>_xlfn.XLOOKUP(F314,'6月产品包'!B:B,'6月产品包'!AD:AD)</f>
        <v>12.8803</v>
      </c>
      <c r="S314" s="39">
        <v>26</v>
      </c>
      <c r="T314" s="39">
        <f t="shared" si="138"/>
        <v>33</v>
      </c>
      <c r="U314" s="42">
        <f t="shared" si="126"/>
        <v>26.4</v>
      </c>
      <c r="V314" s="43">
        <v>0.2</v>
      </c>
      <c r="W314" s="44">
        <f t="shared" si="139"/>
        <v>0.512109848484849</v>
      </c>
      <c r="X314" s="44">
        <f t="shared" si="137"/>
        <v>0.32940251572327</v>
      </c>
      <c r="Y314" s="44">
        <v>0.038</v>
      </c>
      <c r="Z314" s="46">
        <v>0.105</v>
      </c>
      <c r="AA314" s="46">
        <v>0.049</v>
      </c>
      <c r="AB314" s="46">
        <f t="shared" si="140"/>
        <v>0.0204545454545455</v>
      </c>
      <c r="AC314" s="46">
        <v>0.06</v>
      </c>
      <c r="AD314" s="11"/>
      <c r="AF314" s="48" t="s">
        <v>102</v>
      </c>
      <c r="AG314" s="39">
        <f t="shared" si="127"/>
        <v>0</v>
      </c>
      <c r="AH314" s="39">
        <f t="shared" si="128"/>
        <v>0</v>
      </c>
      <c r="AI314" s="39">
        <f t="shared" si="129"/>
        <v>0</v>
      </c>
      <c r="AJ314" s="39">
        <f t="shared" si="130"/>
        <v>0</v>
      </c>
      <c r="AK314" s="39">
        <f t="shared" si="131"/>
        <v>0</v>
      </c>
      <c r="AL314" s="39">
        <f t="shared" si="132"/>
        <v>0</v>
      </c>
      <c r="AM314" s="39">
        <f t="shared" si="133"/>
        <v>0</v>
      </c>
      <c r="AN314" s="39">
        <f t="shared" si="134"/>
        <v>0</v>
      </c>
    </row>
    <row r="315" s="6" customFormat="1" ht="50" hidden="1" customHeight="1" spans="1:40">
      <c r="A315" s="39" t="str">
        <f>_xlfn.XLOOKUP(F315,'6月产品包'!B:B,'6月产品包'!F:F)</f>
        <v>3C数码</v>
      </c>
      <c r="B315" s="39" t="str">
        <f>_xlfn.XLOOKUP(F315,'6月产品包'!B:B,'6月产品包'!G:G)</f>
        <v>电脑周边</v>
      </c>
      <c r="C315" s="37" t="str">
        <f>_xlfn.XLOOKUP(F315,'6月产品包'!B:B,'6月产品包'!H:H)</f>
        <v>显示器支架</v>
      </c>
      <c r="D315" s="38" t="str">
        <f>_xlfn.XLOOKUP(F315,'6月产品包'!B:B,'6月产品包'!O:O)</f>
        <v>单臂显示器支架基础款MS007</v>
      </c>
      <c r="E315" s="38" t="str">
        <f>_xlfn.XLOOKUP(F315,'6月产品包'!B:B,'6月产品包'!C:C)</f>
        <v>3C-单臂显示器支架基础款MS007</v>
      </c>
      <c r="F315" s="39" t="s">
        <v>638</v>
      </c>
      <c r="G315" s="39" t="s">
        <v>106</v>
      </c>
      <c r="H315" s="49" t="s">
        <v>101</v>
      </c>
      <c r="I315" s="37" t="str">
        <f>_xlfn.XLOOKUP($F315,'6月库存'!A:A,'6月库存'!B:B)</f>
        <v>等待开发</v>
      </c>
      <c r="J315" s="12"/>
      <c r="K315" s="39" t="e">
        <f>_xlfn.XLOOKUP(E315,'[1]6月分配 '!$B:$B,'[1]6月分配 '!$K:$K)</f>
        <v>#N/A</v>
      </c>
      <c r="L315" s="12" t="str">
        <f t="shared" si="135"/>
        <v>否</v>
      </c>
      <c r="M315" s="40" t="str">
        <f>_xlfn.XLOOKUP(F315,'6月产品包'!B:B,'6月产品包'!J:J)</f>
        <v>2026-04-28</v>
      </c>
      <c r="N315" s="39" t="str">
        <f ca="1" t="shared" si="136"/>
        <v>新品</v>
      </c>
      <c r="O315" s="37">
        <f>_xlfn.XLOOKUP(F315,'6月库存'!A:A,'6月库存'!R:R)</f>
        <v>0</v>
      </c>
      <c r="P315" s="39">
        <f>_xlfn.XLOOKUP(F315,'6月产品包'!B:B,'6月产品包'!S:S)</f>
        <v>2507</v>
      </c>
      <c r="Q315" s="56"/>
      <c r="R315" s="41">
        <f>_xlfn.XLOOKUP(F315,'6月产品包'!B:B,'6月产品包'!AD:AD)</f>
        <v>33.8546</v>
      </c>
      <c r="S315" s="39">
        <v>66</v>
      </c>
      <c r="T315" s="39">
        <f t="shared" si="138"/>
        <v>83</v>
      </c>
      <c r="U315" s="42">
        <f t="shared" si="126"/>
        <v>66.4</v>
      </c>
      <c r="V315" s="43">
        <v>0.2</v>
      </c>
      <c r="W315" s="44">
        <f t="shared" si="139"/>
        <v>0.49014156626506</v>
      </c>
      <c r="X315" s="44">
        <f t="shared" si="137"/>
        <v>0.309010825727022</v>
      </c>
      <c r="Y315" s="44">
        <v>0.04</v>
      </c>
      <c r="Z315" s="46">
        <v>0.105</v>
      </c>
      <c r="AA315" s="46">
        <v>0.049</v>
      </c>
      <c r="AB315" s="46">
        <f t="shared" si="140"/>
        <v>0.00813253012048193</v>
      </c>
      <c r="AC315" s="46">
        <v>0.06</v>
      </c>
      <c r="AD315" s="11"/>
      <c r="AF315" s="48" t="s">
        <v>102</v>
      </c>
      <c r="AG315" s="39">
        <f t="shared" si="127"/>
        <v>3.984</v>
      </c>
      <c r="AH315" s="39">
        <f t="shared" si="128"/>
        <v>3.984</v>
      </c>
      <c r="AI315" s="39">
        <f t="shared" si="129"/>
        <v>0</v>
      </c>
      <c r="AJ315" s="39">
        <f t="shared" si="130"/>
        <v>0</v>
      </c>
      <c r="AK315" s="39">
        <f t="shared" si="131"/>
        <v>0</v>
      </c>
      <c r="AL315" s="39">
        <f t="shared" si="132"/>
        <v>0</v>
      </c>
      <c r="AM315" s="39">
        <f t="shared" si="133"/>
        <v>0</v>
      </c>
      <c r="AN315" s="39">
        <f t="shared" si="134"/>
        <v>0</v>
      </c>
    </row>
    <row r="316" s="6" customFormat="1" ht="50" hidden="1" customHeight="1" spans="1:40">
      <c r="A316" s="39" t="str">
        <f>_xlfn.XLOOKUP(F316,'6月产品包'!B:B,'6月产品包'!F:F)</f>
        <v>3C数码</v>
      </c>
      <c r="B316" s="39" t="str">
        <f>_xlfn.XLOOKUP(F316,'6月产品包'!B:B,'6月产品包'!G:G)</f>
        <v>影像摄影</v>
      </c>
      <c r="C316" s="37" t="str">
        <f>_xlfn.XLOOKUP(F316,'6月产品包'!B:B,'6月产品包'!H:H)</f>
        <v>投影幕布</v>
      </c>
      <c r="D316" s="38" t="str">
        <f>_xlfn.XLOOKUP(F316,'6月产品包'!B:B,'6月产品包'!O:O)</f>
        <v>户外便携双支架幕</v>
      </c>
      <c r="E316" s="38" t="str">
        <f>_xlfn.XLOOKUP(F316,'6月产品包'!B:B,'6月产品包'!C:C)</f>
        <v>3C-72英寸16比9户外便携双支架幕</v>
      </c>
      <c r="F316" s="39" t="s">
        <v>639</v>
      </c>
      <c r="G316" s="39" t="s">
        <v>106</v>
      </c>
      <c r="H316" s="49" t="s">
        <v>101</v>
      </c>
      <c r="I316" s="37" t="str">
        <f>_xlfn.XLOOKUP($F316,'6月库存'!A:A,'6月库存'!B:B)</f>
        <v>等待开发</v>
      </c>
      <c r="J316" s="12"/>
      <c r="K316" s="39" t="e">
        <f>_xlfn.XLOOKUP(E316,'[1]6月分配 '!$B:$B,'[1]6月分配 '!$K:$K)</f>
        <v>#N/A</v>
      </c>
      <c r="L316" s="12" t="str">
        <f t="shared" si="135"/>
        <v>否</v>
      </c>
      <c r="M316" s="40" t="str">
        <f>_xlfn.XLOOKUP(F316,'6月产品包'!B:B,'6月产品包'!J:J)</f>
        <v>2026-04-28</v>
      </c>
      <c r="N316" s="39" t="str">
        <f ca="1" t="shared" si="136"/>
        <v>新品</v>
      </c>
      <c r="O316" s="37">
        <f>_xlfn.XLOOKUP(F316,'6月库存'!A:A,'6月库存'!R:R)</f>
        <v>0</v>
      </c>
      <c r="P316" s="39">
        <f>_xlfn.XLOOKUP(F316,'6月产品包'!B:B,'6月产品包'!S:S)</f>
        <v>4800</v>
      </c>
      <c r="Q316" s="56"/>
      <c r="R316" s="41">
        <f>_xlfn.XLOOKUP(F316,'6月产品包'!B:B,'6月产品包'!AD:AD)</f>
        <v>70.5222</v>
      </c>
      <c r="S316" s="39">
        <v>145</v>
      </c>
      <c r="T316" s="39">
        <f t="shared" si="138"/>
        <v>181</v>
      </c>
      <c r="U316" s="42">
        <f t="shared" si="126"/>
        <v>144.8</v>
      </c>
      <c r="V316" s="43">
        <v>0.2</v>
      </c>
      <c r="W316" s="44">
        <f t="shared" si="139"/>
        <v>0.512968232044199</v>
      </c>
      <c r="X316" s="44">
        <f t="shared" si="137"/>
        <v>0.334902030315148</v>
      </c>
      <c r="Y316" s="44">
        <v>0.04</v>
      </c>
      <c r="Z316" s="46">
        <v>0.115</v>
      </c>
      <c r="AA316" s="46">
        <v>0.049</v>
      </c>
      <c r="AB316" s="46">
        <f t="shared" si="140"/>
        <v>0.0037292817679558</v>
      </c>
      <c r="AC316" s="46">
        <v>0.06</v>
      </c>
      <c r="AD316" s="11"/>
      <c r="AF316" s="48" t="s">
        <v>102</v>
      </c>
      <c r="AG316" s="39">
        <f t="shared" si="127"/>
        <v>6</v>
      </c>
      <c r="AH316" s="39">
        <f t="shared" si="128"/>
        <v>6</v>
      </c>
      <c r="AI316" s="39">
        <f t="shared" si="129"/>
        <v>0</v>
      </c>
      <c r="AJ316" s="39">
        <f t="shared" si="130"/>
        <v>0</v>
      </c>
      <c r="AK316" s="39">
        <f t="shared" si="131"/>
        <v>0</v>
      </c>
      <c r="AL316" s="39">
        <f t="shared" si="132"/>
        <v>0</v>
      </c>
      <c r="AM316" s="39">
        <f t="shared" si="133"/>
        <v>0</v>
      </c>
      <c r="AN316" s="39">
        <f t="shared" si="134"/>
        <v>0</v>
      </c>
    </row>
    <row r="317" s="6" customFormat="1" ht="50" hidden="1" customHeight="1" spans="1:40">
      <c r="A317" s="39" t="str">
        <f>_xlfn.XLOOKUP(F317,'6月产品包'!B:B,'6月产品包'!F:F)</f>
        <v>3C数码</v>
      </c>
      <c r="B317" s="39" t="str">
        <f>_xlfn.XLOOKUP(F317,'6月产品包'!B:B,'6月产品包'!G:G)</f>
        <v>影像摄影</v>
      </c>
      <c r="C317" s="37" t="str">
        <f>_xlfn.XLOOKUP(F317,'6月产品包'!B:B,'6月产品包'!H:H)</f>
        <v>投影幕布</v>
      </c>
      <c r="D317" s="38" t="str">
        <f>_xlfn.XLOOKUP(F317,'6月产品包'!B:B,'6月产品包'!O:O)</f>
        <v>便携式简易壁挂幕</v>
      </c>
      <c r="E317" s="38" t="str">
        <f>_xlfn.XLOOKUP(F317,'6月产品包'!B:B,'6月产品包'!C:C)</f>
        <v>3C-60英寸16比9便携式简易壁挂幕</v>
      </c>
      <c r="F317" s="39" t="s">
        <v>640</v>
      </c>
      <c r="G317" s="39" t="s">
        <v>106</v>
      </c>
      <c r="H317" s="49" t="s">
        <v>101</v>
      </c>
      <c r="I317" s="37" t="str">
        <f>_xlfn.XLOOKUP($F317,'6月库存'!A:A,'6月库存'!B:B)</f>
        <v>等待开发</v>
      </c>
      <c r="J317" s="12"/>
      <c r="K317" s="39" t="e">
        <f>_xlfn.XLOOKUP(E317,'[1]6月分配 '!$B:$B,'[1]6月分配 '!$K:$K)</f>
        <v>#N/A</v>
      </c>
      <c r="L317" s="12" t="str">
        <f t="shared" si="135"/>
        <v>否</v>
      </c>
      <c r="M317" s="40" t="str">
        <f>_xlfn.XLOOKUP(F317,'6月产品包'!B:B,'6月产品包'!J:J)</f>
        <v>2026-04-28</v>
      </c>
      <c r="N317" s="39" t="str">
        <f ca="1" t="shared" si="136"/>
        <v>新品</v>
      </c>
      <c r="O317" s="37">
        <f>_xlfn.XLOOKUP(F317,'6月库存'!A:A,'6月库存'!R:R)</f>
        <v>0</v>
      </c>
      <c r="P317" s="39">
        <f>_xlfn.XLOOKUP(F317,'6月产品包'!B:B,'6月产品包'!S:S)</f>
        <v>4700</v>
      </c>
      <c r="Q317" s="56"/>
      <c r="R317" s="41">
        <f>_xlfn.XLOOKUP(F317,'6月产品包'!B:B,'6月产品包'!AD:AD)</f>
        <v>38.9122</v>
      </c>
      <c r="S317" s="39">
        <v>78</v>
      </c>
      <c r="T317" s="39">
        <f t="shared" si="138"/>
        <v>98</v>
      </c>
      <c r="U317" s="42">
        <f t="shared" si="126"/>
        <v>78.4</v>
      </c>
      <c r="V317" s="43">
        <v>0.2</v>
      </c>
      <c r="W317" s="44">
        <f t="shared" si="139"/>
        <v>0.503670918367347</v>
      </c>
      <c r="X317" s="44">
        <f t="shared" si="137"/>
        <v>0.319269309896016</v>
      </c>
      <c r="Y317" s="44">
        <v>0.04</v>
      </c>
      <c r="Z317" s="46">
        <v>0.115</v>
      </c>
      <c r="AA317" s="46">
        <v>0.049</v>
      </c>
      <c r="AB317" s="46">
        <f t="shared" si="140"/>
        <v>0.00688775510204082</v>
      </c>
      <c r="AC317" s="46">
        <v>0.06</v>
      </c>
      <c r="AD317" s="11"/>
      <c r="AF317" s="48" t="s">
        <v>102</v>
      </c>
      <c r="AG317" s="39">
        <f t="shared" si="127"/>
        <v>4.704</v>
      </c>
      <c r="AH317" s="39">
        <f t="shared" si="128"/>
        <v>4.704</v>
      </c>
      <c r="AI317" s="39">
        <f t="shared" si="129"/>
        <v>0</v>
      </c>
      <c r="AJ317" s="39">
        <f t="shared" si="130"/>
        <v>0</v>
      </c>
      <c r="AK317" s="39">
        <f t="shared" si="131"/>
        <v>0</v>
      </c>
      <c r="AL317" s="39">
        <f t="shared" si="132"/>
        <v>0</v>
      </c>
      <c r="AM317" s="39">
        <f t="shared" si="133"/>
        <v>0</v>
      </c>
      <c r="AN317" s="39">
        <f t="shared" si="134"/>
        <v>0</v>
      </c>
    </row>
    <row r="318" s="6" customFormat="1" ht="50" hidden="1" customHeight="1" spans="1:40">
      <c r="A318" s="39" t="str">
        <f>_xlfn.XLOOKUP(F318,'6月产品包'!B:B,'6月产品包'!F:F)</f>
        <v>3C数码</v>
      </c>
      <c r="B318" s="39" t="str">
        <f>_xlfn.XLOOKUP(F318,'6月产品包'!B:B,'6月产品包'!G:G)</f>
        <v>影像摄影</v>
      </c>
      <c r="C318" s="37" t="str">
        <f>_xlfn.XLOOKUP(F318,'6月产品包'!B:B,'6月产品包'!H:H)</f>
        <v>投影幕布</v>
      </c>
      <c r="D318" s="38" t="str">
        <f>_xlfn.XLOOKUP(F318,'6月产品包'!B:B,'6月产品包'!O:O)</f>
        <v>便携式简易壁挂幕</v>
      </c>
      <c r="E318" s="38" t="str">
        <f>_xlfn.XLOOKUP(F318,'6月产品包'!B:B,'6月产品包'!C:C)</f>
        <v>3C-72英寸16比9便携式简易壁挂幕</v>
      </c>
      <c r="F318" s="39" t="s">
        <v>641</v>
      </c>
      <c r="G318" s="39" t="s">
        <v>106</v>
      </c>
      <c r="H318" s="49" t="s">
        <v>101</v>
      </c>
      <c r="I318" s="37" t="str">
        <f>_xlfn.XLOOKUP($F318,'6月库存'!A:A,'6月库存'!B:B)</f>
        <v>等待开发</v>
      </c>
      <c r="J318" s="12"/>
      <c r="K318" s="39" t="e">
        <f>_xlfn.XLOOKUP(E318,'[1]6月分配 '!$B:$B,'[1]6月分配 '!$K:$K)</f>
        <v>#N/A</v>
      </c>
      <c r="L318" s="12" t="str">
        <f t="shared" si="135"/>
        <v>否</v>
      </c>
      <c r="M318" s="40" t="str">
        <f>_xlfn.XLOOKUP(F318,'6月产品包'!B:B,'6月产品包'!J:J)</f>
        <v>2026-04-28</v>
      </c>
      <c r="N318" s="39" t="str">
        <f ca="1" t="shared" si="136"/>
        <v>新品</v>
      </c>
      <c r="O318" s="37">
        <f>_xlfn.XLOOKUP(F318,'6月库存'!A:A,'6月库存'!R:R)</f>
        <v>0</v>
      </c>
      <c r="P318" s="39">
        <f>_xlfn.XLOOKUP(F318,'6月产品包'!B:B,'6月产品包'!S:S)</f>
        <v>5300</v>
      </c>
      <c r="Q318" s="56"/>
      <c r="R318" s="41">
        <f>_xlfn.XLOOKUP(F318,'6月产品包'!B:B,'6月产品包'!AD:AD)</f>
        <v>50.2628</v>
      </c>
      <c r="S318" s="39">
        <v>99</v>
      </c>
      <c r="T318" s="39">
        <f t="shared" si="138"/>
        <v>124</v>
      </c>
      <c r="U318" s="42">
        <f t="shared" si="126"/>
        <v>99.2</v>
      </c>
      <c r="V318" s="43">
        <v>0.2</v>
      </c>
      <c r="W318" s="44">
        <f t="shared" si="139"/>
        <v>0.493318548387097</v>
      </c>
      <c r="X318" s="44">
        <f t="shared" si="137"/>
        <v>0.306444491052998</v>
      </c>
      <c r="Y318" s="44">
        <v>0.04</v>
      </c>
      <c r="Z318" s="46">
        <v>0.115</v>
      </c>
      <c r="AA318" s="46">
        <v>0.049</v>
      </c>
      <c r="AB318" s="46">
        <f t="shared" si="140"/>
        <v>0.00544354838709677</v>
      </c>
      <c r="AC318" s="46">
        <v>0.06</v>
      </c>
      <c r="AD318" s="11"/>
      <c r="AF318" s="48" t="s">
        <v>102</v>
      </c>
      <c r="AG318" s="39">
        <f t="shared" si="127"/>
        <v>5.952</v>
      </c>
      <c r="AH318" s="39">
        <f t="shared" si="128"/>
        <v>5.952</v>
      </c>
      <c r="AI318" s="39">
        <f t="shared" si="129"/>
        <v>0</v>
      </c>
      <c r="AJ318" s="39">
        <f t="shared" si="130"/>
        <v>0</v>
      </c>
      <c r="AK318" s="39">
        <f t="shared" si="131"/>
        <v>0</v>
      </c>
      <c r="AL318" s="39">
        <f t="shared" si="132"/>
        <v>0</v>
      </c>
      <c r="AM318" s="39">
        <f t="shared" si="133"/>
        <v>0</v>
      </c>
      <c r="AN318" s="39">
        <f t="shared" si="134"/>
        <v>0</v>
      </c>
    </row>
    <row r="319" s="6" customFormat="1" ht="50" hidden="1" customHeight="1" spans="1:40">
      <c r="A319" s="39" t="str">
        <f>_xlfn.XLOOKUP(F319,'6月产品包'!B:B,'6月产品包'!F:F)</f>
        <v>3C数码</v>
      </c>
      <c r="B319" s="39" t="str">
        <f>_xlfn.XLOOKUP(F319,'6月产品包'!B:B,'6月产品包'!G:G)</f>
        <v>影像摄影</v>
      </c>
      <c r="C319" s="37" t="str">
        <f>_xlfn.XLOOKUP(F319,'6月产品包'!B:B,'6月产品包'!H:H)</f>
        <v>投影幕布</v>
      </c>
      <c r="D319" s="38" t="str">
        <f>_xlfn.XLOOKUP(F319,'6月产品包'!B:B,'6月产品包'!O:O)</f>
        <v>手拉自锁幕</v>
      </c>
      <c r="E319" s="38" t="str">
        <f>_xlfn.XLOOKUP(F319,'6月产品包'!B:B,'6月产品包'!C:C)</f>
        <v>3C-60英寸16比9手拉自锁幕</v>
      </c>
      <c r="F319" s="39" t="s">
        <v>642</v>
      </c>
      <c r="G319" s="39" t="s">
        <v>106</v>
      </c>
      <c r="H319" s="49" t="s">
        <v>101</v>
      </c>
      <c r="I319" s="37" t="str">
        <f>_xlfn.XLOOKUP($F319,'6月库存'!A:A,'6月库存'!B:B)</f>
        <v>等待开发</v>
      </c>
      <c r="J319" s="12"/>
      <c r="K319" s="39" t="e">
        <f>_xlfn.XLOOKUP(E319,'[1]6月分配 '!$B:$B,'[1]6月分配 '!$K:$K)</f>
        <v>#N/A</v>
      </c>
      <c r="L319" s="12" t="str">
        <f t="shared" si="135"/>
        <v>否</v>
      </c>
      <c r="M319" s="40" t="str">
        <f>_xlfn.XLOOKUP(F319,'6月产品包'!B:B,'6月产品包'!J:J)</f>
        <v>2026-04-28</v>
      </c>
      <c r="N319" s="39" t="str">
        <f ca="1" t="shared" si="136"/>
        <v>新品</v>
      </c>
      <c r="O319" s="37">
        <f>_xlfn.XLOOKUP(F319,'6月库存'!A:A,'6月库存'!R:R)</f>
        <v>0</v>
      </c>
      <c r="P319" s="39">
        <f>_xlfn.XLOOKUP(F319,'6月产品包'!B:B,'6月产品包'!S:S)</f>
        <v>5660</v>
      </c>
      <c r="Q319" s="56"/>
      <c r="R319" s="41">
        <f>_xlfn.XLOOKUP(F319,'6月产品包'!B:B,'6月产品包'!AD:AD)</f>
        <v>67.1582</v>
      </c>
      <c r="S319" s="39">
        <v>130</v>
      </c>
      <c r="T319" s="39">
        <f t="shared" si="138"/>
        <v>163</v>
      </c>
      <c r="U319" s="42">
        <f t="shared" si="126"/>
        <v>130.4</v>
      </c>
      <c r="V319" s="43">
        <v>0.2</v>
      </c>
      <c r="W319" s="44">
        <f t="shared" si="139"/>
        <v>0.484983128834356</v>
      </c>
      <c r="X319" s="44">
        <f t="shared" si="137"/>
        <v>0.29628938831281</v>
      </c>
      <c r="Y319" s="44">
        <v>0.04</v>
      </c>
      <c r="Z319" s="46">
        <v>0.115</v>
      </c>
      <c r="AA319" s="46">
        <v>0.049</v>
      </c>
      <c r="AB319" s="46">
        <f t="shared" si="140"/>
        <v>0.00414110429447853</v>
      </c>
      <c r="AC319" s="46">
        <v>0.06</v>
      </c>
      <c r="AD319" s="11"/>
      <c r="AF319" s="48" t="s">
        <v>102</v>
      </c>
      <c r="AG319" s="39">
        <f t="shared" si="127"/>
        <v>6</v>
      </c>
      <c r="AH319" s="39">
        <f t="shared" si="128"/>
        <v>6</v>
      </c>
      <c r="AI319" s="39">
        <f t="shared" si="129"/>
        <v>0</v>
      </c>
      <c r="AJ319" s="39">
        <f t="shared" si="130"/>
        <v>0</v>
      </c>
      <c r="AK319" s="39">
        <f t="shared" si="131"/>
        <v>0</v>
      </c>
      <c r="AL319" s="39">
        <f t="shared" si="132"/>
        <v>0</v>
      </c>
      <c r="AM319" s="39">
        <f t="shared" si="133"/>
        <v>0</v>
      </c>
      <c r="AN319" s="39">
        <f t="shared" si="134"/>
        <v>0</v>
      </c>
    </row>
    <row r="320" ht="50" hidden="1" customHeight="1" spans="1:40">
      <c r="A320" s="39" t="str">
        <f>_xlfn.XLOOKUP(F320,'6月产品包'!B:B,'6月产品包'!F:F)</f>
        <v>3C数码</v>
      </c>
      <c r="B320" s="39" t="str">
        <f>_xlfn.XLOOKUP(F320,'6月产品包'!B:B,'6月产品包'!G:G)</f>
        <v>影像摄影</v>
      </c>
      <c r="C320" s="37" t="str">
        <f>_xlfn.XLOOKUP(F320,'6月产品包'!B:B,'6月产品包'!H:H)</f>
        <v>投影幕布</v>
      </c>
      <c r="D320" s="38" t="str">
        <f>_xlfn.XLOOKUP(F320,'6月产品包'!B:B,'6月产品包'!O:O)</f>
        <v>手拉自锁幕</v>
      </c>
      <c r="E320" s="38" t="str">
        <f>_xlfn.XLOOKUP(F320,'6月产品包'!B:B,'6月产品包'!C:C)</f>
        <v>3C-70英寸16比9手拉自锁幕</v>
      </c>
      <c r="F320" s="39" t="s">
        <v>643</v>
      </c>
      <c r="G320" s="39" t="s">
        <v>106</v>
      </c>
      <c r="H320" s="49" t="s">
        <v>101</v>
      </c>
      <c r="I320" s="37" t="str">
        <f>_xlfn.XLOOKUP($F320,'6月库存'!A:A,'6月库存'!B:B)</f>
        <v>等待开发</v>
      </c>
      <c r="K320" s="39" t="e">
        <f>_xlfn.XLOOKUP(E320,'[1]6月分配 '!$B:$B,'[1]6月分配 '!$K:$K)</f>
        <v>#N/A</v>
      </c>
      <c r="L320" s="12" t="str">
        <f t="shared" si="135"/>
        <v>否</v>
      </c>
      <c r="M320" s="40" t="str">
        <f>_xlfn.XLOOKUP(F320,'6月产品包'!B:B,'6月产品包'!J:J)</f>
        <v>2026-04-28</v>
      </c>
      <c r="N320" s="39" t="str">
        <f ca="1" t="shared" si="136"/>
        <v>新品</v>
      </c>
      <c r="O320" s="37">
        <f>_xlfn.XLOOKUP(F320,'6月库存'!A:A,'6月库存'!R:R)</f>
        <v>0</v>
      </c>
      <c r="P320" s="39">
        <f>_xlfn.XLOOKUP(F320,'6月产品包'!B:B,'6月产品包'!S:S)</f>
        <v>6120</v>
      </c>
      <c r="Q320" s="56"/>
      <c r="R320" s="41">
        <f>_xlfn.XLOOKUP(F320,'6月产品包'!B:B,'6月产品包'!AD:AD)</f>
        <v>72.5522</v>
      </c>
      <c r="S320" s="39">
        <v>145</v>
      </c>
      <c r="T320" s="39">
        <f t="shared" si="138"/>
        <v>181</v>
      </c>
      <c r="U320" s="42">
        <f t="shared" si="126"/>
        <v>144.8</v>
      </c>
      <c r="V320" s="43">
        <v>0.2</v>
      </c>
      <c r="W320" s="44">
        <f t="shared" si="139"/>
        <v>0.498948895027624</v>
      </c>
      <c r="X320" s="44">
        <f t="shared" si="137"/>
        <v>0.315757011038094</v>
      </c>
      <c r="Y320" s="44">
        <v>0.04</v>
      </c>
      <c r="Z320" s="46">
        <v>0.115</v>
      </c>
      <c r="AA320" s="46">
        <v>0.049</v>
      </c>
      <c r="AB320" s="46">
        <f t="shared" si="140"/>
        <v>0.0037292817679558</v>
      </c>
      <c r="AC320" s="46">
        <v>0.06</v>
      </c>
      <c r="AF320" s="48" t="s">
        <v>102</v>
      </c>
      <c r="AG320" s="39">
        <f t="shared" si="127"/>
        <v>6</v>
      </c>
      <c r="AH320" s="39">
        <f t="shared" si="128"/>
        <v>6</v>
      </c>
      <c r="AI320" s="39">
        <f t="shared" si="129"/>
        <v>0</v>
      </c>
      <c r="AJ320" s="39">
        <f t="shared" si="130"/>
        <v>0</v>
      </c>
      <c r="AK320" s="39">
        <f t="shared" si="131"/>
        <v>0</v>
      </c>
      <c r="AL320" s="39">
        <f t="shared" si="132"/>
        <v>0</v>
      </c>
      <c r="AM320" s="39">
        <f t="shared" si="133"/>
        <v>0</v>
      </c>
      <c r="AN320" s="39">
        <f t="shared" si="134"/>
        <v>0</v>
      </c>
    </row>
    <row r="321" s="6" customFormat="1" ht="50" hidden="1" customHeight="1" spans="1:40">
      <c r="A321" s="37" t="s">
        <v>108</v>
      </c>
      <c r="B321" s="37" t="s">
        <v>168</v>
      </c>
      <c r="C321" s="37" t="str">
        <f>_xlfn.XLOOKUP(F321,'6月产品包'!B:B,'6月产品包'!H:H)</f>
        <v>机顶盒</v>
      </c>
      <c r="D321" s="38" t="str">
        <f>_xlfn.XLOOKUP(F321,'6月产品包'!B:B,'6月产品包'!O:O)</f>
        <v>机顶盒</v>
      </c>
      <c r="E321" s="38" t="s">
        <v>644</v>
      </c>
      <c r="F321" s="39" t="s">
        <v>645</v>
      </c>
      <c r="G321" s="39" t="s">
        <v>106</v>
      </c>
      <c r="H321" s="37" t="s">
        <v>101</v>
      </c>
      <c r="I321" s="37" t="str">
        <f>_xlfn.XLOOKUP($F321,'6月库存'!A:A,'6月库存'!B:B)</f>
        <v>正常销售</v>
      </c>
      <c r="J321" s="12"/>
      <c r="K321" s="39" t="e">
        <f>_xlfn.XLOOKUP(E321,'[1]6月分配 '!$B:$B,'[1]6月分配 '!$K:$K)</f>
        <v>#N/A</v>
      </c>
      <c r="L321" s="12" t="str">
        <f t="shared" si="135"/>
        <v>否</v>
      </c>
      <c r="M321" s="40" t="str">
        <f>_xlfn.XLOOKUP(F321,'6月产品包'!B:B,'6月产品包'!J:J)</f>
        <v>2024-09-01</v>
      </c>
      <c r="N321" s="39" t="str">
        <f ca="1" t="shared" si="136"/>
        <v>老品</v>
      </c>
      <c r="O321" s="37">
        <f>_xlfn.XLOOKUP(F321,'6月库存'!A:A,'6月库存'!R:R)</f>
        <v>3071</v>
      </c>
      <c r="P321" s="39">
        <f>_xlfn.XLOOKUP(F321,'6月产品包'!B:B,'6月产品包'!S:S)</f>
        <v>163</v>
      </c>
      <c r="Q321" s="39"/>
      <c r="R321" s="41">
        <f>_xlfn.XLOOKUP(F321,'6月产品包'!B:B,'6月产品包'!AD:AD)</f>
        <v>46.8524</v>
      </c>
      <c r="S321" s="39">
        <v>98</v>
      </c>
      <c r="T321" s="39">
        <f t="shared" si="138"/>
        <v>123</v>
      </c>
      <c r="U321" s="42">
        <f>$T321*(1-0.25)</f>
        <v>92.25</v>
      </c>
      <c r="V321" s="43">
        <v>0.25</v>
      </c>
      <c r="W321" s="44">
        <f t="shared" si="139"/>
        <v>0.492114905149051</v>
      </c>
      <c r="X321" s="44">
        <f t="shared" si="137"/>
        <v>0.329211452215028</v>
      </c>
      <c r="Y321" s="51">
        <v>0.038</v>
      </c>
      <c r="Z321" s="46">
        <v>0.09</v>
      </c>
      <c r="AA321" s="46">
        <v>0.049</v>
      </c>
      <c r="AB321" s="46">
        <f t="shared" si="140"/>
        <v>0.00585365853658537</v>
      </c>
      <c r="AC321" s="46">
        <v>0.06</v>
      </c>
      <c r="AD321" s="47"/>
      <c r="AF321" s="48" t="s">
        <v>102</v>
      </c>
      <c r="AG321" s="39">
        <f t="shared" si="127"/>
        <v>5.535</v>
      </c>
      <c r="AH321" s="39">
        <f t="shared" si="128"/>
        <v>5.535</v>
      </c>
      <c r="AI321" s="39">
        <f t="shared" si="129"/>
        <v>0</v>
      </c>
      <c r="AJ321" s="39">
        <f t="shared" si="130"/>
        <v>0</v>
      </c>
      <c r="AK321" s="39">
        <f t="shared" si="131"/>
        <v>0</v>
      </c>
      <c r="AL321" s="39">
        <f t="shared" si="132"/>
        <v>0</v>
      </c>
      <c r="AM321" s="39">
        <f t="shared" si="133"/>
        <v>0</v>
      </c>
      <c r="AN321" s="39">
        <f t="shared" si="134"/>
        <v>0</v>
      </c>
    </row>
    <row r="322" s="6" customFormat="1" ht="50" hidden="1" customHeight="1" spans="1:40">
      <c r="A322" s="37" t="s">
        <v>108</v>
      </c>
      <c r="B322" s="37" t="s">
        <v>168</v>
      </c>
      <c r="C322" s="37" t="str">
        <f>_xlfn.XLOOKUP(F322,'6月产品包'!B:B,'6月产品包'!H:H)</f>
        <v>机顶盒</v>
      </c>
      <c r="D322" s="38" t="str">
        <f>_xlfn.XLOOKUP(F322,'6月产品包'!B:B,'6月产品包'!O:O)</f>
        <v>机顶盒</v>
      </c>
      <c r="E322" s="38" t="s">
        <v>644</v>
      </c>
      <c r="F322" s="39" t="s">
        <v>646</v>
      </c>
      <c r="G322" s="39" t="s">
        <v>106</v>
      </c>
      <c r="H322" s="37" t="s">
        <v>107</v>
      </c>
      <c r="I322" s="37" t="str">
        <f>_xlfn.XLOOKUP($F322,'6月库存'!A:A,'6月库存'!B:B)</f>
        <v>正常销售</v>
      </c>
      <c r="J322" s="12"/>
      <c r="K322" s="39" t="e">
        <f>_xlfn.XLOOKUP(E322,'[1]6月分配 '!$B:$B,'[1]6月分配 '!$K:$K)</f>
        <v>#N/A</v>
      </c>
      <c r="L322" s="12" t="str">
        <f t="shared" si="135"/>
        <v>否</v>
      </c>
      <c r="M322" s="40" t="str">
        <f>_xlfn.XLOOKUP(F322,'6月产品包'!B:B,'6月产品包'!J:J)</f>
        <v>2025-09-27</v>
      </c>
      <c r="N322" s="39" t="str">
        <f ca="1" t="shared" si="136"/>
        <v>老品</v>
      </c>
      <c r="O322" s="37">
        <f>_xlfn.XLOOKUP(F322,'6月库存'!A:A,'6月库存'!R:R)</f>
        <v>1</v>
      </c>
      <c r="P322" s="39">
        <f>_xlfn.XLOOKUP(F322,'6月产品包'!B:B,'6月产品包'!S:S)</f>
        <v>176</v>
      </c>
      <c r="Q322" s="39"/>
      <c r="R322" s="41">
        <f>_xlfn.XLOOKUP(F322,'6月产品包'!B:B,'6月产品包'!AD:AD)</f>
        <v>34.0634</v>
      </c>
      <c r="S322" s="39">
        <v>98</v>
      </c>
      <c r="T322" s="39">
        <f t="shared" si="138"/>
        <v>123</v>
      </c>
      <c r="U322" s="42">
        <f>$T322*(1-0.25)</f>
        <v>92.25</v>
      </c>
      <c r="V322" s="43">
        <v>0.25</v>
      </c>
      <c r="W322" s="44">
        <f t="shared" si="139"/>
        <v>0.630749051490515</v>
      </c>
      <c r="X322" s="44">
        <f t="shared" si="137"/>
        <v>0.512312312312312</v>
      </c>
      <c r="Y322" s="51">
        <v>0.038</v>
      </c>
      <c r="Z322" s="46">
        <v>0.09</v>
      </c>
      <c r="AA322" s="46">
        <v>0.049</v>
      </c>
      <c r="AB322" s="46">
        <f t="shared" si="140"/>
        <v>0.00585365853658537</v>
      </c>
      <c r="AC322" s="46">
        <v>0.06</v>
      </c>
      <c r="AD322" s="47"/>
      <c r="AF322" s="48" t="s">
        <v>102</v>
      </c>
      <c r="AG322" s="39">
        <f t="shared" si="127"/>
        <v>5.535</v>
      </c>
      <c r="AH322" s="39">
        <f t="shared" si="128"/>
        <v>5.535</v>
      </c>
      <c r="AI322" s="39">
        <f t="shared" si="129"/>
        <v>0</v>
      </c>
      <c r="AJ322" s="39">
        <f t="shared" si="130"/>
        <v>0</v>
      </c>
      <c r="AK322" s="39">
        <f t="shared" si="131"/>
        <v>0</v>
      </c>
      <c r="AL322" s="39">
        <f t="shared" si="132"/>
        <v>0</v>
      </c>
      <c r="AM322" s="39">
        <f t="shared" si="133"/>
        <v>0</v>
      </c>
      <c r="AN322" s="39">
        <f t="shared" si="134"/>
        <v>0</v>
      </c>
    </row>
    <row r="323" s="6" customFormat="1" ht="50" hidden="1" customHeight="1" spans="1:40">
      <c r="A323" s="37" t="s">
        <v>96</v>
      </c>
      <c r="B323" s="37" t="s">
        <v>115</v>
      </c>
      <c r="C323" s="37" t="str">
        <f>_xlfn.XLOOKUP(F323,'6月产品包'!B:B,'6月产品包'!H:H)</f>
        <v>银钱盒</v>
      </c>
      <c r="D323" s="38" t="str">
        <f>_xlfn.XLOOKUP(F323,'6月产品包'!B:B,'6月产品包'!O:O)</f>
        <v>迷你收银箱</v>
      </c>
      <c r="E323" s="38" t="s">
        <v>634</v>
      </c>
      <c r="F323" s="39" t="s">
        <v>647</v>
      </c>
      <c r="G323" s="39" t="s">
        <v>126</v>
      </c>
      <c r="H323" s="39" t="s">
        <v>101</v>
      </c>
      <c r="I323" s="37" t="str">
        <f>_xlfn.XLOOKUP($F323,'6月库存'!A:A,'6月库存'!B:B)</f>
        <v>正常销售</v>
      </c>
      <c r="J323" s="12"/>
      <c r="K323" s="39">
        <f>_xlfn.XLOOKUP(E323,'[1]6月分配 '!$B:$B,'[1]6月分配 '!$K:$K)</f>
        <v>2124</v>
      </c>
      <c r="L323" s="12" t="str">
        <f t="shared" si="135"/>
        <v>是</v>
      </c>
      <c r="M323" s="40" t="str">
        <f>_xlfn.XLOOKUP(F323,'6月产品包'!B:B,'6月产品包'!J:J)</f>
        <v>2025-11-18</v>
      </c>
      <c r="N323" s="39" t="s">
        <v>149</v>
      </c>
      <c r="O323" s="37">
        <f>_xlfn.XLOOKUP(F323,'6月库存'!A:A,'6月库存'!R:R)</f>
        <v>294</v>
      </c>
      <c r="P323" s="39">
        <f>_xlfn.XLOOKUP(F323,'6月产品包'!B:B,'6月产品包'!S:S)</f>
        <v>1050</v>
      </c>
      <c r="Q323" s="39"/>
      <c r="R323" s="41">
        <f>_xlfn.XLOOKUP(F323,'6月产品包'!B:B,'6月产品包'!AD:AD)</f>
        <v>10.266</v>
      </c>
      <c r="S323" s="39">
        <v>22</v>
      </c>
      <c r="T323" s="39">
        <f t="shared" si="138"/>
        <v>28</v>
      </c>
      <c r="U323" s="42">
        <f t="shared" ref="U323:U383" si="141">$T323*(1-0.2)</f>
        <v>22.4</v>
      </c>
      <c r="V323" s="43">
        <v>0.2</v>
      </c>
      <c r="W323" s="44">
        <f t="shared" si="139"/>
        <v>0.541696428571429</v>
      </c>
      <c r="X323" s="44">
        <f t="shared" si="137"/>
        <v>0.369503267331597</v>
      </c>
      <c r="Y323" s="44">
        <v>0.04</v>
      </c>
      <c r="Z323" s="46">
        <v>0.1</v>
      </c>
      <c r="AA323" s="46">
        <v>0.049</v>
      </c>
      <c r="AB323" s="46">
        <f t="shared" si="140"/>
        <v>0.0241071428571429</v>
      </c>
      <c r="AC323" s="46">
        <v>0.06</v>
      </c>
      <c r="AD323" s="47"/>
      <c r="AF323" s="55" t="s">
        <v>114</v>
      </c>
      <c r="AG323" s="39">
        <f t="shared" si="127"/>
        <v>0</v>
      </c>
      <c r="AH323" s="39">
        <f t="shared" si="128"/>
        <v>0</v>
      </c>
      <c r="AI323" s="39">
        <f t="shared" si="129"/>
        <v>0</v>
      </c>
      <c r="AJ323" s="39">
        <f t="shared" si="130"/>
        <v>0</v>
      </c>
      <c r="AK323" s="39">
        <f t="shared" si="131"/>
        <v>0</v>
      </c>
      <c r="AL323" s="39">
        <f t="shared" si="132"/>
        <v>0</v>
      </c>
      <c r="AM323" s="39">
        <f t="shared" si="133"/>
        <v>0</v>
      </c>
      <c r="AN323" s="39">
        <f t="shared" si="134"/>
        <v>0</v>
      </c>
    </row>
    <row r="324" s="6" customFormat="1" ht="50" hidden="1" customHeight="1" spans="1:40">
      <c r="A324" s="37" t="s">
        <v>108</v>
      </c>
      <c r="B324" s="37" t="s">
        <v>109</v>
      </c>
      <c r="C324" s="37" t="str">
        <f>_xlfn.XLOOKUP(F324,'6月产品包'!B:B,'6月产品包'!H:H)</f>
        <v>电脑支架</v>
      </c>
      <c r="D324" s="38" t="str">
        <f>_xlfn.XLOOKUP(F324,'6月产品包'!B:B,'6月产品包'!O:O)</f>
        <v>金属笔记本支架</v>
      </c>
      <c r="E324" s="38" t="s">
        <v>648</v>
      </c>
      <c r="F324" s="37" t="s">
        <v>649</v>
      </c>
      <c r="G324" s="39" t="s">
        <v>154</v>
      </c>
      <c r="H324" s="37" t="s">
        <v>101</v>
      </c>
      <c r="I324" s="37" t="str">
        <f>_xlfn.XLOOKUP($F324,'6月库存'!A:A,'6月库存'!B:B)</f>
        <v>商品清仓</v>
      </c>
      <c r="J324" s="12"/>
      <c r="K324" s="39">
        <f>_xlfn.XLOOKUP(E324,'[1]6月分配 '!$B:$B,'[1]6月分配 '!$K:$K)</f>
        <v>2093</v>
      </c>
      <c r="L324" s="12" t="str">
        <f t="shared" si="135"/>
        <v>是</v>
      </c>
      <c r="M324" s="40" t="str">
        <f>_xlfn.XLOOKUP(F324,'6月产品包'!B:B,'6月产品包'!J:J)</f>
        <v>2024-10-29</v>
      </c>
      <c r="N324" s="39" t="str">
        <f ca="1">IF(DATEDIF(M324,TODAY(),"m")&lt;6,"新品","老品")</f>
        <v>老品</v>
      </c>
      <c r="O324" s="37">
        <f>_xlfn.XLOOKUP(F324,'6月库存'!A:A,'6月库存'!R:R)</f>
        <v>124</v>
      </c>
      <c r="P324" s="39">
        <f>_xlfn.XLOOKUP(F324,'6月产品包'!B:B,'6月产品包'!S:S)</f>
        <v>270</v>
      </c>
      <c r="Q324" s="39"/>
      <c r="R324" s="41">
        <f>_xlfn.XLOOKUP(F324,'6月产品包'!B:B,'6月产品包'!AD:AD)</f>
        <v>10.034</v>
      </c>
      <c r="S324" s="39">
        <v>19.55</v>
      </c>
      <c r="T324" s="39">
        <f t="shared" si="138"/>
        <v>24</v>
      </c>
      <c r="U324" s="42">
        <f t="shared" si="141"/>
        <v>19.2</v>
      </c>
      <c r="V324" s="43">
        <v>0.2</v>
      </c>
      <c r="W324" s="44">
        <f t="shared" si="139"/>
        <v>0.477395833333333</v>
      </c>
      <c r="X324" s="44">
        <f t="shared" si="137"/>
        <v>0.274034844012271</v>
      </c>
      <c r="Y324" s="44">
        <v>0.038</v>
      </c>
      <c r="Z324" s="46">
        <v>0.105</v>
      </c>
      <c r="AA324" s="46">
        <v>0.049</v>
      </c>
      <c r="AB324" s="46">
        <f t="shared" si="140"/>
        <v>0.028125</v>
      </c>
      <c r="AC324" s="46">
        <v>0.06</v>
      </c>
      <c r="AD324" s="47"/>
      <c r="AF324" s="55" t="s">
        <v>114</v>
      </c>
      <c r="AG324" s="39">
        <f t="shared" si="127"/>
        <v>0</v>
      </c>
      <c r="AH324" s="39">
        <f t="shared" si="128"/>
        <v>0</v>
      </c>
      <c r="AI324" s="39">
        <f t="shared" si="129"/>
        <v>0</v>
      </c>
      <c r="AJ324" s="39">
        <f t="shared" si="130"/>
        <v>0</v>
      </c>
      <c r="AK324" s="39">
        <f t="shared" si="131"/>
        <v>0</v>
      </c>
      <c r="AL324" s="39">
        <f t="shared" si="132"/>
        <v>0</v>
      </c>
      <c r="AM324" s="39">
        <f t="shared" si="133"/>
        <v>0</v>
      </c>
      <c r="AN324" s="39">
        <f t="shared" si="134"/>
        <v>0</v>
      </c>
    </row>
    <row r="325" s="6" customFormat="1" ht="50" hidden="1" customHeight="1" spans="1:40">
      <c r="A325" s="37" t="s">
        <v>108</v>
      </c>
      <c r="B325" s="37" t="s">
        <v>168</v>
      </c>
      <c r="C325" s="37" t="str">
        <f>_xlfn.XLOOKUP(F325,'6月产品包'!B:B,'6月产品包'!H:H)</f>
        <v>电视支架</v>
      </c>
      <c r="D325" s="38" t="str">
        <f>_xlfn.XLOOKUP(F325,'6月产品包'!B:B,'6月产品包'!O:O)</f>
        <v>壁挂电视支架</v>
      </c>
      <c r="E325" s="38" t="s">
        <v>650</v>
      </c>
      <c r="F325" s="39" t="s">
        <v>651</v>
      </c>
      <c r="G325" s="39" t="s">
        <v>126</v>
      </c>
      <c r="H325" s="37" t="s">
        <v>101</v>
      </c>
      <c r="I325" s="37" t="str">
        <f>_xlfn.XLOOKUP($F325,'6月库存'!A:A,'6月库存'!B:B)</f>
        <v>正常销售</v>
      </c>
      <c r="J325" s="12"/>
      <c r="K325" s="39" t="e">
        <f>_xlfn.XLOOKUP(E325,'[1]6月分配 '!$B:$B,'[1]6月分配 '!$K:$K)</f>
        <v>#N/A</v>
      </c>
      <c r="L325" s="12" t="str">
        <f t="shared" si="135"/>
        <v>否</v>
      </c>
      <c r="M325" s="40" t="str">
        <f>_xlfn.XLOOKUP(F325,'6月产品包'!B:B,'6月产品包'!J:J)</f>
        <v>2024-03-01</v>
      </c>
      <c r="N325" s="39" t="str">
        <f ca="1" t="shared" si="136"/>
        <v>老品</v>
      </c>
      <c r="O325" s="37">
        <f>_xlfn.XLOOKUP(F325,'6月库存'!A:A,'6月库存'!R:R)</f>
        <v>59</v>
      </c>
      <c r="P325" s="39">
        <f>_xlfn.XLOOKUP(F325,'6月产品包'!B:B,'6月产品包'!S:S)</f>
        <v>650</v>
      </c>
      <c r="Q325" s="39"/>
      <c r="R325" s="41">
        <f>_xlfn.XLOOKUP(F325,'6月产品包'!B:B,'6月产品包'!AD:AD)</f>
        <v>6.8092</v>
      </c>
      <c r="S325" s="39">
        <v>15</v>
      </c>
      <c r="T325" s="39">
        <f t="shared" si="138"/>
        <v>19</v>
      </c>
      <c r="U325" s="42">
        <f t="shared" si="141"/>
        <v>15.2</v>
      </c>
      <c r="V325" s="43">
        <v>0.2</v>
      </c>
      <c r="W325" s="44">
        <f t="shared" si="139"/>
        <v>0.552026315789474</v>
      </c>
      <c r="X325" s="44">
        <f t="shared" si="137"/>
        <v>0.384206337722471</v>
      </c>
      <c r="Y325" s="44">
        <v>0.038</v>
      </c>
      <c r="Z325" s="46">
        <v>0.09</v>
      </c>
      <c r="AA325" s="46">
        <v>0.049</v>
      </c>
      <c r="AB325" s="46">
        <f t="shared" si="140"/>
        <v>0.0355263157894737</v>
      </c>
      <c r="AC325" s="46">
        <v>0.06</v>
      </c>
      <c r="AD325" s="47"/>
      <c r="AF325" s="48" t="s">
        <v>102</v>
      </c>
      <c r="AG325" s="39">
        <f t="shared" si="127"/>
        <v>0</v>
      </c>
      <c r="AH325" s="39">
        <f t="shared" si="128"/>
        <v>0</v>
      </c>
      <c r="AI325" s="39">
        <f t="shared" si="129"/>
        <v>0</v>
      </c>
      <c r="AJ325" s="39">
        <f t="shared" si="130"/>
        <v>0</v>
      </c>
      <c r="AK325" s="39">
        <f t="shared" si="131"/>
        <v>0</v>
      </c>
      <c r="AL325" s="39">
        <f t="shared" si="132"/>
        <v>0</v>
      </c>
      <c r="AM325" s="39">
        <f t="shared" si="133"/>
        <v>0</v>
      </c>
      <c r="AN325" s="39">
        <f t="shared" si="134"/>
        <v>0</v>
      </c>
    </row>
    <row r="326" s="6" customFormat="1" ht="50" hidden="1" customHeight="1" spans="1:40">
      <c r="A326" s="37" t="s">
        <v>108</v>
      </c>
      <c r="B326" s="37" t="s">
        <v>168</v>
      </c>
      <c r="C326" s="37" t="str">
        <f>_xlfn.XLOOKUP(F326,'6月产品包'!B:B,'6月产品包'!H:H)</f>
        <v>电视支架</v>
      </c>
      <c r="D326" s="38" t="str">
        <f>_xlfn.XLOOKUP(F326,'6月产品包'!B:B,'6月产品包'!O:O)</f>
        <v>壁挂电视支架</v>
      </c>
      <c r="E326" s="38" t="s">
        <v>652</v>
      </c>
      <c r="F326" s="39" t="s">
        <v>653</v>
      </c>
      <c r="G326" s="39" t="s">
        <v>106</v>
      </c>
      <c r="H326" s="37" t="s">
        <v>101</v>
      </c>
      <c r="I326" s="37" t="str">
        <f>_xlfn.XLOOKUP($F326,'6月库存'!A:A,'6月库存'!B:B)</f>
        <v>正常销售</v>
      </c>
      <c r="J326" s="12"/>
      <c r="K326" s="39" t="e">
        <f>_xlfn.XLOOKUP(E326,'[1]6月分配 '!$B:$B,'[1]6月分配 '!$K:$K)</f>
        <v>#N/A</v>
      </c>
      <c r="L326" s="12" t="str">
        <f t="shared" si="135"/>
        <v>否</v>
      </c>
      <c r="M326" s="40" t="str">
        <f>_xlfn.XLOOKUP(F326,'6月产品包'!B:B,'6月产品包'!J:J)</f>
        <v>2024-04-01</v>
      </c>
      <c r="N326" s="39" t="str">
        <f ca="1" t="shared" si="136"/>
        <v>老品</v>
      </c>
      <c r="O326" s="37">
        <f>_xlfn.XLOOKUP(F326,'6月库存'!A:A,'6月库存'!R:R)</f>
        <v>1114</v>
      </c>
      <c r="P326" s="39">
        <f>_xlfn.XLOOKUP(F326,'6月产品包'!B:B,'6月产品包'!S:S)</f>
        <v>5200</v>
      </c>
      <c r="Q326" s="39"/>
      <c r="R326" s="41">
        <f>_xlfn.XLOOKUP(F326,'6月产品包'!B:B,'6月产品包'!AD:AD)</f>
        <v>31.929</v>
      </c>
      <c r="S326" s="39">
        <v>65</v>
      </c>
      <c r="T326" s="39">
        <f t="shared" si="138"/>
        <v>81</v>
      </c>
      <c r="U326" s="42">
        <f t="shared" si="141"/>
        <v>64.8</v>
      </c>
      <c r="V326" s="43">
        <v>0.2</v>
      </c>
      <c r="W326" s="44">
        <f t="shared" si="139"/>
        <v>0.507268518518519</v>
      </c>
      <c r="X326" s="44">
        <f t="shared" si="137"/>
        <v>0.347087259521005</v>
      </c>
      <c r="Y326" s="44">
        <v>0.038</v>
      </c>
      <c r="Z326" s="46">
        <v>0.09</v>
      </c>
      <c r="AA326" s="46">
        <v>0.049</v>
      </c>
      <c r="AB326" s="46">
        <f t="shared" si="140"/>
        <v>0.00833333333333333</v>
      </c>
      <c r="AC326" s="46">
        <v>0.06</v>
      </c>
      <c r="AD326" s="47"/>
      <c r="AF326" s="48" t="s">
        <v>102</v>
      </c>
      <c r="AG326" s="39">
        <f t="shared" si="127"/>
        <v>3.888</v>
      </c>
      <c r="AH326" s="39">
        <f t="shared" si="128"/>
        <v>3.888</v>
      </c>
      <c r="AI326" s="39">
        <f t="shared" si="129"/>
        <v>0</v>
      </c>
      <c r="AJ326" s="39">
        <f t="shared" si="130"/>
        <v>0</v>
      </c>
      <c r="AK326" s="39">
        <f t="shared" si="131"/>
        <v>0</v>
      </c>
      <c r="AL326" s="39">
        <f t="shared" si="132"/>
        <v>0</v>
      </c>
      <c r="AM326" s="39">
        <f t="shared" si="133"/>
        <v>0</v>
      </c>
      <c r="AN326" s="39">
        <f t="shared" si="134"/>
        <v>0</v>
      </c>
    </row>
    <row r="327" s="6" customFormat="1" ht="50" hidden="1" customHeight="1" spans="1:40">
      <c r="A327" s="37" t="s">
        <v>96</v>
      </c>
      <c r="B327" s="37" t="s">
        <v>115</v>
      </c>
      <c r="C327" s="37" t="str">
        <f>_xlfn.XLOOKUP(F327,'6月产品包'!B:B,'6月产品包'!H:H)</f>
        <v>银钱盒</v>
      </c>
      <c r="D327" s="38" t="str">
        <f>_xlfn.XLOOKUP(F327,'6月产品包'!B:B,'6月产品包'!O:O)</f>
        <v>迷你收银箱</v>
      </c>
      <c r="E327" s="38" t="s">
        <v>654</v>
      </c>
      <c r="F327" s="39" t="s">
        <v>655</v>
      </c>
      <c r="G327" s="39" t="s">
        <v>126</v>
      </c>
      <c r="H327" s="39" t="s">
        <v>101</v>
      </c>
      <c r="I327" s="37" t="str">
        <f>_xlfn.XLOOKUP($F327,'6月库存'!A:A,'6月库存'!B:B)</f>
        <v>正常销售</v>
      </c>
      <c r="J327" s="12"/>
      <c r="K327" s="39">
        <f>_xlfn.XLOOKUP(E327,'[1]6月分配 '!$B:$B,'[1]6月分配 '!$K:$K)</f>
        <v>2087</v>
      </c>
      <c r="L327" s="12" t="str">
        <f t="shared" si="135"/>
        <v>是</v>
      </c>
      <c r="M327" s="40" t="str">
        <f>_xlfn.XLOOKUP(F327,'6月产品包'!B:B,'6月产品包'!J:J)</f>
        <v>2025-11-18</v>
      </c>
      <c r="N327" s="39" t="s">
        <v>149</v>
      </c>
      <c r="O327" s="37">
        <f>_xlfn.XLOOKUP(F327,'6月库存'!A:A,'6月库存'!R:R)</f>
        <v>159</v>
      </c>
      <c r="P327" s="39">
        <f>_xlfn.XLOOKUP(F327,'6月产品包'!B:B,'6月产品包'!S:S)</f>
        <v>470</v>
      </c>
      <c r="Q327" s="39"/>
      <c r="R327" s="41">
        <f>_xlfn.XLOOKUP(F327,'6月产品包'!B:B,'6月产品包'!AD:AD)</f>
        <v>9.4598</v>
      </c>
      <c r="S327" s="39">
        <v>22</v>
      </c>
      <c r="T327" s="39">
        <f t="shared" si="138"/>
        <v>28</v>
      </c>
      <c r="U327" s="42">
        <f t="shared" si="141"/>
        <v>22.4</v>
      </c>
      <c r="V327" s="43">
        <v>0.2</v>
      </c>
      <c r="W327" s="44">
        <f t="shared" si="139"/>
        <v>0.5776875</v>
      </c>
      <c r="X327" s="44">
        <f t="shared" si="137"/>
        <v>0.419016852552449</v>
      </c>
      <c r="Y327" s="44">
        <v>0.04</v>
      </c>
      <c r="Z327" s="46">
        <v>0.1</v>
      </c>
      <c r="AA327" s="46">
        <v>0.049</v>
      </c>
      <c r="AB327" s="46">
        <f t="shared" si="140"/>
        <v>0.0241071428571429</v>
      </c>
      <c r="AC327" s="46">
        <v>0.06</v>
      </c>
      <c r="AD327" s="47"/>
      <c r="AF327" s="55" t="s">
        <v>114</v>
      </c>
      <c r="AG327" s="39">
        <f t="shared" si="127"/>
        <v>0</v>
      </c>
      <c r="AH327" s="39">
        <f t="shared" si="128"/>
        <v>0</v>
      </c>
      <c r="AI327" s="39">
        <f t="shared" si="129"/>
        <v>0</v>
      </c>
      <c r="AJ327" s="39">
        <f t="shared" si="130"/>
        <v>0</v>
      </c>
      <c r="AK327" s="39">
        <f t="shared" si="131"/>
        <v>0</v>
      </c>
      <c r="AL327" s="39">
        <f t="shared" si="132"/>
        <v>0</v>
      </c>
      <c r="AM327" s="39">
        <f t="shared" si="133"/>
        <v>0</v>
      </c>
      <c r="AN327" s="39">
        <f t="shared" si="134"/>
        <v>0</v>
      </c>
    </row>
    <row r="328" s="6" customFormat="1" ht="50" hidden="1" customHeight="1" spans="1:40">
      <c r="A328" s="37" t="s">
        <v>108</v>
      </c>
      <c r="B328" s="37" t="s">
        <v>168</v>
      </c>
      <c r="C328" s="37" t="str">
        <f>_xlfn.XLOOKUP(F328,'6月产品包'!B:B,'6月产品包'!H:H)</f>
        <v>电视支架</v>
      </c>
      <c r="D328" s="38" t="str">
        <f>_xlfn.XLOOKUP(F328,'6月产品包'!B:B,'6月产品包'!O:O)</f>
        <v>壁挂电视支架</v>
      </c>
      <c r="E328" s="38" t="s">
        <v>656</v>
      </c>
      <c r="F328" s="39" t="s">
        <v>657</v>
      </c>
      <c r="G328" s="39" t="s">
        <v>106</v>
      </c>
      <c r="H328" s="37" t="s">
        <v>101</v>
      </c>
      <c r="I328" s="37" t="str">
        <f>_xlfn.XLOOKUP($F328,'6月库存'!A:A,'6月库存'!B:B)</f>
        <v>正常销售</v>
      </c>
      <c r="J328" s="12"/>
      <c r="K328" s="39" t="e">
        <f>_xlfn.XLOOKUP(E328,'[1]6月分配 '!$B:$B,'[1]6月分配 '!$K:$K)</f>
        <v>#N/A</v>
      </c>
      <c r="L328" s="12" t="str">
        <f t="shared" si="135"/>
        <v>否</v>
      </c>
      <c r="M328" s="40" t="str">
        <f>_xlfn.XLOOKUP(F328,'6月产品包'!B:B,'6月产品包'!J:J)</f>
        <v>2025-06-10</v>
      </c>
      <c r="N328" s="39" t="str">
        <f ca="1" t="shared" si="136"/>
        <v>老品</v>
      </c>
      <c r="O328" s="37">
        <f>_xlfn.XLOOKUP(F328,'6月库存'!A:A,'6月库存'!R:R)</f>
        <v>7</v>
      </c>
      <c r="P328" s="39">
        <f>_xlfn.XLOOKUP(F328,'6月产品包'!B:B,'6月产品包'!S:S)</f>
        <v>6100</v>
      </c>
      <c r="Q328" s="39"/>
      <c r="R328" s="41">
        <f>_xlfn.XLOOKUP(F328,'6月产品包'!B:B,'6月产品包'!AD:AD)</f>
        <v>62.8372</v>
      </c>
      <c r="S328" s="39">
        <v>119</v>
      </c>
      <c r="T328" s="39">
        <f t="shared" si="138"/>
        <v>149</v>
      </c>
      <c r="U328" s="42">
        <f t="shared" si="141"/>
        <v>119.2</v>
      </c>
      <c r="V328" s="43">
        <v>0.2</v>
      </c>
      <c r="W328" s="44">
        <f t="shared" si="139"/>
        <v>0.472842281879195</v>
      </c>
      <c r="X328" s="44">
        <f t="shared" si="137"/>
        <v>0.304972038367607</v>
      </c>
      <c r="Y328" s="51">
        <v>0.038</v>
      </c>
      <c r="Z328" s="46">
        <v>0.09</v>
      </c>
      <c r="AA328" s="46">
        <v>0.049</v>
      </c>
      <c r="AB328" s="46">
        <f t="shared" si="140"/>
        <v>0.00453020134228188</v>
      </c>
      <c r="AC328" s="46">
        <v>0.06</v>
      </c>
      <c r="AD328" s="47"/>
      <c r="AF328" s="48" t="s">
        <v>102</v>
      </c>
      <c r="AG328" s="39">
        <f t="shared" si="127"/>
        <v>6</v>
      </c>
      <c r="AH328" s="39">
        <f t="shared" si="128"/>
        <v>6</v>
      </c>
      <c r="AI328" s="39">
        <f t="shared" si="129"/>
        <v>0</v>
      </c>
      <c r="AJ328" s="39">
        <f t="shared" si="130"/>
        <v>0</v>
      </c>
      <c r="AK328" s="39">
        <f t="shared" si="131"/>
        <v>0</v>
      </c>
      <c r="AL328" s="39">
        <f t="shared" si="132"/>
        <v>0</v>
      </c>
      <c r="AM328" s="39">
        <f t="shared" si="133"/>
        <v>0</v>
      </c>
      <c r="AN328" s="39">
        <f t="shared" si="134"/>
        <v>0</v>
      </c>
    </row>
    <row r="329" s="6" customFormat="1" ht="50" hidden="1" customHeight="1" spans="1:40">
      <c r="A329" s="37" t="s">
        <v>96</v>
      </c>
      <c r="B329" s="37" t="s">
        <v>127</v>
      </c>
      <c r="C329" s="37" t="str">
        <f>_xlfn.XLOOKUP(F329,'6月产品包'!B:B,'6月产品包'!H:H)</f>
        <v>保险箱</v>
      </c>
      <c r="D329" s="38" t="str">
        <f>_xlfn.XLOOKUP(F329,'6月产品包'!B:B,'6月产品包'!O:O)</f>
        <v>新A6保险箱指纹款</v>
      </c>
      <c r="E329" s="38" t="s">
        <v>658</v>
      </c>
      <c r="F329" s="39" t="s">
        <v>659</v>
      </c>
      <c r="G329" s="39" t="e">
        <v>#N/A</v>
      </c>
      <c r="H329" s="39" t="s">
        <v>101</v>
      </c>
      <c r="I329" s="37" t="str">
        <f>_xlfn.XLOOKUP($F329,'6月库存'!A:A,'6月库存'!B:B)</f>
        <v>正常销售</v>
      </c>
      <c r="J329" s="12"/>
      <c r="K329" s="39">
        <f>_xlfn.XLOOKUP(E329,'[1]6月分配 '!$B:$B,'[1]6月分配 '!$K:$K)</f>
        <v>2054</v>
      </c>
      <c r="L329" s="12" t="str">
        <f t="shared" si="135"/>
        <v>是</v>
      </c>
      <c r="M329" s="40" t="str">
        <f>_xlfn.XLOOKUP(F329,'6月产品包'!B:B,'6月产品包'!J:J)</f>
        <v>2026-01-06</v>
      </c>
      <c r="N329" s="39" t="str">
        <f ca="1" t="shared" si="136"/>
        <v>新品</v>
      </c>
      <c r="O329" s="37">
        <f>_xlfn.XLOOKUP(F329,'6月库存'!A:A,'6月库存'!R:R)</f>
        <v>34</v>
      </c>
      <c r="P329" s="39">
        <f>_xlfn.XLOOKUP(F329,'6月产品包'!B:B,'6月产品包'!S:S)</f>
        <v>8000</v>
      </c>
      <c r="Q329" s="39"/>
      <c r="R329" s="41">
        <f>_xlfn.XLOOKUP(F329,'6月产品包'!B:B,'6月产品包'!AD:AD)</f>
        <v>132.3386</v>
      </c>
      <c r="S329" s="39">
        <v>258</v>
      </c>
      <c r="T329" s="39">
        <f t="shared" si="138"/>
        <v>323</v>
      </c>
      <c r="U329" s="42">
        <f t="shared" si="141"/>
        <v>258.4</v>
      </c>
      <c r="V329" s="43">
        <v>0.2</v>
      </c>
      <c r="W329" s="44">
        <f t="shared" si="139"/>
        <v>0.487853715170279</v>
      </c>
      <c r="X329" s="44">
        <f t="shared" si="137"/>
        <v>0.326929414828257</v>
      </c>
      <c r="Y329" s="51">
        <v>0.038</v>
      </c>
      <c r="Z329" s="46">
        <v>0.09</v>
      </c>
      <c r="AA329" s="46">
        <v>0.049</v>
      </c>
      <c r="AB329" s="46">
        <f t="shared" si="140"/>
        <v>0.00208978328173375</v>
      </c>
      <c r="AC329" s="46">
        <v>0.06</v>
      </c>
      <c r="AD329" s="47"/>
      <c r="AF329" s="55" t="s">
        <v>114</v>
      </c>
      <c r="AG329" s="39">
        <f t="shared" si="127"/>
        <v>13.9536</v>
      </c>
      <c r="AH329" s="39">
        <f t="shared" si="128"/>
        <v>6</v>
      </c>
      <c r="AI329" s="39">
        <f t="shared" si="129"/>
        <v>13.9536</v>
      </c>
      <c r="AJ329" s="39">
        <f t="shared" si="130"/>
        <v>0</v>
      </c>
      <c r="AK329" s="39">
        <f t="shared" si="131"/>
        <v>0</v>
      </c>
      <c r="AL329" s="39">
        <f t="shared" si="132"/>
        <v>0</v>
      </c>
      <c r="AM329" s="39">
        <f t="shared" si="133"/>
        <v>13.9536</v>
      </c>
      <c r="AN329" s="39">
        <f t="shared" si="134"/>
        <v>11.628</v>
      </c>
    </row>
    <row r="330" s="6" customFormat="1" ht="50" hidden="1" customHeight="1" spans="1:40">
      <c r="A330" s="37" t="s">
        <v>96</v>
      </c>
      <c r="B330" s="37" t="s">
        <v>127</v>
      </c>
      <c r="C330" s="37" t="str">
        <f>_xlfn.XLOOKUP(F330,'6月产品包'!B:B,'6月产品包'!H:H)</f>
        <v>文件柜</v>
      </c>
      <c r="D330" s="38" t="str">
        <f>_xlfn.XLOOKUP(F330,'6月产品包'!B:B,'6月产品包'!O:O)</f>
        <v>对开门矮保险箱</v>
      </c>
      <c r="E330" s="38" t="s">
        <v>660</v>
      </c>
      <c r="F330" s="39" t="s">
        <v>661</v>
      </c>
      <c r="G330" s="39" t="e">
        <v>#N/A</v>
      </c>
      <c r="H330" s="37" t="s">
        <v>101</v>
      </c>
      <c r="I330" s="37" t="str">
        <f>_xlfn.XLOOKUP($F330,'6月库存'!A:A,'6月库存'!B:B)</f>
        <v>正常销售</v>
      </c>
      <c r="J330" s="12"/>
      <c r="K330" s="39">
        <f>_xlfn.XLOOKUP(E330,'[1]6月分配 '!$B:$B,'[1]6月分配 '!$K:$K)</f>
        <v>2039</v>
      </c>
      <c r="L330" s="12" t="str">
        <f t="shared" si="135"/>
        <v>是</v>
      </c>
      <c r="M330" s="40" t="str">
        <f>_xlfn.XLOOKUP(F330,'6月产品包'!B:B,'6月产品包'!J:J)</f>
        <v>2025-09-25</v>
      </c>
      <c r="N330" s="39" t="str">
        <f ca="1" t="shared" si="136"/>
        <v>老品</v>
      </c>
      <c r="O330" s="37">
        <f>_xlfn.XLOOKUP(F330,'6月库存'!A:A,'6月库存'!R:R)</f>
        <v>4</v>
      </c>
      <c r="P330" s="39">
        <f>_xlfn.XLOOKUP(F330,'6月产品包'!B:B,'6月产品包'!S:S)</f>
        <v>27000</v>
      </c>
      <c r="Q330" s="39"/>
      <c r="R330" s="41">
        <f>_xlfn.XLOOKUP(F330,'6月产品包'!B:B,'6月产品包'!AD:AD)</f>
        <v>197.055</v>
      </c>
      <c r="S330" s="39">
        <v>399</v>
      </c>
      <c r="T330" s="39">
        <f t="shared" si="138"/>
        <v>499</v>
      </c>
      <c r="U330" s="42">
        <f t="shared" si="141"/>
        <v>399.2</v>
      </c>
      <c r="V330" s="43">
        <v>0.2</v>
      </c>
      <c r="W330" s="44">
        <f t="shared" si="139"/>
        <v>0.506375250501002</v>
      </c>
      <c r="X330" s="44">
        <f t="shared" si="137"/>
        <v>0.337102608059121</v>
      </c>
      <c r="Y330" s="44">
        <v>0.045</v>
      </c>
      <c r="Z330" s="46">
        <v>0.1</v>
      </c>
      <c r="AA330" s="46">
        <v>0.049</v>
      </c>
      <c r="AB330" s="46">
        <f t="shared" si="140"/>
        <v>0.00135270541082164</v>
      </c>
      <c r="AC330" s="46">
        <v>0.06</v>
      </c>
      <c r="AD330" s="49"/>
      <c r="AF330" s="55" t="s">
        <v>114</v>
      </c>
      <c r="AG330" s="39">
        <f t="shared" si="127"/>
        <v>33.5328</v>
      </c>
      <c r="AH330" s="39">
        <f t="shared" si="128"/>
        <v>6</v>
      </c>
      <c r="AI330" s="39">
        <f t="shared" si="129"/>
        <v>21</v>
      </c>
      <c r="AJ330" s="39">
        <f t="shared" si="130"/>
        <v>33.5328</v>
      </c>
      <c r="AK330" s="39">
        <f t="shared" si="131"/>
        <v>29.94</v>
      </c>
      <c r="AL330" s="39">
        <f t="shared" si="132"/>
        <v>26.3472</v>
      </c>
      <c r="AM330" s="39">
        <f t="shared" si="133"/>
        <v>21.5568</v>
      </c>
      <c r="AN330" s="39">
        <f t="shared" si="134"/>
        <v>17.964</v>
      </c>
    </row>
    <row r="331" s="6" customFormat="1" ht="50" hidden="1" customHeight="1" spans="1:40">
      <c r="A331" s="39" t="str">
        <f>_xlfn.XLOOKUP(F331,'6月产品包'!B:B,'6月产品包'!F:F)</f>
        <v>3C数码</v>
      </c>
      <c r="B331" s="39" t="str">
        <f>_xlfn.XLOOKUP(F331,'6月产品包'!B:B,'6月产品包'!G:G)</f>
        <v>电视设备</v>
      </c>
      <c r="C331" s="37" t="str">
        <f>_xlfn.XLOOKUP(F331,'6月产品包'!B:B,'6月产品包'!H:H)</f>
        <v>电视支架</v>
      </c>
      <c r="D331" s="38" t="str">
        <f>_xlfn.XLOOKUP(F331,'6月产品包'!B:B,'6月产品包'!O:O)</f>
        <v>双层移动推车MY1700PJ</v>
      </c>
      <c r="E331" s="38" t="str">
        <f>_xlfn.XLOOKUP(F331,'6月产品包'!B:B,'6月产品包'!C:C)</f>
        <v>3C-双层移动推车MY1700PJ</v>
      </c>
      <c r="F331" s="39" t="s">
        <v>662</v>
      </c>
      <c r="G331" s="39" t="s">
        <v>106</v>
      </c>
      <c r="H331" s="39" t="s">
        <v>107</v>
      </c>
      <c r="I331" s="37" t="str">
        <f>_xlfn.XLOOKUP($F331,'6月库存'!A:A,'6月库存'!B:B)</f>
        <v>正常销售</v>
      </c>
      <c r="J331" s="12"/>
      <c r="K331" s="39" t="e">
        <f>_xlfn.XLOOKUP(E331,'[1]6月分配 '!$B:$B,'[1]6月分配 '!$K:$K)</f>
        <v>#N/A</v>
      </c>
      <c r="L331" s="12" t="str">
        <f t="shared" si="135"/>
        <v>否</v>
      </c>
      <c r="M331" s="40" t="str">
        <f>_xlfn.XLOOKUP(F331,'6月产品包'!B:B,'6月产品包'!J:J)</f>
        <v>2026-02-05</v>
      </c>
      <c r="N331" s="39" t="str">
        <f ca="1" t="shared" si="136"/>
        <v>新品</v>
      </c>
      <c r="O331" s="37">
        <f>_xlfn.XLOOKUP(F331,'6月库存'!A:A,'6月库存'!R:R)</f>
        <v>31</v>
      </c>
      <c r="P331" s="39">
        <f>_xlfn.XLOOKUP(F331,'6月产品包'!B:B,'6月产品包'!S:S)</f>
        <v>12000</v>
      </c>
      <c r="Q331" s="56"/>
      <c r="R331" s="41">
        <f>_xlfn.XLOOKUP(F331,'6月产品包'!B:B,'6月产品包'!AD:AD)</f>
        <v>69.6116</v>
      </c>
      <c r="S331" s="39">
        <v>135</v>
      </c>
      <c r="T331" s="39">
        <f t="shared" si="138"/>
        <v>169</v>
      </c>
      <c r="U331" s="42">
        <f t="shared" si="141"/>
        <v>135.2</v>
      </c>
      <c r="V331" s="43">
        <v>0.2</v>
      </c>
      <c r="W331" s="44">
        <f t="shared" si="139"/>
        <v>0.485121301775148</v>
      </c>
      <c r="X331" s="44">
        <f t="shared" si="137"/>
        <v>0.321640732194088</v>
      </c>
      <c r="Y331" s="51">
        <v>0.038</v>
      </c>
      <c r="Z331" s="46">
        <v>0.09</v>
      </c>
      <c r="AA331" s="46">
        <v>0.049</v>
      </c>
      <c r="AB331" s="46">
        <f t="shared" si="140"/>
        <v>0.00399408284023669</v>
      </c>
      <c r="AC331" s="46">
        <v>0.06</v>
      </c>
      <c r="AD331" s="11"/>
      <c r="AF331" s="48" t="s">
        <v>102</v>
      </c>
      <c r="AG331" s="39">
        <f t="shared" si="127"/>
        <v>6</v>
      </c>
      <c r="AH331" s="39">
        <f t="shared" si="128"/>
        <v>6</v>
      </c>
      <c r="AI331" s="39">
        <f t="shared" si="129"/>
        <v>0</v>
      </c>
      <c r="AJ331" s="39">
        <f t="shared" si="130"/>
        <v>0</v>
      </c>
      <c r="AK331" s="39">
        <f t="shared" si="131"/>
        <v>0</v>
      </c>
      <c r="AL331" s="39">
        <f t="shared" si="132"/>
        <v>0</v>
      </c>
      <c r="AM331" s="39">
        <f t="shared" si="133"/>
        <v>0</v>
      </c>
      <c r="AN331" s="39">
        <f t="shared" si="134"/>
        <v>0</v>
      </c>
    </row>
    <row r="332" ht="50" hidden="1" customHeight="1" spans="1:40">
      <c r="A332" s="37" t="s">
        <v>96</v>
      </c>
      <c r="B332" s="37" t="s">
        <v>115</v>
      </c>
      <c r="C332" s="37" t="str">
        <f>_xlfn.XLOOKUP(F332,'6月产品包'!B:B,'6月产品包'!H:H)</f>
        <v>点钞机外接显示器</v>
      </c>
      <c r="D332" s="38" t="str">
        <f>_xlfn.XLOOKUP(F332,'6月产品包'!B:B,'6月产品包'!O:O)</f>
        <v>点钞机显示器</v>
      </c>
      <c r="E332" s="38" t="s">
        <v>663</v>
      </c>
      <c r="F332" s="37" t="s">
        <v>664</v>
      </c>
      <c r="G332" s="39" t="e">
        <v>#N/A</v>
      </c>
      <c r="H332" s="37" t="s">
        <v>107</v>
      </c>
      <c r="I332" s="37" t="str">
        <f>_xlfn.XLOOKUP($F332,'6月库存'!A:A,'6月库存'!B:B)</f>
        <v>商品清仓</v>
      </c>
      <c r="K332" s="39">
        <f>_xlfn.XLOOKUP(E332,'[1]6月分配 '!$B:$B,'[1]6月分配 '!$K:$K)</f>
        <v>2007</v>
      </c>
      <c r="L332" s="12" t="str">
        <f t="shared" si="135"/>
        <v>是</v>
      </c>
      <c r="M332" s="40" t="str">
        <f>_xlfn.XLOOKUP(F332,'6月产品包'!B:B,'6月产品包'!J:J)</f>
        <v>2025-10-21</v>
      </c>
      <c r="N332" s="39" t="str">
        <f ca="1" t="shared" si="136"/>
        <v>老品</v>
      </c>
      <c r="O332" s="37">
        <f>_xlfn.XLOOKUP(F332,'6月库存'!A:A,'6月库存'!R:R)</f>
        <v>447</v>
      </c>
      <c r="P332" s="39">
        <f>_xlfn.XLOOKUP(F332,'6月产品包'!B:B,'6月产品包'!S:S)</f>
        <v>150</v>
      </c>
      <c r="Q332" s="39"/>
      <c r="R332" s="41">
        <f>_xlfn.XLOOKUP(F332,'6月产品包'!B:B,'6月产品包'!AD:AD)</f>
        <v>4.9474</v>
      </c>
      <c r="S332" s="39">
        <v>10</v>
      </c>
      <c r="T332" s="39">
        <f t="shared" si="138"/>
        <v>13</v>
      </c>
      <c r="U332" s="42">
        <f t="shared" si="141"/>
        <v>10.4</v>
      </c>
      <c r="V332" s="43">
        <v>0.2</v>
      </c>
      <c r="W332" s="44">
        <f t="shared" si="139"/>
        <v>0.524288461538462</v>
      </c>
      <c r="X332" s="44">
        <f t="shared" si="137"/>
        <v>0.321456001755541</v>
      </c>
      <c r="Y332" s="44">
        <v>0.038</v>
      </c>
      <c r="Z332" s="46">
        <v>0.1</v>
      </c>
      <c r="AA332" s="46">
        <v>0.049</v>
      </c>
      <c r="AB332" s="46">
        <f t="shared" si="140"/>
        <v>0.0519230769230769</v>
      </c>
      <c r="AC332" s="46">
        <v>0.06</v>
      </c>
      <c r="AD332" s="47"/>
      <c r="AE332" s="6"/>
      <c r="AF332" s="55" t="s">
        <v>114</v>
      </c>
      <c r="AG332" s="39">
        <f t="shared" si="127"/>
        <v>0</v>
      </c>
      <c r="AH332" s="39">
        <f t="shared" si="128"/>
        <v>0</v>
      </c>
      <c r="AI332" s="39">
        <f t="shared" si="129"/>
        <v>0</v>
      </c>
      <c r="AJ332" s="39">
        <f t="shared" si="130"/>
        <v>0</v>
      </c>
      <c r="AK332" s="39">
        <f t="shared" si="131"/>
        <v>0</v>
      </c>
      <c r="AL332" s="39">
        <f t="shared" si="132"/>
        <v>0</v>
      </c>
      <c r="AM332" s="39">
        <f t="shared" si="133"/>
        <v>0</v>
      </c>
      <c r="AN332" s="39">
        <f t="shared" si="134"/>
        <v>0</v>
      </c>
    </row>
    <row r="333" ht="50" hidden="1" customHeight="1" spans="1:40">
      <c r="A333" s="37" t="s">
        <v>96</v>
      </c>
      <c r="B333" s="37" t="s">
        <v>97</v>
      </c>
      <c r="C333" s="37" t="str">
        <f>_xlfn.XLOOKUP(F333,'6月产品包'!B:B,'6月产品包'!H:H)</f>
        <v>锁体</v>
      </c>
      <c r="D333" s="38" t="str">
        <f>_xlfn.XLOOKUP(F333,'6月产品包'!B:B,'6月产品包'!O:O)</f>
        <v>房间门单舌锁体</v>
      </c>
      <c r="E333" s="38" t="s">
        <v>665</v>
      </c>
      <c r="F333" s="37" t="s">
        <v>666</v>
      </c>
      <c r="G333" s="39" t="s">
        <v>126</v>
      </c>
      <c r="H333" s="37" t="s">
        <v>101</v>
      </c>
      <c r="I333" s="37" t="str">
        <f>_xlfn.XLOOKUP($F333,'6月库存'!A:A,'6月库存'!B:B)</f>
        <v>正常销售</v>
      </c>
      <c r="K333" s="39">
        <f>_xlfn.XLOOKUP(E333,'[1]6月分配 '!$B:$B,'[1]6月分配 '!$K:$K)</f>
        <v>1962</v>
      </c>
      <c r="L333" s="12" t="str">
        <f t="shared" si="135"/>
        <v>是</v>
      </c>
      <c r="M333" s="40" t="str">
        <f>_xlfn.XLOOKUP(F333,'6月产品包'!B:B,'6月产品包'!J:J)</f>
        <v>2025-10-30</v>
      </c>
      <c r="N333" s="39" t="str">
        <f ca="1" t="shared" si="136"/>
        <v>老品</v>
      </c>
      <c r="O333" s="37">
        <f>_xlfn.XLOOKUP(F333,'6月库存'!A:A,'6月库存'!R:R)</f>
        <v>166</v>
      </c>
      <c r="P333" s="39">
        <f>_xlfn.XLOOKUP(F333,'6月产品包'!B:B,'6月产品包'!S:S)</f>
        <v>103</v>
      </c>
      <c r="Q333" s="39"/>
      <c r="R333" s="41">
        <f>_xlfn.XLOOKUP(F333,'6月产品包'!B:B,'6月产品包'!AD:AD)</f>
        <v>8.0678</v>
      </c>
      <c r="S333" s="39">
        <v>19</v>
      </c>
      <c r="T333" s="39">
        <f t="shared" si="138"/>
        <v>24</v>
      </c>
      <c r="U333" s="42">
        <f t="shared" si="141"/>
        <v>19.2</v>
      </c>
      <c r="V333" s="43">
        <v>0.2</v>
      </c>
      <c r="W333" s="44">
        <f t="shared" si="139"/>
        <v>0.579802083333333</v>
      </c>
      <c r="X333" s="44">
        <f t="shared" si="137"/>
        <v>0.408067734929859</v>
      </c>
      <c r="Y333" s="51">
        <v>0.038</v>
      </c>
      <c r="Z333" s="45">
        <v>0.115</v>
      </c>
      <c r="AA333" s="46">
        <v>0.049</v>
      </c>
      <c r="AB333" s="46">
        <f t="shared" si="140"/>
        <v>0.028125</v>
      </c>
      <c r="AC333" s="46">
        <v>0.06</v>
      </c>
      <c r="AD333" s="47"/>
      <c r="AE333" s="50"/>
      <c r="AF333" s="55" t="s">
        <v>114</v>
      </c>
      <c r="AG333" s="39">
        <f t="shared" si="127"/>
        <v>0</v>
      </c>
      <c r="AH333" s="39">
        <f t="shared" si="128"/>
        <v>0</v>
      </c>
      <c r="AI333" s="39">
        <f t="shared" si="129"/>
        <v>0</v>
      </c>
      <c r="AJ333" s="39">
        <f t="shared" si="130"/>
        <v>0</v>
      </c>
      <c r="AK333" s="39">
        <f t="shared" si="131"/>
        <v>0</v>
      </c>
      <c r="AL333" s="39">
        <f t="shared" si="132"/>
        <v>0</v>
      </c>
      <c r="AM333" s="39">
        <f t="shared" si="133"/>
        <v>0</v>
      </c>
      <c r="AN333" s="39">
        <f t="shared" si="134"/>
        <v>0</v>
      </c>
    </row>
    <row r="334" s="6" customFormat="1" ht="50" hidden="1" customHeight="1" spans="1:40">
      <c r="A334" s="37" t="s">
        <v>96</v>
      </c>
      <c r="B334" s="39" t="s">
        <v>115</v>
      </c>
      <c r="C334" s="37" t="str">
        <f>_xlfn.XLOOKUP(F334,'6月产品包'!B:B,'6月产品包'!H:H)</f>
        <v>银钱盒</v>
      </c>
      <c r="D334" s="38" t="str">
        <f>_xlfn.XLOOKUP(F334,'6月产品包'!B:B,'6月产品包'!O:O)</f>
        <v>迷你收银箱</v>
      </c>
      <c r="E334" s="38" t="s">
        <v>667</v>
      </c>
      <c r="F334" s="39" t="s">
        <v>668</v>
      </c>
      <c r="G334" s="49" t="s">
        <v>100</v>
      </c>
      <c r="H334" s="37" t="s">
        <v>101</v>
      </c>
      <c r="I334" s="37" t="str">
        <f>_xlfn.XLOOKUP($F334,'6月库存'!A:A,'6月库存'!B:B)</f>
        <v>商品清仓</v>
      </c>
      <c r="J334" s="12"/>
      <c r="K334" s="39">
        <f>_xlfn.XLOOKUP(E334,'[1]6月分配 '!$B:$B,'[1]6月分配 '!$K:$K)</f>
        <v>1888</v>
      </c>
      <c r="L334" s="12" t="str">
        <f t="shared" si="135"/>
        <v>是</v>
      </c>
      <c r="M334" s="40" t="str">
        <f>_xlfn.XLOOKUP(F334,'6月产品包'!B:B,'6月产品包'!J:J)</f>
        <v>2025-03-15</v>
      </c>
      <c r="N334" s="39" t="s">
        <v>155</v>
      </c>
      <c r="O334" s="37">
        <f>_xlfn.XLOOKUP(F334,'6月库存'!A:A,'6月库存'!R:R)</f>
        <v>3</v>
      </c>
      <c r="P334" s="39">
        <f>_xlfn.XLOOKUP(F334,'6月产品包'!B:B,'6月产品包'!S:S)</f>
        <v>470</v>
      </c>
      <c r="Q334" s="39"/>
      <c r="R334" s="41">
        <f>_xlfn.XLOOKUP(F334,'6月产品包'!B:B,'6月产品包'!AD:AD)</f>
        <v>13.1834</v>
      </c>
      <c r="S334" s="39">
        <v>26</v>
      </c>
      <c r="T334" s="39">
        <f t="shared" si="138"/>
        <v>33</v>
      </c>
      <c r="U334" s="42">
        <f t="shared" si="141"/>
        <v>26.4</v>
      </c>
      <c r="V334" s="43">
        <v>0.2</v>
      </c>
      <c r="W334" s="44">
        <f t="shared" si="139"/>
        <v>0.500628787878788</v>
      </c>
      <c r="X334" s="44">
        <f t="shared" si="137"/>
        <v>0.343403856881026</v>
      </c>
      <c r="Y334" s="44">
        <v>0.04</v>
      </c>
      <c r="Z334" s="46">
        <v>0.1</v>
      </c>
      <c r="AA334" s="46">
        <v>0.049</v>
      </c>
      <c r="AB334" s="46">
        <f t="shared" si="140"/>
        <v>0.0204545454545455</v>
      </c>
      <c r="AC334" s="46">
        <v>0.03</v>
      </c>
      <c r="AD334" s="47"/>
      <c r="AE334" s="6"/>
      <c r="AF334" s="55" t="s">
        <v>114</v>
      </c>
      <c r="AG334" s="39">
        <f t="shared" si="127"/>
        <v>0</v>
      </c>
      <c r="AH334" s="39">
        <f t="shared" si="128"/>
        <v>0</v>
      </c>
      <c r="AI334" s="39">
        <f t="shared" si="129"/>
        <v>0</v>
      </c>
      <c r="AJ334" s="39">
        <f t="shared" si="130"/>
        <v>0</v>
      </c>
      <c r="AK334" s="39">
        <f t="shared" si="131"/>
        <v>0</v>
      </c>
      <c r="AL334" s="39">
        <f t="shared" si="132"/>
        <v>0</v>
      </c>
      <c r="AM334" s="39">
        <f t="shared" si="133"/>
        <v>0</v>
      </c>
      <c r="AN334" s="39">
        <f t="shared" si="134"/>
        <v>0</v>
      </c>
    </row>
    <row r="335" s="6" customFormat="1" ht="50" hidden="1" customHeight="1" spans="1:40">
      <c r="A335" s="37" t="s">
        <v>96</v>
      </c>
      <c r="B335" s="37" t="s">
        <v>186</v>
      </c>
      <c r="C335" s="37" t="str">
        <f>_xlfn.XLOOKUP(F335,'6月产品包'!B:B,'6月产品包'!H:H)</f>
        <v>教具白板</v>
      </c>
      <c r="D335" s="38" t="str">
        <f>_xlfn.XLOOKUP(F335,'6月产品包'!B:B,'6月产品包'!O:O)</f>
        <v>磁吸白板</v>
      </c>
      <c r="E335" s="38" t="s">
        <v>669</v>
      </c>
      <c r="F335" s="39" t="s">
        <v>670</v>
      </c>
      <c r="G335" s="39" t="s">
        <v>126</v>
      </c>
      <c r="H335" s="37" t="s">
        <v>101</v>
      </c>
      <c r="I335" s="37" t="str">
        <f>_xlfn.XLOOKUP($F335,'6月库存'!A:A,'6月库存'!B:B)</f>
        <v>正常销售</v>
      </c>
      <c r="J335" s="12"/>
      <c r="K335" s="39" t="e">
        <f>_xlfn.XLOOKUP(E335,'[1]6月分配 '!$B:$B,'[1]6月分配 '!$K:$K)</f>
        <v>#N/A</v>
      </c>
      <c r="L335" s="12" t="str">
        <f t="shared" ref="L335:L398" si="142">IF(ISNUMBER(K335),"是",IF(ISNA(K335),"否",""))</f>
        <v>否</v>
      </c>
      <c r="M335" s="40" t="str">
        <f>_xlfn.XLOOKUP(F335,'6月产品包'!B:B,'6月产品包'!J:J)</f>
        <v>2025-07-03</v>
      </c>
      <c r="N335" s="39" t="s">
        <v>155</v>
      </c>
      <c r="O335" s="37">
        <f>_xlfn.XLOOKUP(F335,'6月库存'!A:A,'6月库存'!R:R)</f>
        <v>3</v>
      </c>
      <c r="P335" s="39">
        <f>_xlfn.XLOOKUP(F335,'6月产品包'!B:B,'6月产品包'!S:S)</f>
        <v>350</v>
      </c>
      <c r="Q335" s="39"/>
      <c r="R335" s="41">
        <f>_xlfn.XLOOKUP(F335,'6月产品包'!B:B,'6月产品包'!AD:AD)</f>
        <v>4.9996</v>
      </c>
      <c r="S335" s="39">
        <v>10</v>
      </c>
      <c r="T335" s="39">
        <f t="shared" ref="T335:T398" si="143">ROUND(S335*(1+0.25),0)</f>
        <v>13</v>
      </c>
      <c r="U335" s="42">
        <f t="shared" si="141"/>
        <v>10.4</v>
      </c>
      <c r="V335" s="43">
        <v>0.2</v>
      </c>
      <c r="W335" s="44">
        <f t="shared" ref="W335:W398" si="144">(U335-R335)/U335</f>
        <v>0.519269230769231</v>
      </c>
      <c r="X335" s="44">
        <f t="shared" ref="X335:X398" si="145">(U335*(1-Y335-Z335-AA335-AC335-AB335)-R335)/(U335*(1-Y335-Z335-AA335-AC335-AB335))</f>
        <v>0.292082011780698</v>
      </c>
      <c r="Y335" s="44">
        <v>0.04</v>
      </c>
      <c r="Z335" s="46">
        <v>0.1</v>
      </c>
      <c r="AA335" s="46">
        <v>0.049</v>
      </c>
      <c r="AB335" s="46">
        <f t="shared" ref="AB335:AB398" si="146">$AB$1/U335</f>
        <v>0.0519230769230769</v>
      </c>
      <c r="AC335" s="46">
        <v>0.08</v>
      </c>
      <c r="AD335" s="58">
        <v>0.05</v>
      </c>
      <c r="AE335" s="58">
        <v>0.05</v>
      </c>
      <c r="AF335" s="48" t="s">
        <v>102</v>
      </c>
      <c r="AG335" s="39">
        <f t="shared" si="127"/>
        <v>0</v>
      </c>
      <c r="AH335" s="39">
        <f t="shared" si="128"/>
        <v>0</v>
      </c>
      <c r="AI335" s="39">
        <f t="shared" si="129"/>
        <v>0</v>
      </c>
      <c r="AJ335" s="39">
        <f t="shared" si="130"/>
        <v>0</v>
      </c>
      <c r="AK335" s="39">
        <f t="shared" si="131"/>
        <v>0</v>
      </c>
      <c r="AL335" s="39">
        <f t="shared" si="132"/>
        <v>0</v>
      </c>
      <c r="AM335" s="39">
        <f t="shared" si="133"/>
        <v>0</v>
      </c>
      <c r="AN335" s="39">
        <f t="shared" si="134"/>
        <v>0</v>
      </c>
    </row>
    <row r="336" s="6" customFormat="1" ht="50" hidden="1" customHeight="1" spans="1:40">
      <c r="A336" s="37" t="s">
        <v>96</v>
      </c>
      <c r="B336" s="37" t="s">
        <v>186</v>
      </c>
      <c r="C336" s="37" t="str">
        <f>_xlfn.XLOOKUP(F336,'6月产品包'!B:B,'6月产品包'!H:H)</f>
        <v>教具白板</v>
      </c>
      <c r="D336" s="38" t="str">
        <f>_xlfn.XLOOKUP(F336,'6月产品包'!B:B,'6月产品包'!O:O)</f>
        <v>磁吸白板</v>
      </c>
      <c r="E336" s="38" t="s">
        <v>671</v>
      </c>
      <c r="F336" s="39" t="s">
        <v>670</v>
      </c>
      <c r="G336" s="39" t="s">
        <v>106</v>
      </c>
      <c r="H336" s="37" t="s">
        <v>101</v>
      </c>
      <c r="I336" s="37" t="str">
        <f>_xlfn.XLOOKUP($F336,'6月库存'!A:A,'6月库存'!B:B)</f>
        <v>正常销售</v>
      </c>
      <c r="J336" s="12"/>
      <c r="K336" s="39" t="e">
        <f>_xlfn.XLOOKUP(E336,'[1]6月分配 '!$B:$B,'[1]6月分配 '!$K:$K)</f>
        <v>#N/A</v>
      </c>
      <c r="L336" s="12" t="str">
        <f t="shared" si="142"/>
        <v>否</v>
      </c>
      <c r="M336" s="40" t="str">
        <f>_xlfn.XLOOKUP(F336,'6月产品包'!B:B,'6月产品包'!J:J)</f>
        <v>2025-07-03</v>
      </c>
      <c r="N336" s="39" t="s">
        <v>155</v>
      </c>
      <c r="O336" s="37">
        <f>_xlfn.XLOOKUP(F336,'6月库存'!A:A,'6月库存'!R:R)</f>
        <v>3</v>
      </c>
      <c r="P336" s="39">
        <f>_xlfn.XLOOKUP(F336,'6月产品包'!B:B,'6月产品包'!S:S)</f>
        <v>350</v>
      </c>
      <c r="Q336" s="39"/>
      <c r="R336" s="41">
        <f>_xlfn.XLOOKUP(F336,'6月产品包'!B:B,'6月产品包'!AD:AD)</f>
        <v>4.9996</v>
      </c>
      <c r="S336" s="39">
        <v>11</v>
      </c>
      <c r="T336" s="39">
        <f t="shared" si="143"/>
        <v>14</v>
      </c>
      <c r="U336" s="42">
        <f t="shared" si="141"/>
        <v>11.2</v>
      </c>
      <c r="V336" s="43">
        <v>0.2</v>
      </c>
      <c r="W336" s="44">
        <f t="shared" si="144"/>
        <v>0.553607142857143</v>
      </c>
      <c r="X336" s="44">
        <f t="shared" si="145"/>
        <v>0.346218223663563</v>
      </c>
      <c r="Y336" s="44">
        <v>0.04</v>
      </c>
      <c r="Z336" s="46">
        <v>0.1</v>
      </c>
      <c r="AA336" s="46">
        <v>0.049</v>
      </c>
      <c r="AB336" s="46">
        <f t="shared" si="146"/>
        <v>0.0482142857142857</v>
      </c>
      <c r="AC336" s="46">
        <v>0.08</v>
      </c>
      <c r="AD336" s="58">
        <v>0.05</v>
      </c>
      <c r="AE336" s="58">
        <v>0.05</v>
      </c>
      <c r="AF336" s="48" t="s">
        <v>102</v>
      </c>
      <c r="AG336" s="39">
        <f t="shared" si="127"/>
        <v>0</v>
      </c>
      <c r="AH336" s="39">
        <f t="shared" si="128"/>
        <v>0</v>
      </c>
      <c r="AI336" s="39">
        <f t="shared" si="129"/>
        <v>0</v>
      </c>
      <c r="AJ336" s="39">
        <f t="shared" si="130"/>
        <v>0</v>
      </c>
      <c r="AK336" s="39">
        <f t="shared" si="131"/>
        <v>0</v>
      </c>
      <c r="AL336" s="39">
        <f t="shared" si="132"/>
        <v>0</v>
      </c>
      <c r="AM336" s="39">
        <f t="shared" si="133"/>
        <v>0</v>
      </c>
      <c r="AN336" s="39">
        <f t="shared" si="134"/>
        <v>0</v>
      </c>
    </row>
    <row r="337" s="6" customFormat="1" ht="50" hidden="1" customHeight="1" spans="1:40">
      <c r="A337" s="37" t="s">
        <v>96</v>
      </c>
      <c r="B337" s="37" t="s">
        <v>115</v>
      </c>
      <c r="C337" s="37" t="str">
        <f>_xlfn.XLOOKUP(F337,'6月产品包'!B:B,'6月产品包'!H:H)</f>
        <v>银钱盒</v>
      </c>
      <c r="D337" s="38" t="str">
        <f>_xlfn.XLOOKUP(F337,'6月产品包'!B:B,'6月产品包'!O:O)</f>
        <v>迷你收银箱</v>
      </c>
      <c r="E337" s="38" t="s">
        <v>667</v>
      </c>
      <c r="F337" s="39" t="s">
        <v>672</v>
      </c>
      <c r="G337" s="49" t="s">
        <v>100</v>
      </c>
      <c r="H337" s="39" t="s">
        <v>101</v>
      </c>
      <c r="I337" s="37" t="str">
        <f>_xlfn.XLOOKUP($F337,'6月库存'!A:A,'6月库存'!B:B)</f>
        <v>正常销售</v>
      </c>
      <c r="J337" s="12"/>
      <c r="K337" s="39">
        <f>_xlfn.XLOOKUP(E337,'[1]6月分配 '!$B:$B,'[1]6月分配 '!$K:$K)</f>
        <v>1888</v>
      </c>
      <c r="L337" s="12" t="str">
        <f t="shared" si="142"/>
        <v>是</v>
      </c>
      <c r="M337" s="40" t="str">
        <f>_xlfn.XLOOKUP(F337,'6月产品包'!B:B,'6月产品包'!J:J)</f>
        <v>2025-11-18</v>
      </c>
      <c r="N337" s="39" t="s">
        <v>149</v>
      </c>
      <c r="O337" s="37">
        <f>_xlfn.XLOOKUP(F337,'6月库存'!A:A,'6月库存'!R:R)</f>
        <v>458</v>
      </c>
      <c r="P337" s="39">
        <f>_xlfn.XLOOKUP(F337,'6月产品包'!B:B,'6月产品包'!S:S)</f>
        <v>470</v>
      </c>
      <c r="Q337" s="39"/>
      <c r="R337" s="41">
        <f>_xlfn.XLOOKUP(F337,'6月产品包'!B:B,'6月产品包'!AD:AD)</f>
        <v>13.5198</v>
      </c>
      <c r="S337" s="39">
        <v>26</v>
      </c>
      <c r="T337" s="39">
        <f t="shared" si="143"/>
        <v>33</v>
      </c>
      <c r="U337" s="42">
        <f t="shared" si="141"/>
        <v>26.4</v>
      </c>
      <c r="V337" s="43">
        <v>0.2</v>
      </c>
      <c r="W337" s="44">
        <f t="shared" si="144"/>
        <v>0.487886363636364</v>
      </c>
      <c r="X337" s="44">
        <f t="shared" si="145"/>
        <v>0.326649533827397</v>
      </c>
      <c r="Y337" s="44">
        <v>0.04</v>
      </c>
      <c r="Z337" s="46">
        <v>0.1</v>
      </c>
      <c r="AA337" s="46">
        <v>0.049</v>
      </c>
      <c r="AB337" s="46">
        <f t="shared" si="146"/>
        <v>0.0204545454545455</v>
      </c>
      <c r="AC337" s="46">
        <v>0.03</v>
      </c>
      <c r="AD337" s="47"/>
      <c r="AE337" s="6"/>
      <c r="AF337" s="55" t="s">
        <v>114</v>
      </c>
      <c r="AG337" s="39">
        <f t="shared" si="127"/>
        <v>0</v>
      </c>
      <c r="AH337" s="39">
        <f t="shared" si="128"/>
        <v>0</v>
      </c>
      <c r="AI337" s="39">
        <f t="shared" si="129"/>
        <v>0</v>
      </c>
      <c r="AJ337" s="39">
        <f t="shared" si="130"/>
        <v>0</v>
      </c>
      <c r="AK337" s="39">
        <f t="shared" si="131"/>
        <v>0</v>
      </c>
      <c r="AL337" s="39">
        <f t="shared" si="132"/>
        <v>0</v>
      </c>
      <c r="AM337" s="39">
        <f t="shared" si="133"/>
        <v>0</v>
      </c>
      <c r="AN337" s="39">
        <f t="shared" si="134"/>
        <v>0</v>
      </c>
    </row>
    <row r="338" s="6" customFormat="1" ht="50" hidden="1" customHeight="1" spans="1:40">
      <c r="A338" s="37" t="s">
        <v>96</v>
      </c>
      <c r="B338" s="37" t="s">
        <v>186</v>
      </c>
      <c r="C338" s="37" t="str">
        <f>_xlfn.XLOOKUP(F338,'6月产品包'!B:B,'6月产品包'!H:H)</f>
        <v>教具白板</v>
      </c>
      <c r="D338" s="38" t="str">
        <f>_xlfn.XLOOKUP(F338,'6月产品包'!B:B,'6月产品包'!O:O)</f>
        <v>磁吸白板</v>
      </c>
      <c r="E338" s="38" t="s">
        <v>673</v>
      </c>
      <c r="F338" s="39" t="s">
        <v>674</v>
      </c>
      <c r="G338" s="39" t="s">
        <v>106</v>
      </c>
      <c r="H338" s="37" t="s">
        <v>101</v>
      </c>
      <c r="I338" s="37" t="str">
        <f>_xlfn.XLOOKUP($F338,'6月库存'!A:A,'6月库存'!B:B)</f>
        <v>正常销售</v>
      </c>
      <c r="J338" s="12"/>
      <c r="K338" s="39" t="e">
        <f>_xlfn.XLOOKUP(E338,'[1]6月分配 '!$B:$B,'[1]6月分配 '!$K:$K)</f>
        <v>#N/A</v>
      </c>
      <c r="L338" s="12" t="str">
        <f t="shared" si="142"/>
        <v>否</v>
      </c>
      <c r="M338" s="40" t="str">
        <f>_xlfn.XLOOKUP(F338,'6月产品包'!B:B,'6月产品包'!J:J)</f>
        <v>2025-07-03</v>
      </c>
      <c r="N338" s="39" t="s">
        <v>155</v>
      </c>
      <c r="O338" s="37">
        <f>_xlfn.XLOOKUP(F338,'6月库存'!A:A,'6月库存'!R:R)</f>
        <v>358</v>
      </c>
      <c r="P338" s="39">
        <f>_xlfn.XLOOKUP(F338,'6月产品包'!B:B,'6月产品包'!S:S)</f>
        <v>487</v>
      </c>
      <c r="Q338" s="39"/>
      <c r="R338" s="41">
        <f>_xlfn.XLOOKUP(F338,'6月产品包'!B:B,'6月产品包'!AD:AD)</f>
        <v>6.8266</v>
      </c>
      <c r="S338" s="39">
        <v>16</v>
      </c>
      <c r="T338" s="39">
        <f t="shared" si="143"/>
        <v>20</v>
      </c>
      <c r="U338" s="42">
        <f t="shared" si="141"/>
        <v>16</v>
      </c>
      <c r="V338" s="43">
        <v>0.2</v>
      </c>
      <c r="W338" s="44">
        <f t="shared" si="144"/>
        <v>0.5733375</v>
      </c>
      <c r="X338" s="44">
        <f t="shared" si="145"/>
        <v>0.388078164216565</v>
      </c>
      <c r="Y338" s="44">
        <v>0.04</v>
      </c>
      <c r="Z338" s="46">
        <v>0.1</v>
      </c>
      <c r="AA338" s="46">
        <v>0.049</v>
      </c>
      <c r="AB338" s="46">
        <f t="shared" si="146"/>
        <v>0.03375</v>
      </c>
      <c r="AC338" s="46">
        <v>0.08</v>
      </c>
      <c r="AD338" s="58">
        <v>0.05</v>
      </c>
      <c r="AE338" s="58">
        <v>0.05</v>
      </c>
      <c r="AF338" s="48" t="s">
        <v>102</v>
      </c>
      <c r="AG338" s="39">
        <f t="shared" si="127"/>
        <v>0</v>
      </c>
      <c r="AH338" s="39">
        <f t="shared" si="128"/>
        <v>0</v>
      </c>
      <c r="AI338" s="39">
        <f t="shared" si="129"/>
        <v>0</v>
      </c>
      <c r="AJ338" s="39">
        <f t="shared" si="130"/>
        <v>0</v>
      </c>
      <c r="AK338" s="39">
        <f t="shared" si="131"/>
        <v>0</v>
      </c>
      <c r="AL338" s="39">
        <f t="shared" si="132"/>
        <v>0</v>
      </c>
      <c r="AM338" s="39">
        <f t="shared" si="133"/>
        <v>0</v>
      </c>
      <c r="AN338" s="39">
        <f t="shared" si="134"/>
        <v>0</v>
      </c>
    </row>
    <row r="339" s="6" customFormat="1" ht="50" hidden="1" customHeight="1" spans="1:40">
      <c r="A339" s="37" t="s">
        <v>96</v>
      </c>
      <c r="B339" s="37" t="s">
        <v>186</v>
      </c>
      <c r="C339" s="37" t="str">
        <f>_xlfn.XLOOKUP(F339,'6月产品包'!B:B,'6月产品包'!H:H)</f>
        <v>教具白板</v>
      </c>
      <c r="D339" s="38" t="str">
        <f>_xlfn.XLOOKUP(F339,'6月产品包'!B:B,'6月产品包'!O:O)</f>
        <v>磁吸白板</v>
      </c>
      <c r="E339" s="38" t="s">
        <v>675</v>
      </c>
      <c r="F339" s="39" t="s">
        <v>676</v>
      </c>
      <c r="G339" s="39" t="s">
        <v>126</v>
      </c>
      <c r="H339" s="37" t="s">
        <v>101</v>
      </c>
      <c r="I339" s="37" t="str">
        <f>_xlfn.XLOOKUP($F339,'6月库存'!A:A,'6月库存'!B:B)</f>
        <v>正常销售</v>
      </c>
      <c r="J339" s="12"/>
      <c r="K339" s="39" t="e">
        <f>_xlfn.XLOOKUP(E339,'[1]6月分配 '!$B:$B,'[1]6月分配 '!$K:$K)</f>
        <v>#N/A</v>
      </c>
      <c r="L339" s="12" t="str">
        <f t="shared" si="142"/>
        <v>否</v>
      </c>
      <c r="M339" s="40" t="str">
        <f>_xlfn.XLOOKUP(F339,'6月产品包'!B:B,'6月产品包'!J:J)</f>
        <v>2025-07-03</v>
      </c>
      <c r="N339" s="39" t="s">
        <v>155</v>
      </c>
      <c r="O339" s="37">
        <f>_xlfn.XLOOKUP(F339,'6月库存'!A:A,'6月库存'!R:R)</f>
        <v>1</v>
      </c>
      <c r="P339" s="39">
        <f>_xlfn.XLOOKUP(F339,'6月产品包'!B:B,'6月产品包'!S:S)</f>
        <v>1550</v>
      </c>
      <c r="Q339" s="39"/>
      <c r="R339" s="41">
        <f>_xlfn.XLOOKUP(F339,'6月产品包'!B:B,'6月产品包'!AD:AD)</f>
        <v>11.0258</v>
      </c>
      <c r="S339" s="39">
        <v>23</v>
      </c>
      <c r="T339" s="39">
        <f t="shared" si="143"/>
        <v>29</v>
      </c>
      <c r="U339" s="42">
        <f t="shared" si="141"/>
        <v>23.2</v>
      </c>
      <c r="V339" s="43">
        <v>0.2</v>
      </c>
      <c r="W339" s="44">
        <f t="shared" si="144"/>
        <v>0.52475</v>
      </c>
      <c r="X339" s="44">
        <f t="shared" si="145"/>
        <v>0.328481290196843</v>
      </c>
      <c r="Y339" s="44">
        <v>0.04</v>
      </c>
      <c r="Z339" s="46">
        <v>0.1</v>
      </c>
      <c r="AA339" s="46">
        <v>0.049</v>
      </c>
      <c r="AB339" s="46">
        <f t="shared" si="146"/>
        <v>0.0232758620689655</v>
      </c>
      <c r="AC339" s="46">
        <v>0.08</v>
      </c>
      <c r="AD339" s="58">
        <v>0.05</v>
      </c>
      <c r="AE339" s="58">
        <v>0.05</v>
      </c>
      <c r="AF339" s="48" t="s">
        <v>102</v>
      </c>
      <c r="AG339" s="39">
        <f t="shared" si="127"/>
        <v>0</v>
      </c>
      <c r="AH339" s="39">
        <f t="shared" si="128"/>
        <v>0</v>
      </c>
      <c r="AI339" s="39">
        <f t="shared" si="129"/>
        <v>0</v>
      </c>
      <c r="AJ339" s="39">
        <f t="shared" si="130"/>
        <v>0</v>
      </c>
      <c r="AK339" s="39">
        <f t="shared" si="131"/>
        <v>0</v>
      </c>
      <c r="AL339" s="39">
        <f t="shared" si="132"/>
        <v>0</v>
      </c>
      <c r="AM339" s="39">
        <f t="shared" si="133"/>
        <v>0</v>
      </c>
      <c r="AN339" s="39">
        <f t="shared" si="134"/>
        <v>0</v>
      </c>
    </row>
    <row r="340" s="6" customFormat="1" ht="50" hidden="1" customHeight="1" spans="1:40">
      <c r="A340" s="37" t="s">
        <v>96</v>
      </c>
      <c r="B340" s="37" t="s">
        <v>186</v>
      </c>
      <c r="C340" s="37" t="str">
        <f>_xlfn.XLOOKUP(F340,'6月产品包'!B:B,'6月产品包'!H:H)</f>
        <v>教具白板</v>
      </c>
      <c r="D340" s="38" t="str">
        <f>_xlfn.XLOOKUP(F340,'6月产品包'!B:B,'6月产品包'!O:O)</f>
        <v>磁吸白板</v>
      </c>
      <c r="E340" s="38" t="s">
        <v>677</v>
      </c>
      <c r="F340" s="39" t="s">
        <v>676</v>
      </c>
      <c r="G340" s="39" t="s">
        <v>126</v>
      </c>
      <c r="H340" s="37" t="s">
        <v>101</v>
      </c>
      <c r="I340" s="37" t="str">
        <f>_xlfn.XLOOKUP($F340,'6月库存'!A:A,'6月库存'!B:B)</f>
        <v>正常销售</v>
      </c>
      <c r="J340" s="12"/>
      <c r="K340" s="39" t="e">
        <f>_xlfn.XLOOKUP(E340,'[1]6月分配 '!$B:$B,'[1]6月分配 '!$K:$K)</f>
        <v>#N/A</v>
      </c>
      <c r="L340" s="12" t="str">
        <f t="shared" si="142"/>
        <v>否</v>
      </c>
      <c r="M340" s="40" t="str">
        <f>_xlfn.XLOOKUP(F340,'6月产品包'!B:B,'6月产品包'!J:J)</f>
        <v>2025-07-03</v>
      </c>
      <c r="N340" s="39" t="s">
        <v>155</v>
      </c>
      <c r="O340" s="37">
        <f>_xlfn.XLOOKUP(F340,'6月库存'!A:A,'6月库存'!R:R)</f>
        <v>1</v>
      </c>
      <c r="P340" s="39">
        <f>_xlfn.XLOOKUP(F340,'6月产品包'!B:B,'6月产品包'!S:S)</f>
        <v>1550</v>
      </c>
      <c r="Q340" s="39"/>
      <c r="R340" s="41">
        <f>_xlfn.XLOOKUP(F340,'6月产品包'!B:B,'6月产品包'!AD:AD)</f>
        <v>11.0258</v>
      </c>
      <c r="S340" s="39">
        <v>24</v>
      </c>
      <c r="T340" s="39">
        <f t="shared" si="143"/>
        <v>30</v>
      </c>
      <c r="U340" s="42">
        <f t="shared" si="141"/>
        <v>24</v>
      </c>
      <c r="V340" s="43">
        <v>0.2</v>
      </c>
      <c r="W340" s="44">
        <f t="shared" si="144"/>
        <v>0.540591666666667</v>
      </c>
      <c r="X340" s="44">
        <f t="shared" si="145"/>
        <v>0.351576099741237</v>
      </c>
      <c r="Y340" s="44">
        <v>0.04</v>
      </c>
      <c r="Z340" s="46">
        <v>0.1</v>
      </c>
      <c r="AA340" s="46">
        <v>0.049</v>
      </c>
      <c r="AB340" s="46">
        <f t="shared" si="146"/>
        <v>0.0225</v>
      </c>
      <c r="AC340" s="46">
        <v>0.08</v>
      </c>
      <c r="AD340" s="58">
        <v>0.05</v>
      </c>
      <c r="AE340" s="58">
        <v>0.05</v>
      </c>
      <c r="AF340" s="48" t="s">
        <v>102</v>
      </c>
      <c r="AG340" s="39">
        <f t="shared" si="127"/>
        <v>0</v>
      </c>
      <c r="AH340" s="39">
        <f t="shared" si="128"/>
        <v>0</v>
      </c>
      <c r="AI340" s="39">
        <f t="shared" si="129"/>
        <v>0</v>
      </c>
      <c r="AJ340" s="39">
        <f t="shared" si="130"/>
        <v>0</v>
      </c>
      <c r="AK340" s="39">
        <f t="shared" si="131"/>
        <v>0</v>
      </c>
      <c r="AL340" s="39">
        <f t="shared" si="132"/>
        <v>0</v>
      </c>
      <c r="AM340" s="39">
        <f t="shared" si="133"/>
        <v>0</v>
      </c>
      <c r="AN340" s="39">
        <f t="shared" si="134"/>
        <v>0</v>
      </c>
    </row>
    <row r="341" s="6" customFormat="1" ht="50" hidden="1" customHeight="1" spans="1:40">
      <c r="A341" s="37" t="s">
        <v>96</v>
      </c>
      <c r="B341" s="37" t="s">
        <v>115</v>
      </c>
      <c r="C341" s="37" t="str">
        <f>_xlfn.XLOOKUP(F341,'6月产品包'!B:B,'6月产品包'!H:H)</f>
        <v>打印机</v>
      </c>
      <c r="D341" s="38" t="str">
        <f>_xlfn.XLOOKUP(F341,'6月产品包'!B:B,'6月产品包'!O:O)</f>
        <v>4寸标签打印机</v>
      </c>
      <c r="E341" s="38" t="s">
        <v>678</v>
      </c>
      <c r="F341" s="39" t="s">
        <v>679</v>
      </c>
      <c r="G341" s="39" t="e">
        <v>#N/A</v>
      </c>
      <c r="H341" s="39" t="s">
        <v>101</v>
      </c>
      <c r="I341" s="37" t="str">
        <f>_xlfn.XLOOKUP($F341,'6月库存'!A:A,'6月库存'!B:B)</f>
        <v>正常销售</v>
      </c>
      <c r="J341" s="12"/>
      <c r="K341" s="39">
        <f>_xlfn.XLOOKUP(E341,'[1]6月分配 '!$B:$B,'[1]6月分配 '!$K:$K)</f>
        <v>1834</v>
      </c>
      <c r="L341" s="12" t="str">
        <f t="shared" si="142"/>
        <v>是</v>
      </c>
      <c r="M341" s="40" t="str">
        <f>_xlfn.XLOOKUP(F341,'6月产品包'!B:B,'6月产品包'!J:J)</f>
        <v>2025-11-13</v>
      </c>
      <c r="N341" s="39" t="str">
        <f ca="1">IF(DATEDIF(M341,TODAY(),"m")&lt;6,"新品","老品")</f>
        <v>老品</v>
      </c>
      <c r="O341" s="37">
        <f>_xlfn.XLOOKUP(F341,'6月库存'!A:A,'6月库存'!R:R)</f>
        <v>12</v>
      </c>
      <c r="P341" s="39">
        <f>_xlfn.XLOOKUP(F341,'6月产品包'!B:B,'6月产品包'!S:S)</f>
        <v>837</v>
      </c>
      <c r="Q341" s="39"/>
      <c r="R341" s="41">
        <f>_xlfn.XLOOKUP(F341,'6月产品包'!B:B,'6月产品包'!AD:AD)</f>
        <v>88.624</v>
      </c>
      <c r="S341" s="39">
        <v>175</v>
      </c>
      <c r="T341" s="39">
        <f t="shared" si="143"/>
        <v>219</v>
      </c>
      <c r="U341" s="42">
        <f t="shared" si="141"/>
        <v>175.2</v>
      </c>
      <c r="V341" s="43">
        <v>0.2</v>
      </c>
      <c r="W341" s="44">
        <f t="shared" si="144"/>
        <v>0.494155251141553</v>
      </c>
      <c r="X341" s="44">
        <f t="shared" si="145"/>
        <v>0.323662649425498</v>
      </c>
      <c r="Y341" s="44">
        <v>0.04</v>
      </c>
      <c r="Z341" s="46">
        <v>0.1</v>
      </c>
      <c r="AA341" s="46">
        <v>0.049</v>
      </c>
      <c r="AB341" s="46">
        <f t="shared" si="146"/>
        <v>0.00308219178082192</v>
      </c>
      <c r="AC341" s="46">
        <v>0.06</v>
      </c>
      <c r="AD341" s="47"/>
      <c r="AE341" s="6"/>
      <c r="AF341" s="55" t="s">
        <v>114</v>
      </c>
      <c r="AG341" s="39">
        <f t="shared" si="127"/>
        <v>6</v>
      </c>
      <c r="AH341" s="39">
        <f t="shared" si="128"/>
        <v>6</v>
      </c>
      <c r="AI341" s="39">
        <f t="shared" si="129"/>
        <v>0</v>
      </c>
      <c r="AJ341" s="39">
        <f t="shared" si="130"/>
        <v>0</v>
      </c>
      <c r="AK341" s="39">
        <f t="shared" si="131"/>
        <v>0</v>
      </c>
      <c r="AL341" s="39">
        <f t="shared" si="132"/>
        <v>0</v>
      </c>
      <c r="AM341" s="39">
        <f t="shared" si="133"/>
        <v>0</v>
      </c>
      <c r="AN341" s="39">
        <f t="shared" si="134"/>
        <v>0</v>
      </c>
    </row>
    <row r="342" s="6" customFormat="1" ht="50" hidden="1" customHeight="1" spans="1:40">
      <c r="A342" s="37" t="s">
        <v>96</v>
      </c>
      <c r="B342" s="37" t="s">
        <v>186</v>
      </c>
      <c r="C342" s="37" t="str">
        <f>_xlfn.XLOOKUP(F342,'6月产品包'!B:B,'6月产品包'!H:H)</f>
        <v>白板</v>
      </c>
      <c r="D342" s="38" t="str">
        <f>_xlfn.XLOOKUP(F342,'6月产品包'!B:B,'6月产品包'!O:O)</f>
        <v>磁吸白板密度板夹层</v>
      </c>
      <c r="E342" s="38" t="s">
        <v>680</v>
      </c>
      <c r="F342" s="39" t="s">
        <v>230</v>
      </c>
      <c r="G342" s="39" t="s">
        <v>100</v>
      </c>
      <c r="H342" s="39" t="s">
        <v>101</v>
      </c>
      <c r="I342" s="37" t="str">
        <f>_xlfn.XLOOKUP($F342,'6月库存'!A:A,'6月库存'!B:B)</f>
        <v>正常销售</v>
      </c>
      <c r="J342" s="12"/>
      <c r="K342" s="39" t="e">
        <f>_xlfn.XLOOKUP(E342,'[1]6月分配 '!$B:$B,'[1]6月分配 '!$K:$K)</f>
        <v>#N/A</v>
      </c>
      <c r="L342" s="12" t="str">
        <f t="shared" si="142"/>
        <v>否</v>
      </c>
      <c r="M342" s="40" t="str">
        <f>_xlfn.XLOOKUP(F342,'6月产品包'!B:B,'6月产品包'!J:J)</f>
        <v>2025-10-27</v>
      </c>
      <c r="N342" s="39" t="s">
        <v>149</v>
      </c>
      <c r="O342" s="37">
        <f>_xlfn.XLOOKUP(F342,'6月库存'!A:A,'6月库存'!R:R)</f>
        <v>1788</v>
      </c>
      <c r="P342" s="39">
        <f>_xlfn.XLOOKUP(F342,'6月产品包'!B:B,'6月产品包'!S:S)</f>
        <v>3461</v>
      </c>
      <c r="Q342" s="39"/>
      <c r="R342" s="41">
        <f>_xlfn.XLOOKUP(F342,'6月产品包'!B:B,'6月产品包'!AD:AD)</f>
        <v>19.546</v>
      </c>
      <c r="S342" s="39">
        <v>44</v>
      </c>
      <c r="T342" s="39">
        <f t="shared" si="143"/>
        <v>55</v>
      </c>
      <c r="U342" s="42">
        <f t="shared" si="141"/>
        <v>44</v>
      </c>
      <c r="V342" s="43">
        <v>0.2</v>
      </c>
      <c r="W342" s="44">
        <f t="shared" si="144"/>
        <v>0.555772727272727</v>
      </c>
      <c r="X342" s="44">
        <f t="shared" si="145"/>
        <v>0.381925120161902</v>
      </c>
      <c r="Y342" s="44">
        <v>0.04</v>
      </c>
      <c r="Z342" s="46">
        <v>0.1</v>
      </c>
      <c r="AA342" s="46">
        <v>0.049</v>
      </c>
      <c r="AB342" s="46">
        <f t="shared" si="146"/>
        <v>0.0122727272727273</v>
      </c>
      <c r="AC342" s="46">
        <v>0.08</v>
      </c>
      <c r="AD342" s="58">
        <v>0.05</v>
      </c>
      <c r="AE342" s="58">
        <v>0.05</v>
      </c>
      <c r="AF342" s="48" t="s">
        <v>102</v>
      </c>
      <c r="AG342" s="39">
        <f t="shared" si="127"/>
        <v>0</v>
      </c>
      <c r="AH342" s="39">
        <f t="shared" si="128"/>
        <v>0</v>
      </c>
      <c r="AI342" s="39">
        <f t="shared" si="129"/>
        <v>0</v>
      </c>
      <c r="AJ342" s="39">
        <f t="shared" si="130"/>
        <v>0</v>
      </c>
      <c r="AK342" s="39">
        <f t="shared" si="131"/>
        <v>0</v>
      </c>
      <c r="AL342" s="39">
        <f t="shared" si="132"/>
        <v>0</v>
      </c>
      <c r="AM342" s="39">
        <f t="shared" si="133"/>
        <v>0</v>
      </c>
      <c r="AN342" s="39">
        <f t="shared" si="134"/>
        <v>0</v>
      </c>
    </row>
    <row r="343" s="6" customFormat="1" ht="50" hidden="1" customHeight="1" spans="1:40">
      <c r="A343" s="37" t="s">
        <v>96</v>
      </c>
      <c r="B343" s="37" t="s">
        <v>97</v>
      </c>
      <c r="C343" s="37" t="str">
        <f>_xlfn.XLOOKUP(F343,'6月产品包'!B:B,'6月产品包'!H:H)</f>
        <v>警示柱</v>
      </c>
      <c r="D343" s="38" t="str">
        <f>_xlfn.XLOOKUP(F343,'6月产品包'!B:B,'6月产品包'!O:O)</f>
        <v>警示柱</v>
      </c>
      <c r="E343" s="38" t="s">
        <v>681</v>
      </c>
      <c r="F343" s="37" t="s">
        <v>682</v>
      </c>
      <c r="G343" s="39" t="e">
        <v>#N/A</v>
      </c>
      <c r="H343" s="37" t="s">
        <v>101</v>
      </c>
      <c r="I343" s="37" t="str">
        <f>_xlfn.XLOOKUP($F343,'6月库存'!A:A,'6月库存'!B:B)</f>
        <v>正常销售</v>
      </c>
      <c r="J343" s="12"/>
      <c r="K343" s="39">
        <f>_xlfn.XLOOKUP(E343,'[1]6月分配 '!$B:$B,'[1]6月分配 '!$K:$K)</f>
        <v>1819</v>
      </c>
      <c r="L343" s="12" t="str">
        <f t="shared" si="142"/>
        <v>是</v>
      </c>
      <c r="M343" s="40" t="str">
        <f>_xlfn.XLOOKUP(F343,'6月产品包'!B:B,'6月产品包'!J:J)</f>
        <v>2025-07-03</v>
      </c>
      <c r="N343" s="39" t="str">
        <f ca="1">IF(DATEDIF(M343,TODAY(),"m")&lt;6,"新品","老品")</f>
        <v>老品</v>
      </c>
      <c r="O343" s="37">
        <f>_xlfn.XLOOKUP(F343,'6月库存'!A:A,'6月库存'!R:R)</f>
        <v>77</v>
      </c>
      <c r="P343" s="39">
        <f>_xlfn.XLOOKUP(F343,'6月产品包'!B:B,'6月产品包'!S:S)</f>
        <v>8000</v>
      </c>
      <c r="Q343" s="39"/>
      <c r="R343" s="41">
        <f>_xlfn.XLOOKUP(F343,'6月产品包'!B:B,'6月产品包'!AD:AD)</f>
        <v>9.1756</v>
      </c>
      <c r="S343" s="39">
        <v>15</v>
      </c>
      <c r="T343" s="39">
        <f t="shared" si="143"/>
        <v>19</v>
      </c>
      <c r="U343" s="42">
        <f t="shared" si="141"/>
        <v>15.2</v>
      </c>
      <c r="V343" s="43">
        <v>0.2</v>
      </c>
      <c r="W343" s="44">
        <f t="shared" si="144"/>
        <v>0.396342105263158</v>
      </c>
      <c r="X343" s="44">
        <f t="shared" si="145"/>
        <v>0.158634096244131</v>
      </c>
      <c r="Y343" s="51">
        <v>0.038</v>
      </c>
      <c r="Z343" s="46">
        <v>0.1</v>
      </c>
      <c r="AA343" s="46">
        <v>0.049</v>
      </c>
      <c r="AB343" s="46">
        <f t="shared" si="146"/>
        <v>0.0355263157894737</v>
      </c>
      <c r="AC343" s="46">
        <v>0.06</v>
      </c>
      <c r="AD343" s="47"/>
      <c r="AE343" s="6"/>
      <c r="AF343" s="55" t="s">
        <v>114</v>
      </c>
      <c r="AG343" s="39">
        <f t="shared" si="127"/>
        <v>0</v>
      </c>
      <c r="AH343" s="39">
        <f t="shared" si="128"/>
        <v>0</v>
      </c>
      <c r="AI343" s="39">
        <f t="shared" si="129"/>
        <v>0</v>
      </c>
      <c r="AJ343" s="39">
        <f t="shared" si="130"/>
        <v>0</v>
      </c>
      <c r="AK343" s="39">
        <f t="shared" si="131"/>
        <v>0</v>
      </c>
      <c r="AL343" s="39">
        <f t="shared" si="132"/>
        <v>0</v>
      </c>
      <c r="AM343" s="39">
        <f t="shared" si="133"/>
        <v>0</v>
      </c>
      <c r="AN343" s="39">
        <f t="shared" si="134"/>
        <v>0</v>
      </c>
    </row>
    <row r="344" s="6" customFormat="1" ht="50" hidden="1" customHeight="1" spans="1:40">
      <c r="A344" s="39" t="s">
        <v>96</v>
      </c>
      <c r="B344" s="39" t="s">
        <v>186</v>
      </c>
      <c r="C344" s="37" t="str">
        <f>_xlfn.XLOOKUP(F344,'6月产品包'!B:B,'6月产品包'!H:H)</f>
        <v>白板</v>
      </c>
      <c r="D344" s="38" t="str">
        <f>_xlfn.XLOOKUP(F344,'6月产品包'!B:B,'6月产品包'!O:O)</f>
        <v>磁吸白板密度板夹层</v>
      </c>
      <c r="E344" s="38" t="s">
        <v>680</v>
      </c>
      <c r="F344" s="39" t="s">
        <v>233</v>
      </c>
      <c r="G344" s="39" t="s">
        <v>106</v>
      </c>
      <c r="H344" s="49" t="s">
        <v>101</v>
      </c>
      <c r="I344" s="37" t="str">
        <f>_xlfn.XLOOKUP($F344,'6月库存'!A:A,'6月库存'!B:B)</f>
        <v>等待开发</v>
      </c>
      <c r="J344" s="12"/>
      <c r="K344" s="39" t="e">
        <f>_xlfn.XLOOKUP(E344,'[1]6月分配 '!$B:$B,'[1]6月分配 '!$K:$K)</f>
        <v>#N/A</v>
      </c>
      <c r="L344" s="12" t="str">
        <f t="shared" si="142"/>
        <v>否</v>
      </c>
      <c r="M344" s="40" t="str">
        <f>_xlfn.XLOOKUP(F344,'6月产品包'!B:B,'6月产品包'!J:J)</f>
        <v>2026-04-28</v>
      </c>
      <c r="N344" s="39" t="s">
        <v>149</v>
      </c>
      <c r="O344" s="37">
        <f>_xlfn.XLOOKUP(F344,'6月库存'!A:A,'6月库存'!R:R)</f>
        <v>0</v>
      </c>
      <c r="P344" s="39">
        <f>_xlfn.XLOOKUP(F344,'6月产品包'!B:B,'6月产品包'!S:S)</f>
        <v>3461</v>
      </c>
      <c r="Q344" s="56"/>
      <c r="R344" s="41">
        <f>_xlfn.XLOOKUP(F344,'6月产品包'!B:B,'6月产品包'!AD:AD)</f>
        <v>19.6388</v>
      </c>
      <c r="S344" s="39">
        <v>44</v>
      </c>
      <c r="T344" s="39">
        <f t="shared" si="143"/>
        <v>55</v>
      </c>
      <c r="U344" s="42">
        <f t="shared" si="141"/>
        <v>44</v>
      </c>
      <c r="V344" s="43">
        <v>0.2</v>
      </c>
      <c r="W344" s="44">
        <f t="shared" si="144"/>
        <v>0.553663636363636</v>
      </c>
      <c r="X344" s="44">
        <f t="shared" si="145"/>
        <v>0.378990640020238</v>
      </c>
      <c r="Y344" s="44">
        <v>0.04</v>
      </c>
      <c r="Z344" s="46">
        <v>0.1</v>
      </c>
      <c r="AA344" s="46">
        <v>0.049</v>
      </c>
      <c r="AB344" s="46">
        <f t="shared" si="146"/>
        <v>0.0122727272727273</v>
      </c>
      <c r="AC344" s="46">
        <v>0.08</v>
      </c>
      <c r="AD344" s="58">
        <v>0.05</v>
      </c>
      <c r="AE344" s="58">
        <v>0.05</v>
      </c>
      <c r="AF344" s="48" t="s">
        <v>102</v>
      </c>
      <c r="AG344" s="39">
        <f t="shared" si="127"/>
        <v>0</v>
      </c>
      <c r="AH344" s="39">
        <f t="shared" si="128"/>
        <v>0</v>
      </c>
      <c r="AI344" s="39">
        <f t="shared" si="129"/>
        <v>0</v>
      </c>
      <c r="AJ344" s="39">
        <f t="shared" si="130"/>
        <v>0</v>
      </c>
      <c r="AK344" s="39">
        <f t="shared" si="131"/>
        <v>0</v>
      </c>
      <c r="AL344" s="39">
        <f t="shared" si="132"/>
        <v>0</v>
      </c>
      <c r="AM344" s="39">
        <f t="shared" si="133"/>
        <v>0</v>
      </c>
      <c r="AN344" s="39">
        <f t="shared" si="134"/>
        <v>0</v>
      </c>
    </row>
    <row r="345" s="6" customFormat="1" ht="50" hidden="1" customHeight="1" spans="1:40">
      <c r="A345" s="37" t="s">
        <v>96</v>
      </c>
      <c r="B345" s="37" t="s">
        <v>115</v>
      </c>
      <c r="C345" s="37" t="str">
        <f>_xlfn.XLOOKUP(F345,'6月产品包'!B:B,'6月产品包'!H:H)</f>
        <v>打印机</v>
      </c>
      <c r="D345" s="38" t="str">
        <f>_xlfn.XLOOKUP(F345,'6月产品包'!B:B,'6月产品包'!O:O)</f>
        <v>80mm便携式标签打印机</v>
      </c>
      <c r="E345" s="38" t="s">
        <v>683</v>
      </c>
      <c r="F345" s="39" t="s">
        <v>684</v>
      </c>
      <c r="G345" s="39" t="e">
        <v>#N/A</v>
      </c>
      <c r="H345" s="39" t="s">
        <v>101</v>
      </c>
      <c r="I345" s="37" t="str">
        <f>_xlfn.XLOOKUP($F345,'6月库存'!A:A,'6月库存'!B:B)</f>
        <v>正常销售</v>
      </c>
      <c r="J345" s="12"/>
      <c r="K345" s="39">
        <f>_xlfn.XLOOKUP(E345,'[1]6月分配 '!$B:$B,'[1]6月分配 '!$K:$K)</f>
        <v>1761</v>
      </c>
      <c r="L345" s="12" t="str">
        <f t="shared" si="142"/>
        <v>是</v>
      </c>
      <c r="M345" s="40" t="str">
        <f>_xlfn.XLOOKUP(F345,'6月产品包'!B:B,'6月产品包'!J:J)</f>
        <v>2025-11-13</v>
      </c>
      <c r="N345" s="39" t="str">
        <f ca="1">IF(DATEDIF(M345,TODAY(),"m")&lt;6,"新品","老品")</f>
        <v>老品</v>
      </c>
      <c r="O345" s="37">
        <f>_xlfn.XLOOKUP(F345,'6月库存'!A:A,'6月库存'!R:R)</f>
        <v>22</v>
      </c>
      <c r="P345" s="39">
        <f>_xlfn.XLOOKUP(F345,'6月产品包'!B:B,'6月产品包'!S:S)</f>
        <v>525</v>
      </c>
      <c r="Q345" s="39"/>
      <c r="R345" s="41">
        <f>_xlfn.XLOOKUP(F345,'6月产品包'!B:B,'6月产品包'!AD:AD)</f>
        <v>85.1208</v>
      </c>
      <c r="S345" s="39">
        <v>165</v>
      </c>
      <c r="T345" s="39">
        <f t="shared" si="143"/>
        <v>206</v>
      </c>
      <c r="U345" s="42">
        <f t="shared" si="141"/>
        <v>164.8</v>
      </c>
      <c r="V345" s="43">
        <v>0.2</v>
      </c>
      <c r="W345" s="44">
        <f t="shared" si="144"/>
        <v>0.483490291262136</v>
      </c>
      <c r="X345" s="44">
        <f t="shared" si="145"/>
        <v>0.309223468003194</v>
      </c>
      <c r="Y345" s="44">
        <v>0.04</v>
      </c>
      <c r="Z345" s="46">
        <v>0.1</v>
      </c>
      <c r="AA345" s="46">
        <v>0.049</v>
      </c>
      <c r="AB345" s="46">
        <f t="shared" si="146"/>
        <v>0.00327669902912621</v>
      </c>
      <c r="AC345" s="46">
        <v>0.06</v>
      </c>
      <c r="AD345" s="47"/>
      <c r="AE345" s="6"/>
      <c r="AF345" s="55" t="s">
        <v>114</v>
      </c>
      <c r="AG345" s="39">
        <f t="shared" si="127"/>
        <v>6</v>
      </c>
      <c r="AH345" s="39">
        <f t="shared" si="128"/>
        <v>6</v>
      </c>
      <c r="AI345" s="39">
        <f t="shared" si="129"/>
        <v>0</v>
      </c>
      <c r="AJ345" s="39">
        <f t="shared" si="130"/>
        <v>0</v>
      </c>
      <c r="AK345" s="39">
        <f t="shared" si="131"/>
        <v>0</v>
      </c>
      <c r="AL345" s="39">
        <f t="shared" si="132"/>
        <v>0</v>
      </c>
      <c r="AM345" s="39">
        <f t="shared" si="133"/>
        <v>0</v>
      </c>
      <c r="AN345" s="39">
        <f t="shared" si="134"/>
        <v>0</v>
      </c>
    </row>
    <row r="346" s="6" customFormat="1" ht="50" hidden="1" customHeight="1" spans="1:40">
      <c r="A346" s="37" t="s">
        <v>96</v>
      </c>
      <c r="B346" s="37" t="s">
        <v>186</v>
      </c>
      <c r="C346" s="37" t="str">
        <f>_xlfn.XLOOKUP(F346,'6月产品包'!B:B,'6月产品包'!H:H)</f>
        <v>白板</v>
      </c>
      <c r="D346" s="38" t="str">
        <f>_xlfn.XLOOKUP(F346,'6月产品包'!B:B,'6月产品包'!O:O)</f>
        <v>磁吸白板密度板夹层</v>
      </c>
      <c r="E346" s="38" t="s">
        <v>685</v>
      </c>
      <c r="F346" s="39" t="s">
        <v>214</v>
      </c>
      <c r="G346" s="39" t="s">
        <v>106</v>
      </c>
      <c r="H346" s="39" t="s">
        <v>101</v>
      </c>
      <c r="I346" s="37" t="str">
        <f>_xlfn.XLOOKUP($F346,'6月库存'!A:A,'6月库存'!B:B)</f>
        <v>正常销售</v>
      </c>
      <c r="J346" s="12"/>
      <c r="K346" s="39" t="e">
        <f>_xlfn.XLOOKUP(E346,'[1]6月分配 '!$B:$B,'[1]6月分配 '!$K:$K)</f>
        <v>#N/A</v>
      </c>
      <c r="L346" s="12" t="str">
        <f t="shared" si="142"/>
        <v>否</v>
      </c>
      <c r="M346" s="40" t="str">
        <f>_xlfn.XLOOKUP(F346,'6月产品包'!B:B,'6月产品包'!J:J)</f>
        <v>2025-10-27</v>
      </c>
      <c r="N346" s="39" t="s">
        <v>149</v>
      </c>
      <c r="O346" s="37">
        <f>_xlfn.XLOOKUP(F346,'6月库存'!A:A,'6月库存'!R:R)</f>
        <v>1801</v>
      </c>
      <c r="P346" s="39">
        <f>_xlfn.XLOOKUP(F346,'6月产品包'!B:B,'6月产品包'!S:S)</f>
        <v>4345</v>
      </c>
      <c r="Q346" s="39"/>
      <c r="R346" s="41">
        <f>_xlfn.XLOOKUP(F346,'6月产品包'!B:B,'6月产品包'!AD:AD)</f>
        <v>25.056</v>
      </c>
      <c r="S346" s="39">
        <v>53</v>
      </c>
      <c r="T346" s="39">
        <f t="shared" si="143"/>
        <v>66</v>
      </c>
      <c r="U346" s="42">
        <f t="shared" si="141"/>
        <v>52.8</v>
      </c>
      <c r="V346" s="43">
        <v>0.2</v>
      </c>
      <c r="W346" s="44">
        <f t="shared" si="144"/>
        <v>0.525454545454546</v>
      </c>
      <c r="X346" s="44">
        <f t="shared" si="145"/>
        <v>0.341615690231444</v>
      </c>
      <c r="Y346" s="44">
        <v>0.04</v>
      </c>
      <c r="Z346" s="46">
        <v>0.1</v>
      </c>
      <c r="AA346" s="46">
        <v>0.049</v>
      </c>
      <c r="AB346" s="46">
        <f t="shared" si="146"/>
        <v>0.0102272727272727</v>
      </c>
      <c r="AC346" s="46">
        <v>0.08</v>
      </c>
      <c r="AD346" s="58">
        <v>0.05</v>
      </c>
      <c r="AE346" s="58">
        <v>0.05</v>
      </c>
      <c r="AF346" s="48" t="s">
        <v>102</v>
      </c>
      <c r="AG346" s="39">
        <f t="shared" si="127"/>
        <v>3.168</v>
      </c>
      <c r="AH346" s="39">
        <f t="shared" si="128"/>
        <v>3.168</v>
      </c>
      <c r="AI346" s="39">
        <f t="shared" si="129"/>
        <v>0</v>
      </c>
      <c r="AJ346" s="39">
        <f t="shared" si="130"/>
        <v>0</v>
      </c>
      <c r="AK346" s="39">
        <f t="shared" si="131"/>
        <v>0</v>
      </c>
      <c r="AL346" s="39">
        <f t="shared" si="132"/>
        <v>0</v>
      </c>
      <c r="AM346" s="39">
        <f t="shared" si="133"/>
        <v>0</v>
      </c>
      <c r="AN346" s="39">
        <f t="shared" si="134"/>
        <v>0</v>
      </c>
    </row>
    <row r="347" s="6" customFormat="1" ht="50" hidden="1" customHeight="1" spans="1:40">
      <c r="A347" s="37" t="s">
        <v>108</v>
      </c>
      <c r="B347" s="37" t="s">
        <v>206</v>
      </c>
      <c r="C347" s="37" t="str">
        <f>_xlfn.XLOOKUP(F347,'6月产品包'!B:B,'6月产品包'!H:H)</f>
        <v>展示台</v>
      </c>
      <c r="D347" s="38" t="str">
        <f>_xlfn.XLOOKUP(F347,'6月产品包'!B:B,'6月产品包'!O:O)</f>
        <v>插电式展示台</v>
      </c>
      <c r="E347" s="38" t="s">
        <v>686</v>
      </c>
      <c r="F347" s="37" t="s">
        <v>687</v>
      </c>
      <c r="G347" s="39" t="s">
        <v>100</v>
      </c>
      <c r="H347" s="37" t="s">
        <v>107</v>
      </c>
      <c r="I347" s="37" t="str">
        <f>_xlfn.XLOOKUP($F347,'6月库存'!A:A,'6月库存'!B:B)</f>
        <v>正常销售</v>
      </c>
      <c r="J347" s="12"/>
      <c r="K347" s="39">
        <f>_xlfn.XLOOKUP(E347,'[1]6月分配 '!$B:$B,'[1]6月分配 '!$K:$K)</f>
        <v>1753</v>
      </c>
      <c r="L347" s="12" t="str">
        <f t="shared" si="142"/>
        <v>是</v>
      </c>
      <c r="M347" s="40" t="str">
        <f>_xlfn.XLOOKUP(F347,'6月产品包'!B:B,'6月产品包'!J:J)</f>
        <v>2024-07-18</v>
      </c>
      <c r="N347" s="39" t="str">
        <f ca="1">IF(DATEDIF(M347,TODAY(),"m")&lt;6,"新品","老品")</f>
        <v>老品</v>
      </c>
      <c r="O347" s="37">
        <f>_xlfn.XLOOKUP(F347,'6月库存'!A:A,'6月库存'!R:R)</f>
        <v>410</v>
      </c>
      <c r="P347" s="39">
        <f>_xlfn.XLOOKUP(F347,'6月产品包'!B:B,'6月产品包'!S:S)</f>
        <v>250</v>
      </c>
      <c r="Q347" s="39"/>
      <c r="R347" s="41">
        <f>_xlfn.XLOOKUP(F347,'6月产品包'!B:B,'6月产品包'!AD:AD)</f>
        <v>9.5932</v>
      </c>
      <c r="S347" s="39">
        <v>21</v>
      </c>
      <c r="T347" s="39">
        <f t="shared" si="143"/>
        <v>26</v>
      </c>
      <c r="U347" s="42">
        <f t="shared" si="141"/>
        <v>20.8</v>
      </c>
      <c r="V347" s="43">
        <v>0.2</v>
      </c>
      <c r="W347" s="44">
        <f t="shared" si="144"/>
        <v>0.538788461538462</v>
      </c>
      <c r="X347" s="44">
        <f t="shared" si="145"/>
        <v>0.361236882757151</v>
      </c>
      <c r="Y347" s="44">
        <v>0.038</v>
      </c>
      <c r="Z347" s="46">
        <v>0.105</v>
      </c>
      <c r="AA347" s="46">
        <v>0.049</v>
      </c>
      <c r="AB347" s="46">
        <f t="shared" si="146"/>
        <v>0.0259615384615385</v>
      </c>
      <c r="AC347" s="46">
        <v>0.06</v>
      </c>
      <c r="AD347" s="47"/>
      <c r="AE347" s="6"/>
      <c r="AF347" s="55" t="s">
        <v>114</v>
      </c>
      <c r="AG347" s="39">
        <f t="shared" si="127"/>
        <v>0</v>
      </c>
      <c r="AH347" s="39">
        <f t="shared" si="128"/>
        <v>0</v>
      </c>
      <c r="AI347" s="39">
        <f t="shared" si="129"/>
        <v>0</v>
      </c>
      <c r="AJ347" s="39">
        <f t="shared" si="130"/>
        <v>0</v>
      </c>
      <c r="AK347" s="39">
        <f t="shared" si="131"/>
        <v>0</v>
      </c>
      <c r="AL347" s="39">
        <f t="shared" si="132"/>
        <v>0</v>
      </c>
      <c r="AM347" s="39">
        <f t="shared" si="133"/>
        <v>0</v>
      </c>
      <c r="AN347" s="39">
        <f t="shared" si="134"/>
        <v>0</v>
      </c>
    </row>
    <row r="348" s="6" customFormat="1" ht="50" hidden="1" customHeight="1" spans="1:40">
      <c r="A348" s="39" t="s">
        <v>96</v>
      </c>
      <c r="B348" s="39" t="s">
        <v>186</v>
      </c>
      <c r="C348" s="37" t="str">
        <f>_xlfn.XLOOKUP(F348,'6月产品包'!B:B,'6月产品包'!H:H)</f>
        <v>白板</v>
      </c>
      <c r="D348" s="38" t="str">
        <f>_xlfn.XLOOKUP(F348,'6月产品包'!B:B,'6月产品包'!O:O)</f>
        <v>磁吸白板密度板夹层</v>
      </c>
      <c r="E348" s="38" t="s">
        <v>685</v>
      </c>
      <c r="F348" s="39" t="s">
        <v>215</v>
      </c>
      <c r="G348" s="39" t="s">
        <v>106</v>
      </c>
      <c r="H348" s="49" t="s">
        <v>101</v>
      </c>
      <c r="I348" s="37" t="str">
        <f>_xlfn.XLOOKUP($F348,'6月库存'!A:A,'6月库存'!B:B)</f>
        <v>等待开发</v>
      </c>
      <c r="J348" s="12"/>
      <c r="K348" s="39" t="e">
        <f>_xlfn.XLOOKUP(E348,'[1]6月分配 '!$B:$B,'[1]6月分配 '!$K:$K)</f>
        <v>#N/A</v>
      </c>
      <c r="L348" s="12" t="str">
        <f t="shared" si="142"/>
        <v>否</v>
      </c>
      <c r="M348" s="40" t="str">
        <f>_xlfn.XLOOKUP(F348,'6月产品包'!B:B,'6月产品包'!J:J)</f>
        <v>2026-04-28</v>
      </c>
      <c r="N348" s="39" t="s">
        <v>149</v>
      </c>
      <c r="O348" s="37">
        <f>_xlfn.XLOOKUP(F348,'6月库存'!A:A,'6月库存'!R:R)</f>
        <v>0</v>
      </c>
      <c r="P348" s="39">
        <f>_xlfn.XLOOKUP(F348,'6月产品包'!B:B,'6月产品包'!S:S)</f>
        <v>4345</v>
      </c>
      <c r="Q348" s="56"/>
      <c r="R348" s="41">
        <f>_xlfn.XLOOKUP(F348,'6月产品包'!B:B,'6月产品包'!AD:AD)</f>
        <v>25.172</v>
      </c>
      <c r="S348" s="39">
        <v>53</v>
      </c>
      <c r="T348" s="39">
        <f t="shared" si="143"/>
        <v>66</v>
      </c>
      <c r="U348" s="42">
        <f t="shared" si="141"/>
        <v>52.8</v>
      </c>
      <c r="V348" s="43">
        <v>0.2</v>
      </c>
      <c r="W348" s="44">
        <f t="shared" si="144"/>
        <v>0.523257575757576</v>
      </c>
      <c r="X348" s="44">
        <f t="shared" si="145"/>
        <v>0.338567614723256</v>
      </c>
      <c r="Y348" s="44">
        <v>0.04</v>
      </c>
      <c r="Z348" s="46">
        <v>0.1</v>
      </c>
      <c r="AA348" s="46">
        <v>0.049</v>
      </c>
      <c r="AB348" s="46">
        <f t="shared" si="146"/>
        <v>0.0102272727272727</v>
      </c>
      <c r="AC348" s="46">
        <v>0.08</v>
      </c>
      <c r="AD348" s="58">
        <v>0.05</v>
      </c>
      <c r="AE348" s="58">
        <v>0.05</v>
      </c>
      <c r="AF348" s="48" t="s">
        <v>102</v>
      </c>
      <c r="AG348" s="39">
        <f t="shared" si="127"/>
        <v>3.168</v>
      </c>
      <c r="AH348" s="39">
        <f t="shared" si="128"/>
        <v>3.168</v>
      </c>
      <c r="AI348" s="39">
        <f t="shared" si="129"/>
        <v>0</v>
      </c>
      <c r="AJ348" s="39">
        <f t="shared" si="130"/>
        <v>0</v>
      </c>
      <c r="AK348" s="39">
        <f t="shared" si="131"/>
        <v>0</v>
      </c>
      <c r="AL348" s="39">
        <f t="shared" si="132"/>
        <v>0</v>
      </c>
      <c r="AM348" s="39">
        <f t="shared" si="133"/>
        <v>0</v>
      </c>
      <c r="AN348" s="39">
        <f t="shared" si="134"/>
        <v>0</v>
      </c>
    </row>
    <row r="349" s="6" customFormat="1" ht="50" hidden="1" customHeight="1" spans="1:40">
      <c r="A349" s="37" t="s">
        <v>96</v>
      </c>
      <c r="B349" s="37" t="s">
        <v>97</v>
      </c>
      <c r="C349" s="37" t="str">
        <f>_xlfn.XLOOKUP(F349,'6月产品包'!B:B,'6月产品包'!H:H)</f>
        <v>路障链接棍</v>
      </c>
      <c r="D349" s="38" t="str">
        <f>_xlfn.XLOOKUP(F349,'6月产品包'!B:B,'6月产品包'!O:O)</f>
        <v>伸缩连接杆</v>
      </c>
      <c r="E349" s="38" t="s">
        <v>688</v>
      </c>
      <c r="F349" s="37" t="s">
        <v>689</v>
      </c>
      <c r="G349" s="39" t="s">
        <v>126</v>
      </c>
      <c r="H349" s="37" t="s">
        <v>101</v>
      </c>
      <c r="I349" s="37" t="str">
        <f>_xlfn.XLOOKUP($F349,'6月库存'!A:A,'6月库存'!B:B)</f>
        <v>正常销售</v>
      </c>
      <c r="J349" s="12"/>
      <c r="K349" s="39">
        <f>_xlfn.XLOOKUP(E349,'[1]6月分配 '!$B:$B,'[1]6月分配 '!$K:$K)</f>
        <v>1742</v>
      </c>
      <c r="L349" s="12" t="str">
        <f t="shared" si="142"/>
        <v>是</v>
      </c>
      <c r="M349" s="40" t="str">
        <f>_xlfn.XLOOKUP(F349,'6月产品包'!B:B,'6月产品包'!J:J)</f>
        <v>2025-07-03</v>
      </c>
      <c r="N349" s="39" t="str">
        <f ca="1">IF(DATEDIF(M349,TODAY(),"m")&lt;6,"新品","老品")</f>
        <v>老品</v>
      </c>
      <c r="O349" s="37">
        <f>_xlfn.XLOOKUP(F349,'6月库存'!A:A,'6月库存'!R:R)</f>
        <v>96</v>
      </c>
      <c r="P349" s="39">
        <f>_xlfn.XLOOKUP(F349,'6月产品包'!B:B,'6月产品包'!S:S)</f>
        <v>17500</v>
      </c>
      <c r="Q349" s="39"/>
      <c r="R349" s="41">
        <f>_xlfn.XLOOKUP(F349,'6月产品包'!B:B,'6月产品包'!AD:AD)</f>
        <v>7.018</v>
      </c>
      <c r="S349" s="39">
        <v>10</v>
      </c>
      <c r="T349" s="39">
        <f t="shared" si="143"/>
        <v>13</v>
      </c>
      <c r="U349" s="42">
        <f t="shared" si="141"/>
        <v>10.4</v>
      </c>
      <c r="V349" s="43">
        <v>0.2</v>
      </c>
      <c r="W349" s="44">
        <f t="shared" si="144"/>
        <v>0.325192307692308</v>
      </c>
      <c r="X349" s="44">
        <f t="shared" si="145"/>
        <v>0.101546497337157</v>
      </c>
      <c r="Y349" s="51">
        <v>0.038</v>
      </c>
      <c r="Z349" s="46">
        <v>0.1</v>
      </c>
      <c r="AA349" s="46">
        <v>0.049</v>
      </c>
      <c r="AB349" s="46">
        <f t="shared" si="146"/>
        <v>0.0519230769230769</v>
      </c>
      <c r="AC349" s="46">
        <v>0.01</v>
      </c>
      <c r="AD349" s="47"/>
      <c r="AE349" s="6"/>
      <c r="AF349" s="55" t="s">
        <v>114</v>
      </c>
      <c r="AG349" s="39">
        <f t="shared" si="127"/>
        <v>0</v>
      </c>
      <c r="AH349" s="39">
        <f t="shared" si="128"/>
        <v>0</v>
      </c>
      <c r="AI349" s="39">
        <f t="shared" si="129"/>
        <v>0</v>
      </c>
      <c r="AJ349" s="39">
        <f t="shared" si="130"/>
        <v>0</v>
      </c>
      <c r="AK349" s="39">
        <f t="shared" si="131"/>
        <v>0</v>
      </c>
      <c r="AL349" s="39">
        <f t="shared" si="132"/>
        <v>0</v>
      </c>
      <c r="AM349" s="39">
        <f t="shared" si="133"/>
        <v>0</v>
      </c>
      <c r="AN349" s="39">
        <f t="shared" si="134"/>
        <v>0</v>
      </c>
    </row>
    <row r="350" s="6" customFormat="1" ht="50" hidden="1" customHeight="1" spans="1:40">
      <c r="A350" s="37" t="s">
        <v>96</v>
      </c>
      <c r="B350" s="37" t="s">
        <v>186</v>
      </c>
      <c r="C350" s="37" t="str">
        <f>_xlfn.XLOOKUP(F350,'6月产品包'!B:B,'6月产品包'!H:H)</f>
        <v>白板</v>
      </c>
      <c r="D350" s="38" t="str">
        <f>_xlfn.XLOOKUP(F350,'6月产品包'!B:B,'6月产品包'!O:O)</f>
        <v>磁吸白板密度板夹层</v>
      </c>
      <c r="E350" s="38" t="s">
        <v>690</v>
      </c>
      <c r="F350" s="39" t="s">
        <v>253</v>
      </c>
      <c r="G350" s="39" t="s">
        <v>100</v>
      </c>
      <c r="H350" s="39" t="s">
        <v>101</v>
      </c>
      <c r="I350" s="37" t="str">
        <f>_xlfn.XLOOKUP($F350,'6月库存'!A:A,'6月库存'!B:B)</f>
        <v>正常销售</v>
      </c>
      <c r="J350" s="12"/>
      <c r="K350" s="39" t="e">
        <f>_xlfn.XLOOKUP(E350,'[1]6月分配 '!$B:$B,'[1]6月分配 '!$K:$K)</f>
        <v>#N/A</v>
      </c>
      <c r="L350" s="12" t="str">
        <f t="shared" si="142"/>
        <v>否</v>
      </c>
      <c r="M350" s="40" t="str">
        <f>_xlfn.XLOOKUP(F350,'6月产品包'!B:B,'6月产品包'!J:J)</f>
        <v>2025-10-27</v>
      </c>
      <c r="N350" s="39" t="s">
        <v>149</v>
      </c>
      <c r="O350" s="37">
        <f>_xlfn.XLOOKUP(F350,'6月库存'!A:A,'6月库存'!R:R)</f>
        <v>838</v>
      </c>
      <c r="P350" s="39">
        <f>_xlfn.XLOOKUP(F350,'6月产品包'!B:B,'6月产品包'!S:S)</f>
        <v>6660</v>
      </c>
      <c r="Q350" s="39"/>
      <c r="R350" s="41">
        <f>_xlfn.XLOOKUP(F350,'6月产品包'!B:B,'6月产品包'!AD:AD)</f>
        <v>45.6634</v>
      </c>
      <c r="S350" s="39">
        <v>94</v>
      </c>
      <c r="T350" s="39">
        <f t="shared" si="143"/>
        <v>118</v>
      </c>
      <c r="U350" s="42">
        <f t="shared" si="141"/>
        <v>94.4</v>
      </c>
      <c r="V350" s="43">
        <v>0.2</v>
      </c>
      <c r="W350" s="44">
        <f t="shared" si="144"/>
        <v>0.516277542372881</v>
      </c>
      <c r="X350" s="44">
        <f t="shared" si="145"/>
        <v>0.333053877522405</v>
      </c>
      <c r="Y350" s="44">
        <v>0.04</v>
      </c>
      <c r="Z350" s="46">
        <v>0.1</v>
      </c>
      <c r="AA350" s="46">
        <v>0.049</v>
      </c>
      <c r="AB350" s="46">
        <f t="shared" si="146"/>
        <v>0.00572033898305085</v>
      </c>
      <c r="AC350" s="46">
        <v>0.08</v>
      </c>
      <c r="AD350" s="58">
        <v>0.05</v>
      </c>
      <c r="AE350" s="58">
        <v>0.05</v>
      </c>
      <c r="AF350" s="48" t="s">
        <v>102</v>
      </c>
      <c r="AG350" s="39">
        <f t="shared" si="127"/>
        <v>5.664</v>
      </c>
      <c r="AH350" s="39">
        <f t="shared" si="128"/>
        <v>5.664</v>
      </c>
      <c r="AI350" s="39">
        <f t="shared" si="129"/>
        <v>0</v>
      </c>
      <c r="AJ350" s="39">
        <f t="shared" si="130"/>
        <v>0</v>
      </c>
      <c r="AK350" s="39">
        <f t="shared" si="131"/>
        <v>0</v>
      </c>
      <c r="AL350" s="39">
        <f t="shared" si="132"/>
        <v>0</v>
      </c>
      <c r="AM350" s="39">
        <f t="shared" si="133"/>
        <v>0</v>
      </c>
      <c r="AN350" s="39">
        <f t="shared" si="134"/>
        <v>0</v>
      </c>
    </row>
    <row r="351" s="6" customFormat="1" ht="50" hidden="1" customHeight="1" spans="1:40">
      <c r="A351" s="37" t="s">
        <v>96</v>
      </c>
      <c r="B351" s="37" t="s">
        <v>115</v>
      </c>
      <c r="C351" s="37" t="str">
        <f>_xlfn.XLOOKUP(F351,'6月产品包'!B:B,'6月产品包'!H:H)</f>
        <v>广告架</v>
      </c>
      <c r="D351" s="38" t="str">
        <f>_xlfn.XLOOKUP(F351,'6月产品包'!B:B,'6月产品包'!O:O)</f>
        <v>广告架kt板</v>
      </c>
      <c r="E351" s="38" t="s">
        <v>691</v>
      </c>
      <c r="F351" s="37" t="s">
        <v>692</v>
      </c>
      <c r="G351" s="39" t="s">
        <v>126</v>
      </c>
      <c r="H351" s="37" t="s">
        <v>101</v>
      </c>
      <c r="I351" s="37" t="str">
        <f>_xlfn.XLOOKUP($F351,'6月库存'!A:A,'6月库存'!B:B)</f>
        <v>正常销售</v>
      </c>
      <c r="J351" s="12"/>
      <c r="K351" s="39">
        <f>_xlfn.XLOOKUP(E351,'[1]6月分配 '!$B:$B,'[1]6月分配 '!$K:$K)</f>
        <v>1726</v>
      </c>
      <c r="L351" s="12" t="str">
        <f t="shared" si="142"/>
        <v>是</v>
      </c>
      <c r="M351" s="40" t="str">
        <f>_xlfn.XLOOKUP(F351,'6月产品包'!B:B,'6月产品包'!J:J)</f>
        <v>2025-10-09</v>
      </c>
      <c r="N351" s="39" t="str">
        <f ca="1">IF(DATEDIF(M351,TODAY(),"m")&lt;6,"新品","老品")</f>
        <v>老品</v>
      </c>
      <c r="O351" s="37">
        <f>_xlfn.XLOOKUP(F351,'6月库存'!A:A,'6月库存'!R:R)</f>
        <v>33</v>
      </c>
      <c r="P351" s="39">
        <f>_xlfn.XLOOKUP(F351,'6月产品包'!B:B,'6月产品包'!S:S)</f>
        <v>4000</v>
      </c>
      <c r="Q351" s="39"/>
      <c r="R351" s="41">
        <f>_xlfn.XLOOKUP(F351,'6月产品包'!B:B,'6月产品包'!AD:AD)</f>
        <v>25.0212</v>
      </c>
      <c r="S351" s="39">
        <v>45</v>
      </c>
      <c r="T351" s="39">
        <f t="shared" si="143"/>
        <v>56</v>
      </c>
      <c r="U351" s="42">
        <f t="shared" si="141"/>
        <v>44.8</v>
      </c>
      <c r="V351" s="43">
        <v>0.2</v>
      </c>
      <c r="W351" s="44">
        <f t="shared" si="144"/>
        <v>0.441491071428571</v>
      </c>
      <c r="X351" s="44">
        <f t="shared" si="145"/>
        <v>0.246222254356156</v>
      </c>
      <c r="Y351" s="44">
        <v>0.038</v>
      </c>
      <c r="Z351" s="46">
        <v>0.1</v>
      </c>
      <c r="AA351" s="46">
        <v>0.049</v>
      </c>
      <c r="AB351" s="46">
        <f t="shared" si="146"/>
        <v>0.0120535714285714</v>
      </c>
      <c r="AC351" s="46">
        <v>0.06</v>
      </c>
      <c r="AD351" s="47"/>
      <c r="AE351" s="6"/>
      <c r="AF351" s="55" t="s">
        <v>114</v>
      </c>
      <c r="AG351" s="39">
        <f t="shared" si="127"/>
        <v>0</v>
      </c>
      <c r="AH351" s="39">
        <f t="shared" si="128"/>
        <v>0</v>
      </c>
      <c r="AI351" s="39">
        <f t="shared" si="129"/>
        <v>0</v>
      </c>
      <c r="AJ351" s="39">
        <f t="shared" si="130"/>
        <v>0</v>
      </c>
      <c r="AK351" s="39">
        <f t="shared" si="131"/>
        <v>0</v>
      </c>
      <c r="AL351" s="39">
        <f t="shared" si="132"/>
        <v>0</v>
      </c>
      <c r="AM351" s="39">
        <f t="shared" si="133"/>
        <v>0</v>
      </c>
      <c r="AN351" s="39">
        <f t="shared" si="134"/>
        <v>0</v>
      </c>
    </row>
    <row r="352" s="6" customFormat="1" ht="50" hidden="1" customHeight="1" spans="1:40">
      <c r="A352" s="39" t="s">
        <v>96</v>
      </c>
      <c r="B352" s="39" t="s">
        <v>186</v>
      </c>
      <c r="C352" s="37" t="str">
        <f>_xlfn.XLOOKUP(F352,'6月产品包'!B:B,'6月产品包'!H:H)</f>
        <v>白板</v>
      </c>
      <c r="D352" s="38" t="str">
        <f>_xlfn.XLOOKUP(F352,'6月产品包'!B:B,'6月产品包'!O:O)</f>
        <v>磁吸白板密度板夹层</v>
      </c>
      <c r="E352" s="38" t="s">
        <v>690</v>
      </c>
      <c r="F352" s="39" t="s">
        <v>255</v>
      </c>
      <c r="G352" s="39" t="s">
        <v>106</v>
      </c>
      <c r="H352" s="49" t="s">
        <v>101</v>
      </c>
      <c r="I352" s="37" t="str">
        <f>_xlfn.XLOOKUP($F352,'6月库存'!A:A,'6月库存'!B:B)</f>
        <v>等待开发</v>
      </c>
      <c r="J352" s="12"/>
      <c r="K352" s="39" t="e">
        <f>_xlfn.XLOOKUP(E352,'[1]6月分配 '!$B:$B,'[1]6月分配 '!$K:$K)</f>
        <v>#N/A</v>
      </c>
      <c r="L352" s="12" t="str">
        <f t="shared" si="142"/>
        <v>否</v>
      </c>
      <c r="M352" s="40" t="str">
        <f>_xlfn.XLOOKUP(F352,'6月产品包'!B:B,'6月产品包'!J:J)</f>
        <v>2026-04-16</v>
      </c>
      <c r="N352" s="39" t="s">
        <v>149</v>
      </c>
      <c r="O352" s="37">
        <f>_xlfn.XLOOKUP(F352,'6月库存'!A:A,'6月库存'!R:R)</f>
        <v>0</v>
      </c>
      <c r="P352" s="39">
        <f>_xlfn.XLOOKUP(F352,'6月产品包'!B:B,'6月产品包'!S:S)</f>
        <v>6660</v>
      </c>
      <c r="Q352" s="56"/>
      <c r="R352" s="41">
        <f>_xlfn.XLOOKUP(F352,'6月产品包'!B:B,'6月产品包'!AD:AD)</f>
        <v>44.2772</v>
      </c>
      <c r="S352" s="39">
        <v>94</v>
      </c>
      <c r="T352" s="39">
        <f t="shared" si="143"/>
        <v>118</v>
      </c>
      <c r="U352" s="42">
        <f t="shared" si="141"/>
        <v>94.4</v>
      </c>
      <c r="V352" s="43">
        <v>0.2</v>
      </c>
      <c r="W352" s="44">
        <f t="shared" si="144"/>
        <v>0.53096186440678</v>
      </c>
      <c r="X352" s="44">
        <f t="shared" si="145"/>
        <v>0.353300304967108</v>
      </c>
      <c r="Y352" s="44">
        <v>0.04</v>
      </c>
      <c r="Z352" s="46">
        <v>0.1</v>
      </c>
      <c r="AA352" s="46">
        <v>0.049</v>
      </c>
      <c r="AB352" s="46">
        <f t="shared" si="146"/>
        <v>0.00572033898305085</v>
      </c>
      <c r="AC352" s="46">
        <v>0.08</v>
      </c>
      <c r="AD352" s="58">
        <v>0.05</v>
      </c>
      <c r="AE352" s="58">
        <v>0.05</v>
      </c>
      <c r="AF352" s="48" t="s">
        <v>102</v>
      </c>
      <c r="AG352" s="39">
        <f t="shared" si="127"/>
        <v>5.664</v>
      </c>
      <c r="AH352" s="39">
        <f t="shared" si="128"/>
        <v>5.664</v>
      </c>
      <c r="AI352" s="39">
        <f t="shared" si="129"/>
        <v>0</v>
      </c>
      <c r="AJ352" s="39">
        <f t="shared" si="130"/>
        <v>0</v>
      </c>
      <c r="AK352" s="39">
        <f t="shared" si="131"/>
        <v>0</v>
      </c>
      <c r="AL352" s="39">
        <f t="shared" si="132"/>
        <v>0</v>
      </c>
      <c r="AM352" s="39">
        <f t="shared" si="133"/>
        <v>0</v>
      </c>
      <c r="AN352" s="39">
        <f t="shared" si="134"/>
        <v>0</v>
      </c>
    </row>
    <row r="353" s="6" customFormat="1" ht="50" hidden="1" customHeight="1" spans="1:40">
      <c r="A353" s="37" t="s">
        <v>108</v>
      </c>
      <c r="B353" s="37" t="s">
        <v>146</v>
      </c>
      <c r="C353" s="37" t="str">
        <f>_xlfn.XLOOKUP(F353,'6月产品包'!B:B,'6月产品包'!H:H)</f>
        <v>吉他套装</v>
      </c>
      <c r="D353" s="38" t="str">
        <f>_xlfn.XLOOKUP(F353,'6月产品包'!B:B,'6月产品包'!O:O)</f>
        <v>吉他</v>
      </c>
      <c r="E353" s="38" t="s">
        <v>693</v>
      </c>
      <c r="F353" s="39" t="s">
        <v>694</v>
      </c>
      <c r="G353" s="39" t="s">
        <v>106</v>
      </c>
      <c r="H353" s="37" t="s">
        <v>101</v>
      </c>
      <c r="I353" s="37" t="str">
        <f>_xlfn.XLOOKUP($F353,'6月库存'!A:A,'6月库存'!B:B)</f>
        <v>正常销售</v>
      </c>
      <c r="J353" s="12"/>
      <c r="K353" s="39">
        <f>_xlfn.XLOOKUP(E353,'[1]6月分配 '!$B:$B,'[1]6月分配 '!$K:$K)</f>
        <v>1691</v>
      </c>
      <c r="L353" s="12" t="str">
        <f t="shared" si="142"/>
        <v>是</v>
      </c>
      <c r="M353" s="40" t="str">
        <f>_xlfn.XLOOKUP(F353,'6月产品包'!B:B,'6月产品包'!J:J)</f>
        <v>2025-10-09</v>
      </c>
      <c r="N353" s="37" t="s">
        <v>149</v>
      </c>
      <c r="O353" s="37">
        <f>_xlfn.XLOOKUP(F353,'6月库存'!A:A,'6月库存'!R:R)</f>
        <v>96</v>
      </c>
      <c r="P353" s="39">
        <f>_xlfn.XLOOKUP(F353,'6月产品包'!B:B,'6月产品包'!S:S)</f>
        <v>2500</v>
      </c>
      <c r="Q353" s="39">
        <v>11000</v>
      </c>
      <c r="R353" s="41">
        <f>_xlfn.XLOOKUP(F353,'6月产品包'!B:B,'6月产品包'!AD:AD)</f>
        <v>57.7042</v>
      </c>
      <c r="S353" s="39">
        <v>106</v>
      </c>
      <c r="T353" s="39">
        <f t="shared" si="143"/>
        <v>133</v>
      </c>
      <c r="U353" s="42">
        <f t="shared" si="141"/>
        <v>106.4</v>
      </c>
      <c r="V353" s="43">
        <v>0.2</v>
      </c>
      <c r="W353" s="44">
        <f t="shared" si="144"/>
        <v>0.457667293233083</v>
      </c>
      <c r="X353" s="44">
        <f t="shared" si="145"/>
        <v>0.270003238571385</v>
      </c>
      <c r="Y353" s="44">
        <v>0.038</v>
      </c>
      <c r="Z353" s="46">
        <v>0.105</v>
      </c>
      <c r="AA353" s="46">
        <v>0.049</v>
      </c>
      <c r="AB353" s="46">
        <f t="shared" si="146"/>
        <v>0.00507518796992481</v>
      </c>
      <c r="AC353" s="46">
        <v>0.06</v>
      </c>
      <c r="AD353" s="47"/>
      <c r="AE353" s="6"/>
      <c r="AF353" s="55" t="s">
        <v>114</v>
      </c>
      <c r="AG353" s="39">
        <f t="shared" si="127"/>
        <v>6</v>
      </c>
      <c r="AH353" s="39">
        <f t="shared" si="128"/>
        <v>6</v>
      </c>
      <c r="AI353" s="39">
        <f t="shared" si="129"/>
        <v>0</v>
      </c>
      <c r="AJ353" s="39">
        <f t="shared" si="130"/>
        <v>0</v>
      </c>
      <c r="AK353" s="39">
        <f t="shared" si="131"/>
        <v>0</v>
      </c>
      <c r="AL353" s="39">
        <f t="shared" si="132"/>
        <v>0</v>
      </c>
      <c r="AM353" s="39">
        <f t="shared" si="133"/>
        <v>0</v>
      </c>
      <c r="AN353" s="39">
        <f t="shared" si="134"/>
        <v>0</v>
      </c>
    </row>
    <row r="354" s="6" customFormat="1" ht="50" hidden="1" customHeight="1" spans="1:40">
      <c r="A354" s="37" t="s">
        <v>96</v>
      </c>
      <c r="B354" s="37" t="s">
        <v>186</v>
      </c>
      <c r="C354" s="37" t="str">
        <f>_xlfn.XLOOKUP(F354,'6月产品包'!B:B,'6月产品包'!H:H)</f>
        <v>白板</v>
      </c>
      <c r="D354" s="38" t="str">
        <f>_xlfn.XLOOKUP(F354,'6月产品包'!B:B,'6月产品包'!O:O)</f>
        <v>磁吸白板密度板夹层</v>
      </c>
      <c r="E354" s="38" t="s">
        <v>695</v>
      </c>
      <c r="F354" s="39" t="s">
        <v>188</v>
      </c>
      <c r="G354" s="39" t="s">
        <v>106</v>
      </c>
      <c r="H354" s="39" t="s">
        <v>101</v>
      </c>
      <c r="I354" s="37" t="str">
        <f>_xlfn.XLOOKUP($F354,'6月库存'!A:A,'6月库存'!B:B)</f>
        <v>正常销售</v>
      </c>
      <c r="J354" s="12"/>
      <c r="K354" s="39" t="e">
        <f>_xlfn.XLOOKUP(E354,'[1]6月分配 '!$B:$B,'[1]6月分配 '!$K:$K)</f>
        <v>#N/A</v>
      </c>
      <c r="L354" s="12" t="str">
        <f t="shared" si="142"/>
        <v>否</v>
      </c>
      <c r="M354" s="40" t="str">
        <f>_xlfn.XLOOKUP(F354,'6月产品包'!B:B,'6月产品包'!J:J)</f>
        <v>2025-10-27</v>
      </c>
      <c r="N354" s="39" t="s">
        <v>149</v>
      </c>
      <c r="O354" s="37">
        <f>_xlfn.XLOOKUP(F354,'6月库存'!A:A,'6月库存'!R:R)</f>
        <v>495</v>
      </c>
      <c r="P354" s="39">
        <f>_xlfn.XLOOKUP(F354,'6月产品包'!B:B,'6月产品包'!S:S)</f>
        <v>8320</v>
      </c>
      <c r="Q354" s="39"/>
      <c r="R354" s="41">
        <f>_xlfn.XLOOKUP(F354,'6月产品包'!B:B,'6月产品包'!AD:AD)</f>
        <v>50.8544</v>
      </c>
      <c r="S354" s="39">
        <v>105</v>
      </c>
      <c r="T354" s="39">
        <f t="shared" si="143"/>
        <v>131</v>
      </c>
      <c r="U354" s="42">
        <f t="shared" si="141"/>
        <v>104.8</v>
      </c>
      <c r="V354" s="43">
        <v>0.2</v>
      </c>
      <c r="W354" s="44">
        <f t="shared" si="144"/>
        <v>0.514748091603053</v>
      </c>
      <c r="X354" s="44">
        <f t="shared" si="145"/>
        <v>0.331468354962876</v>
      </c>
      <c r="Y354" s="44">
        <v>0.04</v>
      </c>
      <c r="Z354" s="46">
        <v>0.1</v>
      </c>
      <c r="AA354" s="46">
        <v>0.049</v>
      </c>
      <c r="AB354" s="46">
        <f t="shared" si="146"/>
        <v>0.00515267175572519</v>
      </c>
      <c r="AC354" s="46">
        <v>0.08</v>
      </c>
      <c r="AD354" s="58">
        <v>0.05</v>
      </c>
      <c r="AE354" s="58">
        <v>0.05</v>
      </c>
      <c r="AF354" s="48" t="s">
        <v>102</v>
      </c>
      <c r="AG354" s="39">
        <f t="shared" si="127"/>
        <v>6</v>
      </c>
      <c r="AH354" s="39">
        <f t="shared" si="128"/>
        <v>6</v>
      </c>
      <c r="AI354" s="39">
        <f t="shared" si="129"/>
        <v>0</v>
      </c>
      <c r="AJ354" s="39">
        <f t="shared" si="130"/>
        <v>0</v>
      </c>
      <c r="AK354" s="39">
        <f t="shared" si="131"/>
        <v>0</v>
      </c>
      <c r="AL354" s="39">
        <f t="shared" si="132"/>
        <v>0</v>
      </c>
      <c r="AM354" s="39">
        <f t="shared" si="133"/>
        <v>0</v>
      </c>
      <c r="AN354" s="39">
        <f t="shared" si="134"/>
        <v>0</v>
      </c>
    </row>
    <row r="355" s="6" customFormat="1" ht="50" hidden="1" customHeight="1" spans="1:40">
      <c r="A355" s="37" t="s">
        <v>96</v>
      </c>
      <c r="B355" s="37" t="s">
        <v>115</v>
      </c>
      <c r="C355" s="37" t="str">
        <f>_xlfn.XLOOKUP(F355,'6月产品包'!B:B,'6月产品包'!H:H)</f>
        <v>毛毡照片墙</v>
      </c>
      <c r="D355" s="38" t="str">
        <f>_xlfn.XLOOKUP(F355,'6月产品包'!B:B,'6月产品包'!O:O)</f>
        <v>毛毡照片公告墙</v>
      </c>
      <c r="E355" s="38" t="s">
        <v>696</v>
      </c>
      <c r="F355" s="39" t="s">
        <v>697</v>
      </c>
      <c r="G355" s="39" t="e">
        <v>#N/A</v>
      </c>
      <c r="H355" s="39" t="s">
        <v>101</v>
      </c>
      <c r="I355" s="37" t="str">
        <f>_xlfn.XLOOKUP($F355,'6月库存'!A:A,'6月库存'!B:B)</f>
        <v>正常销售</v>
      </c>
      <c r="J355" s="12"/>
      <c r="K355" s="39">
        <f>_xlfn.XLOOKUP(E355,'[1]6月分配 '!$B:$B,'[1]6月分配 '!$K:$K)</f>
        <v>1656</v>
      </c>
      <c r="L355" s="12" t="str">
        <f t="shared" si="142"/>
        <v>是</v>
      </c>
      <c r="M355" s="40" t="str">
        <f>_xlfn.XLOOKUP(F355,'6月产品包'!B:B,'6月产品包'!J:J)</f>
        <v>2026-01-06</v>
      </c>
      <c r="N355" s="39" t="str">
        <f ca="1">IF(DATEDIF(M355,TODAY(),"m")&lt;6,"新品","老品")</f>
        <v>新品</v>
      </c>
      <c r="O355" s="37">
        <f>_xlfn.XLOOKUP(F355,'6月库存'!A:A,'6月库存'!R:R)</f>
        <v>124</v>
      </c>
      <c r="P355" s="39">
        <f>_xlfn.XLOOKUP(F355,'6月产品包'!B:B,'6月产品包'!S:S)</f>
        <v>625</v>
      </c>
      <c r="Q355" s="39"/>
      <c r="R355" s="41">
        <f>_xlfn.XLOOKUP(F355,'6月产品包'!B:B,'6月产品包'!AD:AD)</f>
        <v>12.0814</v>
      </c>
      <c r="S355" s="39">
        <v>22</v>
      </c>
      <c r="T355" s="39">
        <f t="shared" si="143"/>
        <v>28</v>
      </c>
      <c r="U355" s="42">
        <f t="shared" si="141"/>
        <v>22.4</v>
      </c>
      <c r="V355" s="43">
        <v>0.2</v>
      </c>
      <c r="W355" s="44">
        <f t="shared" si="144"/>
        <v>0.460651785714286</v>
      </c>
      <c r="X355" s="44">
        <f t="shared" si="145"/>
        <v>0.270058968534003</v>
      </c>
      <c r="Y355" s="44">
        <v>0.038</v>
      </c>
      <c r="Z355" s="46">
        <v>0.09</v>
      </c>
      <c r="AA355" s="46">
        <v>0.049</v>
      </c>
      <c r="AB355" s="46">
        <f t="shared" si="146"/>
        <v>0.0241071428571429</v>
      </c>
      <c r="AC355" s="46">
        <v>0.06</v>
      </c>
      <c r="AD355" s="47"/>
      <c r="AE355" s="6"/>
      <c r="AF355" s="55" t="s">
        <v>114</v>
      </c>
      <c r="AG355" s="39">
        <f t="shared" si="127"/>
        <v>0</v>
      </c>
      <c r="AH355" s="39">
        <f t="shared" si="128"/>
        <v>0</v>
      </c>
      <c r="AI355" s="39">
        <f t="shared" si="129"/>
        <v>0</v>
      </c>
      <c r="AJ355" s="39">
        <f t="shared" si="130"/>
        <v>0</v>
      </c>
      <c r="AK355" s="39">
        <f t="shared" si="131"/>
        <v>0</v>
      </c>
      <c r="AL355" s="39">
        <f t="shared" si="132"/>
        <v>0</v>
      </c>
      <c r="AM355" s="39">
        <f t="shared" si="133"/>
        <v>0</v>
      </c>
      <c r="AN355" s="39">
        <f t="shared" si="134"/>
        <v>0</v>
      </c>
    </row>
    <row r="356" s="6" customFormat="1" ht="50" hidden="1" customHeight="1" spans="1:40">
      <c r="A356" s="37" t="s">
        <v>96</v>
      </c>
      <c r="B356" s="37" t="s">
        <v>186</v>
      </c>
      <c r="C356" s="37" t="str">
        <f>_xlfn.XLOOKUP(F356,'6月产品包'!B:B,'6月产品包'!H:H)</f>
        <v>白板</v>
      </c>
      <c r="D356" s="38" t="str">
        <f>_xlfn.XLOOKUP(F356,'6月产品包'!B:B,'6月产品包'!O:O)</f>
        <v>磁吸白板密度板夹层</v>
      </c>
      <c r="E356" s="38" t="s">
        <v>695</v>
      </c>
      <c r="F356" s="39" t="s">
        <v>188</v>
      </c>
      <c r="G356" s="39" t="s">
        <v>106</v>
      </c>
      <c r="H356" s="39" t="s">
        <v>101</v>
      </c>
      <c r="I356" s="37" t="str">
        <f>_xlfn.XLOOKUP($F356,'6月库存'!A:A,'6月库存'!B:B)</f>
        <v>正常销售</v>
      </c>
      <c r="J356" s="12"/>
      <c r="K356" s="39" t="e">
        <f>_xlfn.XLOOKUP(E356,'[1]6月分配 '!$B:$B,'[1]6月分配 '!$K:$K)</f>
        <v>#N/A</v>
      </c>
      <c r="L356" s="12" t="str">
        <f t="shared" si="142"/>
        <v>否</v>
      </c>
      <c r="M356" s="40" t="str">
        <f>_xlfn.XLOOKUP(F356,'6月产品包'!B:B,'6月产品包'!J:J)</f>
        <v>2025-10-27</v>
      </c>
      <c r="N356" s="39" t="s">
        <v>149</v>
      </c>
      <c r="O356" s="37">
        <f>_xlfn.XLOOKUP(F356,'6月库存'!A:A,'6月库存'!R:R)</f>
        <v>495</v>
      </c>
      <c r="P356" s="39">
        <f>_xlfn.XLOOKUP(F356,'6月产品包'!B:B,'6月产品包'!S:S)</f>
        <v>8320</v>
      </c>
      <c r="Q356" s="39"/>
      <c r="R356" s="41">
        <f>_xlfn.XLOOKUP(F356,'6月产品包'!B:B,'6月产品包'!AD:AD)</f>
        <v>50.8544</v>
      </c>
      <c r="S356" s="39">
        <v>105</v>
      </c>
      <c r="T356" s="39">
        <f t="shared" si="143"/>
        <v>131</v>
      </c>
      <c r="U356" s="42">
        <f t="shared" si="141"/>
        <v>104.8</v>
      </c>
      <c r="V356" s="43">
        <v>0.2</v>
      </c>
      <c r="W356" s="44">
        <f t="shared" si="144"/>
        <v>0.514748091603053</v>
      </c>
      <c r="X356" s="44">
        <f t="shared" si="145"/>
        <v>0.331468354962876</v>
      </c>
      <c r="Y356" s="44">
        <v>0.04</v>
      </c>
      <c r="Z356" s="46">
        <v>0.1</v>
      </c>
      <c r="AA356" s="46">
        <v>0.049</v>
      </c>
      <c r="AB356" s="46">
        <f t="shared" si="146"/>
        <v>0.00515267175572519</v>
      </c>
      <c r="AC356" s="46">
        <v>0.08</v>
      </c>
      <c r="AD356" s="58">
        <v>0.05</v>
      </c>
      <c r="AE356" s="58">
        <v>0.05</v>
      </c>
      <c r="AF356" s="48" t="s">
        <v>102</v>
      </c>
      <c r="AG356" s="39">
        <f t="shared" si="127"/>
        <v>6</v>
      </c>
      <c r="AH356" s="39">
        <f t="shared" si="128"/>
        <v>6</v>
      </c>
      <c r="AI356" s="39">
        <f t="shared" si="129"/>
        <v>0</v>
      </c>
      <c r="AJ356" s="39">
        <f t="shared" si="130"/>
        <v>0</v>
      </c>
      <c r="AK356" s="39">
        <f t="shared" si="131"/>
        <v>0</v>
      </c>
      <c r="AL356" s="39">
        <f t="shared" si="132"/>
        <v>0</v>
      </c>
      <c r="AM356" s="39">
        <f t="shared" si="133"/>
        <v>0</v>
      </c>
      <c r="AN356" s="39">
        <f t="shared" si="134"/>
        <v>0</v>
      </c>
    </row>
    <row r="357" s="6" customFormat="1" ht="50" hidden="1" customHeight="1" spans="1:40">
      <c r="A357" s="37" t="s">
        <v>96</v>
      </c>
      <c r="B357" s="37" t="s">
        <v>186</v>
      </c>
      <c r="C357" s="37" t="str">
        <f>_xlfn.XLOOKUP(F357,'6月产品包'!B:B,'6月产品包'!H:H)</f>
        <v>白板</v>
      </c>
      <c r="D357" s="38" t="str">
        <f>_xlfn.XLOOKUP(F357,'6月产品包'!B:B,'6月产品包'!O:O)</f>
        <v>磁吸白板密度板夹层</v>
      </c>
      <c r="E357" s="38" t="s">
        <v>698</v>
      </c>
      <c r="F357" s="39" t="s">
        <v>699</v>
      </c>
      <c r="G357" s="39" t="s">
        <v>106</v>
      </c>
      <c r="H357" s="39" t="s">
        <v>101</v>
      </c>
      <c r="I357" s="37" t="str">
        <f>_xlfn.XLOOKUP($F357,'6月库存'!A:A,'6月库存'!B:B)</f>
        <v>正常销售</v>
      </c>
      <c r="J357" s="12"/>
      <c r="K357" s="39" t="e">
        <f>_xlfn.XLOOKUP(E357,'[1]6月分配 '!$B:$B,'[1]6月分配 '!$K:$K)</f>
        <v>#N/A</v>
      </c>
      <c r="L357" s="12" t="str">
        <f t="shared" si="142"/>
        <v>否</v>
      </c>
      <c r="M357" s="40" t="str">
        <f>_xlfn.XLOOKUP(F357,'6月产品包'!B:B,'6月产品包'!J:J)</f>
        <v>2025-10-27</v>
      </c>
      <c r="N357" s="39" t="s">
        <v>149</v>
      </c>
      <c r="O357" s="37">
        <f>_xlfn.XLOOKUP(F357,'6月库存'!A:A,'6月库存'!R:R)</f>
        <v>257</v>
      </c>
      <c r="P357" s="39">
        <f>_xlfn.XLOOKUP(F357,'6月产品包'!B:B,'6月产品包'!S:S)</f>
        <v>9840</v>
      </c>
      <c r="Q357" s="39"/>
      <c r="R357" s="41">
        <f>_xlfn.XLOOKUP(F357,'6月产品包'!B:B,'6月产品包'!AD:AD)</f>
        <v>58.0986</v>
      </c>
      <c r="S357" s="39">
        <v>120</v>
      </c>
      <c r="T357" s="39">
        <f t="shared" si="143"/>
        <v>150</v>
      </c>
      <c r="U357" s="42">
        <f t="shared" si="141"/>
        <v>120</v>
      </c>
      <c r="V357" s="43">
        <v>0.2</v>
      </c>
      <c r="W357" s="44">
        <f t="shared" si="144"/>
        <v>0.515845</v>
      </c>
      <c r="X357" s="44">
        <f t="shared" si="145"/>
        <v>0.333578802477633</v>
      </c>
      <c r="Y357" s="44">
        <v>0.04</v>
      </c>
      <c r="Z357" s="46">
        <v>0.1</v>
      </c>
      <c r="AA357" s="46">
        <v>0.049</v>
      </c>
      <c r="AB357" s="46">
        <f t="shared" si="146"/>
        <v>0.0045</v>
      </c>
      <c r="AC357" s="46">
        <v>0.08</v>
      </c>
      <c r="AD357" s="58">
        <v>0.05</v>
      </c>
      <c r="AE357" s="58">
        <v>0.05</v>
      </c>
      <c r="AF357" s="48" t="s">
        <v>102</v>
      </c>
      <c r="AG357" s="39">
        <f t="shared" si="127"/>
        <v>6</v>
      </c>
      <c r="AH357" s="39">
        <f t="shared" si="128"/>
        <v>6</v>
      </c>
      <c r="AI357" s="39">
        <f t="shared" si="129"/>
        <v>0</v>
      </c>
      <c r="AJ357" s="39">
        <f t="shared" si="130"/>
        <v>0</v>
      </c>
      <c r="AK357" s="39">
        <f t="shared" si="131"/>
        <v>0</v>
      </c>
      <c r="AL357" s="39">
        <f t="shared" si="132"/>
        <v>0</v>
      </c>
      <c r="AM357" s="39">
        <f t="shared" si="133"/>
        <v>0</v>
      </c>
      <c r="AN357" s="39">
        <f t="shared" si="134"/>
        <v>0</v>
      </c>
    </row>
    <row r="358" s="6" customFormat="1" ht="50" hidden="1" customHeight="1" spans="1:40">
      <c r="A358" s="37" t="s">
        <v>96</v>
      </c>
      <c r="B358" s="37" t="s">
        <v>186</v>
      </c>
      <c r="C358" s="37" t="str">
        <f>_xlfn.XLOOKUP(F358,'6月产品包'!B:B,'6月产品包'!H:H)</f>
        <v>白板</v>
      </c>
      <c r="D358" s="38" t="str">
        <f>_xlfn.XLOOKUP(F358,'6月产品包'!B:B,'6月产品包'!O:O)</f>
        <v>磁吸白板密度板夹层</v>
      </c>
      <c r="E358" s="38" t="s">
        <v>700</v>
      </c>
      <c r="F358" s="39" t="s">
        <v>699</v>
      </c>
      <c r="G358" s="39" t="s">
        <v>106</v>
      </c>
      <c r="H358" s="39" t="s">
        <v>101</v>
      </c>
      <c r="I358" s="37" t="str">
        <f>_xlfn.XLOOKUP($F358,'6月库存'!A:A,'6月库存'!B:B)</f>
        <v>正常销售</v>
      </c>
      <c r="J358" s="12"/>
      <c r="K358" s="39" t="e">
        <f>_xlfn.XLOOKUP(E358,'[1]6月分配 '!$B:$B,'[1]6月分配 '!$K:$K)</f>
        <v>#N/A</v>
      </c>
      <c r="L358" s="12" t="str">
        <f t="shared" si="142"/>
        <v>否</v>
      </c>
      <c r="M358" s="40" t="str">
        <f>_xlfn.XLOOKUP(F358,'6月产品包'!B:B,'6月产品包'!J:J)</f>
        <v>2025-10-27</v>
      </c>
      <c r="N358" s="39" t="s">
        <v>149</v>
      </c>
      <c r="O358" s="37">
        <f>_xlfn.XLOOKUP(F358,'6月库存'!A:A,'6月库存'!R:R)</f>
        <v>257</v>
      </c>
      <c r="P358" s="39">
        <f>_xlfn.XLOOKUP(F358,'6月产品包'!B:B,'6月产品包'!S:S)</f>
        <v>9840</v>
      </c>
      <c r="Q358" s="39"/>
      <c r="R358" s="41">
        <f>_xlfn.XLOOKUP(F358,'6月产品包'!B:B,'6月产品包'!AD:AD)</f>
        <v>58.0986</v>
      </c>
      <c r="S358" s="39">
        <v>125</v>
      </c>
      <c r="T358" s="39">
        <f t="shared" si="143"/>
        <v>156</v>
      </c>
      <c r="U358" s="42">
        <f t="shared" si="141"/>
        <v>124.8</v>
      </c>
      <c r="V358" s="43">
        <v>0.2</v>
      </c>
      <c r="W358" s="44">
        <f t="shared" si="144"/>
        <v>0.534466346153846</v>
      </c>
      <c r="X358" s="44">
        <f t="shared" si="145"/>
        <v>0.359363008442057</v>
      </c>
      <c r="Y358" s="44">
        <v>0.04</v>
      </c>
      <c r="Z358" s="46">
        <v>0.1</v>
      </c>
      <c r="AA358" s="46">
        <v>0.049</v>
      </c>
      <c r="AB358" s="46">
        <f t="shared" si="146"/>
        <v>0.00432692307692308</v>
      </c>
      <c r="AC358" s="46">
        <v>0.08</v>
      </c>
      <c r="AD358" s="58">
        <v>0.05</v>
      </c>
      <c r="AE358" s="58">
        <v>0.05</v>
      </c>
      <c r="AF358" s="48" t="s">
        <v>102</v>
      </c>
      <c r="AG358" s="39">
        <f t="shared" si="127"/>
        <v>6</v>
      </c>
      <c r="AH358" s="39">
        <f t="shared" si="128"/>
        <v>6</v>
      </c>
      <c r="AI358" s="39">
        <f t="shared" si="129"/>
        <v>0</v>
      </c>
      <c r="AJ358" s="39">
        <f t="shared" si="130"/>
        <v>0</v>
      </c>
      <c r="AK358" s="39">
        <f t="shared" si="131"/>
        <v>0</v>
      </c>
      <c r="AL358" s="39">
        <f t="shared" si="132"/>
        <v>0</v>
      </c>
      <c r="AM358" s="39">
        <f t="shared" si="133"/>
        <v>0</v>
      </c>
      <c r="AN358" s="39">
        <f t="shared" si="134"/>
        <v>0</v>
      </c>
    </row>
    <row r="359" s="6" customFormat="1" ht="50" hidden="1" customHeight="1" spans="1:40">
      <c r="A359" s="39" t="str">
        <f>_xlfn.XLOOKUP(F359,'6月产品包'!B:B,'6月产品包'!F:F)</f>
        <v>办公安防</v>
      </c>
      <c r="B359" s="39" t="str">
        <f>_xlfn.XLOOKUP(F359,'6月产品包'!B:B,'6月产品包'!G:G)</f>
        <v>教学周边</v>
      </c>
      <c r="C359" s="37" t="str">
        <f>_xlfn.XLOOKUP(F359,'6月产品包'!B:B,'6月产品包'!H:H)</f>
        <v>白板</v>
      </c>
      <c r="D359" s="38" t="str">
        <f>_xlfn.XLOOKUP(F359,'6月产品包'!B:B,'6月产品包'!O:O)</f>
        <v>磁吸白板密度板夹层</v>
      </c>
      <c r="E359" s="38" t="str">
        <f>_xlfn.XLOOKUP(F359,'6月产品包'!B:B,'6月产品包'!C:C)</f>
        <v>3B-磁吸白板密度板夹层90cm*180cm</v>
      </c>
      <c r="F359" s="39" t="s">
        <v>701</v>
      </c>
      <c r="G359" s="39" t="s">
        <v>106</v>
      </c>
      <c r="H359" s="49" t="s">
        <v>101</v>
      </c>
      <c r="I359" s="37" t="str">
        <f>_xlfn.XLOOKUP($F359,'6月库存'!A:A,'6月库存'!B:B)</f>
        <v>等待开发</v>
      </c>
      <c r="J359" s="12"/>
      <c r="K359" s="39" t="e">
        <f>_xlfn.XLOOKUP(E359,'[1]6月分配 '!$B:$B,'[1]6月分配 '!$K:$K)</f>
        <v>#N/A</v>
      </c>
      <c r="L359" s="12" t="str">
        <f t="shared" si="142"/>
        <v>否</v>
      </c>
      <c r="M359" s="40" t="str">
        <f>_xlfn.XLOOKUP(F359,'6月产品包'!B:B,'6月产品包'!J:J)</f>
        <v>2026-04-16</v>
      </c>
      <c r="N359" s="39" t="s">
        <v>149</v>
      </c>
      <c r="O359" s="37">
        <f>_xlfn.XLOOKUP(F359,'6月库存'!A:A,'6月库存'!R:R)</f>
        <v>0</v>
      </c>
      <c r="P359" s="39">
        <f>_xlfn.XLOOKUP(F359,'6月产品包'!B:B,'6月产品包'!S:S)</f>
        <v>9840</v>
      </c>
      <c r="Q359" s="56"/>
      <c r="R359" s="41">
        <f>_xlfn.XLOOKUP(F359,'6月产品包'!B:B,'6月产品包'!AD:AD)</f>
        <v>56.8922</v>
      </c>
      <c r="S359" s="39">
        <v>120</v>
      </c>
      <c r="T359" s="39">
        <f t="shared" si="143"/>
        <v>150</v>
      </c>
      <c r="U359" s="42">
        <f t="shared" si="141"/>
        <v>120</v>
      </c>
      <c r="V359" s="43">
        <v>0.2</v>
      </c>
      <c r="W359" s="44">
        <f t="shared" si="144"/>
        <v>0.525898333333333</v>
      </c>
      <c r="X359" s="44">
        <f t="shared" si="145"/>
        <v>0.347416838724478</v>
      </c>
      <c r="Y359" s="44">
        <v>0.04</v>
      </c>
      <c r="Z359" s="46">
        <v>0.1</v>
      </c>
      <c r="AA359" s="46">
        <v>0.049</v>
      </c>
      <c r="AB359" s="46">
        <f t="shared" si="146"/>
        <v>0.0045</v>
      </c>
      <c r="AC359" s="46">
        <v>0.08</v>
      </c>
      <c r="AD359" s="58">
        <v>0.05</v>
      </c>
      <c r="AE359" s="58">
        <v>0.05</v>
      </c>
      <c r="AF359" s="48" t="s">
        <v>102</v>
      </c>
      <c r="AG359" s="39">
        <f t="shared" si="127"/>
        <v>6</v>
      </c>
      <c r="AH359" s="39">
        <f t="shared" si="128"/>
        <v>6</v>
      </c>
      <c r="AI359" s="39">
        <f t="shared" si="129"/>
        <v>0</v>
      </c>
      <c r="AJ359" s="39">
        <f t="shared" si="130"/>
        <v>0</v>
      </c>
      <c r="AK359" s="39">
        <f t="shared" si="131"/>
        <v>0</v>
      </c>
      <c r="AL359" s="39">
        <f t="shared" si="132"/>
        <v>0</v>
      </c>
      <c r="AM359" s="39">
        <f t="shared" si="133"/>
        <v>0</v>
      </c>
      <c r="AN359" s="39">
        <f t="shared" si="134"/>
        <v>0</v>
      </c>
    </row>
    <row r="360" s="6" customFormat="1" ht="50" hidden="1" customHeight="1" spans="1:40">
      <c r="A360" s="39" t="s">
        <v>96</v>
      </c>
      <c r="B360" s="39" t="s">
        <v>186</v>
      </c>
      <c r="C360" s="37" t="str">
        <f>_xlfn.XLOOKUP(F360,'6月产品包'!B:B,'6月产品包'!H:H)</f>
        <v>白板</v>
      </c>
      <c r="D360" s="38" t="str">
        <f>_xlfn.XLOOKUP(F360,'6月产品包'!B:B,'6月产品包'!O:O)</f>
        <v>磁吸白板密度板夹层</v>
      </c>
      <c r="E360" s="38" t="s">
        <v>702</v>
      </c>
      <c r="F360" s="39" t="s">
        <v>701</v>
      </c>
      <c r="G360" s="39" t="s">
        <v>106</v>
      </c>
      <c r="H360" s="49" t="s">
        <v>101</v>
      </c>
      <c r="I360" s="37" t="str">
        <f>_xlfn.XLOOKUP($F360,'6月库存'!A:A,'6月库存'!B:B)</f>
        <v>等待开发</v>
      </c>
      <c r="J360" s="12"/>
      <c r="K360" s="39" t="e">
        <f>_xlfn.XLOOKUP(E360,'[1]6月分配 '!$B:$B,'[1]6月分配 '!$K:$K)</f>
        <v>#N/A</v>
      </c>
      <c r="L360" s="12" t="str">
        <f t="shared" si="142"/>
        <v>否</v>
      </c>
      <c r="M360" s="40" t="str">
        <f>_xlfn.XLOOKUP(F360,'6月产品包'!B:B,'6月产品包'!J:J)</f>
        <v>2026-04-16</v>
      </c>
      <c r="N360" s="39" t="s">
        <v>149</v>
      </c>
      <c r="O360" s="37">
        <f>_xlfn.XLOOKUP(F360,'6月库存'!A:A,'6月库存'!R:R)</f>
        <v>0</v>
      </c>
      <c r="P360" s="39">
        <f>_xlfn.XLOOKUP(F360,'6月产品包'!B:B,'6月产品包'!S:S)</f>
        <v>9840</v>
      </c>
      <c r="Q360" s="56"/>
      <c r="R360" s="41">
        <f>_xlfn.XLOOKUP(F360,'6月产品包'!B:B,'6月产品包'!AD:AD)</f>
        <v>56.8922</v>
      </c>
      <c r="S360" s="39">
        <v>125</v>
      </c>
      <c r="T360" s="39">
        <f t="shared" si="143"/>
        <v>156</v>
      </c>
      <c r="U360" s="42">
        <f t="shared" si="141"/>
        <v>124.8</v>
      </c>
      <c r="V360" s="43">
        <v>0.2</v>
      </c>
      <c r="W360" s="44">
        <f t="shared" si="144"/>
        <v>0.544133012820513</v>
      </c>
      <c r="X360" s="44">
        <f t="shared" si="145"/>
        <v>0.372665643387056</v>
      </c>
      <c r="Y360" s="44">
        <v>0.04</v>
      </c>
      <c r="Z360" s="46">
        <v>0.1</v>
      </c>
      <c r="AA360" s="46">
        <v>0.049</v>
      </c>
      <c r="AB360" s="46">
        <f t="shared" si="146"/>
        <v>0.00432692307692308</v>
      </c>
      <c r="AC360" s="46">
        <v>0.08</v>
      </c>
      <c r="AD360" s="58">
        <v>0.05</v>
      </c>
      <c r="AE360" s="58">
        <v>0.05</v>
      </c>
      <c r="AF360" s="48" t="s">
        <v>102</v>
      </c>
      <c r="AG360" s="39">
        <f t="shared" si="127"/>
        <v>6</v>
      </c>
      <c r="AH360" s="39">
        <f t="shared" si="128"/>
        <v>6</v>
      </c>
      <c r="AI360" s="39">
        <f t="shared" si="129"/>
        <v>0</v>
      </c>
      <c r="AJ360" s="39">
        <f t="shared" si="130"/>
        <v>0</v>
      </c>
      <c r="AK360" s="39">
        <f t="shared" si="131"/>
        <v>0</v>
      </c>
      <c r="AL360" s="39">
        <f t="shared" si="132"/>
        <v>0</v>
      </c>
      <c r="AM360" s="39">
        <f t="shared" si="133"/>
        <v>0</v>
      </c>
      <c r="AN360" s="39">
        <f t="shared" si="134"/>
        <v>0</v>
      </c>
    </row>
    <row r="361" s="6" customFormat="1" ht="50" hidden="1" customHeight="1" spans="1:40">
      <c r="A361" s="37" t="s">
        <v>96</v>
      </c>
      <c r="B361" s="39" t="s">
        <v>115</v>
      </c>
      <c r="C361" s="37" t="str">
        <f>_xlfn.XLOOKUP(F361,'6月产品包'!B:B,'6月产品包'!H:H)</f>
        <v>银钱盒</v>
      </c>
      <c r="D361" s="38" t="str">
        <f>_xlfn.XLOOKUP(F361,'6月产品包'!B:B,'6月产品包'!O:O)</f>
        <v>迷你收银箱</v>
      </c>
      <c r="E361" s="38" t="s">
        <v>703</v>
      </c>
      <c r="F361" s="39" t="s">
        <v>704</v>
      </c>
      <c r="G361" s="39" t="s">
        <v>126</v>
      </c>
      <c r="H361" s="39" t="s">
        <v>101</v>
      </c>
      <c r="I361" s="37" t="str">
        <f>_xlfn.XLOOKUP($F361,'6月库存'!A:A,'6月库存'!B:B)</f>
        <v>正常销售</v>
      </c>
      <c r="J361" s="12"/>
      <c r="K361" s="39" t="e">
        <f>_xlfn.XLOOKUP(E361,'[1]6月分配 '!$B:$B,'[1]6月分配 '!$K:$K)</f>
        <v>#N/A</v>
      </c>
      <c r="L361" s="12" t="str">
        <f t="shared" si="142"/>
        <v>否</v>
      </c>
      <c r="M361" s="40" t="str">
        <f>_xlfn.XLOOKUP(F361,'6月产品包'!B:B,'6月产品包'!J:J)</f>
        <v>2025-11-18</v>
      </c>
      <c r="N361" s="39" t="s">
        <v>149</v>
      </c>
      <c r="O361" s="37">
        <f>_xlfn.XLOOKUP(F361,'6月库存'!A:A,'6月库存'!R:R)</f>
        <v>0</v>
      </c>
      <c r="P361" s="39">
        <f>_xlfn.XLOOKUP(F361,'6月产品包'!B:B,'6月产品包'!S:S)</f>
        <v>470</v>
      </c>
      <c r="Q361" s="39"/>
      <c r="R361" s="41">
        <f>_xlfn.XLOOKUP(F361,'6月产品包'!B:B,'6月产品包'!AD:AD)</f>
        <v>9.4598</v>
      </c>
      <c r="S361" s="39">
        <v>21</v>
      </c>
      <c r="T361" s="39">
        <f t="shared" si="143"/>
        <v>26</v>
      </c>
      <c r="U361" s="42">
        <f t="shared" si="141"/>
        <v>20.8</v>
      </c>
      <c r="V361" s="43">
        <v>0.2</v>
      </c>
      <c r="W361" s="44">
        <f t="shared" si="144"/>
        <v>0.545201923076923</v>
      </c>
      <c r="X361" s="44">
        <f t="shared" si="145"/>
        <v>0.37272558484961</v>
      </c>
      <c r="Y361" s="44">
        <v>0.04</v>
      </c>
      <c r="Z361" s="46">
        <v>0.1</v>
      </c>
      <c r="AA361" s="46">
        <v>0.049</v>
      </c>
      <c r="AB361" s="46">
        <f t="shared" si="146"/>
        <v>0.0259615384615385</v>
      </c>
      <c r="AC361" s="46">
        <v>0.06</v>
      </c>
      <c r="AD361" s="47"/>
      <c r="AF361" s="48" t="s">
        <v>102</v>
      </c>
      <c r="AG361" s="39">
        <f t="shared" si="127"/>
        <v>0</v>
      </c>
      <c r="AH361" s="39">
        <f t="shared" si="128"/>
        <v>0</v>
      </c>
      <c r="AI361" s="39">
        <f t="shared" si="129"/>
        <v>0</v>
      </c>
      <c r="AJ361" s="39">
        <f t="shared" si="130"/>
        <v>0</v>
      </c>
      <c r="AK361" s="39">
        <f t="shared" si="131"/>
        <v>0</v>
      </c>
      <c r="AL361" s="39">
        <f t="shared" si="132"/>
        <v>0</v>
      </c>
      <c r="AM361" s="39">
        <f t="shared" si="133"/>
        <v>0</v>
      </c>
      <c r="AN361" s="39">
        <f t="shared" si="134"/>
        <v>0</v>
      </c>
    </row>
    <row r="362" s="6" customFormat="1" ht="50" hidden="1" customHeight="1" spans="1:40">
      <c r="A362" s="37" t="s">
        <v>96</v>
      </c>
      <c r="B362" s="39" t="s">
        <v>115</v>
      </c>
      <c r="C362" s="37" t="str">
        <f>_xlfn.XLOOKUP(F362,'6月产品包'!B:B,'6月产品包'!H:H)</f>
        <v>银钱盒</v>
      </c>
      <c r="D362" s="38" t="str">
        <f>_xlfn.XLOOKUP(F362,'6月产品包'!B:B,'6月产品包'!O:O)</f>
        <v>迷你收银箱</v>
      </c>
      <c r="E362" s="38" t="s">
        <v>703</v>
      </c>
      <c r="F362" s="39" t="s">
        <v>705</v>
      </c>
      <c r="G362" s="39" t="s">
        <v>126</v>
      </c>
      <c r="H362" s="37" t="s">
        <v>101</v>
      </c>
      <c r="I362" s="37" t="str">
        <f>_xlfn.XLOOKUP($F362,'6月库存'!A:A,'6月库存'!B:B)</f>
        <v>商品清仓</v>
      </c>
      <c r="J362" s="12"/>
      <c r="K362" s="39" t="e">
        <f>_xlfn.XLOOKUP(E362,'[1]6月分配 '!$B:$B,'[1]6月分配 '!$K:$K)</f>
        <v>#N/A</v>
      </c>
      <c r="L362" s="12" t="str">
        <f t="shared" si="142"/>
        <v>否</v>
      </c>
      <c r="M362" s="40" t="str">
        <f>_xlfn.XLOOKUP(F362,'6月产品包'!B:B,'6月产品包'!J:J)</f>
        <v>2025-03-15</v>
      </c>
      <c r="N362" s="39" t="s">
        <v>155</v>
      </c>
      <c r="O362" s="37">
        <f>_xlfn.XLOOKUP(F362,'6月库存'!A:A,'6月库存'!R:R)</f>
        <v>296</v>
      </c>
      <c r="P362" s="39">
        <f>_xlfn.XLOOKUP(F362,'6月产品包'!B:B,'6月产品包'!S:S)</f>
        <v>470</v>
      </c>
      <c r="Q362" s="39"/>
      <c r="R362" s="41">
        <f>_xlfn.XLOOKUP(F362,'6月产品包'!B:B,'6月产品包'!AD:AD)</f>
        <v>9.4772</v>
      </c>
      <c r="S362" s="39">
        <v>21</v>
      </c>
      <c r="T362" s="39">
        <f t="shared" si="143"/>
        <v>26</v>
      </c>
      <c r="U362" s="42">
        <f t="shared" si="141"/>
        <v>20.8</v>
      </c>
      <c r="V362" s="43">
        <v>0.2</v>
      </c>
      <c r="W362" s="44">
        <f t="shared" si="144"/>
        <v>0.544365384615385</v>
      </c>
      <c r="X362" s="44">
        <f t="shared" si="145"/>
        <v>0.371571799904514</v>
      </c>
      <c r="Y362" s="44">
        <v>0.04</v>
      </c>
      <c r="Z362" s="46">
        <v>0.1</v>
      </c>
      <c r="AA362" s="46">
        <v>0.049</v>
      </c>
      <c r="AB362" s="46">
        <f t="shared" si="146"/>
        <v>0.0259615384615385</v>
      </c>
      <c r="AC362" s="46">
        <v>0.06</v>
      </c>
      <c r="AD362" s="47"/>
      <c r="AF362" s="48" t="s">
        <v>102</v>
      </c>
      <c r="AG362" s="39">
        <f t="shared" ref="AG362:AG383" si="147">MAX(AH362:AN362)</f>
        <v>0</v>
      </c>
      <c r="AH362" s="39">
        <f t="shared" ref="AH362:AH383" si="148">IF(U362&gt;=50,MIN(MIN(U362*0.2,20)*0.3,6),0)</f>
        <v>0</v>
      </c>
      <c r="AI362" s="39">
        <f t="shared" ref="AI362:AI383" si="149">IF(U362&gt;=200,MIN(MIN(U362*0.18,70)*0.3,21),0)</f>
        <v>0</v>
      </c>
      <c r="AJ362" s="39">
        <f t="shared" ref="AJ362:AJ385" si="150">IF(U362&gt;=380,MIN(MIN(U362*0.28,350)*0.3,105),0)</f>
        <v>0</v>
      </c>
      <c r="AK362" s="39">
        <f t="shared" ref="AK362:AK385" si="151">IF(U362&gt;=380,MIN(MIN(U362*0.25,350)*0.3,105),0)</f>
        <v>0</v>
      </c>
      <c r="AL362" s="39">
        <f t="shared" ref="AL362:AL383" si="152">IF(U362&gt;=380,MIN(MIN(U362*0.22,300)*0.3,90),0)</f>
        <v>0</v>
      </c>
      <c r="AM362" s="39">
        <f t="shared" ref="AM362:AM383" si="153">IF(U362&gt;=250,MIN(MIN(U362*0.18,120)*0.3,36),0)</f>
        <v>0</v>
      </c>
      <c r="AN362" s="39">
        <f t="shared" ref="AN362:AN383" si="154">IF(U362&gt;=180,MIN(MIN(U362*0.15,60)*0.3,18),0)</f>
        <v>0</v>
      </c>
    </row>
    <row r="363" s="6" customFormat="1" ht="50" hidden="1" customHeight="1" spans="1:40">
      <c r="A363" s="37" t="s">
        <v>96</v>
      </c>
      <c r="B363" s="37" t="s">
        <v>115</v>
      </c>
      <c r="C363" s="37" t="str">
        <f>_xlfn.XLOOKUP(F363,'6月产品包'!B:B,'6月产品包'!H:H)</f>
        <v>银钱盒</v>
      </c>
      <c r="D363" s="38" t="str">
        <f>_xlfn.XLOOKUP(F363,'6月产品包'!B:B,'6月产品包'!O:O)</f>
        <v>迷你收银箱</v>
      </c>
      <c r="E363" s="38" t="s">
        <v>706</v>
      </c>
      <c r="F363" s="39" t="s">
        <v>707</v>
      </c>
      <c r="G363" s="39" t="s">
        <v>126</v>
      </c>
      <c r="H363" s="39" t="s">
        <v>101</v>
      </c>
      <c r="I363" s="37" t="str">
        <f>_xlfn.XLOOKUP($F363,'6月库存'!A:A,'6月库存'!B:B)</f>
        <v>正常销售</v>
      </c>
      <c r="J363" s="12"/>
      <c r="K363" s="39">
        <f>_xlfn.XLOOKUP(E363,'[1]6月分配 '!$B:$B,'[1]6月分配 '!$K:$K)</f>
        <v>1614</v>
      </c>
      <c r="L363" s="12" t="str">
        <f t="shared" si="142"/>
        <v>是</v>
      </c>
      <c r="M363" s="40" t="str">
        <f>_xlfn.XLOOKUP(F363,'6月产品包'!B:B,'6月产品包'!J:J)</f>
        <v>2025-11-18</v>
      </c>
      <c r="N363" s="39" t="s">
        <v>149</v>
      </c>
      <c r="O363" s="37">
        <f>_xlfn.XLOOKUP(F363,'6月库存'!A:A,'6月库存'!R:R)</f>
        <v>89</v>
      </c>
      <c r="P363" s="39">
        <f>_xlfn.XLOOKUP(F363,'6月产品包'!B:B,'6月产品包'!S:S)</f>
        <v>470</v>
      </c>
      <c r="Q363" s="39"/>
      <c r="R363" s="41">
        <f>_xlfn.XLOOKUP(F363,'6月产品包'!B:B,'6月产品包'!AD:AD)</f>
        <v>9.4598</v>
      </c>
      <c r="S363" s="39">
        <v>22</v>
      </c>
      <c r="T363" s="39">
        <f t="shared" si="143"/>
        <v>28</v>
      </c>
      <c r="U363" s="42">
        <f t="shared" si="141"/>
        <v>22.4</v>
      </c>
      <c r="V363" s="43">
        <v>0.2</v>
      </c>
      <c r="W363" s="44">
        <f t="shared" si="144"/>
        <v>0.5776875</v>
      </c>
      <c r="X363" s="44">
        <f t="shared" si="145"/>
        <v>0.419016852552449</v>
      </c>
      <c r="Y363" s="44">
        <v>0.04</v>
      </c>
      <c r="Z363" s="46">
        <v>0.1</v>
      </c>
      <c r="AA363" s="46">
        <v>0.049</v>
      </c>
      <c r="AB363" s="46">
        <f t="shared" si="146"/>
        <v>0.0241071428571429</v>
      </c>
      <c r="AC363" s="46">
        <v>0.06</v>
      </c>
      <c r="AD363" s="47"/>
      <c r="AF363" s="55" t="s">
        <v>114</v>
      </c>
      <c r="AG363" s="39">
        <f t="shared" si="147"/>
        <v>0</v>
      </c>
      <c r="AH363" s="39">
        <f t="shared" si="148"/>
        <v>0</v>
      </c>
      <c r="AI363" s="39">
        <f t="shared" si="149"/>
        <v>0</v>
      </c>
      <c r="AJ363" s="39">
        <f t="shared" si="150"/>
        <v>0</v>
      </c>
      <c r="AK363" s="39">
        <f t="shared" si="151"/>
        <v>0</v>
      </c>
      <c r="AL363" s="39">
        <f t="shared" si="152"/>
        <v>0</v>
      </c>
      <c r="AM363" s="39">
        <f t="shared" si="153"/>
        <v>0</v>
      </c>
      <c r="AN363" s="39">
        <f t="shared" si="154"/>
        <v>0</v>
      </c>
    </row>
    <row r="364" s="6" customFormat="1" ht="50" hidden="1" customHeight="1" spans="1:40">
      <c r="A364" s="37" t="s">
        <v>96</v>
      </c>
      <c r="B364" s="37" t="s">
        <v>115</v>
      </c>
      <c r="C364" s="37" t="str">
        <f>_xlfn.XLOOKUP(F364,'6月产品包'!B:B,'6月产品包'!H:H)</f>
        <v>过胶机</v>
      </c>
      <c r="D364" s="38" t="str">
        <f>_xlfn.XLOOKUP(F364,'6月产品包'!B:B,'6月产品包'!O:O)</f>
        <v>A3金属外壳过胶机</v>
      </c>
      <c r="E364" s="38" t="s">
        <v>708</v>
      </c>
      <c r="F364" s="39" t="s">
        <v>709</v>
      </c>
      <c r="G364" s="39" t="e">
        <v>#N/A</v>
      </c>
      <c r="H364" s="39" t="s">
        <v>101</v>
      </c>
      <c r="I364" s="37" t="str">
        <f>_xlfn.XLOOKUP($F364,'6月库存'!A:A,'6月库存'!B:B)</f>
        <v>正常销售</v>
      </c>
      <c r="J364" s="12"/>
      <c r="K364" s="39">
        <f>_xlfn.XLOOKUP(E364,'[1]6月分配 '!$B:$B,'[1]6月分配 '!$K:$K)</f>
        <v>1529</v>
      </c>
      <c r="L364" s="12" t="str">
        <f t="shared" si="142"/>
        <v>是</v>
      </c>
      <c r="M364" s="40" t="str">
        <f>_xlfn.XLOOKUP(F364,'6月产品包'!B:B,'6月产品包'!J:J)</f>
        <v>2025-12-02</v>
      </c>
      <c r="N364" s="39" t="str">
        <f ca="1">IF(DATEDIF(M364,TODAY(),"m")&lt;6,"新品","老品")</f>
        <v>老品</v>
      </c>
      <c r="O364" s="37">
        <f>_xlfn.XLOOKUP(F364,'6月库存'!A:A,'6月库存'!R:R)</f>
        <v>12</v>
      </c>
      <c r="P364" s="39">
        <f>_xlfn.XLOOKUP(F364,'6月产品包'!B:B,'6月产品包'!S:S)</f>
        <v>3025</v>
      </c>
      <c r="Q364" s="39"/>
      <c r="R364" s="41">
        <f>_xlfn.XLOOKUP(F364,'6月产品包'!B:B,'6月产品包'!AD:AD)</f>
        <v>73.8804</v>
      </c>
      <c r="S364" s="39">
        <v>145</v>
      </c>
      <c r="T364" s="39">
        <f t="shared" si="143"/>
        <v>181</v>
      </c>
      <c r="U364" s="42">
        <f t="shared" si="141"/>
        <v>144.8</v>
      </c>
      <c r="V364" s="43">
        <v>0.2</v>
      </c>
      <c r="W364" s="44">
        <f t="shared" si="144"/>
        <v>0.489776243093923</v>
      </c>
      <c r="X364" s="44">
        <f t="shared" si="145"/>
        <v>0.328008120615886</v>
      </c>
      <c r="Y364" s="44">
        <v>0.038</v>
      </c>
      <c r="Z364" s="46">
        <v>0.09</v>
      </c>
      <c r="AA364" s="46">
        <v>0.049</v>
      </c>
      <c r="AB364" s="46">
        <f t="shared" si="146"/>
        <v>0.0037292817679558</v>
      </c>
      <c r="AC364" s="46">
        <v>0.06</v>
      </c>
      <c r="AD364" s="47"/>
      <c r="AF364" s="55" t="s">
        <v>114</v>
      </c>
      <c r="AG364" s="39">
        <f t="shared" si="147"/>
        <v>6</v>
      </c>
      <c r="AH364" s="39">
        <f t="shared" si="148"/>
        <v>6</v>
      </c>
      <c r="AI364" s="39">
        <f t="shared" si="149"/>
        <v>0</v>
      </c>
      <c r="AJ364" s="39">
        <f t="shared" si="150"/>
        <v>0</v>
      </c>
      <c r="AK364" s="39">
        <f t="shared" si="151"/>
        <v>0</v>
      </c>
      <c r="AL364" s="39">
        <f t="shared" si="152"/>
        <v>0</v>
      </c>
      <c r="AM364" s="39">
        <f t="shared" si="153"/>
        <v>0</v>
      </c>
      <c r="AN364" s="39">
        <f t="shared" si="154"/>
        <v>0</v>
      </c>
    </row>
    <row r="365" s="6" customFormat="1" ht="50" hidden="1" customHeight="1" spans="1:40">
      <c r="A365" s="37" t="s">
        <v>96</v>
      </c>
      <c r="B365" s="37" t="s">
        <v>115</v>
      </c>
      <c r="C365" s="37" t="str">
        <f>_xlfn.XLOOKUP(F365,'6月产品包'!B:B,'6月产品包'!H:H)</f>
        <v>毛毡照片墙</v>
      </c>
      <c r="D365" s="38" t="str">
        <f>_xlfn.XLOOKUP(F365,'6月产品包'!B:B,'6月产品包'!O:O)</f>
        <v>毛毡照片公告墙</v>
      </c>
      <c r="E365" s="38" t="s">
        <v>710</v>
      </c>
      <c r="F365" s="39" t="s">
        <v>711</v>
      </c>
      <c r="G365" s="39" t="s">
        <v>126</v>
      </c>
      <c r="H365" s="39" t="s">
        <v>101</v>
      </c>
      <c r="I365" s="37" t="str">
        <f>_xlfn.XLOOKUP($F365,'6月库存'!A:A,'6月库存'!B:B)</f>
        <v>正常销售</v>
      </c>
      <c r="J365" s="12"/>
      <c r="K365" s="39">
        <f>_xlfn.XLOOKUP(E365,'[1]6月分配 '!$B:$B,'[1]6月分配 '!$K:$K)</f>
        <v>1489</v>
      </c>
      <c r="L365" s="12" t="str">
        <f t="shared" si="142"/>
        <v>是</v>
      </c>
      <c r="M365" s="40" t="str">
        <f>_xlfn.XLOOKUP(F365,'6月产品包'!B:B,'6月产品包'!J:J)</f>
        <v>2026-01-06</v>
      </c>
      <c r="N365" s="39" t="str">
        <f ca="1">IF(DATEDIF(M365,TODAY(),"m")&lt;6,"新品","老品")</f>
        <v>新品</v>
      </c>
      <c r="O365" s="37">
        <f>_xlfn.XLOOKUP(F365,'6月库存'!A:A,'6月库存'!R:R)</f>
        <v>55</v>
      </c>
      <c r="P365" s="39">
        <f>_xlfn.XLOOKUP(F365,'6月产品包'!B:B,'6月产品包'!S:S)</f>
        <v>840</v>
      </c>
      <c r="Q365" s="39"/>
      <c r="R365" s="41">
        <f>_xlfn.XLOOKUP(F365,'6月产品包'!B:B,'6月产品包'!AD:AD)</f>
        <v>18.7746</v>
      </c>
      <c r="S365" s="39">
        <v>37</v>
      </c>
      <c r="T365" s="39">
        <f t="shared" si="143"/>
        <v>46</v>
      </c>
      <c r="U365" s="42">
        <f t="shared" si="141"/>
        <v>36.8</v>
      </c>
      <c r="V365" s="43">
        <v>0.2</v>
      </c>
      <c r="W365" s="44">
        <f t="shared" si="144"/>
        <v>0.489820652173913</v>
      </c>
      <c r="X365" s="44">
        <f t="shared" si="145"/>
        <v>0.318239258635215</v>
      </c>
      <c r="Y365" s="44">
        <v>0.038</v>
      </c>
      <c r="Z365" s="46">
        <v>0.09</v>
      </c>
      <c r="AA365" s="46">
        <v>0.049</v>
      </c>
      <c r="AB365" s="46">
        <f t="shared" si="146"/>
        <v>0.0146739130434783</v>
      </c>
      <c r="AC365" s="46">
        <v>0.06</v>
      </c>
      <c r="AD365" s="47"/>
      <c r="AF365" s="55" t="s">
        <v>114</v>
      </c>
      <c r="AG365" s="39">
        <f t="shared" si="147"/>
        <v>0</v>
      </c>
      <c r="AH365" s="39">
        <f t="shared" si="148"/>
        <v>0</v>
      </c>
      <c r="AI365" s="39">
        <f t="shared" si="149"/>
        <v>0</v>
      </c>
      <c r="AJ365" s="39">
        <f t="shared" si="150"/>
        <v>0</v>
      </c>
      <c r="AK365" s="39">
        <f t="shared" si="151"/>
        <v>0</v>
      </c>
      <c r="AL365" s="39">
        <f t="shared" si="152"/>
        <v>0</v>
      </c>
      <c r="AM365" s="39">
        <f t="shared" si="153"/>
        <v>0</v>
      </c>
      <c r="AN365" s="39">
        <f t="shared" si="154"/>
        <v>0</v>
      </c>
    </row>
    <row r="366" s="6" customFormat="1" ht="50" hidden="1" customHeight="1" spans="1:40">
      <c r="A366" s="37" t="s">
        <v>108</v>
      </c>
      <c r="B366" s="37" t="s">
        <v>109</v>
      </c>
      <c r="C366" s="37" t="str">
        <f>_xlfn.XLOOKUP(F366,'6月产品包'!B:B,'6月产品包'!H:H)</f>
        <v>电脑散热器</v>
      </c>
      <c r="D366" s="38" t="str">
        <f>_xlfn.XLOOKUP(F366,'6月产品包'!B:B,'6月产品包'!O:O)</f>
        <v>双扇电脑散热器</v>
      </c>
      <c r="E366" s="38" t="s">
        <v>712</v>
      </c>
      <c r="F366" s="37" t="s">
        <v>713</v>
      </c>
      <c r="G366" s="39" t="s">
        <v>100</v>
      </c>
      <c r="H366" s="37" t="s">
        <v>107</v>
      </c>
      <c r="I366" s="37" t="str">
        <f>_xlfn.XLOOKUP($F366,'6月库存'!A:A,'6月库存'!B:B)</f>
        <v>正常销售</v>
      </c>
      <c r="J366" s="12"/>
      <c r="K366" s="39">
        <f>_xlfn.XLOOKUP(E366,'[1]6月分配 '!$B:$B,'[1]6月分配 '!$K:$K)</f>
        <v>1460</v>
      </c>
      <c r="L366" s="12" t="str">
        <f t="shared" si="142"/>
        <v>是</v>
      </c>
      <c r="M366" s="40" t="str">
        <f>_xlfn.XLOOKUP(F366,'6月产品包'!B:B,'6月产品包'!J:J)</f>
        <v>2024-10-29</v>
      </c>
      <c r="N366" s="39" t="str">
        <f ca="1">IF(DATEDIF(M366,TODAY(),"m")&lt;6,"新品","老品")</f>
        <v>老品</v>
      </c>
      <c r="O366" s="37">
        <f>_xlfn.XLOOKUP(F366,'6月库存'!A:A,'6月库存'!R:R)</f>
        <v>139</v>
      </c>
      <c r="P366" s="39">
        <f>_xlfn.XLOOKUP(F366,'6月产品包'!B:B,'6月产品包'!S:S)</f>
        <v>920</v>
      </c>
      <c r="Q366" s="39"/>
      <c r="R366" s="41">
        <f>_xlfn.XLOOKUP(F366,'6月产品包'!B:B,'6月产品包'!AD:AD)</f>
        <v>15.6832</v>
      </c>
      <c r="S366" s="39">
        <v>30</v>
      </c>
      <c r="T366" s="39">
        <f t="shared" si="143"/>
        <v>38</v>
      </c>
      <c r="U366" s="42">
        <f t="shared" si="141"/>
        <v>30.4</v>
      </c>
      <c r="V366" s="43">
        <v>0.2</v>
      </c>
      <c r="W366" s="44">
        <f t="shared" si="144"/>
        <v>0.484105263157895</v>
      </c>
      <c r="X366" s="44">
        <f t="shared" si="145"/>
        <v>0.305881103282229</v>
      </c>
      <c r="Y366" s="52">
        <v>0.04</v>
      </c>
      <c r="Z366" s="46">
        <v>0.09</v>
      </c>
      <c r="AA366" s="46">
        <v>0.049</v>
      </c>
      <c r="AB366" s="46">
        <f t="shared" si="146"/>
        <v>0.0177631578947368</v>
      </c>
      <c r="AC366" s="46">
        <v>0.06</v>
      </c>
      <c r="AD366" s="47"/>
      <c r="AF366" s="55" t="s">
        <v>114</v>
      </c>
      <c r="AG366" s="39">
        <f t="shared" si="147"/>
        <v>0</v>
      </c>
      <c r="AH366" s="39">
        <f t="shared" si="148"/>
        <v>0</v>
      </c>
      <c r="AI366" s="39">
        <f t="shared" si="149"/>
        <v>0</v>
      </c>
      <c r="AJ366" s="39">
        <f t="shared" si="150"/>
        <v>0</v>
      </c>
      <c r="AK366" s="39">
        <f t="shared" si="151"/>
        <v>0</v>
      </c>
      <c r="AL366" s="39">
        <f t="shared" si="152"/>
        <v>0</v>
      </c>
      <c r="AM366" s="39">
        <f t="shared" si="153"/>
        <v>0</v>
      </c>
      <c r="AN366" s="39">
        <f t="shared" si="154"/>
        <v>0</v>
      </c>
    </row>
    <row r="367" s="6" customFormat="1" ht="50" hidden="1" customHeight="1" spans="1:40">
      <c r="A367" s="37" t="s">
        <v>108</v>
      </c>
      <c r="B367" s="37" t="s">
        <v>146</v>
      </c>
      <c r="C367" s="37" t="str">
        <f>_xlfn.XLOOKUP(F367,'6月产品包'!B:B,'6月产品包'!H:H)</f>
        <v>电子琴</v>
      </c>
      <c r="D367" s="38" t="str">
        <f>_xlfn.XLOOKUP(F367,'6月产品包'!B:B,'6月产品包'!O:O)</f>
        <v>电子琴61键</v>
      </c>
      <c r="E367" s="38" t="s">
        <v>714</v>
      </c>
      <c r="F367" s="39" t="s">
        <v>715</v>
      </c>
      <c r="G367" s="39" t="s">
        <v>100</v>
      </c>
      <c r="H367" s="37" t="s">
        <v>101</v>
      </c>
      <c r="I367" s="37" t="str">
        <f>_xlfn.XLOOKUP($F367,'6月库存'!A:A,'6月库存'!B:B)</f>
        <v>正常销售</v>
      </c>
      <c r="J367" s="12"/>
      <c r="K367" s="39">
        <f>_xlfn.XLOOKUP(E367,'[1]6月分配 '!$B:$B,'[1]6月分配 '!$K:$K)</f>
        <v>1446</v>
      </c>
      <c r="L367" s="12" t="str">
        <f t="shared" si="142"/>
        <v>是</v>
      </c>
      <c r="M367" s="40" t="str">
        <f>_xlfn.XLOOKUP(F367,'6月产品包'!B:B,'6月产品包'!J:J)</f>
        <v>2025-10-09</v>
      </c>
      <c r="N367" s="37" t="s">
        <v>149</v>
      </c>
      <c r="O367" s="37">
        <f>_xlfn.XLOOKUP(F367,'6月库存'!A:A,'6月库存'!R:R)</f>
        <v>85</v>
      </c>
      <c r="P367" s="39">
        <f>_xlfn.XLOOKUP(F367,'6月产品包'!B:B,'6月产品包'!S:S)</f>
        <v>2000</v>
      </c>
      <c r="Q367" s="39"/>
      <c r="R367" s="41">
        <f>_xlfn.XLOOKUP(F367,'6月产品包'!B:B,'6月产品包'!AD:AD)</f>
        <v>49.3406</v>
      </c>
      <c r="S367" s="39">
        <v>95</v>
      </c>
      <c r="T367" s="39">
        <f t="shared" si="143"/>
        <v>119</v>
      </c>
      <c r="U367" s="42">
        <f t="shared" si="141"/>
        <v>95.2</v>
      </c>
      <c r="V367" s="43">
        <v>0.2</v>
      </c>
      <c r="W367" s="44">
        <f t="shared" si="144"/>
        <v>0.481716386554622</v>
      </c>
      <c r="X367" s="44">
        <f t="shared" si="145"/>
        <v>0.301812943613661</v>
      </c>
      <c r="Y367" s="44">
        <v>0.038</v>
      </c>
      <c r="Z367" s="46">
        <v>0.105</v>
      </c>
      <c r="AA367" s="46">
        <v>0.049</v>
      </c>
      <c r="AB367" s="46">
        <f t="shared" si="146"/>
        <v>0.00567226890756303</v>
      </c>
      <c r="AC367" s="46">
        <v>0.06</v>
      </c>
      <c r="AD367" s="47"/>
      <c r="AF367" s="55" t="s">
        <v>114</v>
      </c>
      <c r="AG367" s="39">
        <f t="shared" si="147"/>
        <v>5.712</v>
      </c>
      <c r="AH367" s="39">
        <f t="shared" si="148"/>
        <v>5.712</v>
      </c>
      <c r="AI367" s="39">
        <f t="shared" si="149"/>
        <v>0</v>
      </c>
      <c r="AJ367" s="39">
        <f t="shared" si="150"/>
        <v>0</v>
      </c>
      <c r="AK367" s="39">
        <f t="shared" si="151"/>
        <v>0</v>
      </c>
      <c r="AL367" s="39">
        <f t="shared" si="152"/>
        <v>0</v>
      </c>
      <c r="AM367" s="39">
        <f t="shared" si="153"/>
        <v>0</v>
      </c>
      <c r="AN367" s="39">
        <f t="shared" si="154"/>
        <v>0</v>
      </c>
    </row>
    <row r="368" s="6" customFormat="1" ht="50" hidden="1" customHeight="1" spans="1:40">
      <c r="A368" s="37" t="s">
        <v>96</v>
      </c>
      <c r="B368" s="37" t="s">
        <v>97</v>
      </c>
      <c r="C368" s="37" t="str">
        <f>_xlfn.XLOOKUP(F368,'6月产品包'!B:B,'6月产品包'!H:H)</f>
        <v>密码盒</v>
      </c>
      <c r="D368" s="38" t="str">
        <f>_xlfn.XLOOKUP(F368,'6月产品包'!B:B,'6月产品包'!O:O)</f>
        <v>密码盒</v>
      </c>
      <c r="E368" s="38" t="s">
        <v>716</v>
      </c>
      <c r="F368" s="37" t="s">
        <v>717</v>
      </c>
      <c r="G368" s="39" t="s">
        <v>126</v>
      </c>
      <c r="H368" s="37" t="s">
        <v>101</v>
      </c>
      <c r="I368" s="37" t="str">
        <f>_xlfn.XLOOKUP($F368,'6月库存'!A:A,'6月库存'!B:B)</f>
        <v>商品清仓</v>
      </c>
      <c r="J368" s="12"/>
      <c r="K368" s="39">
        <f>_xlfn.XLOOKUP(E368,'[1]6月分配 '!$B:$B,'[1]6月分配 '!$K:$K)</f>
        <v>1362</v>
      </c>
      <c r="L368" s="12" t="str">
        <f t="shared" si="142"/>
        <v>是</v>
      </c>
      <c r="M368" s="40" t="str">
        <f>_xlfn.XLOOKUP(F368,'6月产品包'!B:B,'6月产品包'!J:J)</f>
        <v>2024-10-29</v>
      </c>
      <c r="N368" s="39" t="str">
        <f ca="1">IF(DATEDIF(M368,TODAY(),"m")&lt;6,"新品","老品")</f>
        <v>老品</v>
      </c>
      <c r="O368" s="37">
        <f>_xlfn.XLOOKUP(F368,'6月库存'!A:A,'6月库存'!R:R)</f>
        <v>164</v>
      </c>
      <c r="P368" s="39">
        <f>_xlfn.XLOOKUP(F368,'6月产品包'!B:B,'6月产品包'!S:S)</f>
        <v>305</v>
      </c>
      <c r="Q368" s="39"/>
      <c r="R368" s="41">
        <f>_xlfn.XLOOKUP(F368,'6月产品包'!B:B,'6月产品包'!AD:AD)</f>
        <v>11.7914</v>
      </c>
      <c r="S368" s="39">
        <v>20</v>
      </c>
      <c r="T368" s="39">
        <f t="shared" si="143"/>
        <v>25</v>
      </c>
      <c r="U368" s="42">
        <f t="shared" si="141"/>
        <v>20</v>
      </c>
      <c r="V368" s="43">
        <v>0.2</v>
      </c>
      <c r="W368" s="44">
        <f t="shared" si="144"/>
        <v>0.41043</v>
      </c>
      <c r="X368" s="44">
        <f t="shared" si="145"/>
        <v>0.240244845360825</v>
      </c>
      <c r="Y368" s="44">
        <v>0.038</v>
      </c>
      <c r="Z368" s="46">
        <v>0.1</v>
      </c>
      <c r="AA368" s="46">
        <v>0.049</v>
      </c>
      <c r="AB368" s="46">
        <f t="shared" si="146"/>
        <v>0.027</v>
      </c>
      <c r="AC368" s="59">
        <v>0.01</v>
      </c>
      <c r="AD368" s="47"/>
      <c r="AF368" s="55" t="s">
        <v>114</v>
      </c>
      <c r="AG368" s="39">
        <f t="shared" si="147"/>
        <v>0</v>
      </c>
      <c r="AH368" s="39">
        <f t="shared" si="148"/>
        <v>0</v>
      </c>
      <c r="AI368" s="39">
        <f t="shared" si="149"/>
        <v>0</v>
      </c>
      <c r="AJ368" s="39">
        <f t="shared" si="150"/>
        <v>0</v>
      </c>
      <c r="AK368" s="39">
        <f t="shared" si="151"/>
        <v>0</v>
      </c>
      <c r="AL368" s="39">
        <f t="shared" si="152"/>
        <v>0</v>
      </c>
      <c r="AM368" s="39">
        <f t="shared" si="153"/>
        <v>0</v>
      </c>
      <c r="AN368" s="39">
        <f t="shared" si="154"/>
        <v>0</v>
      </c>
    </row>
    <row r="369" s="6" customFormat="1" ht="50" hidden="1" customHeight="1" spans="1:40">
      <c r="A369" s="37" t="s">
        <v>96</v>
      </c>
      <c r="B369" s="37" t="s">
        <v>115</v>
      </c>
      <c r="C369" s="37" t="str">
        <f>_xlfn.XLOOKUP(F369,'6月产品包'!B:B,'6月产品包'!H:H)</f>
        <v>金属制品机柜</v>
      </c>
      <c r="D369" s="38" t="str">
        <f>_xlfn.XLOOKUP(F369,'6月产品包'!B:B,'6月产品包'!O:O)</f>
        <v>交换机机柜</v>
      </c>
      <c r="E369" s="38" t="s">
        <v>718</v>
      </c>
      <c r="F369" s="37" t="s">
        <v>719</v>
      </c>
      <c r="G369" s="39" t="e">
        <v>#N/A</v>
      </c>
      <c r="H369" s="37" t="s">
        <v>101</v>
      </c>
      <c r="I369" s="37" t="str">
        <f>_xlfn.XLOOKUP($F369,'6月库存'!A:A,'6月库存'!B:B)</f>
        <v>正常销售</v>
      </c>
      <c r="J369" s="12"/>
      <c r="K369" s="39">
        <f>_xlfn.XLOOKUP(E369,'[1]6月分配 '!$B:$B,'[1]6月分配 '!$K:$K)</f>
        <v>1307</v>
      </c>
      <c r="L369" s="12" t="str">
        <f t="shared" si="142"/>
        <v>是</v>
      </c>
      <c r="M369" s="40" t="str">
        <f>_xlfn.XLOOKUP(F369,'6月产品包'!B:B,'6月产品包'!J:J)</f>
        <v>2025-07-26</v>
      </c>
      <c r="N369" s="39" t="str">
        <f ca="1">IF(DATEDIF(M369,TODAY(),"m")&lt;6,"新品","老品")</f>
        <v>老品</v>
      </c>
      <c r="O369" s="37">
        <f>_xlfn.XLOOKUP(F369,'6月库存'!A:A,'6月库存'!R:R)</f>
        <v>77</v>
      </c>
      <c r="P369" s="39">
        <f>_xlfn.XLOOKUP(F369,'6月产品包'!B:B,'6月产品包'!S:S)</f>
        <v>6800</v>
      </c>
      <c r="Q369" s="39"/>
      <c r="R369" s="41">
        <f>_xlfn.XLOOKUP(F369,'6月产品包'!B:B,'6月产品包'!AD:AD)</f>
        <v>47.3918</v>
      </c>
      <c r="S369" s="39">
        <v>94</v>
      </c>
      <c r="T369" s="39">
        <f t="shared" si="143"/>
        <v>118</v>
      </c>
      <c r="U369" s="42">
        <f t="shared" si="141"/>
        <v>94.4</v>
      </c>
      <c r="V369" s="43">
        <v>0.2</v>
      </c>
      <c r="W369" s="44">
        <f t="shared" si="144"/>
        <v>0.497968220338983</v>
      </c>
      <c r="X369" s="44">
        <f t="shared" si="145"/>
        <v>0.328187550323773</v>
      </c>
      <c r="Y369" s="44">
        <v>0.038</v>
      </c>
      <c r="Z369" s="46">
        <v>0.1</v>
      </c>
      <c r="AA369" s="46">
        <v>0.049</v>
      </c>
      <c r="AB369" s="46">
        <f t="shared" si="146"/>
        <v>0.00572033898305085</v>
      </c>
      <c r="AC369" s="46">
        <v>0.06</v>
      </c>
      <c r="AD369" s="47"/>
      <c r="AE369" s="50"/>
      <c r="AF369" s="55" t="s">
        <v>114</v>
      </c>
      <c r="AG369" s="39">
        <f t="shared" si="147"/>
        <v>5.664</v>
      </c>
      <c r="AH369" s="39">
        <f t="shared" si="148"/>
        <v>5.664</v>
      </c>
      <c r="AI369" s="39">
        <f t="shared" si="149"/>
        <v>0</v>
      </c>
      <c r="AJ369" s="39">
        <f t="shared" si="150"/>
        <v>0</v>
      </c>
      <c r="AK369" s="39">
        <f t="shared" si="151"/>
        <v>0</v>
      </c>
      <c r="AL369" s="39">
        <f t="shared" si="152"/>
        <v>0</v>
      </c>
      <c r="AM369" s="39">
        <f t="shared" si="153"/>
        <v>0</v>
      </c>
      <c r="AN369" s="39">
        <f t="shared" si="154"/>
        <v>0</v>
      </c>
    </row>
    <row r="370" s="6" customFormat="1" ht="50" hidden="1" customHeight="1" spans="1:40">
      <c r="A370" s="37" t="s">
        <v>96</v>
      </c>
      <c r="B370" s="37" t="s">
        <v>115</v>
      </c>
      <c r="C370" s="37" t="str">
        <f>_xlfn.XLOOKUP(F370,'6月产品包'!B:B,'6月产品包'!H:H)</f>
        <v>装订机</v>
      </c>
      <c r="D370" s="38" t="str">
        <f>_xlfn.XLOOKUP(F370,'6月产品包'!B:B,'6月产品包'!O:O)</f>
        <v>打孔机</v>
      </c>
      <c r="E370" s="38" t="s">
        <v>720</v>
      </c>
      <c r="F370" s="37" t="s">
        <v>721</v>
      </c>
      <c r="G370" s="39" t="e">
        <v>#N/A</v>
      </c>
      <c r="H370" s="37" t="s">
        <v>101</v>
      </c>
      <c r="I370" s="37" t="str">
        <f>_xlfn.XLOOKUP($F370,'6月库存'!A:A,'6月库存'!B:B)</f>
        <v>正常销售</v>
      </c>
      <c r="J370" s="12"/>
      <c r="K370" s="39">
        <f>_xlfn.XLOOKUP(E370,'[1]6月分配 '!$B:$B,'[1]6月分配 '!$K:$K)</f>
        <v>1296</v>
      </c>
      <c r="L370" s="12" t="str">
        <f t="shared" si="142"/>
        <v>是</v>
      </c>
      <c r="M370" s="40" t="str">
        <f>_xlfn.XLOOKUP(F370,'6月产品包'!B:B,'6月产品包'!J:J)</f>
        <v>2025-07-26</v>
      </c>
      <c r="N370" s="39" t="str">
        <f ca="1">IF(DATEDIF(M370,TODAY(),"m")&lt;6,"新品","老品")</f>
        <v>老品</v>
      </c>
      <c r="O370" s="37">
        <f>_xlfn.XLOOKUP(F370,'6月库存'!A:A,'6月库存'!R:R)</f>
        <v>96</v>
      </c>
      <c r="P370" s="39">
        <f>_xlfn.XLOOKUP(F370,'6月产品包'!B:B,'6月产品包'!S:S)</f>
        <v>3680</v>
      </c>
      <c r="Q370" s="39"/>
      <c r="R370" s="41">
        <f>_xlfn.XLOOKUP(F370,'6月产品包'!B:B,'6月产品包'!AD:AD)</f>
        <v>68.3472</v>
      </c>
      <c r="S370" s="39">
        <v>125</v>
      </c>
      <c r="T370" s="39">
        <f t="shared" si="143"/>
        <v>156</v>
      </c>
      <c r="U370" s="42">
        <f t="shared" si="141"/>
        <v>124.8</v>
      </c>
      <c r="V370" s="43">
        <v>0.2</v>
      </c>
      <c r="W370" s="44">
        <f t="shared" si="144"/>
        <v>0.452346153846154</v>
      </c>
      <c r="X370" s="44">
        <f t="shared" si="145"/>
        <v>0.26850068069148</v>
      </c>
      <c r="Y370" s="44">
        <v>0.038</v>
      </c>
      <c r="Z370" s="46">
        <v>0.1</v>
      </c>
      <c r="AA370" s="46">
        <v>0.049</v>
      </c>
      <c r="AB370" s="46">
        <f t="shared" si="146"/>
        <v>0.00432692307692308</v>
      </c>
      <c r="AC370" s="61">
        <v>0.06</v>
      </c>
      <c r="AD370" s="47"/>
      <c r="AF370" s="55" t="s">
        <v>114</v>
      </c>
      <c r="AG370" s="39">
        <f t="shared" si="147"/>
        <v>6</v>
      </c>
      <c r="AH370" s="39">
        <f t="shared" si="148"/>
        <v>6</v>
      </c>
      <c r="AI370" s="39">
        <f t="shared" si="149"/>
        <v>0</v>
      </c>
      <c r="AJ370" s="39">
        <f t="shared" si="150"/>
        <v>0</v>
      </c>
      <c r="AK370" s="39">
        <f t="shared" si="151"/>
        <v>0</v>
      </c>
      <c r="AL370" s="39">
        <f t="shared" si="152"/>
        <v>0</v>
      </c>
      <c r="AM370" s="39">
        <f t="shared" si="153"/>
        <v>0</v>
      </c>
      <c r="AN370" s="39">
        <f t="shared" si="154"/>
        <v>0</v>
      </c>
    </row>
    <row r="371" s="6" customFormat="1" ht="50" hidden="1" customHeight="1" spans="1:40">
      <c r="A371" s="37" t="s">
        <v>108</v>
      </c>
      <c r="B371" s="37" t="s">
        <v>168</v>
      </c>
      <c r="C371" s="37" t="str">
        <f>_xlfn.XLOOKUP(F371,'6月产品包'!B:B,'6月产品包'!H:H)</f>
        <v>电视支架</v>
      </c>
      <c r="D371" s="38" t="str">
        <f>_xlfn.XLOOKUP(F371,'6月产品包'!B:B,'6月产品包'!O:O)</f>
        <v>电视机上方支架</v>
      </c>
      <c r="E371" s="38" t="s">
        <v>722</v>
      </c>
      <c r="F371" s="39" t="s">
        <v>723</v>
      </c>
      <c r="G371" s="39" t="e">
        <v>#N/A</v>
      </c>
      <c r="H371" s="37" t="s">
        <v>101</v>
      </c>
      <c r="I371" s="37" t="str">
        <f>_xlfn.XLOOKUP($F371,'6月库存'!A:A,'6月库存'!B:B)</f>
        <v>正常销售</v>
      </c>
      <c r="J371" s="12"/>
      <c r="K371" s="39">
        <f>_xlfn.XLOOKUP(E371,'[1]6月分配 '!$B:$B,'[1]6月分配 '!$K:$K)</f>
        <v>1268</v>
      </c>
      <c r="L371" s="12" t="str">
        <f t="shared" si="142"/>
        <v>是</v>
      </c>
      <c r="M371" s="40" t="str">
        <f>_xlfn.XLOOKUP(F371,'6月产品包'!B:B,'6月产品包'!J:J)</f>
        <v>2025-09-11</v>
      </c>
      <c r="N371" s="39" t="str">
        <f ca="1">IF(DATEDIF(M371,TODAY(),"m")&lt;6,"新品","老品")</f>
        <v>老品</v>
      </c>
      <c r="O371" s="37">
        <f>_xlfn.XLOOKUP(F371,'6月库存'!A:A,'6月库存'!R:R)</f>
        <v>90</v>
      </c>
      <c r="P371" s="39">
        <f>_xlfn.XLOOKUP(F371,'6月产品包'!B:B,'6月产品包'!S:S)</f>
        <v>308</v>
      </c>
      <c r="Q371" s="39"/>
      <c r="R371" s="41">
        <f>_xlfn.XLOOKUP(F371,'6月产品包'!B:B,'6月产品包'!AD:AD)</f>
        <v>5.7014</v>
      </c>
      <c r="S371" s="39">
        <v>9</v>
      </c>
      <c r="T371" s="39">
        <f t="shared" si="143"/>
        <v>11</v>
      </c>
      <c r="U371" s="42">
        <f t="shared" si="141"/>
        <v>8.8</v>
      </c>
      <c r="V371" s="43">
        <v>0.2</v>
      </c>
      <c r="W371" s="44">
        <f t="shared" si="144"/>
        <v>0.352113636363636</v>
      </c>
      <c r="X371" s="44">
        <f t="shared" si="145"/>
        <v>0.0766066338429645</v>
      </c>
      <c r="Y371" s="44">
        <v>0.038</v>
      </c>
      <c r="Z371" s="46">
        <v>0.09</v>
      </c>
      <c r="AA371" s="46">
        <v>0.049</v>
      </c>
      <c r="AB371" s="46">
        <f t="shared" si="146"/>
        <v>0.0613636363636364</v>
      </c>
      <c r="AC371" s="46">
        <v>0.06</v>
      </c>
      <c r="AD371" s="47"/>
      <c r="AF371" s="55" t="s">
        <v>114</v>
      </c>
      <c r="AG371" s="39">
        <f t="shared" si="147"/>
        <v>0</v>
      </c>
      <c r="AH371" s="39">
        <f t="shared" si="148"/>
        <v>0</v>
      </c>
      <c r="AI371" s="39">
        <f t="shared" si="149"/>
        <v>0</v>
      </c>
      <c r="AJ371" s="39">
        <f t="shared" si="150"/>
        <v>0</v>
      </c>
      <c r="AK371" s="39">
        <f t="shared" si="151"/>
        <v>0</v>
      </c>
      <c r="AL371" s="39">
        <f t="shared" si="152"/>
        <v>0</v>
      </c>
      <c r="AM371" s="39">
        <f t="shared" si="153"/>
        <v>0</v>
      </c>
      <c r="AN371" s="39">
        <f t="shared" si="154"/>
        <v>0</v>
      </c>
    </row>
    <row r="372" s="6" customFormat="1" ht="50" hidden="1" customHeight="1" spans="1:40">
      <c r="A372" s="37" t="s">
        <v>96</v>
      </c>
      <c r="B372" s="37" t="s">
        <v>127</v>
      </c>
      <c r="C372" s="37" t="str">
        <f>_xlfn.XLOOKUP(F372,'6月产品包'!B:B,'6月产品包'!H:H)</f>
        <v>文件柜</v>
      </c>
      <c r="D372" s="38" t="str">
        <f>_xlfn.XLOOKUP(F372,'6月产品包'!B:B,'6月产品包'!O:O)</f>
        <v>文件保险箱</v>
      </c>
      <c r="E372" s="38" t="s">
        <v>724</v>
      </c>
      <c r="F372" s="39" t="s">
        <v>725</v>
      </c>
      <c r="G372" s="39" t="s">
        <v>106</v>
      </c>
      <c r="H372" s="37" t="s">
        <v>101</v>
      </c>
      <c r="I372" s="37" t="str">
        <f>_xlfn.XLOOKUP($F372,'6月库存'!A:A,'6月库存'!B:B)</f>
        <v>正常销售</v>
      </c>
      <c r="J372" s="12"/>
      <c r="K372" s="39">
        <f>_xlfn.XLOOKUP(E372,'[1]6月分配 '!$B:$B,'[1]6月分配 '!$K:$K)</f>
        <v>1250</v>
      </c>
      <c r="L372" s="12" t="str">
        <f t="shared" si="142"/>
        <v>是</v>
      </c>
      <c r="M372" s="40" t="str">
        <f>_xlfn.XLOOKUP(F372,'6月产品包'!B:B,'6月产品包'!J:J)</f>
        <v>2025-09-25</v>
      </c>
      <c r="N372" s="39" t="str">
        <f ca="1">IF(DATEDIF(M372,TODAY(),"m")&lt;6,"新品","老品")</f>
        <v>老品</v>
      </c>
      <c r="O372" s="37">
        <f>_xlfn.XLOOKUP(F372,'6月库存'!A:A,'6月库存'!R:R)</f>
        <v>47</v>
      </c>
      <c r="P372" s="39">
        <f>_xlfn.XLOOKUP(F372,'6月产品包'!B:B,'6月产品包'!S:S)</f>
        <v>19000</v>
      </c>
      <c r="Q372" s="39"/>
      <c r="R372" s="41">
        <f>_xlfn.XLOOKUP(F372,'6月产品包'!B:B,'6月产品包'!AD:AD)</f>
        <v>145.0406</v>
      </c>
      <c r="S372" s="39">
        <v>285</v>
      </c>
      <c r="T372" s="39">
        <f t="shared" si="143"/>
        <v>356</v>
      </c>
      <c r="U372" s="42">
        <f t="shared" si="141"/>
        <v>284.8</v>
      </c>
      <c r="V372" s="43">
        <v>0.2</v>
      </c>
      <c r="W372" s="44">
        <f t="shared" si="144"/>
        <v>0.490728230337079</v>
      </c>
      <c r="X372" s="44">
        <f t="shared" si="145"/>
        <v>0.31559054137206</v>
      </c>
      <c r="Y372" s="44">
        <v>0.045</v>
      </c>
      <c r="Z372" s="46">
        <v>0.1</v>
      </c>
      <c r="AA372" s="46">
        <v>0.049</v>
      </c>
      <c r="AB372" s="46">
        <f t="shared" si="146"/>
        <v>0.00189606741573034</v>
      </c>
      <c r="AC372" s="46">
        <v>0.06</v>
      </c>
      <c r="AD372" s="47"/>
      <c r="AF372" s="55" t="s">
        <v>114</v>
      </c>
      <c r="AG372" s="39">
        <f t="shared" si="147"/>
        <v>15.3792</v>
      </c>
      <c r="AH372" s="39">
        <f t="shared" si="148"/>
        <v>6</v>
      </c>
      <c r="AI372" s="39">
        <f t="shared" si="149"/>
        <v>15.3792</v>
      </c>
      <c r="AJ372" s="39">
        <f t="shared" si="150"/>
        <v>0</v>
      </c>
      <c r="AK372" s="39">
        <f t="shared" si="151"/>
        <v>0</v>
      </c>
      <c r="AL372" s="39">
        <f t="shared" si="152"/>
        <v>0</v>
      </c>
      <c r="AM372" s="39">
        <f t="shared" si="153"/>
        <v>15.3792</v>
      </c>
      <c r="AN372" s="39">
        <f t="shared" si="154"/>
        <v>12.816</v>
      </c>
    </row>
    <row r="373" s="6" customFormat="1" ht="50" hidden="1" customHeight="1" spans="1:40">
      <c r="A373" s="37" t="s">
        <v>96</v>
      </c>
      <c r="B373" s="37" t="s">
        <v>115</v>
      </c>
      <c r="C373" s="37" t="str">
        <f>_xlfn.XLOOKUP(F373,'6月产品包'!B:B,'6月产品包'!H:H)</f>
        <v>银钱盒</v>
      </c>
      <c r="D373" s="38" t="str">
        <f>_xlfn.XLOOKUP(F373,'6月产品包'!B:B,'6月产品包'!O:O)</f>
        <v>迷你收银箱</v>
      </c>
      <c r="E373" s="38" t="s">
        <v>726</v>
      </c>
      <c r="F373" s="39" t="s">
        <v>727</v>
      </c>
      <c r="G373" s="49" t="s">
        <v>100</v>
      </c>
      <c r="H373" s="39" t="s">
        <v>101</v>
      </c>
      <c r="I373" s="37" t="str">
        <f>_xlfn.XLOOKUP($F373,'6月库存'!A:A,'6月库存'!B:B)</f>
        <v>正常销售</v>
      </c>
      <c r="J373" s="12"/>
      <c r="K373" s="39" t="e">
        <f>_xlfn.XLOOKUP(E373,'[1]6月分配 '!$B:$B,'[1]6月分配 '!$K:$K)</f>
        <v>#N/A</v>
      </c>
      <c r="L373" s="12" t="str">
        <f t="shared" si="142"/>
        <v>否</v>
      </c>
      <c r="M373" s="40" t="str">
        <f>_xlfn.XLOOKUP(F373,'6月产品包'!B:B,'6月产品包'!J:J)</f>
        <v>2025-11-18</v>
      </c>
      <c r="N373" s="39" t="s">
        <v>149</v>
      </c>
      <c r="O373" s="37">
        <f>_xlfn.XLOOKUP(F373,'6月库存'!A:A,'6月库存'!R:R)</f>
        <v>0</v>
      </c>
      <c r="P373" s="39">
        <f>_xlfn.XLOOKUP(F373,'6月产品包'!B:B,'6月产品包'!S:S)</f>
        <v>800</v>
      </c>
      <c r="Q373" s="39"/>
      <c r="R373" s="41">
        <f>_xlfn.XLOOKUP(F373,'6月产品包'!B:B,'6月产品包'!AD:AD)</f>
        <v>11.136</v>
      </c>
      <c r="S373" s="39">
        <v>22</v>
      </c>
      <c r="T373" s="39">
        <f t="shared" si="143"/>
        <v>28</v>
      </c>
      <c r="U373" s="42">
        <f t="shared" si="141"/>
        <v>22.4</v>
      </c>
      <c r="V373" s="43">
        <v>0.2</v>
      </c>
      <c r="W373" s="44">
        <f t="shared" si="144"/>
        <v>0.502857142857143</v>
      </c>
      <c r="X373" s="44">
        <f t="shared" si="145"/>
        <v>0.316071340834275</v>
      </c>
      <c r="Y373" s="44">
        <v>0.04</v>
      </c>
      <c r="Z373" s="46">
        <v>0.1</v>
      </c>
      <c r="AA373" s="46">
        <v>0.049</v>
      </c>
      <c r="AB373" s="46">
        <f t="shared" si="146"/>
        <v>0.0241071428571429</v>
      </c>
      <c r="AC373" s="46">
        <v>0.06</v>
      </c>
      <c r="AD373" s="47"/>
      <c r="AF373" s="48" t="s">
        <v>102</v>
      </c>
      <c r="AG373" s="39">
        <f t="shared" si="147"/>
        <v>0</v>
      </c>
      <c r="AH373" s="39">
        <f t="shared" si="148"/>
        <v>0</v>
      </c>
      <c r="AI373" s="39">
        <f t="shared" si="149"/>
        <v>0</v>
      </c>
      <c r="AJ373" s="39">
        <f t="shared" si="150"/>
        <v>0</v>
      </c>
      <c r="AK373" s="39">
        <f t="shared" si="151"/>
        <v>0</v>
      </c>
      <c r="AL373" s="39">
        <f t="shared" si="152"/>
        <v>0</v>
      </c>
      <c r="AM373" s="39">
        <f t="shared" si="153"/>
        <v>0</v>
      </c>
      <c r="AN373" s="39">
        <f t="shared" si="154"/>
        <v>0</v>
      </c>
    </row>
    <row r="374" s="6" customFormat="1" ht="50" hidden="1" customHeight="1" spans="1:40">
      <c r="A374" s="37" t="s">
        <v>96</v>
      </c>
      <c r="B374" s="37" t="s">
        <v>115</v>
      </c>
      <c r="C374" s="37" t="str">
        <f>_xlfn.XLOOKUP(F374,'6月产品包'!B:B,'6月产品包'!H:H)</f>
        <v>银钱盒</v>
      </c>
      <c r="D374" s="38" t="str">
        <f>_xlfn.XLOOKUP(F374,'6月产品包'!B:B,'6月产品包'!O:O)</f>
        <v>迷你收银箱</v>
      </c>
      <c r="E374" s="38" t="s">
        <v>728</v>
      </c>
      <c r="F374" s="39" t="s">
        <v>729</v>
      </c>
      <c r="G374" s="49" t="s">
        <v>100</v>
      </c>
      <c r="H374" s="39" t="s">
        <v>101</v>
      </c>
      <c r="I374" s="37" t="str">
        <f>_xlfn.XLOOKUP($F374,'6月库存'!A:A,'6月库存'!B:B)</f>
        <v>正常销售</v>
      </c>
      <c r="J374" s="12"/>
      <c r="K374" s="39" t="e">
        <f>_xlfn.XLOOKUP(E374,'[1]6月分配 '!$B:$B,'[1]6月分配 '!$K:$K)</f>
        <v>#N/A</v>
      </c>
      <c r="L374" s="12" t="str">
        <f t="shared" si="142"/>
        <v>否</v>
      </c>
      <c r="M374" s="40" t="str">
        <f>_xlfn.XLOOKUP(F374,'6月产品包'!B:B,'6月产品包'!J:J)</f>
        <v>2025-11-18</v>
      </c>
      <c r="N374" s="39" t="s">
        <v>149</v>
      </c>
      <c r="O374" s="37">
        <f>_xlfn.XLOOKUP(F374,'6月库存'!A:A,'6月库存'!R:R)</f>
        <v>0</v>
      </c>
      <c r="P374" s="39">
        <f>_xlfn.XLOOKUP(F374,'6月产品包'!B:B,'6月产品包'!S:S)</f>
        <v>800</v>
      </c>
      <c r="Q374" s="39"/>
      <c r="R374" s="41">
        <f>_xlfn.XLOOKUP(F374,'6月产品包'!B:B,'6月产品包'!AD:AD)</f>
        <v>11.136</v>
      </c>
      <c r="S374" s="39">
        <v>22</v>
      </c>
      <c r="T374" s="39">
        <f t="shared" si="143"/>
        <v>28</v>
      </c>
      <c r="U374" s="42">
        <f t="shared" si="141"/>
        <v>22.4</v>
      </c>
      <c r="V374" s="43">
        <v>0.2</v>
      </c>
      <c r="W374" s="44">
        <f t="shared" si="144"/>
        <v>0.502857142857143</v>
      </c>
      <c r="X374" s="44">
        <f t="shared" si="145"/>
        <v>0.316071340834275</v>
      </c>
      <c r="Y374" s="44">
        <v>0.04</v>
      </c>
      <c r="Z374" s="46">
        <v>0.1</v>
      </c>
      <c r="AA374" s="46">
        <v>0.049</v>
      </c>
      <c r="AB374" s="46">
        <f t="shared" si="146"/>
        <v>0.0241071428571429</v>
      </c>
      <c r="AC374" s="46">
        <v>0.06</v>
      </c>
      <c r="AD374" s="47"/>
      <c r="AF374" s="48" t="s">
        <v>102</v>
      </c>
      <c r="AG374" s="39">
        <f t="shared" si="147"/>
        <v>0</v>
      </c>
      <c r="AH374" s="39">
        <f t="shared" si="148"/>
        <v>0</v>
      </c>
      <c r="AI374" s="39">
        <f t="shared" si="149"/>
        <v>0</v>
      </c>
      <c r="AJ374" s="39">
        <f t="shared" si="150"/>
        <v>0</v>
      </c>
      <c r="AK374" s="39">
        <f t="shared" si="151"/>
        <v>0</v>
      </c>
      <c r="AL374" s="39">
        <f t="shared" si="152"/>
        <v>0</v>
      </c>
      <c r="AM374" s="39">
        <f t="shared" si="153"/>
        <v>0</v>
      </c>
      <c r="AN374" s="39">
        <f t="shared" si="154"/>
        <v>0</v>
      </c>
    </row>
    <row r="375" s="6" customFormat="1" ht="50" hidden="1" customHeight="1" spans="1:40">
      <c r="A375" s="37" t="s">
        <v>108</v>
      </c>
      <c r="B375" s="37" t="s">
        <v>146</v>
      </c>
      <c r="C375" s="37" t="str">
        <f>_xlfn.XLOOKUP(F375,'6月产品包'!B:B,'6月产品包'!H:H)</f>
        <v>吉他套装</v>
      </c>
      <c r="D375" s="38" t="str">
        <f>_xlfn.XLOOKUP(F375,'6月产品包'!B:B,'6月产品包'!O:O)</f>
        <v>吉他</v>
      </c>
      <c r="E375" s="38" t="s">
        <v>730</v>
      </c>
      <c r="F375" s="39" t="s">
        <v>731</v>
      </c>
      <c r="G375" s="39" t="s">
        <v>106</v>
      </c>
      <c r="H375" s="37" t="s">
        <v>101</v>
      </c>
      <c r="I375" s="37" t="str">
        <f>_xlfn.XLOOKUP($F375,'6月库存'!A:A,'6月库存'!B:B)</f>
        <v>商品清仓</v>
      </c>
      <c r="J375" s="12"/>
      <c r="K375" s="39">
        <f>_xlfn.XLOOKUP(E375,'[1]6月分配 '!$B:$B,'[1]6月分配 '!$K:$K)</f>
        <v>1178</v>
      </c>
      <c r="L375" s="12" t="str">
        <f t="shared" si="142"/>
        <v>是</v>
      </c>
      <c r="M375" s="40" t="str">
        <f>_xlfn.XLOOKUP(F375,'6月产品包'!B:B,'6月产品包'!J:J)</f>
        <v>2025-10-09</v>
      </c>
      <c r="N375" s="37" t="s">
        <v>149</v>
      </c>
      <c r="O375" s="37">
        <f>_xlfn.XLOOKUP(F375,'6月库存'!A:A,'6月库存'!R:R)</f>
        <v>106</v>
      </c>
      <c r="P375" s="39">
        <f>_xlfn.XLOOKUP(F375,'6月产品包'!B:B,'6月产品包'!S:S)</f>
        <v>2250</v>
      </c>
      <c r="Q375" s="39">
        <v>11000</v>
      </c>
      <c r="R375" s="41">
        <f>_xlfn.XLOOKUP(F375,'6月产品包'!B:B,'6月产品包'!AD:AD)</f>
        <v>52.5712</v>
      </c>
      <c r="S375" s="39">
        <v>105</v>
      </c>
      <c r="T375" s="39">
        <f t="shared" si="143"/>
        <v>131</v>
      </c>
      <c r="U375" s="42">
        <f t="shared" si="141"/>
        <v>104.8</v>
      </c>
      <c r="V375" s="43">
        <v>0.2</v>
      </c>
      <c r="W375" s="44">
        <f t="shared" si="144"/>
        <v>0.498366412213741</v>
      </c>
      <c r="X375" s="44">
        <f t="shared" si="145"/>
        <v>0.324715094591679</v>
      </c>
      <c r="Y375" s="44">
        <v>0.038</v>
      </c>
      <c r="Z375" s="46">
        <v>0.105</v>
      </c>
      <c r="AA375" s="46">
        <v>0.049</v>
      </c>
      <c r="AB375" s="46">
        <f t="shared" si="146"/>
        <v>0.00515267175572519</v>
      </c>
      <c r="AC375" s="46">
        <v>0.06</v>
      </c>
      <c r="AD375" s="47"/>
      <c r="AF375" s="55" t="s">
        <v>114</v>
      </c>
      <c r="AG375" s="39">
        <f t="shared" si="147"/>
        <v>6</v>
      </c>
      <c r="AH375" s="39">
        <f t="shared" si="148"/>
        <v>6</v>
      </c>
      <c r="AI375" s="39">
        <f t="shared" si="149"/>
        <v>0</v>
      </c>
      <c r="AJ375" s="39">
        <f t="shared" si="150"/>
        <v>0</v>
      </c>
      <c r="AK375" s="39">
        <f t="shared" si="151"/>
        <v>0</v>
      </c>
      <c r="AL375" s="39">
        <f t="shared" si="152"/>
        <v>0</v>
      </c>
      <c r="AM375" s="39">
        <f t="shared" si="153"/>
        <v>0</v>
      </c>
      <c r="AN375" s="39">
        <f t="shared" si="154"/>
        <v>0</v>
      </c>
    </row>
    <row r="376" s="6" customFormat="1" ht="50" hidden="1" customHeight="1" spans="1:40">
      <c r="A376" s="37" t="s">
        <v>96</v>
      </c>
      <c r="B376" s="37" t="s">
        <v>97</v>
      </c>
      <c r="C376" s="37" t="str">
        <f>_xlfn.XLOOKUP(F376,'6月产品包'!B:B,'6月产品包'!H:H)</f>
        <v>折叠锥桶</v>
      </c>
      <c r="D376" s="38" t="str">
        <f>_xlfn.XLOOKUP(F376,'6月产品包'!B:B,'6月产品包'!O:O)</f>
        <v>折叠锥桶</v>
      </c>
      <c r="E376" s="38" t="s">
        <v>732</v>
      </c>
      <c r="F376" s="37" t="s">
        <v>733</v>
      </c>
      <c r="G376" s="39" t="s">
        <v>126</v>
      </c>
      <c r="H376" s="37" t="s">
        <v>101</v>
      </c>
      <c r="I376" s="37" t="str">
        <f>_xlfn.XLOOKUP($F376,'6月库存'!A:A,'6月库存'!B:B)</f>
        <v>正常销售</v>
      </c>
      <c r="J376" s="12"/>
      <c r="K376" s="39">
        <f>_xlfn.XLOOKUP(E376,'[1]6月分配 '!$B:$B,'[1]6月分配 '!$K:$K)</f>
        <v>1156</v>
      </c>
      <c r="L376" s="12" t="str">
        <f t="shared" si="142"/>
        <v>是</v>
      </c>
      <c r="M376" s="40" t="str">
        <f>_xlfn.XLOOKUP(F376,'6月产品包'!B:B,'6月产品包'!J:J)</f>
        <v>2025-07-03</v>
      </c>
      <c r="N376" s="39" t="str">
        <f ca="1">IF(DATEDIF(M376,TODAY(),"m")&lt;6,"新品","老品")</f>
        <v>老品</v>
      </c>
      <c r="O376" s="37">
        <f>_xlfn.XLOOKUP(F376,'6月库存'!A:A,'6月库存'!R:R)</f>
        <v>49</v>
      </c>
      <c r="P376" s="39">
        <f>_xlfn.XLOOKUP(F376,'6月产品包'!B:B,'6月产品包'!S:S)</f>
        <v>6000</v>
      </c>
      <c r="Q376" s="39"/>
      <c r="R376" s="41">
        <f>_xlfn.XLOOKUP(F376,'6月产品包'!B:B,'6月产品包'!AD:AD)</f>
        <v>11.078</v>
      </c>
      <c r="S376" s="39">
        <v>19</v>
      </c>
      <c r="T376" s="39">
        <f t="shared" si="143"/>
        <v>24</v>
      </c>
      <c r="U376" s="42">
        <f t="shared" si="141"/>
        <v>19.2</v>
      </c>
      <c r="V376" s="43">
        <v>0.2</v>
      </c>
      <c r="W376" s="44">
        <f t="shared" si="144"/>
        <v>0.423020833333333</v>
      </c>
      <c r="X376" s="44">
        <f t="shared" si="145"/>
        <v>0.204029430361557</v>
      </c>
      <c r="Y376" s="44">
        <v>0.038</v>
      </c>
      <c r="Z376" s="46">
        <v>0.1</v>
      </c>
      <c r="AA376" s="46">
        <v>0.049</v>
      </c>
      <c r="AB376" s="46">
        <f t="shared" si="146"/>
        <v>0.028125</v>
      </c>
      <c r="AC376" s="46">
        <v>0.06</v>
      </c>
      <c r="AD376" s="47"/>
      <c r="AF376" s="55" t="s">
        <v>114</v>
      </c>
      <c r="AG376" s="39">
        <f t="shared" si="147"/>
        <v>0</v>
      </c>
      <c r="AH376" s="39">
        <f t="shared" si="148"/>
        <v>0</v>
      </c>
      <c r="AI376" s="39">
        <f t="shared" si="149"/>
        <v>0</v>
      </c>
      <c r="AJ376" s="39">
        <f t="shared" si="150"/>
        <v>0</v>
      </c>
      <c r="AK376" s="39">
        <f t="shared" si="151"/>
        <v>0</v>
      </c>
      <c r="AL376" s="39">
        <f t="shared" si="152"/>
        <v>0</v>
      </c>
      <c r="AM376" s="39">
        <f t="shared" si="153"/>
        <v>0</v>
      </c>
      <c r="AN376" s="39">
        <f t="shared" si="154"/>
        <v>0</v>
      </c>
    </row>
    <row r="377" s="6" customFormat="1" ht="50" hidden="1" customHeight="1" spans="1:40">
      <c r="A377" s="37" t="s">
        <v>96</v>
      </c>
      <c r="B377" s="37" t="s">
        <v>115</v>
      </c>
      <c r="C377" s="37" t="str">
        <f>_xlfn.XLOOKUP(F377,'6月产品包'!B:B,'6月产品包'!H:H)</f>
        <v>毛毡照片墙</v>
      </c>
      <c r="D377" s="38" t="str">
        <f>_xlfn.XLOOKUP(F377,'6月产品包'!B:B,'6月产品包'!O:O)</f>
        <v>毛毡照片公告墙</v>
      </c>
      <c r="E377" s="38" t="s">
        <v>734</v>
      </c>
      <c r="F377" s="39" t="s">
        <v>735</v>
      </c>
      <c r="G377" s="39" t="s">
        <v>126</v>
      </c>
      <c r="H377" s="39" t="s">
        <v>101</v>
      </c>
      <c r="I377" s="37" t="str">
        <f>_xlfn.XLOOKUP($F377,'6月库存'!A:A,'6月库存'!B:B)</f>
        <v>正常销售</v>
      </c>
      <c r="J377" s="12"/>
      <c r="K377" s="39">
        <f>_xlfn.XLOOKUP(E377,'[1]6月分配 '!$B:$B,'[1]6月分配 '!$K:$K)</f>
        <v>1146</v>
      </c>
      <c r="L377" s="12" t="str">
        <f t="shared" si="142"/>
        <v>是</v>
      </c>
      <c r="M377" s="40" t="str">
        <f>_xlfn.XLOOKUP(F377,'6月产品包'!B:B,'6月产品包'!J:J)</f>
        <v>2026-01-06</v>
      </c>
      <c r="N377" s="39" t="str">
        <f ca="1">IF(DATEDIF(M377,TODAY(),"m")&lt;6,"新品","老品")</f>
        <v>新品</v>
      </c>
      <c r="O377" s="37">
        <f>_xlfn.XLOOKUP(F377,'6月库存'!A:A,'6月库存'!R:R)</f>
        <v>60</v>
      </c>
      <c r="P377" s="39">
        <f>_xlfn.XLOOKUP(F377,'6月产品包'!B:B,'6月产品包'!S:S)</f>
        <v>1100</v>
      </c>
      <c r="Q377" s="39"/>
      <c r="R377" s="41">
        <f>_xlfn.XLOOKUP(F377,'6月产品包'!B:B,'6月产品包'!AD:AD)</f>
        <v>24.6094</v>
      </c>
      <c r="S377" s="39">
        <v>48</v>
      </c>
      <c r="T377" s="39">
        <f t="shared" si="143"/>
        <v>60</v>
      </c>
      <c r="U377" s="42">
        <f t="shared" si="141"/>
        <v>48</v>
      </c>
      <c r="V377" s="43">
        <v>0.2</v>
      </c>
      <c r="W377" s="44">
        <f t="shared" si="144"/>
        <v>0.487304166666667</v>
      </c>
      <c r="X377" s="44">
        <f t="shared" si="145"/>
        <v>0.317996896131249</v>
      </c>
      <c r="Y377" s="44">
        <v>0.038</v>
      </c>
      <c r="Z377" s="46">
        <v>0.09</v>
      </c>
      <c r="AA377" s="46">
        <v>0.049</v>
      </c>
      <c r="AB377" s="46">
        <f t="shared" si="146"/>
        <v>0.01125</v>
      </c>
      <c r="AC377" s="46">
        <v>0.06</v>
      </c>
      <c r="AD377" s="47"/>
      <c r="AF377" s="55" t="s">
        <v>114</v>
      </c>
      <c r="AG377" s="39">
        <f t="shared" si="147"/>
        <v>0</v>
      </c>
      <c r="AH377" s="39">
        <f t="shared" si="148"/>
        <v>0</v>
      </c>
      <c r="AI377" s="39">
        <f t="shared" si="149"/>
        <v>0</v>
      </c>
      <c r="AJ377" s="39">
        <f t="shared" si="150"/>
        <v>0</v>
      </c>
      <c r="AK377" s="39">
        <f t="shared" si="151"/>
        <v>0</v>
      </c>
      <c r="AL377" s="39">
        <f t="shared" si="152"/>
        <v>0</v>
      </c>
      <c r="AM377" s="39">
        <f t="shared" si="153"/>
        <v>0</v>
      </c>
      <c r="AN377" s="39">
        <f t="shared" si="154"/>
        <v>0</v>
      </c>
    </row>
    <row r="378" s="6" customFormat="1" ht="50" hidden="1" customHeight="1" spans="1:40">
      <c r="A378" s="37" t="s">
        <v>108</v>
      </c>
      <c r="B378" s="37" t="s">
        <v>109</v>
      </c>
      <c r="C378" s="37" t="str">
        <f>_xlfn.XLOOKUP(F378,'6月产品包'!B:B,'6月产品包'!H:H)</f>
        <v>电脑机箱</v>
      </c>
      <c r="D378" s="38" t="str">
        <f>_xlfn.XLOOKUP(F378,'6月产品包'!B:B,'6月产品包'!O:O)</f>
        <v>电脑机箱T8</v>
      </c>
      <c r="E378" s="38" t="s">
        <v>736</v>
      </c>
      <c r="F378" s="37" t="s">
        <v>737</v>
      </c>
      <c r="G378" s="39" t="s">
        <v>126</v>
      </c>
      <c r="H378" s="37" t="s">
        <v>101</v>
      </c>
      <c r="I378" s="37" t="str">
        <f>_xlfn.XLOOKUP($F378,'6月库存'!A:A,'6月库存'!B:B)</f>
        <v>正常销售</v>
      </c>
      <c r="J378" s="12"/>
      <c r="K378" s="39">
        <f>_xlfn.XLOOKUP(E378,'[1]6月分配 '!$B:$B,'[1]6月分配 '!$K:$K)</f>
        <v>1120</v>
      </c>
      <c r="L378" s="12" t="str">
        <f t="shared" si="142"/>
        <v>是</v>
      </c>
      <c r="M378" s="40" t="str">
        <f>_xlfn.XLOOKUP(F378,'6月产品包'!B:B,'6月产品包'!J:J)</f>
        <v>2025-09-01</v>
      </c>
      <c r="N378" s="39" t="str">
        <f ca="1">IF(DATEDIF(M378,TODAY(),"m")&lt;6,"新品","老品")</f>
        <v>老品</v>
      </c>
      <c r="O378" s="37">
        <f>_xlfn.XLOOKUP(F378,'6月库存'!A:A,'6月库存'!R:R)</f>
        <v>64</v>
      </c>
      <c r="P378" s="39">
        <f>_xlfn.XLOOKUP(F378,'6月产品包'!B:B,'6月产品包'!S:S)</f>
        <v>3200</v>
      </c>
      <c r="Q378" s="39"/>
      <c r="R378" s="41">
        <f>_xlfn.XLOOKUP(F378,'6月产品包'!B:B,'6月产品包'!AD:AD)</f>
        <v>49.9496</v>
      </c>
      <c r="S378" s="39">
        <v>95</v>
      </c>
      <c r="T378" s="39">
        <f t="shared" si="143"/>
        <v>119</v>
      </c>
      <c r="U378" s="42">
        <f t="shared" si="141"/>
        <v>95.2</v>
      </c>
      <c r="V378" s="43">
        <v>0.2</v>
      </c>
      <c r="W378" s="44">
        <f t="shared" si="144"/>
        <v>0.475319327731092</v>
      </c>
      <c r="X378" s="44">
        <f t="shared" si="145"/>
        <v>0.309019477644976</v>
      </c>
      <c r="Y378" s="52">
        <v>0.04</v>
      </c>
      <c r="Z378" s="46">
        <v>0.086</v>
      </c>
      <c r="AA378" s="46">
        <v>0.049</v>
      </c>
      <c r="AB378" s="46">
        <f t="shared" si="146"/>
        <v>0.00567226890756303</v>
      </c>
      <c r="AC378" s="46">
        <v>0.06</v>
      </c>
      <c r="AD378" s="47"/>
      <c r="AE378" s="50"/>
      <c r="AF378" s="55" t="s">
        <v>114</v>
      </c>
      <c r="AG378" s="39">
        <f t="shared" si="147"/>
        <v>5.712</v>
      </c>
      <c r="AH378" s="39">
        <f t="shared" si="148"/>
        <v>5.712</v>
      </c>
      <c r="AI378" s="39">
        <f t="shared" si="149"/>
        <v>0</v>
      </c>
      <c r="AJ378" s="39">
        <f t="shared" si="150"/>
        <v>0</v>
      </c>
      <c r="AK378" s="39">
        <f t="shared" si="151"/>
        <v>0</v>
      </c>
      <c r="AL378" s="39">
        <f t="shared" si="152"/>
        <v>0</v>
      </c>
      <c r="AM378" s="39">
        <f t="shared" si="153"/>
        <v>0</v>
      </c>
      <c r="AN378" s="39">
        <f t="shared" si="154"/>
        <v>0</v>
      </c>
    </row>
    <row r="379" s="6" customFormat="1" ht="50" hidden="1" customHeight="1" spans="1:40">
      <c r="A379" s="37" t="s">
        <v>96</v>
      </c>
      <c r="B379" s="37" t="s">
        <v>97</v>
      </c>
      <c r="C379" s="37" t="str">
        <f>_xlfn.XLOOKUP(F379,'6月产品包'!B:B,'6月产品包'!H:H)</f>
        <v>密码锁</v>
      </c>
      <c r="D379" s="38" t="str">
        <f>_xlfn.XLOOKUP(F379,'6月产品包'!B:B,'6月产品包'!O:O)</f>
        <v>插销密码锁</v>
      </c>
      <c r="E379" s="38" t="s">
        <v>738</v>
      </c>
      <c r="F379" s="37" t="s">
        <v>739</v>
      </c>
      <c r="G379" s="39" t="s">
        <v>126</v>
      </c>
      <c r="H379" s="37" t="s">
        <v>101</v>
      </c>
      <c r="I379" s="37" t="str">
        <f>_xlfn.XLOOKUP($F379,'6月库存'!A:A,'6月库存'!B:B)</f>
        <v>正常销售</v>
      </c>
      <c r="J379" s="12"/>
      <c r="K379" s="39">
        <f>_xlfn.XLOOKUP(E379,'[1]6月分配 '!$B:$B,'[1]6月分配 '!$K:$K)</f>
        <v>1075</v>
      </c>
      <c r="L379" s="12" t="str">
        <f t="shared" si="142"/>
        <v>是</v>
      </c>
      <c r="M379" s="40" t="str">
        <f>_xlfn.XLOOKUP(F379,'6月产品包'!B:B,'6月产品包'!J:J)</f>
        <v>2025-10-21</v>
      </c>
      <c r="N379" s="39" t="str">
        <f ca="1">IF(DATEDIF(M379,TODAY(),"m")&lt;6,"新品","老品")</f>
        <v>老品</v>
      </c>
      <c r="O379" s="37">
        <f>_xlfn.XLOOKUP(F379,'6月库存'!A:A,'6月库存'!R:R)</f>
        <v>40</v>
      </c>
      <c r="P379" s="39">
        <f>_xlfn.XLOOKUP(F379,'6月产品包'!B:B,'6月产品包'!S:S)</f>
        <v>376</v>
      </c>
      <c r="Q379" s="39"/>
      <c r="R379" s="41">
        <f>_xlfn.XLOOKUP(F379,'6月产品包'!B:B,'6月产品包'!AD:AD)</f>
        <v>12.3424</v>
      </c>
      <c r="S379" s="39">
        <v>25</v>
      </c>
      <c r="T379" s="39">
        <f t="shared" si="143"/>
        <v>31</v>
      </c>
      <c r="U379" s="42">
        <f t="shared" si="141"/>
        <v>24.8</v>
      </c>
      <c r="V379" s="43">
        <v>0.2</v>
      </c>
      <c r="W379" s="44">
        <f t="shared" si="144"/>
        <v>0.502322580645161</v>
      </c>
      <c r="X379" s="44">
        <f t="shared" si="145"/>
        <v>0.305138945187587</v>
      </c>
      <c r="Y379" s="51">
        <v>0.038</v>
      </c>
      <c r="Z379" s="45">
        <v>0.115</v>
      </c>
      <c r="AA379" s="46">
        <v>0.049</v>
      </c>
      <c r="AB379" s="46">
        <f t="shared" si="146"/>
        <v>0.0217741935483871</v>
      </c>
      <c r="AC379" s="46">
        <v>0.06</v>
      </c>
      <c r="AD379" s="47"/>
      <c r="AF379" s="55" t="s">
        <v>114</v>
      </c>
      <c r="AG379" s="39">
        <f t="shared" si="147"/>
        <v>0</v>
      </c>
      <c r="AH379" s="39">
        <f t="shared" si="148"/>
        <v>0</v>
      </c>
      <c r="AI379" s="39">
        <f t="shared" si="149"/>
        <v>0</v>
      </c>
      <c r="AJ379" s="39">
        <f t="shared" si="150"/>
        <v>0</v>
      </c>
      <c r="AK379" s="39">
        <f t="shared" si="151"/>
        <v>0</v>
      </c>
      <c r="AL379" s="39">
        <f t="shared" si="152"/>
        <v>0</v>
      </c>
      <c r="AM379" s="39">
        <f t="shared" si="153"/>
        <v>0</v>
      </c>
      <c r="AN379" s="39">
        <f t="shared" si="154"/>
        <v>0</v>
      </c>
    </row>
    <row r="380" s="6" customFormat="1" ht="50" hidden="1" customHeight="1" spans="1:40">
      <c r="A380" s="37" t="s">
        <v>96</v>
      </c>
      <c r="B380" s="37" t="s">
        <v>115</v>
      </c>
      <c r="C380" s="37" t="str">
        <f>_xlfn.XLOOKUP(F380,'6月产品包'!B:B,'6月产品包'!H:H)</f>
        <v>过胶机</v>
      </c>
      <c r="D380" s="38" t="str">
        <f>_xlfn.XLOOKUP(F380,'6月产品包'!B:B,'6月产品包'!O:O)</f>
        <v>专业快速过胶机A3</v>
      </c>
      <c r="E380" s="38" t="s">
        <v>740</v>
      </c>
      <c r="F380" s="39" t="s">
        <v>741</v>
      </c>
      <c r="G380" s="39" t="e">
        <v>#N/A</v>
      </c>
      <c r="H380" s="39" t="s">
        <v>101</v>
      </c>
      <c r="I380" s="37" t="str">
        <f>_xlfn.XLOOKUP($F380,'6月库存'!A:A,'6月库存'!B:B)</f>
        <v>正常销售</v>
      </c>
      <c r="J380" s="12"/>
      <c r="K380" s="39">
        <f>_xlfn.XLOOKUP(E380,'[1]6月分配 '!$B:$B,'[1]6月分配 '!$K:$K)</f>
        <v>1058</v>
      </c>
      <c r="L380" s="12" t="str">
        <f t="shared" si="142"/>
        <v>是</v>
      </c>
      <c r="M380" s="40" t="str">
        <f>_xlfn.XLOOKUP(F380,'6月产品包'!B:B,'6月产品包'!J:J)</f>
        <v>2025-12-02</v>
      </c>
      <c r="N380" s="39" t="str">
        <f ca="1">IF(DATEDIF(M380,TODAY(),"m")&lt;6,"新品","老品")</f>
        <v>老品</v>
      </c>
      <c r="O380" s="37">
        <f>_xlfn.XLOOKUP(F380,'6月库存'!A:A,'6月库存'!R:R)</f>
        <v>4</v>
      </c>
      <c r="P380" s="39">
        <f>_xlfn.XLOOKUP(F380,'6月产品包'!B:B,'6月产品包'!S:S)</f>
        <v>3200</v>
      </c>
      <c r="Q380" s="39"/>
      <c r="R380" s="41">
        <f>_xlfn.XLOOKUP(F380,'6月产品包'!B:B,'6月产品包'!AD:AD)</f>
        <v>102.3062</v>
      </c>
      <c r="S380" s="39">
        <v>196</v>
      </c>
      <c r="T380" s="39">
        <f t="shared" si="143"/>
        <v>245</v>
      </c>
      <c r="U380" s="42">
        <f t="shared" si="141"/>
        <v>196</v>
      </c>
      <c r="V380" s="43">
        <v>0.2</v>
      </c>
      <c r="W380" s="44">
        <f t="shared" si="144"/>
        <v>0.478029591836735</v>
      </c>
      <c r="X380" s="44">
        <f t="shared" si="145"/>
        <v>0.313418071512939</v>
      </c>
      <c r="Y380" s="44">
        <v>0.038</v>
      </c>
      <c r="Z380" s="46">
        <v>0.09</v>
      </c>
      <c r="AA380" s="46">
        <v>0.049</v>
      </c>
      <c r="AB380" s="46">
        <f t="shared" si="146"/>
        <v>0.00275510204081633</v>
      </c>
      <c r="AC380" s="46">
        <v>0.06</v>
      </c>
      <c r="AD380" s="47"/>
      <c r="AF380" s="55" t="s">
        <v>114</v>
      </c>
      <c r="AG380" s="39">
        <f t="shared" si="147"/>
        <v>8.82</v>
      </c>
      <c r="AH380" s="39">
        <f t="shared" si="148"/>
        <v>6</v>
      </c>
      <c r="AI380" s="39">
        <f t="shared" si="149"/>
        <v>0</v>
      </c>
      <c r="AJ380" s="39">
        <f t="shared" si="150"/>
        <v>0</v>
      </c>
      <c r="AK380" s="39">
        <f t="shared" si="151"/>
        <v>0</v>
      </c>
      <c r="AL380" s="39">
        <f t="shared" si="152"/>
        <v>0</v>
      </c>
      <c r="AM380" s="39">
        <f t="shared" si="153"/>
        <v>0</v>
      </c>
      <c r="AN380" s="39">
        <f t="shared" si="154"/>
        <v>8.82</v>
      </c>
    </row>
    <row r="381" ht="50" hidden="1" customHeight="1" spans="1:40">
      <c r="A381" s="37" t="s">
        <v>96</v>
      </c>
      <c r="B381" s="37" t="s">
        <v>115</v>
      </c>
      <c r="C381" s="37" t="str">
        <f>_xlfn.XLOOKUP(F381,'6月产品包'!B:B,'6月产品包'!H:H)</f>
        <v>银钱盒</v>
      </c>
      <c r="D381" s="38" t="str">
        <f>_xlfn.XLOOKUP(F381,'6月产品包'!B:B,'6月产品包'!O:O)</f>
        <v>迷你收银箱</v>
      </c>
      <c r="E381" s="38" t="s">
        <v>742</v>
      </c>
      <c r="F381" s="39" t="s">
        <v>743</v>
      </c>
      <c r="G381" s="49" t="s">
        <v>100</v>
      </c>
      <c r="H381" s="39" t="s">
        <v>101</v>
      </c>
      <c r="I381" s="37" t="str">
        <f>_xlfn.XLOOKUP($F381,'6月库存'!A:A,'6月库存'!B:B)</f>
        <v>正常销售</v>
      </c>
      <c r="K381" s="39">
        <f>_xlfn.XLOOKUP(E381,'[1]6月分配 '!$B:$B,'[1]6月分配 '!$K:$K)</f>
        <v>991</v>
      </c>
      <c r="L381" s="12" t="str">
        <f t="shared" si="142"/>
        <v>是</v>
      </c>
      <c r="M381" s="40" t="str">
        <f>_xlfn.XLOOKUP(F381,'6月产品包'!B:B,'6月产品包'!J:J)</f>
        <v>2025-11-18</v>
      </c>
      <c r="N381" s="39" t="s">
        <v>149</v>
      </c>
      <c r="O381" s="37">
        <f>_xlfn.XLOOKUP(F381,'6月库存'!A:A,'6月库存'!R:R)</f>
        <v>64</v>
      </c>
      <c r="P381" s="39">
        <f>_xlfn.XLOOKUP(F381,'6月产品包'!B:B,'6月产品包'!S:S)</f>
        <v>470</v>
      </c>
      <c r="Q381" s="39"/>
      <c r="R381" s="41">
        <f>_xlfn.XLOOKUP(F381,'6月产品包'!B:B,'6月产品包'!AD:AD)</f>
        <v>13.5198</v>
      </c>
      <c r="S381" s="39">
        <v>26</v>
      </c>
      <c r="T381" s="39">
        <f t="shared" si="143"/>
        <v>33</v>
      </c>
      <c r="U381" s="42">
        <f t="shared" si="141"/>
        <v>26.4</v>
      </c>
      <c r="V381" s="43">
        <v>0.2</v>
      </c>
      <c r="W381" s="44">
        <f t="shared" si="144"/>
        <v>0.487886363636364</v>
      </c>
      <c r="X381" s="44">
        <f t="shared" si="145"/>
        <v>0.298998257839721</v>
      </c>
      <c r="Y381" s="44">
        <v>0.04</v>
      </c>
      <c r="Z381" s="46">
        <v>0.1</v>
      </c>
      <c r="AA381" s="46">
        <v>0.049</v>
      </c>
      <c r="AB381" s="46">
        <f t="shared" si="146"/>
        <v>0.0204545454545455</v>
      </c>
      <c r="AC381" s="46">
        <v>0.06</v>
      </c>
      <c r="AD381" s="47"/>
      <c r="AE381" s="6"/>
      <c r="AF381" s="55" t="s">
        <v>114</v>
      </c>
      <c r="AG381" s="39">
        <f t="shared" si="147"/>
        <v>0</v>
      </c>
      <c r="AH381" s="39">
        <f t="shared" si="148"/>
        <v>0</v>
      </c>
      <c r="AI381" s="39">
        <f t="shared" si="149"/>
        <v>0</v>
      </c>
      <c r="AJ381" s="39">
        <f t="shared" si="150"/>
        <v>0</v>
      </c>
      <c r="AK381" s="39">
        <f t="shared" si="151"/>
        <v>0</v>
      </c>
      <c r="AL381" s="39">
        <f t="shared" si="152"/>
        <v>0</v>
      </c>
      <c r="AM381" s="39">
        <f t="shared" si="153"/>
        <v>0</v>
      </c>
      <c r="AN381" s="39">
        <f t="shared" si="154"/>
        <v>0</v>
      </c>
    </row>
    <row r="382" s="6" customFormat="1" ht="50" hidden="1" customHeight="1" spans="1:40">
      <c r="A382" s="37" t="s">
        <v>108</v>
      </c>
      <c r="B382" s="37" t="s">
        <v>146</v>
      </c>
      <c r="C382" s="37" t="str">
        <f>_xlfn.XLOOKUP(F382,'6月产品包'!B:B,'6月产品包'!H:H)</f>
        <v>吉他套装</v>
      </c>
      <c r="D382" s="38" t="str">
        <f>_xlfn.XLOOKUP(F382,'6月产品包'!B:B,'6月产品包'!O:O)</f>
        <v>吉他</v>
      </c>
      <c r="E382" s="38" t="s">
        <v>744</v>
      </c>
      <c r="F382" s="39" t="s">
        <v>745</v>
      </c>
      <c r="G382" s="39" t="s">
        <v>100</v>
      </c>
      <c r="H382" s="37" t="s">
        <v>101</v>
      </c>
      <c r="I382" s="37" t="str">
        <f>_xlfn.XLOOKUP($F382,'6月库存'!A:A,'6月库存'!B:B)</f>
        <v>正常销售</v>
      </c>
      <c r="J382" s="12"/>
      <c r="K382" s="39" t="e">
        <f>_xlfn.XLOOKUP(E382,'[1]6月分配 '!$B:$B,'[1]6月分配 '!$K:$K)</f>
        <v>#N/A</v>
      </c>
      <c r="L382" s="12" t="str">
        <f t="shared" si="142"/>
        <v>否</v>
      </c>
      <c r="M382" s="40" t="str">
        <f>_xlfn.XLOOKUP(F382,'6月产品包'!B:B,'6月产品包'!J:J)</f>
        <v>2024-06-27</v>
      </c>
      <c r="N382" s="39" t="s">
        <v>155</v>
      </c>
      <c r="O382" s="37">
        <f>_xlfn.XLOOKUP(F382,'6月库存'!A:A,'6月库存'!R:R)</f>
        <v>6</v>
      </c>
      <c r="P382" s="39">
        <f>_xlfn.XLOOKUP(F382,'6月产品包'!B:B,'6月产品包'!S:S)</f>
        <v>1700</v>
      </c>
      <c r="Q382" s="39">
        <v>11000</v>
      </c>
      <c r="R382" s="41">
        <f>_xlfn.XLOOKUP(F382,'6月产品包'!B:B,'6月产品包'!AD:AD)</f>
        <v>41.4758</v>
      </c>
      <c r="S382" s="39">
        <v>88</v>
      </c>
      <c r="T382" s="39">
        <f t="shared" si="143"/>
        <v>110</v>
      </c>
      <c r="U382" s="42">
        <f t="shared" si="141"/>
        <v>88</v>
      </c>
      <c r="V382" s="43">
        <v>0.2</v>
      </c>
      <c r="W382" s="44">
        <f t="shared" si="144"/>
        <v>0.528684090909091</v>
      </c>
      <c r="X382" s="44">
        <f t="shared" si="145"/>
        <v>0.364686600085779</v>
      </c>
      <c r="Y382" s="44">
        <v>0.038</v>
      </c>
      <c r="Z382" s="46">
        <v>0.105</v>
      </c>
      <c r="AA382" s="46">
        <v>0.049</v>
      </c>
      <c r="AB382" s="46">
        <f t="shared" si="146"/>
        <v>0.00613636363636364</v>
      </c>
      <c r="AC382" s="46">
        <v>0.06</v>
      </c>
      <c r="AD382" s="47"/>
      <c r="AF382" s="48" t="s">
        <v>102</v>
      </c>
      <c r="AG382" s="39">
        <f t="shared" si="147"/>
        <v>5.28</v>
      </c>
      <c r="AH382" s="39">
        <f t="shared" si="148"/>
        <v>5.28</v>
      </c>
      <c r="AI382" s="39">
        <f t="shared" si="149"/>
        <v>0</v>
      </c>
      <c r="AJ382" s="39">
        <f t="shared" si="150"/>
        <v>0</v>
      </c>
      <c r="AK382" s="39">
        <f t="shared" si="151"/>
        <v>0</v>
      </c>
      <c r="AL382" s="39">
        <f t="shared" si="152"/>
        <v>0</v>
      </c>
      <c r="AM382" s="39">
        <f t="shared" si="153"/>
        <v>0</v>
      </c>
      <c r="AN382" s="39">
        <f t="shared" si="154"/>
        <v>0</v>
      </c>
    </row>
    <row r="383" s="6" customFormat="1" ht="50" hidden="1" customHeight="1" spans="1:40">
      <c r="A383" s="37" t="s">
        <v>96</v>
      </c>
      <c r="B383" s="37" t="s">
        <v>115</v>
      </c>
      <c r="C383" s="37" t="str">
        <f>_xlfn.XLOOKUP(F383,'6月产品包'!B:B,'6月产品包'!H:H)</f>
        <v>毛毡照片墙</v>
      </c>
      <c r="D383" s="38" t="str">
        <f>_xlfn.XLOOKUP(F383,'6月产品包'!B:B,'6月产品包'!O:O)</f>
        <v>毛毡照片公告墙</v>
      </c>
      <c r="E383" s="38" t="s">
        <v>746</v>
      </c>
      <c r="F383" s="39" t="s">
        <v>747</v>
      </c>
      <c r="G383" s="39" t="s">
        <v>126</v>
      </c>
      <c r="H383" s="39" t="s">
        <v>101</v>
      </c>
      <c r="I383" s="37" t="str">
        <f>_xlfn.XLOOKUP($F383,'6月库存'!A:A,'6月库存'!B:B)</f>
        <v>正常销售</v>
      </c>
      <c r="J383" s="12"/>
      <c r="K383" s="39">
        <f>_xlfn.XLOOKUP(E383,'[1]6月分配 '!$B:$B,'[1]6月分配 '!$K:$K)</f>
        <v>976</v>
      </c>
      <c r="L383" s="12" t="str">
        <f t="shared" si="142"/>
        <v>是</v>
      </c>
      <c r="M383" s="40" t="str">
        <f>_xlfn.XLOOKUP(F383,'6月产品包'!B:B,'6月产品包'!J:J)</f>
        <v>2026-01-06</v>
      </c>
      <c r="N383" s="39" t="str">
        <f ca="1">IF(DATEDIF(M383,TODAY(),"m")&lt;6,"新品","老品")</f>
        <v>新品</v>
      </c>
      <c r="O383" s="37">
        <f>_xlfn.XLOOKUP(F383,'6月库存'!A:A,'6月库存'!R:R)</f>
        <v>47</v>
      </c>
      <c r="P383" s="39">
        <f>_xlfn.XLOOKUP(F383,'6月产品包'!B:B,'6月产品包'!S:S)</f>
        <v>1100</v>
      </c>
      <c r="Q383" s="39"/>
      <c r="R383" s="41">
        <f>_xlfn.XLOOKUP(F383,'6月产品包'!B:B,'6月产品包'!AD:AD)</f>
        <v>24.6094</v>
      </c>
      <c r="S383" s="39">
        <v>48</v>
      </c>
      <c r="T383" s="39">
        <f t="shared" si="143"/>
        <v>60</v>
      </c>
      <c r="U383" s="42">
        <f t="shared" si="141"/>
        <v>48</v>
      </c>
      <c r="V383" s="43">
        <v>0.2</v>
      </c>
      <c r="W383" s="44">
        <f t="shared" si="144"/>
        <v>0.487304166666667</v>
      </c>
      <c r="X383" s="44">
        <f t="shared" si="145"/>
        <v>0.317996896131249</v>
      </c>
      <c r="Y383" s="44">
        <v>0.038</v>
      </c>
      <c r="Z383" s="46">
        <v>0.09</v>
      </c>
      <c r="AA383" s="46">
        <v>0.049</v>
      </c>
      <c r="AB383" s="46">
        <f t="shared" si="146"/>
        <v>0.01125</v>
      </c>
      <c r="AC383" s="46">
        <v>0.06</v>
      </c>
      <c r="AD383" s="47"/>
      <c r="AF383" s="55" t="s">
        <v>114</v>
      </c>
      <c r="AG383" s="39">
        <f t="shared" si="147"/>
        <v>0</v>
      </c>
      <c r="AH383" s="39">
        <f t="shared" si="148"/>
        <v>0</v>
      </c>
      <c r="AI383" s="39">
        <f t="shared" si="149"/>
        <v>0</v>
      </c>
      <c r="AJ383" s="39">
        <f t="shared" si="150"/>
        <v>0</v>
      </c>
      <c r="AK383" s="39">
        <f t="shared" si="151"/>
        <v>0</v>
      </c>
      <c r="AL383" s="39">
        <f t="shared" si="152"/>
        <v>0</v>
      </c>
      <c r="AM383" s="39">
        <f t="shared" si="153"/>
        <v>0</v>
      </c>
      <c r="AN383" s="39">
        <f t="shared" si="154"/>
        <v>0</v>
      </c>
    </row>
    <row r="384" s="6" customFormat="1" ht="50" hidden="1" customHeight="1" spans="1:40">
      <c r="A384" s="37" t="s">
        <v>108</v>
      </c>
      <c r="B384" s="37" t="s">
        <v>146</v>
      </c>
      <c r="C384" s="37" t="str">
        <f>_xlfn.XLOOKUP(F384,'6月产品包'!B:B,'6月产品包'!H:H)</f>
        <v>吉他套装</v>
      </c>
      <c r="D384" s="38" t="str">
        <f>_xlfn.XLOOKUP(F384,'6月产品包'!B:B,'6月产品包'!O:O)</f>
        <v>吉他</v>
      </c>
      <c r="E384" s="38" t="s">
        <v>748</v>
      </c>
      <c r="F384" s="39" t="s">
        <v>749</v>
      </c>
      <c r="G384" s="39" t="s">
        <v>100</v>
      </c>
      <c r="H384" s="37" t="s">
        <v>101</v>
      </c>
      <c r="I384" s="37" t="str">
        <f>_xlfn.XLOOKUP($F384,'6月库存'!A:A,'6月库存'!B:B)</f>
        <v>正常销售</v>
      </c>
      <c r="J384" s="12"/>
      <c r="K384" s="39" t="e">
        <f>_xlfn.XLOOKUP(E384,'[1]6月分配 '!$B:$B,'[1]6月分配 '!$K:$K)</f>
        <v>#N/A</v>
      </c>
      <c r="L384" s="12" t="str">
        <f t="shared" si="142"/>
        <v>否</v>
      </c>
      <c r="M384" s="40" t="str">
        <f>_xlfn.XLOOKUP(F384,'6月产品包'!B:B,'6月产品包'!J:J)</f>
        <v>2024-06-27</v>
      </c>
      <c r="N384" s="39" t="s">
        <v>155</v>
      </c>
      <c r="O384" s="37">
        <f>_xlfn.XLOOKUP(F384,'6月库存'!A:A,'6月库存'!R:R)</f>
        <v>320</v>
      </c>
      <c r="P384" s="39">
        <f>_xlfn.XLOOKUP(F384,'6月产品包'!B:B,'6月产品包'!S:S)</f>
        <v>2000</v>
      </c>
      <c r="Q384" s="39">
        <v>11000</v>
      </c>
      <c r="R384" s="41">
        <f>_xlfn.XLOOKUP(F384,'6月产品包'!B:B,'6月产品包'!AD:AD)</f>
        <v>48.1516</v>
      </c>
      <c r="S384" s="39">
        <v>92</v>
      </c>
      <c r="T384" s="39">
        <f t="shared" si="143"/>
        <v>115</v>
      </c>
      <c r="U384" s="42">
        <f t="shared" ref="U384:U440" si="155">$T384*(1-0.2)</f>
        <v>92</v>
      </c>
      <c r="V384" s="43">
        <v>0.2</v>
      </c>
      <c r="W384" s="44">
        <f t="shared" si="144"/>
        <v>0.476613043478261</v>
      </c>
      <c r="X384" s="44">
        <f t="shared" si="145"/>
        <v>0.294750717675318</v>
      </c>
      <c r="Y384" s="44">
        <v>0.038</v>
      </c>
      <c r="Z384" s="46">
        <v>0.105</v>
      </c>
      <c r="AA384" s="46">
        <v>0.049</v>
      </c>
      <c r="AB384" s="46">
        <f t="shared" si="146"/>
        <v>0.0058695652173913</v>
      </c>
      <c r="AC384" s="46">
        <v>0.06</v>
      </c>
      <c r="AD384" s="47"/>
      <c r="AF384" s="48" t="s">
        <v>102</v>
      </c>
      <c r="AG384" s="39">
        <f t="shared" ref="AG384:AG436" si="156">MAX(AH384:AN384)</f>
        <v>5.52</v>
      </c>
      <c r="AH384" s="39">
        <f t="shared" ref="AH384:AH436" si="157">IF(U384&gt;=50,MIN(MIN(U384*0.2,20)*0.3,6),0)</f>
        <v>5.52</v>
      </c>
      <c r="AI384" s="39">
        <f t="shared" ref="AI384:AI436" si="158">IF(U384&gt;=200,MIN(MIN(U384*0.18,70)*0.3,21),0)</f>
        <v>0</v>
      </c>
      <c r="AJ384" s="39">
        <f t="shared" si="150"/>
        <v>0</v>
      </c>
      <c r="AK384" s="39">
        <f t="shared" si="151"/>
        <v>0</v>
      </c>
      <c r="AL384" s="39">
        <f t="shared" ref="AL384:AL436" si="159">IF(U384&gt;=380,MIN(MIN(U384*0.22,300)*0.3,90),0)</f>
        <v>0</v>
      </c>
      <c r="AM384" s="39">
        <f t="shared" ref="AM384:AM436" si="160">IF(U384&gt;=250,MIN(MIN(U384*0.18,120)*0.3,36),0)</f>
        <v>0</v>
      </c>
      <c r="AN384" s="39">
        <f t="shared" ref="AN384:AN436" si="161">IF(U384&gt;=180,MIN(MIN(U384*0.15,60)*0.3,18),0)</f>
        <v>0</v>
      </c>
    </row>
    <row r="385" s="6" customFormat="1" ht="50" hidden="1" customHeight="1" spans="1:40">
      <c r="A385" s="37" t="s">
        <v>96</v>
      </c>
      <c r="B385" s="37" t="s">
        <v>97</v>
      </c>
      <c r="C385" s="37" t="str">
        <f>_xlfn.XLOOKUP(F385,'6月产品包'!B:B,'6月产品包'!H:H)</f>
        <v>锁体</v>
      </c>
      <c r="D385" s="38" t="str">
        <f>_xlfn.XLOOKUP(F385,'6月产品包'!B:B,'6月产品包'!O:O)</f>
        <v>房间门锁体</v>
      </c>
      <c r="E385" s="38" t="s">
        <v>750</v>
      </c>
      <c r="F385" s="37" t="s">
        <v>751</v>
      </c>
      <c r="G385" s="39" t="s">
        <v>126</v>
      </c>
      <c r="H385" s="37" t="s">
        <v>101</v>
      </c>
      <c r="I385" s="37" t="str">
        <f>_xlfn.XLOOKUP($F385,'6月库存'!A:A,'6月库存'!B:B)</f>
        <v>正常销售</v>
      </c>
      <c r="J385" s="12"/>
      <c r="K385" s="39">
        <f>_xlfn.XLOOKUP(E385,'[1]6月分配 '!$B:$B,'[1]6月分配 '!$K:$K)</f>
        <v>960</v>
      </c>
      <c r="L385" s="12" t="str">
        <f t="shared" si="142"/>
        <v>是</v>
      </c>
      <c r="M385" s="40" t="str">
        <f>_xlfn.XLOOKUP(F385,'6月产品包'!B:B,'6月产品包'!J:J)</f>
        <v>2025-10-30</v>
      </c>
      <c r="N385" s="39" t="str">
        <f ca="1">IF(DATEDIF(M385,TODAY(),"m")&lt;6,"新品","老品")</f>
        <v>老品</v>
      </c>
      <c r="O385" s="37">
        <f>_xlfn.XLOOKUP(F385,'6月库存'!A:A,'6月库存'!R:R)</f>
        <v>78</v>
      </c>
      <c r="P385" s="39">
        <f>_xlfn.XLOOKUP(F385,'6月产品包'!B:B,'6月产品包'!S:S)</f>
        <v>335</v>
      </c>
      <c r="Q385" s="39"/>
      <c r="R385" s="41">
        <f>_xlfn.XLOOKUP(F385,'6月产品包'!B:B,'6月产品包'!AD:AD)</f>
        <v>7.1862</v>
      </c>
      <c r="S385" s="39">
        <v>17</v>
      </c>
      <c r="T385" s="39">
        <f t="shared" si="143"/>
        <v>21</v>
      </c>
      <c r="U385" s="42">
        <f t="shared" si="155"/>
        <v>16.8</v>
      </c>
      <c r="V385" s="43">
        <v>0.2</v>
      </c>
      <c r="W385" s="44">
        <f t="shared" si="144"/>
        <v>0.57225</v>
      </c>
      <c r="X385" s="44">
        <f t="shared" si="145"/>
        <v>0.393999190447278</v>
      </c>
      <c r="Y385" s="51">
        <v>0.038</v>
      </c>
      <c r="Z385" s="45">
        <v>0.115</v>
      </c>
      <c r="AA385" s="46">
        <v>0.049</v>
      </c>
      <c r="AB385" s="46">
        <f t="shared" si="146"/>
        <v>0.0321428571428571</v>
      </c>
      <c r="AC385" s="46">
        <v>0.06</v>
      </c>
      <c r="AD385" s="47"/>
      <c r="AF385" s="55" t="s">
        <v>114</v>
      </c>
      <c r="AG385" s="39">
        <f t="shared" si="156"/>
        <v>0</v>
      </c>
      <c r="AH385" s="39">
        <f t="shared" si="157"/>
        <v>0</v>
      </c>
      <c r="AI385" s="39">
        <f t="shared" si="158"/>
        <v>0</v>
      </c>
      <c r="AJ385" s="39">
        <f t="shared" si="150"/>
        <v>0</v>
      </c>
      <c r="AK385" s="39">
        <f t="shared" si="151"/>
        <v>0</v>
      </c>
      <c r="AL385" s="39">
        <f t="shared" si="159"/>
        <v>0</v>
      </c>
      <c r="AM385" s="39">
        <f t="shared" si="160"/>
        <v>0</v>
      </c>
      <c r="AN385" s="39">
        <f t="shared" si="161"/>
        <v>0</v>
      </c>
    </row>
    <row r="386" s="6" customFormat="1" ht="50" hidden="1" customHeight="1" spans="1:40">
      <c r="A386" s="37" t="s">
        <v>108</v>
      </c>
      <c r="B386" s="37" t="s">
        <v>146</v>
      </c>
      <c r="C386" s="37" t="str">
        <f>_xlfn.XLOOKUP(F386,'6月产品包'!B:B,'6月产品包'!H:H)</f>
        <v>吉他套装</v>
      </c>
      <c r="D386" s="38" t="str">
        <f>_xlfn.XLOOKUP(F386,'6月产品包'!B:B,'6月产品包'!O:O)</f>
        <v>吉他</v>
      </c>
      <c r="E386" s="38" t="s">
        <v>752</v>
      </c>
      <c r="F386" s="39" t="s">
        <v>753</v>
      </c>
      <c r="G386" s="39" t="s">
        <v>100</v>
      </c>
      <c r="H386" s="37" t="s">
        <v>101</v>
      </c>
      <c r="I386" s="37" t="str">
        <f>_xlfn.XLOOKUP($F386,'6月库存'!A:A,'6月库存'!B:B)</f>
        <v>正常销售</v>
      </c>
      <c r="J386" s="12"/>
      <c r="K386" s="39" t="e">
        <f>_xlfn.XLOOKUP(E386,'[1]6月分配 '!$B:$B,'[1]6月分配 '!$K:$K)</f>
        <v>#N/A</v>
      </c>
      <c r="L386" s="12" t="str">
        <f t="shared" si="142"/>
        <v>否</v>
      </c>
      <c r="M386" s="40" t="str">
        <f>_xlfn.XLOOKUP(F386,'6月产品包'!B:B,'6月产品包'!J:J)</f>
        <v>2024-09-03</v>
      </c>
      <c r="N386" s="39" t="s">
        <v>155</v>
      </c>
      <c r="O386" s="37">
        <f>_xlfn.XLOOKUP(F386,'6月库存'!A:A,'6月库存'!R:R)</f>
        <v>0</v>
      </c>
      <c r="P386" s="39">
        <f>_xlfn.XLOOKUP(F386,'6月产品包'!B:B,'6月产品包'!S:S)</f>
        <v>1450</v>
      </c>
      <c r="Q386" s="39">
        <v>11000</v>
      </c>
      <c r="R386" s="41">
        <f>_xlfn.XLOOKUP(F386,'6月产品包'!B:B,'6月产品包'!AD:AD)</f>
        <v>41.4758</v>
      </c>
      <c r="S386" s="39">
        <v>88</v>
      </c>
      <c r="T386" s="39">
        <f t="shared" si="143"/>
        <v>110</v>
      </c>
      <c r="U386" s="42">
        <f t="shared" si="155"/>
        <v>88</v>
      </c>
      <c r="V386" s="43">
        <v>0.2</v>
      </c>
      <c r="W386" s="44">
        <f t="shared" si="144"/>
        <v>0.528684090909091</v>
      </c>
      <c r="X386" s="44">
        <f t="shared" si="145"/>
        <v>0.364686600085779</v>
      </c>
      <c r="Y386" s="44">
        <v>0.038</v>
      </c>
      <c r="Z386" s="46">
        <v>0.105</v>
      </c>
      <c r="AA386" s="46">
        <v>0.049</v>
      </c>
      <c r="AB386" s="46">
        <f t="shared" si="146"/>
        <v>0.00613636363636364</v>
      </c>
      <c r="AC386" s="46">
        <v>0.06</v>
      </c>
      <c r="AD386" s="47"/>
      <c r="AF386" s="48" t="s">
        <v>102</v>
      </c>
      <c r="AG386" s="39">
        <f t="shared" si="156"/>
        <v>5.28</v>
      </c>
      <c r="AH386" s="39">
        <f t="shared" si="157"/>
        <v>5.28</v>
      </c>
      <c r="AI386" s="39">
        <f t="shared" si="158"/>
        <v>0</v>
      </c>
      <c r="AJ386" s="39">
        <f t="shared" ref="AJ385:AJ436" si="162">IF(U386&gt;=380,MIN(MIN(U386*0.28,350)*0.3,105),0)</f>
        <v>0</v>
      </c>
      <c r="AK386" s="39">
        <f t="shared" ref="AK385:AK436" si="163">IF(U386&gt;=380,MIN(MIN(U386*0.25,350)*0.3,105),0)</f>
        <v>0</v>
      </c>
      <c r="AL386" s="39">
        <f t="shared" si="159"/>
        <v>0</v>
      </c>
      <c r="AM386" s="39">
        <f t="shared" si="160"/>
        <v>0</v>
      </c>
      <c r="AN386" s="39">
        <f t="shared" si="161"/>
        <v>0</v>
      </c>
    </row>
    <row r="387" s="6" customFormat="1" ht="50" hidden="1" customHeight="1" spans="1:40">
      <c r="A387" s="37" t="s">
        <v>96</v>
      </c>
      <c r="B387" s="37" t="s">
        <v>97</v>
      </c>
      <c r="C387" s="37" t="str">
        <f>_xlfn.XLOOKUP(F387,'6月产品包'!B:B,'6月产品包'!H:H)</f>
        <v>锁体</v>
      </c>
      <c r="D387" s="38" t="str">
        <f>_xlfn.XLOOKUP(F387,'6月产品包'!B:B,'6月产品包'!O:O)</f>
        <v>防盗门锁体</v>
      </c>
      <c r="E387" s="38" t="s">
        <v>754</v>
      </c>
      <c r="F387" s="37" t="s">
        <v>755</v>
      </c>
      <c r="G387" s="39" t="s">
        <v>126</v>
      </c>
      <c r="H387" s="37" t="s">
        <v>101</v>
      </c>
      <c r="I387" s="37" t="str">
        <f>_xlfn.XLOOKUP($F387,'6月库存'!A:A,'6月库存'!B:B)</f>
        <v>正常销售</v>
      </c>
      <c r="J387" s="12"/>
      <c r="K387" s="39">
        <f>_xlfn.XLOOKUP(E387,'[1]6月分配 '!$B:$B,'[1]6月分配 '!$K:$K)</f>
        <v>858</v>
      </c>
      <c r="L387" s="12" t="str">
        <f t="shared" si="142"/>
        <v>是</v>
      </c>
      <c r="M387" s="40" t="str">
        <f>_xlfn.XLOOKUP(F387,'6月产品包'!B:B,'6月产品包'!J:J)</f>
        <v>2025-10-30</v>
      </c>
      <c r="N387" s="39" t="str">
        <f ca="1">IF(DATEDIF(M387,TODAY(),"m")&lt;6,"新品","老品")</f>
        <v>老品</v>
      </c>
      <c r="O387" s="37">
        <f>_xlfn.XLOOKUP(F387,'6月库存'!A:A,'6月库存'!R:R)</f>
        <v>39</v>
      </c>
      <c r="P387" s="39">
        <f>_xlfn.XLOOKUP(F387,'6月产品包'!B:B,'6月产品包'!S:S)</f>
        <v>651</v>
      </c>
      <c r="Q387" s="39"/>
      <c r="R387" s="41">
        <f>_xlfn.XLOOKUP(F387,'6月产品包'!B:B,'6月产品包'!AD:AD)</f>
        <v>12.5976</v>
      </c>
      <c r="S387" s="39">
        <v>31</v>
      </c>
      <c r="T387" s="39">
        <f t="shared" si="143"/>
        <v>39</v>
      </c>
      <c r="U387" s="42">
        <f t="shared" si="155"/>
        <v>31.2</v>
      </c>
      <c r="V387" s="43">
        <v>0.2</v>
      </c>
      <c r="W387" s="44">
        <f t="shared" si="144"/>
        <v>0.596230769230769</v>
      </c>
      <c r="X387" s="44">
        <f t="shared" si="145"/>
        <v>0.439748105454157</v>
      </c>
      <c r="Y387" s="51">
        <v>0.038</v>
      </c>
      <c r="Z387" s="45">
        <v>0.115</v>
      </c>
      <c r="AA387" s="46">
        <v>0.049</v>
      </c>
      <c r="AB387" s="46">
        <f t="shared" si="146"/>
        <v>0.0173076923076923</v>
      </c>
      <c r="AC387" s="46">
        <v>0.06</v>
      </c>
      <c r="AD387" s="47"/>
      <c r="AE387" s="50"/>
      <c r="AF387" s="55" t="s">
        <v>114</v>
      </c>
      <c r="AG387" s="39">
        <f t="shared" si="156"/>
        <v>0</v>
      </c>
      <c r="AH387" s="39">
        <f t="shared" si="157"/>
        <v>0</v>
      </c>
      <c r="AI387" s="39">
        <f t="shared" si="158"/>
        <v>0</v>
      </c>
      <c r="AJ387" s="39">
        <f t="shared" si="162"/>
        <v>0</v>
      </c>
      <c r="AK387" s="39">
        <f t="shared" si="163"/>
        <v>0</v>
      </c>
      <c r="AL387" s="39">
        <f t="shared" si="159"/>
        <v>0</v>
      </c>
      <c r="AM387" s="39">
        <f t="shared" si="160"/>
        <v>0</v>
      </c>
      <c r="AN387" s="39">
        <f t="shared" si="161"/>
        <v>0</v>
      </c>
    </row>
    <row r="388" s="6" customFormat="1" ht="50" hidden="1" customHeight="1" spans="1:40">
      <c r="A388" s="37" t="s">
        <v>108</v>
      </c>
      <c r="B388" s="37" t="s">
        <v>146</v>
      </c>
      <c r="C388" s="37" t="str">
        <f>_xlfn.XLOOKUP(F388,'6月产品包'!B:B,'6月产品包'!H:H)</f>
        <v>吉他套装</v>
      </c>
      <c r="D388" s="38" t="str">
        <f>_xlfn.XLOOKUP(F388,'6月产品包'!B:B,'6月产品包'!O:O)</f>
        <v>吉他</v>
      </c>
      <c r="E388" s="38" t="s">
        <v>756</v>
      </c>
      <c r="F388" s="39" t="s">
        <v>757</v>
      </c>
      <c r="G388" s="39" t="s">
        <v>100</v>
      </c>
      <c r="H388" s="37" t="s">
        <v>101</v>
      </c>
      <c r="I388" s="37" t="str">
        <f>_xlfn.XLOOKUP($F388,'6月库存'!A:A,'6月库存'!B:B)</f>
        <v>正常销售</v>
      </c>
      <c r="J388" s="12"/>
      <c r="K388" s="39" t="e">
        <f>_xlfn.XLOOKUP(E388,'[1]6月分配 '!$B:$B,'[1]6月分配 '!$K:$K)</f>
        <v>#N/A</v>
      </c>
      <c r="L388" s="12" t="str">
        <f t="shared" si="142"/>
        <v>否</v>
      </c>
      <c r="M388" s="40" t="str">
        <f>_xlfn.XLOOKUP(F388,'6月产品包'!B:B,'6月产品包'!J:J)</f>
        <v>2024-09-14</v>
      </c>
      <c r="N388" s="39" t="s">
        <v>155</v>
      </c>
      <c r="O388" s="37">
        <f>_xlfn.XLOOKUP(F388,'6月库存'!A:A,'6月库存'!R:R)</f>
        <v>288</v>
      </c>
      <c r="P388" s="39">
        <f>_xlfn.XLOOKUP(F388,'6月产品包'!B:B,'6月产品包'!S:S)</f>
        <v>2000</v>
      </c>
      <c r="Q388" s="39">
        <v>11000</v>
      </c>
      <c r="R388" s="41">
        <f>_xlfn.XLOOKUP(F388,'6月产品包'!B:B,'6月产品包'!AD:AD)</f>
        <v>48.1516</v>
      </c>
      <c r="S388" s="39">
        <v>92</v>
      </c>
      <c r="T388" s="39">
        <f t="shared" si="143"/>
        <v>115</v>
      </c>
      <c r="U388" s="42">
        <f t="shared" si="155"/>
        <v>92</v>
      </c>
      <c r="V388" s="43">
        <v>0.2</v>
      </c>
      <c r="W388" s="44">
        <f t="shared" si="144"/>
        <v>0.476613043478261</v>
      </c>
      <c r="X388" s="44">
        <f t="shared" si="145"/>
        <v>0.294750717675318</v>
      </c>
      <c r="Y388" s="44">
        <v>0.038</v>
      </c>
      <c r="Z388" s="46">
        <v>0.105</v>
      </c>
      <c r="AA388" s="46">
        <v>0.049</v>
      </c>
      <c r="AB388" s="46">
        <f t="shared" si="146"/>
        <v>0.0058695652173913</v>
      </c>
      <c r="AC388" s="46">
        <v>0.06</v>
      </c>
      <c r="AD388" s="47"/>
      <c r="AF388" s="48" t="s">
        <v>102</v>
      </c>
      <c r="AG388" s="39">
        <f t="shared" si="156"/>
        <v>5.52</v>
      </c>
      <c r="AH388" s="39">
        <f t="shared" si="157"/>
        <v>5.52</v>
      </c>
      <c r="AI388" s="39">
        <f t="shared" si="158"/>
        <v>0</v>
      </c>
      <c r="AJ388" s="39">
        <f t="shared" si="162"/>
        <v>0</v>
      </c>
      <c r="AK388" s="39">
        <f t="shared" si="163"/>
        <v>0</v>
      </c>
      <c r="AL388" s="39">
        <f t="shared" si="159"/>
        <v>0</v>
      </c>
      <c r="AM388" s="39">
        <f t="shared" si="160"/>
        <v>0</v>
      </c>
      <c r="AN388" s="39">
        <f t="shared" si="161"/>
        <v>0</v>
      </c>
    </row>
    <row r="389" s="6" customFormat="1" ht="50" hidden="1" customHeight="1" spans="1:40">
      <c r="A389" s="37" t="s">
        <v>108</v>
      </c>
      <c r="B389" s="37" t="s">
        <v>146</v>
      </c>
      <c r="C389" s="37" t="str">
        <f>_xlfn.XLOOKUP(F389,'6月产品包'!B:B,'6月产品包'!H:H)</f>
        <v>吉他套装</v>
      </c>
      <c r="D389" s="38" t="str">
        <f>_xlfn.XLOOKUP(F389,'6月产品包'!B:B,'6月产品包'!O:O)</f>
        <v>吉他</v>
      </c>
      <c r="E389" s="38" t="s">
        <v>758</v>
      </c>
      <c r="F389" s="39" t="s">
        <v>759</v>
      </c>
      <c r="G389" s="39" t="s">
        <v>106</v>
      </c>
      <c r="H389" s="37" t="s">
        <v>101</v>
      </c>
      <c r="I389" s="37" t="str">
        <f>_xlfn.XLOOKUP($F389,'6月库存'!A:A,'6月库存'!B:B)</f>
        <v>正常销售</v>
      </c>
      <c r="J389" s="12"/>
      <c r="K389" s="39" t="e">
        <f>_xlfn.XLOOKUP(E389,'[1]6月分配 '!$B:$B,'[1]6月分配 '!$K:$K)</f>
        <v>#N/A</v>
      </c>
      <c r="L389" s="12" t="str">
        <f t="shared" si="142"/>
        <v>否</v>
      </c>
      <c r="M389" s="40" t="str">
        <f>_xlfn.XLOOKUP(F389,'6月产品包'!B:B,'6月产品包'!J:J)</f>
        <v>2025-10-09</v>
      </c>
      <c r="N389" s="37" t="s">
        <v>149</v>
      </c>
      <c r="O389" s="37">
        <f>_xlfn.XLOOKUP(F389,'6月库存'!A:A,'6月库存'!R:R)</f>
        <v>185</v>
      </c>
      <c r="P389" s="39">
        <f>_xlfn.XLOOKUP(F389,'6月产品包'!B:B,'6月产品包'!S:S)</f>
        <v>2500</v>
      </c>
      <c r="Q389" s="39">
        <v>11000</v>
      </c>
      <c r="R389" s="41">
        <f>_xlfn.XLOOKUP(F389,'6月产品包'!B:B,'6月产品包'!AD:AD)</f>
        <v>57.9594</v>
      </c>
      <c r="S389" s="39">
        <v>109</v>
      </c>
      <c r="T389" s="39">
        <f t="shared" si="143"/>
        <v>136</v>
      </c>
      <c r="U389" s="42">
        <f t="shared" si="155"/>
        <v>108.8</v>
      </c>
      <c r="V389" s="43">
        <v>0.2</v>
      </c>
      <c r="W389" s="44">
        <f t="shared" si="144"/>
        <v>0.467284926470588</v>
      </c>
      <c r="X389" s="44">
        <f t="shared" si="145"/>
        <v>0.283056910730013</v>
      </c>
      <c r="Y389" s="44">
        <v>0.038</v>
      </c>
      <c r="Z389" s="46">
        <v>0.105</v>
      </c>
      <c r="AA389" s="46">
        <v>0.049</v>
      </c>
      <c r="AB389" s="46">
        <f t="shared" si="146"/>
        <v>0.00496323529411765</v>
      </c>
      <c r="AC389" s="46">
        <v>0.06</v>
      </c>
      <c r="AD389" s="47"/>
      <c r="AF389" s="48" t="s">
        <v>102</v>
      </c>
      <c r="AG389" s="39">
        <f t="shared" si="156"/>
        <v>6</v>
      </c>
      <c r="AH389" s="39">
        <f t="shared" si="157"/>
        <v>6</v>
      </c>
      <c r="AI389" s="39">
        <f t="shared" si="158"/>
        <v>0</v>
      </c>
      <c r="AJ389" s="39">
        <f t="shared" si="162"/>
        <v>0</v>
      </c>
      <c r="AK389" s="39">
        <f t="shared" si="163"/>
        <v>0</v>
      </c>
      <c r="AL389" s="39">
        <f t="shared" si="159"/>
        <v>0</v>
      </c>
      <c r="AM389" s="39">
        <f t="shared" si="160"/>
        <v>0</v>
      </c>
      <c r="AN389" s="39">
        <f t="shared" si="161"/>
        <v>0</v>
      </c>
    </row>
    <row r="390" s="6" customFormat="1" ht="50" hidden="1" customHeight="1" spans="1:40">
      <c r="A390" s="37" t="s">
        <v>108</v>
      </c>
      <c r="B390" s="37" t="s">
        <v>146</v>
      </c>
      <c r="C390" s="37" t="str">
        <f>_xlfn.XLOOKUP(F390,'6月产品包'!B:B,'6月产品包'!H:H)</f>
        <v>吉他套装</v>
      </c>
      <c r="D390" s="38" t="str">
        <f>_xlfn.XLOOKUP(F390,'6月产品包'!B:B,'6月产品包'!O:O)</f>
        <v>吉他</v>
      </c>
      <c r="E390" s="38" t="s">
        <v>760</v>
      </c>
      <c r="F390" s="39" t="s">
        <v>761</v>
      </c>
      <c r="G390" s="39" t="s">
        <v>100</v>
      </c>
      <c r="H390" s="37" t="s">
        <v>101</v>
      </c>
      <c r="I390" s="37" t="str">
        <f>_xlfn.XLOOKUP($F390,'6月库存'!A:A,'6月库存'!B:B)</f>
        <v>商品清仓</v>
      </c>
      <c r="J390" s="12"/>
      <c r="K390" s="39" t="e">
        <f>_xlfn.XLOOKUP(E390,'[1]6月分配 '!$B:$B,'[1]6月分配 '!$K:$K)</f>
        <v>#N/A</v>
      </c>
      <c r="L390" s="12" t="str">
        <f t="shared" si="142"/>
        <v>否</v>
      </c>
      <c r="M390" s="40" t="str">
        <f>_xlfn.XLOOKUP(F390,'6月产品包'!B:B,'6月产品包'!J:J)</f>
        <v>2024-11-12</v>
      </c>
      <c r="N390" s="39" t="s">
        <v>155</v>
      </c>
      <c r="O390" s="37">
        <f>_xlfn.XLOOKUP(F390,'6月库存'!A:A,'6月库存'!R:R)</f>
        <v>0</v>
      </c>
      <c r="P390" s="39">
        <f>_xlfn.XLOOKUP(F390,'6月产品包'!B:B,'6月产品包'!S:S)</f>
        <v>2000</v>
      </c>
      <c r="Q390" s="39">
        <v>11000</v>
      </c>
      <c r="R390" s="41">
        <f>_xlfn.XLOOKUP(F390,'6月产品包'!B:B,'6月产品包'!AD:AD)</f>
        <v>49.9206</v>
      </c>
      <c r="S390" s="39">
        <v>98</v>
      </c>
      <c r="T390" s="39">
        <f t="shared" si="143"/>
        <v>123</v>
      </c>
      <c r="U390" s="42">
        <f t="shared" si="155"/>
        <v>98.4</v>
      </c>
      <c r="V390" s="43">
        <v>0.2</v>
      </c>
      <c r="W390" s="44">
        <f t="shared" si="144"/>
        <v>0.492676829268293</v>
      </c>
      <c r="X390" s="44">
        <f t="shared" si="145"/>
        <v>0.316747692408764</v>
      </c>
      <c r="Y390" s="44">
        <v>0.038</v>
      </c>
      <c r="Z390" s="46">
        <v>0.105</v>
      </c>
      <c r="AA390" s="46">
        <v>0.049</v>
      </c>
      <c r="AB390" s="46">
        <f t="shared" si="146"/>
        <v>0.00548780487804878</v>
      </c>
      <c r="AC390" s="46">
        <v>0.06</v>
      </c>
      <c r="AD390" s="47"/>
      <c r="AF390" s="48" t="s">
        <v>102</v>
      </c>
      <c r="AG390" s="39">
        <f t="shared" si="156"/>
        <v>5.904</v>
      </c>
      <c r="AH390" s="39">
        <f t="shared" si="157"/>
        <v>5.904</v>
      </c>
      <c r="AI390" s="39">
        <f t="shared" si="158"/>
        <v>0</v>
      </c>
      <c r="AJ390" s="39">
        <f t="shared" si="162"/>
        <v>0</v>
      </c>
      <c r="AK390" s="39">
        <f t="shared" si="163"/>
        <v>0</v>
      </c>
      <c r="AL390" s="39">
        <f t="shared" si="159"/>
        <v>0</v>
      </c>
      <c r="AM390" s="39">
        <f t="shared" si="160"/>
        <v>0</v>
      </c>
      <c r="AN390" s="39">
        <f t="shared" si="161"/>
        <v>0</v>
      </c>
    </row>
    <row r="391" s="6" customFormat="1" ht="50" hidden="1" customHeight="1" spans="1:40">
      <c r="A391" s="37" t="s">
        <v>96</v>
      </c>
      <c r="B391" s="37" t="s">
        <v>115</v>
      </c>
      <c r="C391" s="37" t="str">
        <f>_xlfn.XLOOKUP(F391,'6月产品包'!B:B,'6月产品包'!H:H)</f>
        <v>银钱盒</v>
      </c>
      <c r="D391" s="38" t="str">
        <f>_xlfn.XLOOKUP(F391,'6月产品包'!B:B,'6月产品包'!O:O)</f>
        <v>迷你收银箱</v>
      </c>
      <c r="E391" s="38" t="s">
        <v>26</v>
      </c>
      <c r="F391" s="39" t="s">
        <v>27</v>
      </c>
      <c r="G391" s="49" t="s">
        <v>100</v>
      </c>
      <c r="H391" s="39" t="s">
        <v>101</v>
      </c>
      <c r="I391" s="37" t="str">
        <f>_xlfn.XLOOKUP($F391,'6月库存'!A:A,'6月库存'!B:B)</f>
        <v>正常销售</v>
      </c>
      <c r="J391" s="12"/>
      <c r="K391" s="39">
        <f>_xlfn.XLOOKUP(E391,'[1]6月分配 '!$B:$B,'[1]6月分配 '!$K:$K)</f>
        <v>807</v>
      </c>
      <c r="L391" s="12" t="str">
        <f t="shared" si="142"/>
        <v>是</v>
      </c>
      <c r="M391" s="40" t="str">
        <f>_xlfn.XLOOKUP(F391,'6月产品包'!B:B,'6月产品包'!J:J)</f>
        <v>2025-11-18</v>
      </c>
      <c r="N391" s="39" t="s">
        <v>149</v>
      </c>
      <c r="O391" s="37">
        <f>_xlfn.XLOOKUP(F391,'6月库存'!A:A,'6月库存'!R:R)</f>
        <v>70</v>
      </c>
      <c r="P391" s="39">
        <f>_xlfn.XLOOKUP(F391,'6月产品包'!B:B,'6月产品包'!S:S)</f>
        <v>800</v>
      </c>
      <c r="Q391" s="39"/>
      <c r="R391" s="41">
        <f>_xlfn.XLOOKUP(F391,'6月产品包'!B:B,'6月产品包'!AD:AD)</f>
        <v>11.136</v>
      </c>
      <c r="S391" s="39">
        <v>22</v>
      </c>
      <c r="T391" s="39">
        <f t="shared" si="143"/>
        <v>28</v>
      </c>
      <c r="U391" s="42">
        <f t="shared" si="155"/>
        <v>22.4</v>
      </c>
      <c r="V391" s="43">
        <v>0.2</v>
      </c>
      <c r="W391" s="44">
        <f t="shared" si="144"/>
        <v>0.502857142857143</v>
      </c>
      <c r="X391" s="44">
        <f t="shared" si="145"/>
        <v>0.316071340834275</v>
      </c>
      <c r="Y391" s="44">
        <v>0.04</v>
      </c>
      <c r="Z391" s="46">
        <v>0.1</v>
      </c>
      <c r="AA391" s="46">
        <v>0.049</v>
      </c>
      <c r="AB391" s="46">
        <f t="shared" si="146"/>
        <v>0.0241071428571429</v>
      </c>
      <c r="AC391" s="46">
        <v>0.06</v>
      </c>
      <c r="AD391" s="47"/>
      <c r="AF391" s="55" t="s">
        <v>114</v>
      </c>
      <c r="AG391" s="39">
        <f t="shared" si="156"/>
        <v>0</v>
      </c>
      <c r="AH391" s="39">
        <f t="shared" si="157"/>
        <v>0</v>
      </c>
      <c r="AI391" s="39">
        <f t="shared" si="158"/>
        <v>0</v>
      </c>
      <c r="AJ391" s="39">
        <f t="shared" si="162"/>
        <v>0</v>
      </c>
      <c r="AK391" s="39">
        <f t="shared" si="163"/>
        <v>0</v>
      </c>
      <c r="AL391" s="39">
        <f t="shared" si="159"/>
        <v>0</v>
      </c>
      <c r="AM391" s="39">
        <f t="shared" si="160"/>
        <v>0</v>
      </c>
      <c r="AN391" s="39">
        <f t="shared" si="161"/>
        <v>0</v>
      </c>
    </row>
    <row r="392" s="6" customFormat="1" ht="50" hidden="1" customHeight="1" spans="1:40">
      <c r="A392" s="37" t="s">
        <v>108</v>
      </c>
      <c r="B392" s="37" t="s">
        <v>146</v>
      </c>
      <c r="C392" s="37" t="str">
        <f>_xlfn.XLOOKUP(F392,'6月产品包'!B:B,'6月产品包'!H:H)</f>
        <v>吉他套装</v>
      </c>
      <c r="D392" s="38" t="str">
        <f>_xlfn.XLOOKUP(F392,'6月产品包'!B:B,'6月产品包'!O:O)</f>
        <v>吉他</v>
      </c>
      <c r="E392" s="38" t="s">
        <v>762</v>
      </c>
      <c r="F392" s="39" t="s">
        <v>763</v>
      </c>
      <c r="G392" s="39" t="s">
        <v>100</v>
      </c>
      <c r="H392" s="37" t="s">
        <v>101</v>
      </c>
      <c r="I392" s="37" t="str">
        <f>_xlfn.XLOOKUP($F392,'6月库存'!A:A,'6月库存'!B:B)</f>
        <v>正常销售</v>
      </c>
      <c r="J392" s="12"/>
      <c r="K392" s="39" t="e">
        <f>_xlfn.XLOOKUP(E392,'[1]6月分配 '!$B:$B,'[1]6月分配 '!$K:$K)</f>
        <v>#N/A</v>
      </c>
      <c r="L392" s="12" t="str">
        <f t="shared" si="142"/>
        <v>否</v>
      </c>
      <c r="M392" s="40" t="str">
        <f>_xlfn.XLOOKUP(F392,'6月产品包'!B:B,'6月产品包'!J:J)</f>
        <v>2024-11-12</v>
      </c>
      <c r="N392" s="39" t="s">
        <v>155</v>
      </c>
      <c r="O392" s="37">
        <f>_xlfn.XLOOKUP(F392,'6月库存'!A:A,'6月库存'!R:R)</f>
        <v>4</v>
      </c>
      <c r="P392" s="39">
        <f>_xlfn.XLOOKUP(F392,'6月产品包'!B:B,'6月产品包'!S:S)</f>
        <v>2000</v>
      </c>
      <c r="Q392" s="39">
        <v>11000</v>
      </c>
      <c r="R392" s="41">
        <f>_xlfn.XLOOKUP(F392,'6月产品包'!B:B,'6月产品包'!AD:AD)</f>
        <v>49.9206</v>
      </c>
      <c r="S392" s="39">
        <v>98</v>
      </c>
      <c r="T392" s="39">
        <f t="shared" si="143"/>
        <v>123</v>
      </c>
      <c r="U392" s="42">
        <f t="shared" si="155"/>
        <v>98.4</v>
      </c>
      <c r="V392" s="43">
        <v>0.2</v>
      </c>
      <c r="W392" s="44">
        <f t="shared" si="144"/>
        <v>0.492676829268293</v>
      </c>
      <c r="X392" s="44">
        <f t="shared" si="145"/>
        <v>0.316747692408764</v>
      </c>
      <c r="Y392" s="44">
        <v>0.038</v>
      </c>
      <c r="Z392" s="46">
        <v>0.105</v>
      </c>
      <c r="AA392" s="46">
        <v>0.049</v>
      </c>
      <c r="AB392" s="46">
        <f t="shared" si="146"/>
        <v>0.00548780487804878</v>
      </c>
      <c r="AC392" s="46">
        <v>0.06</v>
      </c>
      <c r="AD392" s="47"/>
      <c r="AF392" s="48" t="s">
        <v>102</v>
      </c>
      <c r="AG392" s="39">
        <f t="shared" si="156"/>
        <v>5.904</v>
      </c>
      <c r="AH392" s="39">
        <f t="shared" si="157"/>
        <v>5.904</v>
      </c>
      <c r="AI392" s="39">
        <f t="shared" si="158"/>
        <v>0</v>
      </c>
      <c r="AJ392" s="39">
        <f t="shared" si="162"/>
        <v>0</v>
      </c>
      <c r="AK392" s="39">
        <f t="shared" si="163"/>
        <v>0</v>
      </c>
      <c r="AL392" s="39">
        <f t="shared" si="159"/>
        <v>0</v>
      </c>
      <c r="AM392" s="39">
        <f t="shared" si="160"/>
        <v>0</v>
      </c>
      <c r="AN392" s="39">
        <f t="shared" si="161"/>
        <v>0</v>
      </c>
    </row>
    <row r="393" s="6" customFormat="1" ht="50" hidden="1" customHeight="1" spans="1:40">
      <c r="A393" s="37" t="s">
        <v>108</v>
      </c>
      <c r="B393" s="37" t="s">
        <v>109</v>
      </c>
      <c r="C393" s="37" t="str">
        <f>_xlfn.XLOOKUP(F393,'6月产品包'!B:B,'6月产品包'!H:H)</f>
        <v>电脑机箱</v>
      </c>
      <c r="D393" s="38" t="str">
        <f>_xlfn.XLOOKUP(F393,'6月产品包'!B:B,'6月产品包'!O:O)</f>
        <v>电脑机箱T8</v>
      </c>
      <c r="E393" s="38" t="s">
        <v>764</v>
      </c>
      <c r="F393" s="37" t="s">
        <v>765</v>
      </c>
      <c r="G393" s="39" t="s">
        <v>106</v>
      </c>
      <c r="H393" s="37" t="s">
        <v>101</v>
      </c>
      <c r="I393" s="37" t="str">
        <f>_xlfn.XLOOKUP($F393,'6月库存'!A:A,'6月库存'!B:B)</f>
        <v>正常销售</v>
      </c>
      <c r="J393" s="12"/>
      <c r="K393" s="39">
        <f>_xlfn.XLOOKUP(E393,'[1]6月分配 '!$B:$B,'[1]6月分配 '!$K:$K)</f>
        <v>746</v>
      </c>
      <c r="L393" s="12" t="str">
        <f t="shared" si="142"/>
        <v>是</v>
      </c>
      <c r="M393" s="40" t="str">
        <f>_xlfn.XLOOKUP(F393,'6月产品包'!B:B,'6月产品包'!J:J)</f>
        <v>2025-09-01</v>
      </c>
      <c r="N393" s="39" t="str">
        <f ca="1">IF(DATEDIF(M393,TODAY(),"m")&lt;6,"新品","老品")</f>
        <v>老品</v>
      </c>
      <c r="O393" s="37">
        <f>_xlfn.XLOOKUP(F393,'6月库存'!A:A,'6月库存'!R:R)</f>
        <v>53</v>
      </c>
      <c r="P393" s="39">
        <f>_xlfn.XLOOKUP(F393,'6月产品包'!B:B,'6月产品包'!S:S)</f>
        <v>3200</v>
      </c>
      <c r="Q393" s="39"/>
      <c r="R393" s="41">
        <f>_xlfn.XLOOKUP(F393,'6月产品包'!B:B,'6月产品包'!AD:AD)</f>
        <v>54.056</v>
      </c>
      <c r="S393" s="39">
        <v>102</v>
      </c>
      <c r="T393" s="39">
        <f t="shared" si="143"/>
        <v>128</v>
      </c>
      <c r="U393" s="42">
        <f t="shared" si="155"/>
        <v>102.4</v>
      </c>
      <c r="V393" s="43">
        <v>0.2</v>
      </c>
      <c r="W393" s="44">
        <f t="shared" si="144"/>
        <v>0.472109375</v>
      </c>
      <c r="X393" s="44">
        <f t="shared" si="145"/>
        <v>0.305157077484704</v>
      </c>
      <c r="Y393" s="52">
        <v>0.04</v>
      </c>
      <c r="Z393" s="46">
        <v>0.086</v>
      </c>
      <c r="AA393" s="46">
        <v>0.049</v>
      </c>
      <c r="AB393" s="46">
        <f t="shared" si="146"/>
        <v>0.0052734375</v>
      </c>
      <c r="AC393" s="46">
        <v>0.06</v>
      </c>
      <c r="AD393" s="47"/>
      <c r="AE393" s="50"/>
      <c r="AF393" s="55" t="s">
        <v>114</v>
      </c>
      <c r="AG393" s="39">
        <f t="shared" si="156"/>
        <v>6</v>
      </c>
      <c r="AH393" s="39">
        <f t="shared" si="157"/>
        <v>6</v>
      </c>
      <c r="AI393" s="39">
        <f t="shared" si="158"/>
        <v>0</v>
      </c>
      <c r="AJ393" s="39">
        <f t="shared" si="162"/>
        <v>0</v>
      </c>
      <c r="AK393" s="39">
        <f t="shared" si="163"/>
        <v>0</v>
      </c>
      <c r="AL393" s="39">
        <f t="shared" si="159"/>
        <v>0</v>
      </c>
      <c r="AM393" s="39">
        <f t="shared" si="160"/>
        <v>0</v>
      </c>
      <c r="AN393" s="39">
        <f t="shared" si="161"/>
        <v>0</v>
      </c>
    </row>
    <row r="394" ht="50" hidden="1" customHeight="1" spans="1:40">
      <c r="A394" s="39" t="str">
        <f>_xlfn.XLOOKUP(F394,'6月产品包'!B:B,'6月产品包'!F:F)</f>
        <v>3C数码</v>
      </c>
      <c r="B394" s="39" t="str">
        <f>_xlfn.XLOOKUP(F394,'6月产品包'!B:B,'6月产品包'!G:G)</f>
        <v>音响乐器</v>
      </c>
      <c r="C394" s="37" t="str">
        <f>_xlfn.XLOOKUP(F394,'6月产品包'!B:B,'6月产品包'!H:H)</f>
        <v>吉他套装</v>
      </c>
      <c r="D394" s="38" t="str">
        <f>_xlfn.XLOOKUP(F394,'6月产品包'!B:B,'6月产品包'!O:O)</f>
        <v>手工进阶款民谣吉他</v>
      </c>
      <c r="E394" s="38" t="str">
        <f>_xlfn.XLOOKUP(F394,'6月产品包'!B:B,'6月产品包'!C:C)</f>
        <v>3C-38寸手工进阶款民谣吉他</v>
      </c>
      <c r="F394" s="39" t="s">
        <v>766</v>
      </c>
      <c r="G394" s="39" t="s">
        <v>106</v>
      </c>
      <c r="H394" s="49" t="s">
        <v>101</v>
      </c>
      <c r="I394" s="37" t="str">
        <f>_xlfn.XLOOKUP($F394,'6月库存'!A:A,'6月库存'!B:B)</f>
        <v>等待开发</v>
      </c>
      <c r="K394" s="39" t="e">
        <f>_xlfn.XLOOKUP(E394,'[1]6月分配 '!$B:$B,'[1]6月分配 '!$K:$K)</f>
        <v>#N/A</v>
      </c>
      <c r="L394" s="12" t="str">
        <f t="shared" si="142"/>
        <v>否</v>
      </c>
      <c r="M394" s="40" t="str">
        <f>_xlfn.XLOOKUP(F394,'6月产品包'!B:B,'6月产品包'!J:J)</f>
        <v>2026-03-30</v>
      </c>
      <c r="N394" s="39" t="s">
        <v>149</v>
      </c>
      <c r="O394" s="37">
        <f>_xlfn.XLOOKUP(F394,'6月库存'!A:A,'6月库存'!R:R)</f>
        <v>0</v>
      </c>
      <c r="P394" s="39">
        <f>_xlfn.XLOOKUP(F394,'6月产品包'!B:B,'6月产品包'!S:S)</f>
        <v>3100</v>
      </c>
      <c r="Q394" s="39">
        <v>11000</v>
      </c>
      <c r="R394" s="41">
        <f>_xlfn.XLOOKUP(F394,'6月产品包'!B:B,'6月产品包'!AD:AD)</f>
        <v>121.1272</v>
      </c>
      <c r="S394" s="39">
        <v>219</v>
      </c>
      <c r="T394" s="39">
        <f t="shared" si="143"/>
        <v>274</v>
      </c>
      <c r="U394" s="42">
        <f t="shared" si="155"/>
        <v>219.2</v>
      </c>
      <c r="V394" s="43">
        <v>0.2</v>
      </c>
      <c r="W394" s="44">
        <f t="shared" si="144"/>
        <v>0.447412408759124</v>
      </c>
      <c r="X394" s="44">
        <f t="shared" si="145"/>
        <v>0.258805445546978</v>
      </c>
      <c r="Y394" s="44">
        <v>0.038</v>
      </c>
      <c r="Z394" s="46">
        <v>0.105</v>
      </c>
      <c r="AA394" s="46">
        <v>0.049</v>
      </c>
      <c r="AB394" s="46">
        <f t="shared" si="146"/>
        <v>0.00246350364963504</v>
      </c>
      <c r="AC394" s="46">
        <v>0.06</v>
      </c>
      <c r="AF394" s="48" t="s">
        <v>102</v>
      </c>
      <c r="AG394" s="39">
        <f t="shared" si="156"/>
        <v>11.8368</v>
      </c>
      <c r="AH394" s="39">
        <f t="shared" si="157"/>
        <v>6</v>
      </c>
      <c r="AI394" s="39">
        <f t="shared" si="158"/>
        <v>11.8368</v>
      </c>
      <c r="AJ394" s="39">
        <f t="shared" si="162"/>
        <v>0</v>
      </c>
      <c r="AK394" s="39">
        <f t="shared" si="163"/>
        <v>0</v>
      </c>
      <c r="AL394" s="39">
        <f t="shared" si="159"/>
        <v>0</v>
      </c>
      <c r="AM394" s="39">
        <f t="shared" si="160"/>
        <v>0</v>
      </c>
      <c r="AN394" s="39">
        <f t="shared" si="161"/>
        <v>9.864</v>
      </c>
    </row>
    <row r="395" ht="50" hidden="1" customHeight="1" spans="1:40">
      <c r="A395" s="39" t="str">
        <f>_xlfn.XLOOKUP(F395,'6月产品包'!B:B,'6月产品包'!F:F)</f>
        <v>3C数码</v>
      </c>
      <c r="B395" s="39" t="str">
        <f>_xlfn.XLOOKUP(F395,'6月产品包'!B:B,'6月产品包'!G:G)</f>
        <v>音响乐器</v>
      </c>
      <c r="C395" s="37" t="str">
        <f>_xlfn.XLOOKUP(F395,'6月产品包'!B:B,'6月产品包'!H:H)</f>
        <v>吉他套装</v>
      </c>
      <c r="D395" s="38" t="str">
        <f>_xlfn.XLOOKUP(F395,'6月产品包'!B:B,'6月产品包'!O:O)</f>
        <v>民谣吉他套装38寸</v>
      </c>
      <c r="E395" s="38" t="str">
        <f>_xlfn.XLOOKUP(F395,'6月产品包'!B:B,'6月产品包'!C:C)</f>
        <v>3C-38寸初学者民谣入门练习吉他套装</v>
      </c>
      <c r="F395" s="39" t="s">
        <v>767</v>
      </c>
      <c r="G395" s="39" t="s">
        <v>106</v>
      </c>
      <c r="H395" s="49" t="s">
        <v>101</v>
      </c>
      <c r="I395" s="37" t="str">
        <f>_xlfn.XLOOKUP($F395,'6月库存'!A:A,'6月库存'!B:B)</f>
        <v>等待开发</v>
      </c>
      <c r="K395" s="39" t="e">
        <f>_xlfn.XLOOKUP(E395,'[1]6月分配 '!$B:$B,'[1]6月分配 '!$K:$K)</f>
        <v>#N/A</v>
      </c>
      <c r="L395" s="12" t="str">
        <f t="shared" si="142"/>
        <v>否</v>
      </c>
      <c r="M395" s="40" t="str">
        <f>_xlfn.XLOOKUP(F395,'6月产品包'!B:B,'6月产品包'!J:J)</f>
        <v>2026-03-30</v>
      </c>
      <c r="N395" s="39" t="s">
        <v>149</v>
      </c>
      <c r="O395" s="37">
        <f>_xlfn.XLOOKUP(F395,'6月库存'!A:A,'6月库存'!R:R)</f>
        <v>0</v>
      </c>
      <c r="P395" s="39">
        <f>_xlfn.XLOOKUP(F395,'6月产品包'!B:B,'6月产品包'!S:S)</f>
        <v>3000</v>
      </c>
      <c r="Q395" s="39">
        <v>11000</v>
      </c>
      <c r="R395" s="41">
        <f>_xlfn.XLOOKUP(F395,'6月产品包'!B:B,'6月产品包'!AD:AD)</f>
        <v>86.9594</v>
      </c>
      <c r="S395" s="39">
        <v>165</v>
      </c>
      <c r="T395" s="39">
        <f t="shared" si="143"/>
        <v>206</v>
      </c>
      <c r="U395" s="42">
        <f t="shared" si="155"/>
        <v>164.8</v>
      </c>
      <c r="V395" s="43">
        <v>0.2</v>
      </c>
      <c r="W395" s="44">
        <f t="shared" si="144"/>
        <v>0.472333737864078</v>
      </c>
      <c r="X395" s="44">
        <f t="shared" si="145"/>
        <v>0.29145998057531</v>
      </c>
      <c r="Y395" s="44">
        <v>0.038</v>
      </c>
      <c r="Z395" s="46">
        <v>0.105</v>
      </c>
      <c r="AA395" s="46">
        <v>0.049</v>
      </c>
      <c r="AB395" s="46">
        <f t="shared" si="146"/>
        <v>0.00327669902912621</v>
      </c>
      <c r="AC395" s="46">
        <v>0.06</v>
      </c>
      <c r="AF395" s="48" t="s">
        <v>102</v>
      </c>
      <c r="AG395" s="39">
        <f t="shared" si="156"/>
        <v>6</v>
      </c>
      <c r="AH395" s="39">
        <f t="shared" si="157"/>
        <v>6</v>
      </c>
      <c r="AI395" s="39">
        <f t="shared" si="158"/>
        <v>0</v>
      </c>
      <c r="AJ395" s="39">
        <f t="shared" si="162"/>
        <v>0</v>
      </c>
      <c r="AK395" s="39">
        <f t="shared" si="163"/>
        <v>0</v>
      </c>
      <c r="AL395" s="39">
        <f t="shared" si="159"/>
        <v>0</v>
      </c>
      <c r="AM395" s="39">
        <f t="shared" si="160"/>
        <v>0</v>
      </c>
      <c r="AN395" s="39">
        <f t="shared" si="161"/>
        <v>0</v>
      </c>
    </row>
    <row r="396" s="6" customFormat="1" ht="50" hidden="1" customHeight="1" spans="1:40">
      <c r="A396" s="39" t="str">
        <f>_xlfn.XLOOKUP(F396,'6月产品包'!B:B,'6月产品包'!F:F)</f>
        <v>3C数码</v>
      </c>
      <c r="B396" s="39" t="str">
        <f>_xlfn.XLOOKUP(F396,'6月产品包'!B:B,'6月产品包'!G:G)</f>
        <v>音响乐器</v>
      </c>
      <c r="C396" s="37" t="str">
        <f>_xlfn.XLOOKUP(F396,'6月产品包'!B:B,'6月产品包'!H:H)</f>
        <v>变调夹</v>
      </c>
      <c r="D396" s="38" t="str">
        <f>_xlfn.XLOOKUP(F396,'6月产品包'!B:B,'6月产品包'!O:O)</f>
        <v>吉他变调夹</v>
      </c>
      <c r="E396" s="38" t="str">
        <f>_xlfn.XLOOKUP(F396,'6月产品包'!B:B,'6月产品包'!C:C)</f>
        <v>3C-吉他变调夹</v>
      </c>
      <c r="F396" s="39" t="s">
        <v>768</v>
      </c>
      <c r="G396" s="39" t="s">
        <v>106</v>
      </c>
      <c r="H396" s="49" t="s">
        <v>101</v>
      </c>
      <c r="I396" s="37" t="str">
        <f>_xlfn.XLOOKUP($F396,'6月库存'!A:A,'6月库存'!B:B)</f>
        <v>等待开发</v>
      </c>
      <c r="J396" s="12"/>
      <c r="K396" s="39" t="e">
        <f>_xlfn.XLOOKUP(E396,'[1]6月分配 '!$B:$B,'[1]6月分配 '!$K:$K)</f>
        <v>#N/A</v>
      </c>
      <c r="L396" s="12" t="str">
        <f t="shared" si="142"/>
        <v>否</v>
      </c>
      <c r="M396" s="40" t="str">
        <f>_xlfn.XLOOKUP(F396,'6月产品包'!B:B,'6月产品包'!J:J)</f>
        <v>2026-04-28</v>
      </c>
      <c r="N396" s="39" t="s">
        <v>149</v>
      </c>
      <c r="O396" s="37">
        <f>_xlfn.XLOOKUP(F396,'6月库存'!A:A,'6月库存'!R:R)</f>
        <v>0</v>
      </c>
      <c r="P396" s="39">
        <f>_xlfn.XLOOKUP(F396,'6月产品包'!B:B,'6月产品包'!S:S)</f>
        <v>54</v>
      </c>
      <c r="Q396" s="56"/>
      <c r="R396" s="41">
        <f>_xlfn.XLOOKUP(F396,'6月产品包'!B:B,'6月产品包'!AD:AD)</f>
        <v>5.2084</v>
      </c>
      <c r="S396" s="39">
        <v>10</v>
      </c>
      <c r="T396" s="39">
        <f t="shared" si="143"/>
        <v>13</v>
      </c>
      <c r="U396" s="42">
        <f t="shared" si="155"/>
        <v>10.4</v>
      </c>
      <c r="V396" s="43">
        <v>0.2</v>
      </c>
      <c r="W396" s="44">
        <f t="shared" si="144"/>
        <v>0.499192307692308</v>
      </c>
      <c r="X396" s="44">
        <f t="shared" si="145"/>
        <v>0.280528235164106</v>
      </c>
      <c r="Y396" s="44">
        <v>0.038</v>
      </c>
      <c r="Z396" s="46">
        <v>0.105</v>
      </c>
      <c r="AA396" s="46">
        <v>0.049</v>
      </c>
      <c r="AB396" s="46">
        <f t="shared" si="146"/>
        <v>0.0519230769230769</v>
      </c>
      <c r="AC396" s="46">
        <v>0.06</v>
      </c>
      <c r="AD396" s="11"/>
      <c r="AF396" s="48" t="s">
        <v>102</v>
      </c>
      <c r="AG396" s="39">
        <f t="shared" si="156"/>
        <v>0</v>
      </c>
      <c r="AH396" s="39">
        <f t="shared" si="157"/>
        <v>0</v>
      </c>
      <c r="AI396" s="39">
        <f t="shared" si="158"/>
        <v>0</v>
      </c>
      <c r="AJ396" s="39">
        <f t="shared" si="162"/>
        <v>0</v>
      </c>
      <c r="AK396" s="39">
        <f t="shared" si="163"/>
        <v>0</v>
      </c>
      <c r="AL396" s="39">
        <f t="shared" si="159"/>
        <v>0</v>
      </c>
      <c r="AM396" s="39">
        <f t="shared" si="160"/>
        <v>0</v>
      </c>
      <c r="AN396" s="39">
        <f t="shared" si="161"/>
        <v>0</v>
      </c>
    </row>
    <row r="397" s="6" customFormat="1" ht="50" hidden="1" customHeight="1" spans="1:40">
      <c r="A397" s="39" t="str">
        <f>_xlfn.XLOOKUP(F397,'6月产品包'!B:B,'6月产品包'!F:F)</f>
        <v>3C数码</v>
      </c>
      <c r="B397" s="39" t="str">
        <f>_xlfn.XLOOKUP(F397,'6月产品包'!B:B,'6月产品包'!G:G)</f>
        <v>音响乐器</v>
      </c>
      <c r="C397" s="37" t="str">
        <f>_xlfn.XLOOKUP(F397,'6月产品包'!B:B,'6月产品包'!H:H)</f>
        <v>吉他助弹器</v>
      </c>
      <c r="D397" s="38" t="str">
        <f>_xlfn.XLOOKUP(F397,'6月产品包'!B:B,'6月产品包'!O:O)</f>
        <v>吉他助弹器</v>
      </c>
      <c r="E397" s="38" t="str">
        <f>_xlfn.XLOOKUP(F397,'6月产品包'!B:B,'6月产品包'!C:C)</f>
        <v>3C-吉他助弹器</v>
      </c>
      <c r="F397" s="39" t="s">
        <v>769</v>
      </c>
      <c r="G397" s="39" t="s">
        <v>106</v>
      </c>
      <c r="H397" s="49" t="s">
        <v>101</v>
      </c>
      <c r="I397" s="37" t="str">
        <f>_xlfn.XLOOKUP($F397,'6月库存'!A:A,'6月库存'!B:B)</f>
        <v>等待开发</v>
      </c>
      <c r="J397" s="12"/>
      <c r="K397" s="39" t="e">
        <f>_xlfn.XLOOKUP(E397,'[1]6月分配 '!$B:$B,'[1]6月分配 '!$K:$K)</f>
        <v>#N/A</v>
      </c>
      <c r="L397" s="12" t="str">
        <f t="shared" si="142"/>
        <v>否</v>
      </c>
      <c r="M397" s="40" t="str">
        <f>_xlfn.XLOOKUP(F397,'6月产品包'!B:B,'6月产品包'!J:J)</f>
        <v>2026-04-28</v>
      </c>
      <c r="N397" s="39" t="s">
        <v>149</v>
      </c>
      <c r="O397" s="37">
        <f>_xlfn.XLOOKUP(F397,'6月库存'!A:A,'6月库存'!R:R)</f>
        <v>0</v>
      </c>
      <c r="P397" s="39">
        <f>_xlfn.XLOOKUP(F397,'6月产品包'!B:B,'6月产品包'!S:S)</f>
        <v>95</v>
      </c>
      <c r="Q397" s="56"/>
      <c r="R397" s="41">
        <f>_xlfn.XLOOKUP(F397,'6月产品包'!B:B,'6月产品包'!AD:AD)</f>
        <v>18.2352</v>
      </c>
      <c r="S397" s="39">
        <v>36</v>
      </c>
      <c r="T397" s="39">
        <f t="shared" si="143"/>
        <v>45</v>
      </c>
      <c r="U397" s="42">
        <f t="shared" si="155"/>
        <v>36</v>
      </c>
      <c r="V397" s="43">
        <v>0.2</v>
      </c>
      <c r="W397" s="44">
        <f t="shared" si="144"/>
        <v>0.493466666666667</v>
      </c>
      <c r="X397" s="44">
        <f t="shared" si="145"/>
        <v>0.308958617553433</v>
      </c>
      <c r="Y397" s="44">
        <v>0.038</v>
      </c>
      <c r="Z397" s="46">
        <v>0.105</v>
      </c>
      <c r="AA397" s="46">
        <v>0.049</v>
      </c>
      <c r="AB397" s="46">
        <f t="shared" si="146"/>
        <v>0.015</v>
      </c>
      <c r="AC397" s="46">
        <v>0.06</v>
      </c>
      <c r="AD397" s="11"/>
      <c r="AF397" s="48" t="s">
        <v>102</v>
      </c>
      <c r="AG397" s="39">
        <f t="shared" si="156"/>
        <v>0</v>
      </c>
      <c r="AH397" s="39">
        <f t="shared" si="157"/>
        <v>0</v>
      </c>
      <c r="AI397" s="39">
        <f t="shared" si="158"/>
        <v>0</v>
      </c>
      <c r="AJ397" s="39">
        <f t="shared" si="162"/>
        <v>0</v>
      </c>
      <c r="AK397" s="39">
        <f t="shared" si="163"/>
        <v>0</v>
      </c>
      <c r="AL397" s="39">
        <f t="shared" si="159"/>
        <v>0</v>
      </c>
      <c r="AM397" s="39">
        <f t="shared" si="160"/>
        <v>0</v>
      </c>
      <c r="AN397" s="39">
        <f t="shared" si="161"/>
        <v>0</v>
      </c>
    </row>
    <row r="398" s="6" customFormat="1" ht="50" hidden="1" customHeight="1" spans="1:40">
      <c r="A398" s="39" t="str">
        <f>_xlfn.XLOOKUP(F398,'6月产品包'!B:B,'6月产品包'!F:F)</f>
        <v>3C数码</v>
      </c>
      <c r="B398" s="39" t="str">
        <f>_xlfn.XLOOKUP(F398,'6月产品包'!B:B,'6月产品包'!G:G)</f>
        <v>音响乐器</v>
      </c>
      <c r="C398" s="37" t="str">
        <f>_xlfn.XLOOKUP(F398,'6月产品包'!B:B,'6月产品包'!H:H)</f>
        <v>吉他支架</v>
      </c>
      <c r="D398" s="38" t="str">
        <f>_xlfn.XLOOKUP(F398,'6月产品包'!B:B,'6月产品包'!O:O)</f>
        <v>吉他立稳支架</v>
      </c>
      <c r="E398" s="38" t="str">
        <f>_xlfn.XLOOKUP(F398,'6月产品包'!B:B,'6月产品包'!C:C)</f>
        <v>3C-吉他立稳支架</v>
      </c>
      <c r="F398" s="39" t="s">
        <v>770</v>
      </c>
      <c r="G398" s="39" t="s">
        <v>106</v>
      </c>
      <c r="H398" s="49" t="s">
        <v>101</v>
      </c>
      <c r="I398" s="37" t="str">
        <f>_xlfn.XLOOKUP($F398,'6月库存'!A:A,'6月库存'!B:B)</f>
        <v>等待开发</v>
      </c>
      <c r="J398" s="12"/>
      <c r="K398" s="39" t="e">
        <f>_xlfn.XLOOKUP(E398,'[1]6月分配 '!$B:$B,'[1]6月分配 '!$K:$K)</f>
        <v>#N/A</v>
      </c>
      <c r="L398" s="12" t="str">
        <f t="shared" si="142"/>
        <v>否</v>
      </c>
      <c r="M398" s="40" t="str">
        <f>_xlfn.XLOOKUP(F398,'6月产品包'!B:B,'6月产品包'!J:J)</f>
        <v>2026-04-28</v>
      </c>
      <c r="N398" s="39" t="s">
        <v>149</v>
      </c>
      <c r="O398" s="37">
        <f>_xlfn.XLOOKUP(F398,'6月库存'!A:A,'6月库存'!R:R)</f>
        <v>0</v>
      </c>
      <c r="P398" s="39">
        <f>_xlfn.XLOOKUP(F398,'6月产品包'!B:B,'6月产品包'!S:S)</f>
        <v>95</v>
      </c>
      <c r="Q398" s="56"/>
      <c r="R398" s="41">
        <f>_xlfn.XLOOKUP(F398,'6月产品包'!B:B,'6月产品包'!AD:AD)</f>
        <v>9.7672</v>
      </c>
      <c r="S398" s="39">
        <v>19</v>
      </c>
      <c r="T398" s="39">
        <f t="shared" si="143"/>
        <v>24</v>
      </c>
      <c r="U398" s="42">
        <f t="shared" si="155"/>
        <v>19.2</v>
      </c>
      <c r="V398" s="43">
        <v>0.2</v>
      </c>
      <c r="W398" s="44">
        <f t="shared" si="144"/>
        <v>0.491291666666667</v>
      </c>
      <c r="X398" s="44">
        <f t="shared" si="145"/>
        <v>0.293337963766858</v>
      </c>
      <c r="Y398" s="44">
        <v>0.038</v>
      </c>
      <c r="Z398" s="46">
        <v>0.105</v>
      </c>
      <c r="AA398" s="46">
        <v>0.049</v>
      </c>
      <c r="AB398" s="46">
        <f t="shared" si="146"/>
        <v>0.028125</v>
      </c>
      <c r="AC398" s="46">
        <v>0.06</v>
      </c>
      <c r="AD398" s="11"/>
      <c r="AF398" s="48" t="s">
        <v>102</v>
      </c>
      <c r="AG398" s="39">
        <f t="shared" si="156"/>
        <v>0</v>
      </c>
      <c r="AH398" s="39">
        <f t="shared" si="157"/>
        <v>0</v>
      </c>
      <c r="AI398" s="39">
        <f t="shared" si="158"/>
        <v>0</v>
      </c>
      <c r="AJ398" s="39">
        <f t="shared" si="162"/>
        <v>0</v>
      </c>
      <c r="AK398" s="39">
        <f t="shared" si="163"/>
        <v>0</v>
      </c>
      <c r="AL398" s="39">
        <f t="shared" si="159"/>
        <v>0</v>
      </c>
      <c r="AM398" s="39">
        <f t="shared" si="160"/>
        <v>0</v>
      </c>
      <c r="AN398" s="39">
        <f t="shared" si="161"/>
        <v>0</v>
      </c>
    </row>
    <row r="399" ht="50" hidden="1" customHeight="1" spans="1:40">
      <c r="A399" s="39" t="str">
        <f>_xlfn.XLOOKUP(F399,'6月产品包'!B:B,'6月产品包'!F:F)</f>
        <v>3C数码</v>
      </c>
      <c r="B399" s="39" t="str">
        <f>_xlfn.XLOOKUP(F399,'6月产品包'!B:B,'6月产品包'!G:G)</f>
        <v>音响乐器</v>
      </c>
      <c r="C399" s="37" t="str">
        <f>_xlfn.XLOOKUP(F399,'6月产品包'!B:B,'6月产品包'!H:H)</f>
        <v>电吉他</v>
      </c>
      <c r="D399" s="38" t="str">
        <f>_xlfn.XLOOKUP(F399,'6月产品包'!B:B,'6月产品包'!O:O)</f>
        <v>39寸ST电吉他</v>
      </c>
      <c r="E399" s="38" t="str">
        <f>_xlfn.XLOOKUP(F399,'6月产品包'!B:B,'6月产品包'!C:C)</f>
        <v>3C-39寸ST电吉他</v>
      </c>
      <c r="F399" s="39" t="s">
        <v>771</v>
      </c>
      <c r="G399" s="39" t="s">
        <v>106</v>
      </c>
      <c r="H399" s="39" t="s">
        <v>107</v>
      </c>
      <c r="I399" s="37" t="str">
        <f>_xlfn.XLOOKUP($F399,'6月库存'!A:A,'6月库存'!B:B)</f>
        <v>等待开发</v>
      </c>
      <c r="K399" s="39" t="e">
        <f>_xlfn.XLOOKUP(E399,'[1]6月分配 '!$B:$B,'[1]6月分配 '!$K:$K)</f>
        <v>#N/A</v>
      </c>
      <c r="L399" s="12" t="str">
        <f t="shared" ref="L399:L421" si="164">IF(ISNUMBER(K399),"是",IF(ISNA(K399),"否",""))</f>
        <v>否</v>
      </c>
      <c r="M399" s="40" t="str">
        <f>_xlfn.XLOOKUP(F399,'6月产品包'!B:B,'6月产品包'!J:J)</f>
        <v>2026-04-28</v>
      </c>
      <c r="N399" s="39" t="s">
        <v>149</v>
      </c>
      <c r="O399" s="37">
        <f>_xlfn.XLOOKUP(F399,'6月库存'!A:A,'6月库存'!R:R)</f>
        <v>0</v>
      </c>
      <c r="P399" s="39">
        <f>_xlfn.XLOOKUP(F399,'6月产品包'!B:B,'6月产品包'!S:S)</f>
        <v>3666</v>
      </c>
      <c r="Q399" s="56"/>
      <c r="R399" s="41">
        <f>_xlfn.XLOOKUP(F399,'6月产品包'!B:B,'6月产品包'!AD:AD)</f>
        <v>136.0564</v>
      </c>
      <c r="S399" s="39">
        <v>265</v>
      </c>
      <c r="T399" s="39">
        <f t="shared" ref="T399:T421" si="165">ROUND(S399*(1+0.25),0)</f>
        <v>331</v>
      </c>
      <c r="U399" s="42">
        <f t="shared" si="155"/>
        <v>264.8</v>
      </c>
      <c r="V399" s="43">
        <v>0.2</v>
      </c>
      <c r="W399" s="44">
        <f t="shared" ref="W399:W421" si="166">(U399-R399)/U399</f>
        <v>0.486191842900302</v>
      </c>
      <c r="X399" s="44">
        <f t="shared" ref="X399:X421" si="167">(U399*(1-Y399-Z399-AA399-AC399-AB399)-R399)/(U399*(1-Y399-Z399-AA399-AC399-AB399))</f>
        <v>0.311212856350213</v>
      </c>
      <c r="Y399" s="44">
        <v>0.038</v>
      </c>
      <c r="Z399" s="46">
        <v>0.105</v>
      </c>
      <c r="AA399" s="46">
        <v>0.049</v>
      </c>
      <c r="AB399" s="46">
        <f t="shared" ref="AB399:AB421" si="168">$AB$1/U399</f>
        <v>0.0020392749244713</v>
      </c>
      <c r="AC399" s="46">
        <v>0.06</v>
      </c>
      <c r="AF399" s="48" t="s">
        <v>102</v>
      </c>
      <c r="AG399" s="39">
        <f t="shared" si="156"/>
        <v>14.2992</v>
      </c>
      <c r="AH399" s="39">
        <f t="shared" si="157"/>
        <v>6</v>
      </c>
      <c r="AI399" s="39">
        <f t="shared" si="158"/>
        <v>14.2992</v>
      </c>
      <c r="AJ399" s="39">
        <f t="shared" si="162"/>
        <v>0</v>
      </c>
      <c r="AK399" s="39">
        <f t="shared" si="163"/>
        <v>0</v>
      </c>
      <c r="AL399" s="39">
        <f t="shared" si="159"/>
        <v>0</v>
      </c>
      <c r="AM399" s="39">
        <f t="shared" si="160"/>
        <v>14.2992</v>
      </c>
      <c r="AN399" s="39">
        <f t="shared" si="161"/>
        <v>11.916</v>
      </c>
    </row>
    <row r="400" s="6" customFormat="1" ht="50" hidden="1" customHeight="1" spans="1:40">
      <c r="A400" s="39" t="str">
        <f>_xlfn.XLOOKUP(F400,'6月产品包'!B:B,'6月产品包'!F:F)</f>
        <v>3C数码</v>
      </c>
      <c r="B400" s="39" t="str">
        <f>_xlfn.XLOOKUP(F400,'6月产品包'!B:B,'6月产品包'!G:G)</f>
        <v>影像摄影</v>
      </c>
      <c r="C400" s="37" t="str">
        <f>_xlfn.XLOOKUP(F400,'6月产品包'!B:B,'6月产品包'!H:H)</f>
        <v>数码相机</v>
      </c>
      <c r="D400" s="38" t="str">
        <f>_xlfn.XLOOKUP(F400,'6月产品包'!B:B,'6月产品包'!O:O)</f>
        <v>翻屏数码相机</v>
      </c>
      <c r="E400" s="38" t="str">
        <f>_xlfn.XLOOKUP(F400,'6月产品包'!B:B,'6月产品包'!C:C)</f>
        <v>3C-W1白色数码相机包含64gTF卡</v>
      </c>
      <c r="F400" s="37" t="s">
        <v>772</v>
      </c>
      <c r="G400" s="39" t="s">
        <v>154</v>
      </c>
      <c r="H400" s="37" t="s">
        <v>107</v>
      </c>
      <c r="I400" s="37" t="str">
        <f>_xlfn.XLOOKUP($F400,'6月库存'!A:A,'6月库存'!B:B)</f>
        <v>商品清仓</v>
      </c>
      <c r="J400" s="12"/>
      <c r="K400" s="39">
        <f>_xlfn.XLOOKUP(E400,'[1]6月分配 '!$B:$B,'[1]6月分配 '!$K:$K)</f>
        <v>727</v>
      </c>
      <c r="L400" s="12" t="str">
        <f t="shared" si="164"/>
        <v>是</v>
      </c>
      <c r="M400" s="40" t="str">
        <f>_xlfn.XLOOKUP(F400,'6月产品包'!B:B,'6月产品包'!J:J)</f>
        <v>2025-03-15</v>
      </c>
      <c r="N400" s="39" t="str">
        <f ca="1">IF(DATEDIF(M400,TODAY(),"m")&lt;6,"新品","老品")</f>
        <v>老品</v>
      </c>
      <c r="O400" s="37">
        <f>_xlfn.XLOOKUP(F400,'6月库存'!A:A,'6月库存'!R:R)</f>
        <v>6</v>
      </c>
      <c r="P400" s="39">
        <f>_xlfn.XLOOKUP(F400,'6月产品包'!B:B,'6月产品包'!S:S)</f>
        <v>460</v>
      </c>
      <c r="Q400" s="39"/>
      <c r="R400" s="41">
        <f>_xlfn.XLOOKUP(F400,'6月产品包'!B:B,'6月产品包'!AD:AD)</f>
        <v>140.5688</v>
      </c>
      <c r="S400" s="39">
        <v>236</v>
      </c>
      <c r="T400" s="39">
        <f t="shared" si="165"/>
        <v>295</v>
      </c>
      <c r="U400" s="42">
        <f t="shared" si="155"/>
        <v>236</v>
      </c>
      <c r="V400" s="43">
        <v>0.2</v>
      </c>
      <c r="W400" s="44">
        <f t="shared" si="166"/>
        <v>0.404369491525424</v>
      </c>
      <c r="X400" s="44">
        <f t="shared" si="167"/>
        <v>0.246716110777673</v>
      </c>
      <c r="Y400" s="51">
        <v>0.038</v>
      </c>
      <c r="Z400" s="46">
        <v>0.09</v>
      </c>
      <c r="AA400" s="46">
        <v>0.049</v>
      </c>
      <c r="AB400" s="46">
        <f t="shared" si="168"/>
        <v>0.00228813559322034</v>
      </c>
      <c r="AC400" s="46">
        <v>0.03</v>
      </c>
      <c r="AD400" s="47"/>
      <c r="AF400" s="55" t="s">
        <v>114</v>
      </c>
      <c r="AG400" s="39">
        <f t="shared" si="156"/>
        <v>12.744</v>
      </c>
      <c r="AH400" s="39">
        <f t="shared" si="157"/>
        <v>6</v>
      </c>
      <c r="AI400" s="39">
        <f t="shared" si="158"/>
        <v>12.744</v>
      </c>
      <c r="AJ400" s="39">
        <f t="shared" si="162"/>
        <v>0</v>
      </c>
      <c r="AK400" s="39">
        <f t="shared" si="163"/>
        <v>0</v>
      </c>
      <c r="AL400" s="39">
        <f t="shared" si="159"/>
        <v>0</v>
      </c>
      <c r="AM400" s="39">
        <f t="shared" si="160"/>
        <v>0</v>
      </c>
      <c r="AN400" s="39">
        <f t="shared" si="161"/>
        <v>10.62</v>
      </c>
    </row>
    <row r="401" s="6" customFormat="1" ht="50" hidden="1" customHeight="1" spans="1:40">
      <c r="A401" s="37" t="s">
        <v>96</v>
      </c>
      <c r="B401" s="37" t="s">
        <v>186</v>
      </c>
      <c r="C401" s="37" t="str">
        <f>_xlfn.XLOOKUP(F401,'6月产品包'!B:B,'6月产品包'!H:H)</f>
        <v>教具白板</v>
      </c>
      <c r="D401" s="38" t="str">
        <f>_xlfn.XLOOKUP(F401,'6月产品包'!B:B,'6月产品包'!O:O)</f>
        <v>磁吸白板</v>
      </c>
      <c r="E401" s="38" t="s">
        <v>773</v>
      </c>
      <c r="F401" s="39" t="s">
        <v>674</v>
      </c>
      <c r="G401" s="39" t="s">
        <v>126</v>
      </c>
      <c r="H401" s="37" t="s">
        <v>101</v>
      </c>
      <c r="I401" s="37" t="str">
        <f>_xlfn.XLOOKUP($F401,'6月库存'!A:A,'6月库存'!B:B)</f>
        <v>正常销售</v>
      </c>
      <c r="J401" s="12"/>
      <c r="K401" s="39">
        <f>_xlfn.XLOOKUP(E401,'[1]6月分配 '!$B:$B,'[1]6月分配 '!$K:$K)</f>
        <v>670</v>
      </c>
      <c r="L401" s="12" t="str">
        <f t="shared" si="164"/>
        <v>是</v>
      </c>
      <c r="M401" s="40" t="str">
        <f>_xlfn.XLOOKUP(F401,'6月产品包'!B:B,'6月产品包'!J:J)</f>
        <v>2025-07-03</v>
      </c>
      <c r="N401" s="39" t="s">
        <v>155</v>
      </c>
      <c r="O401" s="37">
        <f>_xlfn.XLOOKUP(F401,'6月库存'!A:A,'6月库存'!R:R)</f>
        <v>358</v>
      </c>
      <c r="P401" s="39">
        <f>_xlfn.XLOOKUP(F401,'6月产品包'!B:B,'6月产品包'!S:S)</f>
        <v>487</v>
      </c>
      <c r="Q401" s="39"/>
      <c r="R401" s="41">
        <f>_xlfn.XLOOKUP(F401,'6月产品包'!B:B,'6月产品包'!AD:AD)</f>
        <v>6.8266</v>
      </c>
      <c r="S401" s="39">
        <v>15</v>
      </c>
      <c r="T401" s="39">
        <f t="shared" si="165"/>
        <v>19</v>
      </c>
      <c r="U401" s="42">
        <f t="shared" si="155"/>
        <v>15.2</v>
      </c>
      <c r="V401" s="43">
        <v>0.2</v>
      </c>
      <c r="W401" s="44">
        <f t="shared" si="166"/>
        <v>0.550881578947368</v>
      </c>
      <c r="X401" s="44">
        <f t="shared" si="167"/>
        <v>0.354226577871954</v>
      </c>
      <c r="Y401" s="44">
        <v>0.04</v>
      </c>
      <c r="Z401" s="46">
        <v>0.1</v>
      </c>
      <c r="AA401" s="46">
        <v>0.049</v>
      </c>
      <c r="AB401" s="46">
        <f t="shared" si="168"/>
        <v>0.0355263157894737</v>
      </c>
      <c r="AC401" s="46">
        <v>0.08</v>
      </c>
      <c r="AD401" s="58">
        <v>0.05</v>
      </c>
      <c r="AE401" s="58">
        <v>0.05</v>
      </c>
      <c r="AF401" s="55" t="s">
        <v>114</v>
      </c>
      <c r="AG401" s="39">
        <f t="shared" si="156"/>
        <v>0</v>
      </c>
      <c r="AH401" s="39">
        <f t="shared" si="157"/>
        <v>0</v>
      </c>
      <c r="AI401" s="39">
        <f t="shared" si="158"/>
        <v>0</v>
      </c>
      <c r="AJ401" s="39">
        <f t="shared" si="162"/>
        <v>0</v>
      </c>
      <c r="AK401" s="39">
        <f t="shared" si="163"/>
        <v>0</v>
      </c>
      <c r="AL401" s="39">
        <f t="shared" si="159"/>
        <v>0</v>
      </c>
      <c r="AM401" s="39">
        <f t="shared" si="160"/>
        <v>0</v>
      </c>
      <c r="AN401" s="39">
        <f t="shared" si="161"/>
        <v>0</v>
      </c>
    </row>
    <row r="402" s="6" customFormat="1" ht="50" hidden="1" customHeight="1" spans="1:40">
      <c r="A402" s="37" t="s">
        <v>96</v>
      </c>
      <c r="B402" s="37" t="s">
        <v>115</v>
      </c>
      <c r="C402" s="37" t="str">
        <f>_xlfn.XLOOKUP(F402,'6月产品包'!B:B,'6月产品包'!H:H)</f>
        <v>热敏打印机</v>
      </c>
      <c r="D402" s="38" t="str">
        <f>_xlfn.XLOOKUP(F402,'6月产品包'!B:B,'6月产品包'!O:O)</f>
        <v>标签打印机</v>
      </c>
      <c r="E402" s="38" t="s">
        <v>774</v>
      </c>
      <c r="F402" s="39" t="s">
        <v>775</v>
      </c>
      <c r="G402" s="39" t="e">
        <v>#N/A</v>
      </c>
      <c r="H402" s="39" t="s">
        <v>101</v>
      </c>
      <c r="I402" s="37" t="str">
        <f>_xlfn.XLOOKUP($F402,'6月库存'!A:A,'6月库存'!B:B)</f>
        <v>商品清仓</v>
      </c>
      <c r="J402" s="12"/>
      <c r="K402" s="39">
        <f>_xlfn.XLOOKUP(E402,'[1]6月分配 '!$B:$B,'[1]6月分配 '!$K:$K)</f>
        <v>665</v>
      </c>
      <c r="L402" s="12" t="str">
        <f t="shared" si="164"/>
        <v>是</v>
      </c>
      <c r="M402" s="40" t="str">
        <f>_xlfn.XLOOKUP(F402,'6月产品包'!B:B,'6月产品包'!J:J)</f>
        <v>2023-09-11</v>
      </c>
      <c r="N402" s="39" t="str">
        <f ca="1">IF(DATEDIF(M402,TODAY(),"m")&lt;6,"新品","老品")</f>
        <v>老品</v>
      </c>
      <c r="O402" s="37">
        <f>_xlfn.XLOOKUP(F402,'6月库存'!A:A,'6月库存'!R:R)</f>
        <v>8</v>
      </c>
      <c r="P402" s="39">
        <f>_xlfn.XLOOKUP(F402,'6月产品包'!B:B,'6月产品包'!S:S)</f>
        <v>135</v>
      </c>
      <c r="Q402" s="39"/>
      <c r="R402" s="41">
        <f>_xlfn.XLOOKUP(F402,'6月产品包'!B:B,'6月产品包'!AD:AD)</f>
        <v>32.1262</v>
      </c>
      <c r="S402" s="39">
        <v>61</v>
      </c>
      <c r="T402" s="39">
        <f t="shared" si="165"/>
        <v>76</v>
      </c>
      <c r="U402" s="42">
        <f t="shared" si="155"/>
        <v>60.8</v>
      </c>
      <c r="V402" s="43">
        <v>0.2</v>
      </c>
      <c r="W402" s="44">
        <f t="shared" si="166"/>
        <v>0.471608552631579</v>
      </c>
      <c r="X402" s="44">
        <f t="shared" si="167"/>
        <v>0.287995780216663</v>
      </c>
      <c r="Y402" s="44">
        <v>0.04</v>
      </c>
      <c r="Z402" s="46">
        <v>0.1</v>
      </c>
      <c r="AA402" s="46">
        <v>0.049</v>
      </c>
      <c r="AB402" s="46">
        <f t="shared" si="168"/>
        <v>0.00888157894736842</v>
      </c>
      <c r="AC402" s="46">
        <v>0.06</v>
      </c>
      <c r="AD402" s="47"/>
      <c r="AE402" s="50"/>
      <c r="AF402" s="48" t="s">
        <v>114</v>
      </c>
      <c r="AG402" s="39">
        <f t="shared" si="156"/>
        <v>3.648</v>
      </c>
      <c r="AH402" s="39">
        <f t="shared" si="157"/>
        <v>3.648</v>
      </c>
      <c r="AI402" s="39">
        <f t="shared" si="158"/>
        <v>0</v>
      </c>
      <c r="AJ402" s="39">
        <f t="shared" si="162"/>
        <v>0</v>
      </c>
      <c r="AK402" s="39">
        <f t="shared" si="163"/>
        <v>0</v>
      </c>
      <c r="AL402" s="39">
        <f t="shared" si="159"/>
        <v>0</v>
      </c>
      <c r="AM402" s="39">
        <f t="shared" si="160"/>
        <v>0</v>
      </c>
      <c r="AN402" s="39">
        <f t="shared" si="161"/>
        <v>0</v>
      </c>
    </row>
    <row r="403" ht="50" hidden="1" customHeight="1" spans="1:40">
      <c r="A403" s="39" t="str">
        <f>_xlfn.XLOOKUP(F403,'6月产品包'!B:B,'6月产品包'!F:F)</f>
        <v>3C数码</v>
      </c>
      <c r="B403" s="39" t="str">
        <f>_xlfn.XLOOKUP(F403,'6月产品包'!B:B,'6月产品包'!G:G)</f>
        <v>音响乐器</v>
      </c>
      <c r="C403" s="37" t="str">
        <f>_xlfn.XLOOKUP(F403,'6月产品包'!B:B,'6月产品包'!H:H)</f>
        <v>电钢琴</v>
      </c>
      <c r="D403" s="38" t="str">
        <f>_xlfn.XLOOKUP(F403,'6月产品包'!B:B,'6月产品包'!O:O)</f>
        <v>触摸钢琴88键力度键LM600</v>
      </c>
      <c r="E403" s="38" t="str">
        <f>_xlfn.XLOOKUP(F403,'6月产品包'!B:B,'6月产品包'!C:C)</f>
        <v>3C-触摸钢琴带琴谱架88键力度键LM600</v>
      </c>
      <c r="F403" s="39" t="s">
        <v>776</v>
      </c>
      <c r="G403" s="39" t="s">
        <v>106</v>
      </c>
      <c r="H403" s="39" t="s">
        <v>107</v>
      </c>
      <c r="I403" s="37" t="str">
        <f>_xlfn.XLOOKUP($F403,'6月库存'!A:A,'6月库存'!B:B)</f>
        <v>等待开发</v>
      </c>
      <c r="K403" s="39" t="e">
        <f>_xlfn.XLOOKUP(E403,'[1]6月分配 '!$B:$B,'[1]6月分配 '!$K:$K)</f>
        <v>#N/A</v>
      </c>
      <c r="L403" s="12" t="str">
        <f t="shared" si="164"/>
        <v>否</v>
      </c>
      <c r="M403" s="40" t="str">
        <f>_xlfn.XLOOKUP(F403,'6月产品包'!B:B,'6月产品包'!J:J)</f>
        <v>2026-02-26</v>
      </c>
      <c r="N403" s="39" t="s">
        <v>149</v>
      </c>
      <c r="O403" s="37">
        <f>_xlfn.XLOOKUP(F403,'6月库存'!A:A,'6月库存'!R:R)</f>
        <v>0</v>
      </c>
      <c r="P403" s="39">
        <f>_xlfn.XLOOKUP(F403,'6月产品包'!B:B,'6月产品包'!S:S)</f>
        <v>17800</v>
      </c>
      <c r="Q403" s="56"/>
      <c r="R403" s="41">
        <f>_xlfn.XLOOKUP(F403,'6月产品包'!B:B,'6月产品包'!AD:AD)</f>
        <v>218.399</v>
      </c>
      <c r="S403" s="39">
        <v>429</v>
      </c>
      <c r="T403" s="39">
        <f t="shared" si="165"/>
        <v>536</v>
      </c>
      <c r="U403" s="42">
        <f t="shared" si="155"/>
        <v>428.8</v>
      </c>
      <c r="V403" s="43">
        <v>0.2</v>
      </c>
      <c r="W403" s="44">
        <f t="shared" si="166"/>
        <v>0.490673973880597</v>
      </c>
      <c r="X403" s="44">
        <f t="shared" si="167"/>
        <v>0.317934531408884</v>
      </c>
      <c r="Y403" s="44">
        <v>0.038</v>
      </c>
      <c r="Z403" s="46">
        <v>0.105</v>
      </c>
      <c r="AA403" s="46">
        <v>0.049</v>
      </c>
      <c r="AB403" s="46">
        <f t="shared" si="168"/>
        <v>0.00125932835820896</v>
      </c>
      <c r="AC403" s="46">
        <v>0.06</v>
      </c>
      <c r="AF403" s="48" t="s">
        <v>102</v>
      </c>
      <c r="AG403" s="39">
        <f t="shared" si="156"/>
        <v>36.0192</v>
      </c>
      <c r="AH403" s="39">
        <f t="shared" si="157"/>
        <v>6</v>
      </c>
      <c r="AI403" s="39">
        <f t="shared" si="158"/>
        <v>21</v>
      </c>
      <c r="AJ403" s="39">
        <f t="shared" si="162"/>
        <v>36.0192</v>
      </c>
      <c r="AK403" s="39">
        <f t="shared" si="163"/>
        <v>32.16</v>
      </c>
      <c r="AL403" s="39">
        <f t="shared" si="159"/>
        <v>28.3008</v>
      </c>
      <c r="AM403" s="39">
        <f t="shared" si="160"/>
        <v>23.1552</v>
      </c>
      <c r="AN403" s="39">
        <f t="shared" si="161"/>
        <v>18</v>
      </c>
    </row>
    <row r="404" ht="50" hidden="1" customHeight="1" spans="1:40">
      <c r="A404" s="39" t="str">
        <f>_xlfn.XLOOKUP(F404,'6月产品包'!B:B,'6月产品包'!F:F)</f>
        <v>3C数码</v>
      </c>
      <c r="B404" s="39" t="str">
        <f>_xlfn.XLOOKUP(F404,'6月产品包'!B:B,'6月产品包'!G:G)</f>
        <v>音响乐器</v>
      </c>
      <c r="C404" s="37" t="str">
        <f>_xlfn.XLOOKUP(F404,'6月产品包'!B:B,'6月产品包'!H:H)</f>
        <v>电钢琴</v>
      </c>
      <c r="D404" s="38" t="str">
        <f>_xlfn.XLOOKUP(F404,'6月产品包'!B:B,'6月产品包'!O:O)</f>
        <v>数码钢琴带琴谱架LM200</v>
      </c>
      <c r="E404" s="38" t="str">
        <f>_xlfn.XLOOKUP(F404,'6月产品包'!B:B,'6月产品包'!C:C)</f>
        <v>3C-数码钢琴带琴谱架88键力度键LM200</v>
      </c>
      <c r="F404" s="39" t="s">
        <v>777</v>
      </c>
      <c r="G404" s="39" t="s">
        <v>106</v>
      </c>
      <c r="H404" s="39" t="s">
        <v>107</v>
      </c>
      <c r="I404" s="37" t="str">
        <f>_xlfn.XLOOKUP($F404,'6月库存'!A:A,'6月库存'!B:B)</f>
        <v>等待开发</v>
      </c>
      <c r="K404" s="39" t="e">
        <f>_xlfn.XLOOKUP(E404,'[1]6月分配 '!$B:$B,'[1]6月分配 '!$K:$K)</f>
        <v>#N/A</v>
      </c>
      <c r="L404" s="12" t="str">
        <f t="shared" si="164"/>
        <v>否</v>
      </c>
      <c r="M404" s="40" t="str">
        <f>_xlfn.XLOOKUP(F404,'6月产品包'!B:B,'6月产品包'!J:J)</f>
        <v>2026-02-26</v>
      </c>
      <c r="N404" s="39" t="s">
        <v>149</v>
      </c>
      <c r="O404" s="37">
        <f>_xlfn.XLOOKUP(F404,'6月库存'!A:A,'6月库存'!R:R)</f>
        <v>0</v>
      </c>
      <c r="P404" s="39">
        <f>_xlfn.XLOOKUP(F404,'6月产品包'!B:B,'6月产品包'!S:S)</f>
        <v>10700</v>
      </c>
      <c r="Q404" s="56"/>
      <c r="R404" s="41">
        <f>_xlfn.XLOOKUP(F404,'6月产品包'!B:B,'6月产品包'!AD:AD)</f>
        <v>185.7566</v>
      </c>
      <c r="S404" s="39">
        <v>369</v>
      </c>
      <c r="T404" s="39">
        <f t="shared" si="165"/>
        <v>461</v>
      </c>
      <c r="U404" s="42">
        <f t="shared" si="155"/>
        <v>368.8</v>
      </c>
      <c r="V404" s="43">
        <v>0.2</v>
      </c>
      <c r="W404" s="44">
        <f t="shared" si="166"/>
        <v>0.4963215835141</v>
      </c>
      <c r="X404" s="44">
        <f t="shared" si="167"/>
        <v>0.325312433714075</v>
      </c>
      <c r="Y404" s="44">
        <v>0.038</v>
      </c>
      <c r="Z404" s="46">
        <v>0.105</v>
      </c>
      <c r="AA404" s="46">
        <v>0.049</v>
      </c>
      <c r="AB404" s="46">
        <f t="shared" si="168"/>
        <v>0.00146420824295011</v>
      </c>
      <c r="AC404" s="46">
        <v>0.06</v>
      </c>
      <c r="AF404" s="48" t="s">
        <v>102</v>
      </c>
      <c r="AG404" s="39">
        <f t="shared" si="156"/>
        <v>19.9152</v>
      </c>
      <c r="AH404" s="39">
        <f t="shared" si="157"/>
        <v>6</v>
      </c>
      <c r="AI404" s="39">
        <f t="shared" si="158"/>
        <v>19.9152</v>
      </c>
      <c r="AJ404" s="39">
        <f t="shared" si="162"/>
        <v>0</v>
      </c>
      <c r="AK404" s="39">
        <f t="shared" si="163"/>
        <v>0</v>
      </c>
      <c r="AL404" s="39">
        <f t="shared" si="159"/>
        <v>0</v>
      </c>
      <c r="AM404" s="39">
        <f t="shared" si="160"/>
        <v>19.9152</v>
      </c>
      <c r="AN404" s="39">
        <f t="shared" si="161"/>
        <v>16.596</v>
      </c>
    </row>
    <row r="405" s="6" customFormat="1" ht="50" hidden="1" customHeight="1" spans="1:40">
      <c r="A405" s="37" t="s">
        <v>108</v>
      </c>
      <c r="B405" s="37" t="s">
        <v>146</v>
      </c>
      <c r="C405" s="37" t="str">
        <f>_xlfn.XLOOKUP(F405,'6月产品包'!B:B,'6月产品包'!H:H)</f>
        <v>音箱</v>
      </c>
      <c r="D405" s="38" t="str">
        <f>_xlfn.XLOOKUP(F405,'6月产品包'!B:B,'6月产品包'!O:O)</f>
        <v>电脑组合小音响</v>
      </c>
      <c r="E405" s="38" t="s">
        <v>778</v>
      </c>
      <c r="F405" s="39" t="s">
        <v>779</v>
      </c>
      <c r="G405" s="39" t="s">
        <v>154</v>
      </c>
      <c r="H405" s="37" t="s">
        <v>107</v>
      </c>
      <c r="I405" s="37" t="str">
        <f>_xlfn.XLOOKUP($F405,'6月库存'!A:A,'6月库存'!B:B)</f>
        <v>正常销售</v>
      </c>
      <c r="J405" s="12"/>
      <c r="K405" s="39" t="e">
        <f>_xlfn.XLOOKUP(E405,'[1]6月分配 '!$B:$B,'[1]6月分配 '!$K:$K)</f>
        <v>#N/A</v>
      </c>
      <c r="L405" s="12" t="str">
        <f t="shared" si="164"/>
        <v>否</v>
      </c>
      <c r="M405" s="40" t="str">
        <f>_xlfn.XLOOKUP(F405,'6月产品包'!B:B,'6月产品包'!J:J)</f>
        <v>2025-03-15</v>
      </c>
      <c r="N405" s="39" t="s">
        <v>155</v>
      </c>
      <c r="O405" s="37">
        <f>_xlfn.XLOOKUP(F405,'6月库存'!A:A,'6月库存'!R:R)</f>
        <v>0</v>
      </c>
      <c r="P405" s="39">
        <f>_xlfn.XLOOKUP(F405,'6月产品包'!B:B,'6月产品包'!S:S)</f>
        <v>180</v>
      </c>
      <c r="Q405" s="39"/>
      <c r="R405" s="41">
        <f>_xlfn.XLOOKUP(F405,'6月产品包'!B:B,'6月产品包'!AD:AD)</f>
        <v>5.5796</v>
      </c>
      <c r="S405" s="39">
        <v>11</v>
      </c>
      <c r="T405" s="39">
        <f t="shared" si="165"/>
        <v>14</v>
      </c>
      <c r="U405" s="42">
        <f t="shared" si="155"/>
        <v>11.2</v>
      </c>
      <c r="V405" s="43">
        <v>0.2</v>
      </c>
      <c r="W405" s="44">
        <f t="shared" si="166"/>
        <v>0.501821428571429</v>
      </c>
      <c r="X405" s="44">
        <f t="shared" si="167"/>
        <v>0.277777777777778</v>
      </c>
      <c r="Y405" s="44">
        <v>0.038</v>
      </c>
      <c r="Z405" s="46">
        <v>0.115</v>
      </c>
      <c r="AA405" s="46">
        <v>0.049</v>
      </c>
      <c r="AB405" s="46">
        <f t="shared" si="168"/>
        <v>0.0482142857142857</v>
      </c>
      <c r="AC405" s="46">
        <v>0.06</v>
      </c>
      <c r="AD405" s="47"/>
      <c r="AF405" s="48" t="s">
        <v>102</v>
      </c>
      <c r="AG405" s="39">
        <f t="shared" si="156"/>
        <v>0</v>
      </c>
      <c r="AH405" s="39">
        <f t="shared" si="157"/>
        <v>0</v>
      </c>
      <c r="AI405" s="39">
        <f t="shared" si="158"/>
        <v>0</v>
      </c>
      <c r="AJ405" s="39">
        <f t="shared" si="162"/>
        <v>0</v>
      </c>
      <c r="AK405" s="39">
        <f t="shared" si="163"/>
        <v>0</v>
      </c>
      <c r="AL405" s="39">
        <f t="shared" si="159"/>
        <v>0</v>
      </c>
      <c r="AM405" s="39">
        <f t="shared" si="160"/>
        <v>0</v>
      </c>
      <c r="AN405" s="39">
        <f t="shared" si="161"/>
        <v>0</v>
      </c>
    </row>
    <row r="406" s="6" customFormat="1" ht="50" hidden="1" customHeight="1" spans="1:40">
      <c r="A406" s="37" t="s">
        <v>96</v>
      </c>
      <c r="B406" s="37" t="s">
        <v>186</v>
      </c>
      <c r="C406" s="37" t="str">
        <f>_xlfn.XLOOKUP(F406,'6月产品包'!B:B,'6月产品包'!H:H)</f>
        <v>教具白板</v>
      </c>
      <c r="D406" s="38" t="str">
        <f>_xlfn.XLOOKUP(F406,'6月产品包'!B:B,'6月产品包'!O:O)</f>
        <v>可翻转白板</v>
      </c>
      <c r="E406" s="38" t="s">
        <v>780</v>
      </c>
      <c r="F406" s="37" t="s">
        <v>781</v>
      </c>
      <c r="G406" s="39" t="s">
        <v>100</v>
      </c>
      <c r="H406" s="37" t="s">
        <v>101</v>
      </c>
      <c r="I406" s="37" t="str">
        <f>_xlfn.XLOOKUP($F406,'6月库存'!A:A,'6月库存'!B:B)</f>
        <v>正常销售</v>
      </c>
      <c r="J406" s="12"/>
      <c r="K406" s="39">
        <f>_xlfn.XLOOKUP(E406,'[1]6月分配 '!$B:$B,'[1]6月分配 '!$K:$K)</f>
        <v>608</v>
      </c>
      <c r="L406" s="12" t="str">
        <f t="shared" si="164"/>
        <v>是</v>
      </c>
      <c r="M406" s="40" t="str">
        <f>_xlfn.XLOOKUP(F406,'6月产品包'!B:B,'6月产品包'!J:J)</f>
        <v>2025-08-11</v>
      </c>
      <c r="N406" s="39" t="str">
        <f ca="1">IF(DATEDIF(M406,TODAY(),"m")&lt;6,"新品","老品")</f>
        <v>老品</v>
      </c>
      <c r="O406" s="37">
        <f>_xlfn.XLOOKUP(F406,'6月库存'!A:A,'6月库存'!R:R)</f>
        <v>143</v>
      </c>
      <c r="P406" s="39">
        <f>_xlfn.XLOOKUP(F406,'6月产品包'!B:B,'6月产品包'!S:S)</f>
        <v>5800</v>
      </c>
      <c r="Q406" s="39"/>
      <c r="R406" s="41">
        <f>_xlfn.XLOOKUP(F406,'6月产品包'!B:B,'6月产品包'!AD:AD)</f>
        <v>70.5222</v>
      </c>
      <c r="S406" s="39">
        <v>145</v>
      </c>
      <c r="T406" s="39">
        <f t="shared" si="165"/>
        <v>181</v>
      </c>
      <c r="U406" s="42">
        <f t="shared" si="155"/>
        <v>144.8</v>
      </c>
      <c r="V406" s="43">
        <v>0.2</v>
      </c>
      <c r="W406" s="44">
        <f t="shared" si="166"/>
        <v>0.512968232044199</v>
      </c>
      <c r="X406" s="44">
        <f t="shared" si="167"/>
        <v>0.33032946914218</v>
      </c>
      <c r="Y406" s="44">
        <v>0.04</v>
      </c>
      <c r="Z406" s="46">
        <v>0.1</v>
      </c>
      <c r="AA406" s="46">
        <v>0.049</v>
      </c>
      <c r="AB406" s="46">
        <f t="shared" si="168"/>
        <v>0.0037292817679558</v>
      </c>
      <c r="AC406" s="46">
        <v>0.08</v>
      </c>
      <c r="AD406" s="58">
        <v>0.05</v>
      </c>
      <c r="AE406" s="58">
        <v>0.05</v>
      </c>
      <c r="AF406" s="48" t="s">
        <v>114</v>
      </c>
      <c r="AG406" s="39">
        <f t="shared" si="156"/>
        <v>6</v>
      </c>
      <c r="AH406" s="39">
        <f t="shared" si="157"/>
        <v>6</v>
      </c>
      <c r="AI406" s="39">
        <f t="shared" si="158"/>
        <v>0</v>
      </c>
      <c r="AJ406" s="39">
        <f t="shared" si="162"/>
        <v>0</v>
      </c>
      <c r="AK406" s="39">
        <f t="shared" si="163"/>
        <v>0</v>
      </c>
      <c r="AL406" s="39">
        <f t="shared" si="159"/>
        <v>0</v>
      </c>
      <c r="AM406" s="39">
        <f t="shared" si="160"/>
        <v>0</v>
      </c>
      <c r="AN406" s="39">
        <f t="shared" si="161"/>
        <v>0</v>
      </c>
    </row>
    <row r="407" s="6" customFormat="1" ht="50" hidden="1" customHeight="1" spans="1:40">
      <c r="A407" s="37" t="s">
        <v>108</v>
      </c>
      <c r="B407" s="37" t="s">
        <v>146</v>
      </c>
      <c r="C407" s="37" t="str">
        <f>_xlfn.XLOOKUP(F407,'6月产品包'!B:B,'6月产品包'!H:H)</f>
        <v>扩音器</v>
      </c>
      <c r="D407" s="38" t="str">
        <f>_xlfn.XLOOKUP(F407,'6月产品包'!B:B,'6月产品包'!O:O)</f>
        <v>小蜜蜂扩音器</v>
      </c>
      <c r="E407" s="38" t="s">
        <v>782</v>
      </c>
      <c r="F407" s="39" t="s">
        <v>783</v>
      </c>
      <c r="G407" s="39" t="s">
        <v>100</v>
      </c>
      <c r="H407" s="37" t="s">
        <v>107</v>
      </c>
      <c r="I407" s="37" t="str">
        <f>_xlfn.XLOOKUP($F407,'6月库存'!A:A,'6月库存'!B:B)</f>
        <v>正常销售</v>
      </c>
      <c r="J407" s="12"/>
      <c r="K407" s="39" t="e">
        <f>_xlfn.XLOOKUP(E407,'[1]6月分配 '!$B:$B,'[1]6月分配 '!$K:$K)</f>
        <v>#N/A</v>
      </c>
      <c r="L407" s="12" t="str">
        <f t="shared" si="164"/>
        <v>否</v>
      </c>
      <c r="M407" s="40" t="str">
        <f>_xlfn.XLOOKUP(F407,'6月产品包'!B:B,'6月产品包'!J:J)</f>
        <v>2025-03-15</v>
      </c>
      <c r="N407" s="39" t="s">
        <v>155</v>
      </c>
      <c r="O407" s="37">
        <f>_xlfn.XLOOKUP(F407,'6月库存'!A:A,'6月库存'!R:R)</f>
        <v>519</v>
      </c>
      <c r="P407" s="39">
        <f>_xlfn.XLOOKUP(F407,'6月产品包'!B:B,'6月产品包'!S:S)</f>
        <v>235</v>
      </c>
      <c r="Q407" s="39"/>
      <c r="R407" s="41">
        <f>_xlfn.XLOOKUP(F407,'6月产品包'!B:B,'6月产品包'!AD:AD)</f>
        <v>12.006</v>
      </c>
      <c r="S407" s="39">
        <v>25</v>
      </c>
      <c r="T407" s="39">
        <f t="shared" si="165"/>
        <v>31</v>
      </c>
      <c r="U407" s="42">
        <f t="shared" si="155"/>
        <v>24.8</v>
      </c>
      <c r="V407" s="43">
        <v>0.2</v>
      </c>
      <c r="W407" s="44">
        <f t="shared" si="166"/>
        <v>0.515887096774194</v>
      </c>
      <c r="X407" s="44">
        <f t="shared" si="167"/>
        <v>0.333385155243637</v>
      </c>
      <c r="Y407" s="51">
        <v>0.038</v>
      </c>
      <c r="Z407" s="46">
        <v>0.105</v>
      </c>
      <c r="AA407" s="46">
        <v>0.049</v>
      </c>
      <c r="AB407" s="46">
        <f t="shared" si="168"/>
        <v>0.0217741935483871</v>
      </c>
      <c r="AC407" s="46">
        <v>0.06</v>
      </c>
      <c r="AD407" s="47"/>
      <c r="AF407" s="48" t="s">
        <v>102</v>
      </c>
      <c r="AG407" s="39">
        <f t="shared" si="156"/>
        <v>0</v>
      </c>
      <c r="AH407" s="39">
        <f t="shared" si="157"/>
        <v>0</v>
      </c>
      <c r="AI407" s="39">
        <f t="shared" si="158"/>
        <v>0</v>
      </c>
      <c r="AJ407" s="39">
        <f t="shared" si="162"/>
        <v>0</v>
      </c>
      <c r="AK407" s="39">
        <f t="shared" si="163"/>
        <v>0</v>
      </c>
      <c r="AL407" s="39">
        <f t="shared" si="159"/>
        <v>0</v>
      </c>
      <c r="AM407" s="39">
        <f t="shared" si="160"/>
        <v>0</v>
      </c>
      <c r="AN407" s="39">
        <f t="shared" si="161"/>
        <v>0</v>
      </c>
    </row>
    <row r="408" ht="50" hidden="1" customHeight="1" spans="1:40">
      <c r="A408" s="37" t="s">
        <v>108</v>
      </c>
      <c r="B408" s="37" t="s">
        <v>146</v>
      </c>
      <c r="C408" s="37" t="str">
        <f>_xlfn.XLOOKUP(F408,'6月产品包'!B:B,'6月产品包'!H:H)</f>
        <v>吉他套装</v>
      </c>
      <c r="D408" s="38" t="str">
        <f>_xlfn.XLOOKUP(F408,'6月产品包'!B:B,'6月产品包'!O:O)</f>
        <v>吉他</v>
      </c>
      <c r="E408" s="38" t="s">
        <v>784</v>
      </c>
      <c r="F408" s="39" t="s">
        <v>785</v>
      </c>
      <c r="G408" s="39" t="s">
        <v>126</v>
      </c>
      <c r="H408" s="37" t="s">
        <v>101</v>
      </c>
      <c r="I408" s="37" t="str">
        <f>_xlfn.XLOOKUP($F408,'6月库存'!A:A,'6月库存'!B:B)</f>
        <v>正常销售</v>
      </c>
      <c r="K408" s="39" t="e">
        <f>_xlfn.XLOOKUP(E408,'[1]6月分配 '!$B:$B,'[1]6月分配 '!$K:$K)</f>
        <v>#N/A</v>
      </c>
      <c r="L408" s="12" t="str">
        <f t="shared" si="164"/>
        <v>否</v>
      </c>
      <c r="M408" s="40" t="str">
        <f>_xlfn.XLOOKUP(F408,'6月产品包'!B:B,'6月产品包'!J:J)</f>
        <v>2024-06-27</v>
      </c>
      <c r="N408" s="39" t="s">
        <v>155</v>
      </c>
      <c r="O408" s="37">
        <f>_xlfn.XLOOKUP(F408,'6月库存'!A:A,'6月库存'!R:R)</f>
        <v>618</v>
      </c>
      <c r="P408" s="39">
        <f>_xlfn.XLOOKUP(F408,'6月产品包'!B:B,'6月产品包'!S:S)</f>
        <v>500</v>
      </c>
      <c r="Q408" s="39">
        <v>11000</v>
      </c>
      <c r="R408" s="41">
        <f>_xlfn.XLOOKUP(F408,'6月产品包'!B:B,'6月产品包'!AD:AD)</f>
        <v>15.9268</v>
      </c>
      <c r="S408" s="39">
        <v>32</v>
      </c>
      <c r="T408" s="39">
        <f t="shared" si="165"/>
        <v>40</v>
      </c>
      <c r="U408" s="42">
        <f t="shared" si="155"/>
        <v>32</v>
      </c>
      <c r="V408" s="43">
        <v>0.2</v>
      </c>
      <c r="W408" s="44">
        <f t="shared" si="166"/>
        <v>0.5022875</v>
      </c>
      <c r="X408" s="44">
        <f t="shared" si="167"/>
        <v>0.317383850505743</v>
      </c>
      <c r="Y408" s="44">
        <v>0.04</v>
      </c>
      <c r="Z408" s="46">
        <v>0.105</v>
      </c>
      <c r="AA408" s="46">
        <v>0.049</v>
      </c>
      <c r="AB408" s="46">
        <f t="shared" si="168"/>
        <v>0.016875</v>
      </c>
      <c r="AC408" s="46">
        <v>0.06</v>
      </c>
      <c r="AD408" s="47"/>
      <c r="AF408" s="48" t="s">
        <v>102</v>
      </c>
      <c r="AG408" s="39">
        <f t="shared" si="156"/>
        <v>0</v>
      </c>
      <c r="AH408" s="39">
        <f t="shared" si="157"/>
        <v>0</v>
      </c>
      <c r="AI408" s="39">
        <f t="shared" si="158"/>
        <v>0</v>
      </c>
      <c r="AJ408" s="39">
        <f t="shared" si="162"/>
        <v>0</v>
      </c>
      <c r="AK408" s="39">
        <f t="shared" si="163"/>
        <v>0</v>
      </c>
      <c r="AL408" s="39">
        <f t="shared" si="159"/>
        <v>0</v>
      </c>
      <c r="AM408" s="39">
        <f t="shared" si="160"/>
        <v>0</v>
      </c>
      <c r="AN408" s="39">
        <f t="shared" si="161"/>
        <v>0</v>
      </c>
    </row>
    <row r="409" ht="50" hidden="1" customHeight="1" spans="1:40">
      <c r="A409" s="39" t="str">
        <f>_xlfn.XLOOKUP(F409,'6月产品包'!B:B,'6月产品包'!F:F)</f>
        <v>3C数码</v>
      </c>
      <c r="B409" s="39" t="str">
        <f>_xlfn.XLOOKUP(F409,'6月产品包'!B:B,'6月产品包'!G:G)</f>
        <v>音响乐器</v>
      </c>
      <c r="C409" s="37" t="str">
        <f>_xlfn.XLOOKUP(F409,'6月产品包'!B:B,'6月产品包'!H:H)</f>
        <v>尤克里里</v>
      </c>
      <c r="D409" s="38" t="str">
        <f>_xlfn.XLOOKUP(F409,'6月产品包'!B:B,'6月产品包'!O:O)</f>
        <v>尤克里里侧旋款21寸</v>
      </c>
      <c r="E409" s="38" t="str">
        <f>_xlfn.XLOOKUP(F409,'6月产品包'!B:B,'6月产品包'!C:C)</f>
        <v>3C-21寸初学者入门侧旋款尤克里里</v>
      </c>
      <c r="F409" s="39" t="s">
        <v>786</v>
      </c>
      <c r="G409" s="39" t="s">
        <v>106</v>
      </c>
      <c r="H409" s="49" t="s">
        <v>101</v>
      </c>
      <c r="I409" s="37" t="str">
        <f>_xlfn.XLOOKUP($F409,'6月库存'!A:A,'6月库存'!B:B)</f>
        <v>等待开发</v>
      </c>
      <c r="K409" s="39" t="e">
        <f>_xlfn.XLOOKUP(E409,'[1]6月分配 '!$B:$B,'[1]6月分配 '!$K:$K)</f>
        <v>#N/A</v>
      </c>
      <c r="L409" s="12" t="str">
        <f t="shared" si="164"/>
        <v>否</v>
      </c>
      <c r="M409" s="40" t="str">
        <f>_xlfn.XLOOKUP(F409,'6月产品包'!B:B,'6月产品包'!J:J)</f>
        <v>2026-03-30</v>
      </c>
      <c r="N409" s="39" t="s">
        <v>149</v>
      </c>
      <c r="O409" s="37">
        <f>_xlfn.XLOOKUP(F409,'6月库存'!A:A,'6月库存'!R:R)</f>
        <v>0</v>
      </c>
      <c r="P409" s="39">
        <f>_xlfn.XLOOKUP(F409,'6月产品包'!B:B,'6月产品包'!S:S)</f>
        <v>685</v>
      </c>
      <c r="Q409" s="56"/>
      <c r="R409" s="41">
        <f>_xlfn.XLOOKUP(F409,'6月产品包'!B:B,'6月产品包'!AD:AD)</f>
        <v>21.8718</v>
      </c>
      <c r="S409" s="39">
        <v>43</v>
      </c>
      <c r="T409" s="39">
        <f t="shared" si="165"/>
        <v>54</v>
      </c>
      <c r="U409" s="42">
        <f t="shared" si="155"/>
        <v>43.2</v>
      </c>
      <c r="V409" s="43">
        <v>0.2</v>
      </c>
      <c r="W409" s="44">
        <f t="shared" si="166"/>
        <v>0.493708333333333</v>
      </c>
      <c r="X409" s="44">
        <f t="shared" si="167"/>
        <v>0.311636075232268</v>
      </c>
      <c r="Y409" s="44">
        <v>0.038</v>
      </c>
      <c r="Z409" s="46">
        <v>0.105</v>
      </c>
      <c r="AA409" s="46">
        <v>0.049</v>
      </c>
      <c r="AB409" s="46">
        <f t="shared" si="168"/>
        <v>0.0125</v>
      </c>
      <c r="AC409" s="46">
        <v>0.06</v>
      </c>
      <c r="AF409" s="48" t="s">
        <v>102</v>
      </c>
      <c r="AG409" s="39">
        <f t="shared" si="156"/>
        <v>0</v>
      </c>
      <c r="AH409" s="39">
        <f t="shared" si="157"/>
        <v>0</v>
      </c>
      <c r="AI409" s="39">
        <f t="shared" si="158"/>
        <v>0</v>
      </c>
      <c r="AJ409" s="39">
        <f t="shared" si="162"/>
        <v>0</v>
      </c>
      <c r="AK409" s="39">
        <f t="shared" si="163"/>
        <v>0</v>
      </c>
      <c r="AL409" s="39">
        <f t="shared" si="159"/>
        <v>0</v>
      </c>
      <c r="AM409" s="39">
        <f t="shared" si="160"/>
        <v>0</v>
      </c>
      <c r="AN409" s="39">
        <f t="shared" si="161"/>
        <v>0</v>
      </c>
    </row>
    <row r="410" ht="50" hidden="1" customHeight="1" spans="1:40">
      <c r="A410" s="39" t="str">
        <f>_xlfn.XLOOKUP(F410,'6月产品包'!B:B,'6月产品包'!F:F)</f>
        <v>3C数码</v>
      </c>
      <c r="B410" s="39" t="str">
        <f>_xlfn.XLOOKUP(F410,'6月产品包'!B:B,'6月产品包'!G:G)</f>
        <v>音响乐器</v>
      </c>
      <c r="C410" s="37" t="str">
        <f>_xlfn.XLOOKUP(F410,'6月产品包'!B:B,'6月产品包'!H:H)</f>
        <v>电子琴</v>
      </c>
      <c r="D410" s="38" t="str">
        <f>_xlfn.XLOOKUP(F410,'6月产品包'!B:B,'6月产品包'!O:O)</f>
        <v>电子琴带琴谱架37键LM970</v>
      </c>
      <c r="E410" s="38" t="str">
        <f>_xlfn.XLOOKUP(F410,'6月产品包'!B:B,'6月产品包'!C:C)</f>
        <v>3C-儿童电子琴套装带琴谱架37键LM970黑色</v>
      </c>
      <c r="F410" s="39" t="s">
        <v>787</v>
      </c>
      <c r="G410" s="39" t="s">
        <v>106</v>
      </c>
      <c r="H410" s="39" t="s">
        <v>107</v>
      </c>
      <c r="I410" s="37" t="str">
        <f>_xlfn.XLOOKUP($F410,'6月库存'!A:A,'6月库存'!B:B)</f>
        <v>等待开发</v>
      </c>
      <c r="K410" s="39" t="e">
        <f>_xlfn.XLOOKUP(E410,'[1]6月分配 '!$B:$B,'[1]6月分配 '!$K:$K)</f>
        <v>#N/A</v>
      </c>
      <c r="L410" s="12" t="str">
        <f t="shared" si="164"/>
        <v>否</v>
      </c>
      <c r="M410" s="40" t="str">
        <f>_xlfn.XLOOKUP(F410,'6月产品包'!B:B,'6月产品包'!J:J)</f>
        <v>2026-03-30</v>
      </c>
      <c r="N410" s="39" t="s">
        <v>149</v>
      </c>
      <c r="O410" s="37">
        <f>_xlfn.XLOOKUP(F410,'6月库存'!A:A,'6月库存'!R:R)</f>
        <v>0</v>
      </c>
      <c r="P410" s="39">
        <f>_xlfn.XLOOKUP(F410,'6月产品包'!B:B,'6月产品包'!S:S)</f>
        <v>7600</v>
      </c>
      <c r="Q410" s="56"/>
      <c r="R410" s="41">
        <f>_xlfn.XLOOKUP(F410,'6月产品包'!B:B,'6月产品包'!AD:AD)</f>
        <v>121.7536</v>
      </c>
      <c r="S410" s="39">
        <v>245</v>
      </c>
      <c r="T410" s="39">
        <f t="shared" si="165"/>
        <v>306</v>
      </c>
      <c r="U410" s="42">
        <f t="shared" si="155"/>
        <v>244.8</v>
      </c>
      <c r="V410" s="43">
        <v>0.2</v>
      </c>
      <c r="W410" s="44">
        <f t="shared" si="166"/>
        <v>0.502640522875817</v>
      </c>
      <c r="X410" s="44">
        <f t="shared" si="167"/>
        <v>0.333114239767235</v>
      </c>
      <c r="Y410" s="44">
        <v>0.038</v>
      </c>
      <c r="Z410" s="46">
        <v>0.105</v>
      </c>
      <c r="AA410" s="46">
        <v>0.049</v>
      </c>
      <c r="AB410" s="46">
        <f t="shared" si="168"/>
        <v>0.00220588235294118</v>
      </c>
      <c r="AC410" s="46">
        <v>0.06</v>
      </c>
      <c r="AF410" s="48" t="s">
        <v>102</v>
      </c>
      <c r="AG410" s="39">
        <f t="shared" si="156"/>
        <v>13.2192</v>
      </c>
      <c r="AH410" s="39">
        <f t="shared" si="157"/>
        <v>6</v>
      </c>
      <c r="AI410" s="39">
        <f t="shared" si="158"/>
        <v>13.2192</v>
      </c>
      <c r="AJ410" s="39">
        <f t="shared" si="162"/>
        <v>0</v>
      </c>
      <c r="AK410" s="39">
        <f t="shared" si="163"/>
        <v>0</v>
      </c>
      <c r="AL410" s="39">
        <f t="shared" si="159"/>
        <v>0</v>
      </c>
      <c r="AM410" s="39">
        <f t="shared" si="160"/>
        <v>0</v>
      </c>
      <c r="AN410" s="39">
        <f t="shared" si="161"/>
        <v>11.016</v>
      </c>
    </row>
    <row r="411" s="6" customFormat="1" ht="50" hidden="1" customHeight="1" spans="1:40">
      <c r="A411" s="37" t="s">
        <v>108</v>
      </c>
      <c r="B411" s="37" t="s">
        <v>146</v>
      </c>
      <c r="C411" s="37" t="str">
        <f>_xlfn.XLOOKUP(F411,'6月产品包'!B:B,'6月产品包'!H:H)</f>
        <v>电子琴</v>
      </c>
      <c r="D411" s="38" t="str">
        <f>_xlfn.XLOOKUP(F411,'6月产品包'!B:B,'6月产品包'!O:O)</f>
        <v>电子琴</v>
      </c>
      <c r="E411" s="38" t="s">
        <v>788</v>
      </c>
      <c r="F411" s="39" t="s">
        <v>789</v>
      </c>
      <c r="G411" s="39" t="s">
        <v>126</v>
      </c>
      <c r="H411" s="37" t="s">
        <v>101</v>
      </c>
      <c r="I411" s="37" t="str">
        <f>_xlfn.XLOOKUP($F411,'6月库存'!A:A,'6月库存'!B:B)</f>
        <v>正常销售</v>
      </c>
      <c r="J411" s="12"/>
      <c r="K411" s="39" t="e">
        <f>_xlfn.XLOOKUP(E411,'[1]6月分配 '!$B:$B,'[1]6月分配 '!$K:$K)</f>
        <v>#N/A</v>
      </c>
      <c r="L411" s="12" t="str">
        <f t="shared" si="164"/>
        <v>否</v>
      </c>
      <c r="M411" s="40" t="str">
        <f>_xlfn.XLOOKUP(F411,'6月产品包'!B:B,'6月产品包'!J:J)</f>
        <v>2024-03-19</v>
      </c>
      <c r="N411" s="39" t="s">
        <v>155</v>
      </c>
      <c r="O411" s="37">
        <f>_xlfn.XLOOKUP(F411,'6月库存'!A:A,'6月库存'!R:R)</f>
        <v>363</v>
      </c>
      <c r="P411" s="39">
        <f>_xlfn.XLOOKUP(F411,'6月产品包'!B:B,'6月产品包'!S:S)</f>
        <v>303</v>
      </c>
      <c r="Q411" s="39"/>
      <c r="R411" s="41">
        <f>_xlfn.XLOOKUP(F411,'6月产品包'!B:B,'6月产品包'!AD:AD)</f>
        <v>11.3912</v>
      </c>
      <c r="S411" s="39">
        <v>22</v>
      </c>
      <c r="T411" s="39">
        <f t="shared" si="165"/>
        <v>28</v>
      </c>
      <c r="U411" s="42">
        <f t="shared" si="155"/>
        <v>22.4</v>
      </c>
      <c r="V411" s="43">
        <v>0.2</v>
      </c>
      <c r="W411" s="44">
        <f t="shared" si="166"/>
        <v>0.491464285714286</v>
      </c>
      <c r="X411" s="44">
        <f t="shared" si="167"/>
        <v>0.295552367288379</v>
      </c>
      <c r="Y411" s="44">
        <v>0.04</v>
      </c>
      <c r="Z411" s="46">
        <v>0.105</v>
      </c>
      <c r="AA411" s="46">
        <v>0.049</v>
      </c>
      <c r="AB411" s="46">
        <f t="shared" si="168"/>
        <v>0.0241071428571429</v>
      </c>
      <c r="AC411" s="46">
        <v>0.06</v>
      </c>
      <c r="AD411" s="47"/>
      <c r="AF411" s="48" t="s">
        <v>102</v>
      </c>
      <c r="AG411" s="39">
        <f t="shared" si="156"/>
        <v>0</v>
      </c>
      <c r="AH411" s="39">
        <f t="shared" si="157"/>
        <v>0</v>
      </c>
      <c r="AI411" s="39">
        <f t="shared" si="158"/>
        <v>0</v>
      </c>
      <c r="AJ411" s="39">
        <f t="shared" si="162"/>
        <v>0</v>
      </c>
      <c r="AK411" s="39">
        <f t="shared" si="163"/>
        <v>0</v>
      </c>
      <c r="AL411" s="39">
        <f t="shared" si="159"/>
        <v>0</v>
      </c>
      <c r="AM411" s="39">
        <f t="shared" si="160"/>
        <v>0</v>
      </c>
      <c r="AN411" s="39">
        <f t="shared" si="161"/>
        <v>0</v>
      </c>
    </row>
    <row r="412" s="6" customFormat="1" ht="50" hidden="1" customHeight="1" spans="1:40">
      <c r="A412" s="37" t="s">
        <v>96</v>
      </c>
      <c r="B412" s="37" t="s">
        <v>97</v>
      </c>
      <c r="C412" s="37" t="str">
        <f>_xlfn.XLOOKUP(F412,'6月产品包'!B:B,'6月产品包'!H:H)</f>
        <v>五金件</v>
      </c>
      <c r="D412" s="38" t="str">
        <f>_xlfn.XLOOKUP(F412,'6月产品包'!B:B,'6月产品包'!O:O)</f>
        <v>智能门锁配件包</v>
      </c>
      <c r="E412" s="38" t="s">
        <v>790</v>
      </c>
      <c r="F412" s="37" t="s">
        <v>791</v>
      </c>
      <c r="G412" s="39" t="e">
        <v>#N/A</v>
      </c>
      <c r="H412" s="37" t="s">
        <v>101</v>
      </c>
      <c r="I412" s="37" t="str">
        <f>_xlfn.XLOOKUP($F412,'6月库存'!A:A,'6月库存'!B:B)</f>
        <v>正常销售</v>
      </c>
      <c r="J412" s="12"/>
      <c r="K412" s="39">
        <f>_xlfn.XLOOKUP(E412,'[1]6月分配 '!$B:$B,'[1]6月分配 '!$K:$K)</f>
        <v>462</v>
      </c>
      <c r="L412" s="12" t="str">
        <f t="shared" si="164"/>
        <v>是</v>
      </c>
      <c r="M412" s="40" t="str">
        <f>_xlfn.XLOOKUP(F412,'6月产品包'!B:B,'6月产品包'!J:J)</f>
        <v>2025-10-30</v>
      </c>
      <c r="N412" s="39" t="str">
        <f ca="1">IF(DATEDIF(M412,TODAY(),"m")&lt;6,"新品","老品")</f>
        <v>老品</v>
      </c>
      <c r="O412" s="37">
        <f>_xlfn.XLOOKUP(F412,'6月库存'!A:A,'6月库存'!R:R)</f>
        <v>44</v>
      </c>
      <c r="P412" s="39">
        <f>_xlfn.XLOOKUP(F412,'6月产品包'!B:B,'6月产品包'!S:S)</f>
        <v>207</v>
      </c>
      <c r="Q412" s="39"/>
      <c r="R412" s="41">
        <f>_xlfn.XLOOKUP(F412,'6月产品包'!B:B,'6月产品包'!AD:AD)</f>
        <v>4.06</v>
      </c>
      <c r="S412" s="39">
        <v>9</v>
      </c>
      <c r="T412" s="39">
        <f t="shared" si="165"/>
        <v>11</v>
      </c>
      <c r="U412" s="42">
        <f t="shared" si="155"/>
        <v>8.8</v>
      </c>
      <c r="V412" s="43">
        <v>0.2</v>
      </c>
      <c r="W412" s="44">
        <f t="shared" si="166"/>
        <v>0.538636363636364</v>
      </c>
      <c r="X412" s="44">
        <f t="shared" si="167"/>
        <v>0.318151283084778</v>
      </c>
      <c r="Y412" s="44">
        <v>0.038</v>
      </c>
      <c r="Z412" s="45">
        <v>0.115</v>
      </c>
      <c r="AA412" s="46">
        <v>0.049</v>
      </c>
      <c r="AB412" s="46">
        <f t="shared" si="168"/>
        <v>0.0613636363636364</v>
      </c>
      <c r="AC412" s="46">
        <v>0.06</v>
      </c>
      <c r="AD412" s="47"/>
      <c r="AE412" s="50"/>
      <c r="AF412" s="55" t="s">
        <v>114</v>
      </c>
      <c r="AG412" s="39">
        <f t="shared" si="156"/>
        <v>0</v>
      </c>
      <c r="AH412" s="39">
        <f t="shared" si="157"/>
        <v>0</v>
      </c>
      <c r="AI412" s="39">
        <f t="shared" si="158"/>
        <v>0</v>
      </c>
      <c r="AJ412" s="39">
        <f t="shared" si="162"/>
        <v>0</v>
      </c>
      <c r="AK412" s="39">
        <f t="shared" si="163"/>
        <v>0</v>
      </c>
      <c r="AL412" s="39">
        <f t="shared" si="159"/>
        <v>0</v>
      </c>
      <c r="AM412" s="39">
        <f t="shared" si="160"/>
        <v>0</v>
      </c>
      <c r="AN412" s="39">
        <f t="shared" si="161"/>
        <v>0</v>
      </c>
    </row>
    <row r="413" s="6" customFormat="1" ht="50" hidden="1" customHeight="1" spans="1:40">
      <c r="A413" s="37" t="s">
        <v>96</v>
      </c>
      <c r="B413" s="37" t="s">
        <v>115</v>
      </c>
      <c r="C413" s="37" t="str">
        <f>_xlfn.XLOOKUP(F413,'6月产品包'!B:B,'6月产品包'!H:H)</f>
        <v>毛毡照片墙</v>
      </c>
      <c r="D413" s="38" t="str">
        <f>_xlfn.XLOOKUP(F413,'6月产品包'!B:B,'6月产品包'!O:O)</f>
        <v>毛毡照片公告墙</v>
      </c>
      <c r="E413" s="38" t="s">
        <v>792</v>
      </c>
      <c r="F413" s="39" t="s">
        <v>793</v>
      </c>
      <c r="G413" s="39" t="e">
        <v>#N/A</v>
      </c>
      <c r="H413" s="39" t="s">
        <v>101</v>
      </c>
      <c r="I413" s="37" t="str">
        <f>_xlfn.XLOOKUP($F413,'6月库存'!A:A,'6月库存'!B:B)</f>
        <v>正常销售</v>
      </c>
      <c r="J413" s="12"/>
      <c r="K413" s="39">
        <f>_xlfn.XLOOKUP(E413,'[1]6月分配 '!$B:$B,'[1]6月分配 '!$K:$K)</f>
        <v>417</v>
      </c>
      <c r="L413" s="12" t="str">
        <f t="shared" si="164"/>
        <v>是</v>
      </c>
      <c r="M413" s="40" t="str">
        <f>_xlfn.XLOOKUP(F413,'6月产品包'!B:B,'6月产品包'!J:J)</f>
        <v>2026-01-06</v>
      </c>
      <c r="N413" s="39" t="str">
        <f ca="1">IF(DATEDIF(M413,TODAY(),"m")&lt;6,"新品","老品")</f>
        <v>新品</v>
      </c>
      <c r="O413" s="37">
        <f>_xlfn.XLOOKUP(F413,'6月库存'!A:A,'6月库存'!R:R)</f>
        <v>94</v>
      </c>
      <c r="P413" s="39">
        <f>_xlfn.XLOOKUP(F413,'6月产品包'!B:B,'6月产品包'!S:S)</f>
        <v>625</v>
      </c>
      <c r="Q413" s="39"/>
      <c r="R413" s="41">
        <f>_xlfn.XLOOKUP(F413,'6月产品包'!B:B,'6月产品包'!AD:AD)</f>
        <v>12.0814</v>
      </c>
      <c r="S413" s="39">
        <v>22</v>
      </c>
      <c r="T413" s="39">
        <f t="shared" si="165"/>
        <v>28</v>
      </c>
      <c r="U413" s="42">
        <f t="shared" si="155"/>
        <v>22.4</v>
      </c>
      <c r="V413" s="43">
        <v>0.2</v>
      </c>
      <c r="W413" s="44">
        <f t="shared" si="166"/>
        <v>0.460651785714286</v>
      </c>
      <c r="X413" s="44">
        <f t="shared" si="167"/>
        <v>0.270058968534003</v>
      </c>
      <c r="Y413" s="44">
        <v>0.038</v>
      </c>
      <c r="Z413" s="46">
        <v>0.09</v>
      </c>
      <c r="AA413" s="46">
        <v>0.049</v>
      </c>
      <c r="AB413" s="46">
        <f t="shared" si="168"/>
        <v>0.0241071428571429</v>
      </c>
      <c r="AC413" s="46">
        <v>0.06</v>
      </c>
      <c r="AD413" s="47"/>
      <c r="AF413" s="55" t="s">
        <v>114</v>
      </c>
      <c r="AG413" s="39">
        <f t="shared" si="156"/>
        <v>0</v>
      </c>
      <c r="AH413" s="39">
        <f t="shared" si="157"/>
        <v>0</v>
      </c>
      <c r="AI413" s="39">
        <f t="shared" si="158"/>
        <v>0</v>
      </c>
      <c r="AJ413" s="39">
        <f t="shared" si="162"/>
        <v>0</v>
      </c>
      <c r="AK413" s="39">
        <f t="shared" si="163"/>
        <v>0</v>
      </c>
      <c r="AL413" s="39">
        <f t="shared" si="159"/>
        <v>0</v>
      </c>
      <c r="AM413" s="39">
        <f t="shared" si="160"/>
        <v>0</v>
      </c>
      <c r="AN413" s="39">
        <f t="shared" si="161"/>
        <v>0</v>
      </c>
    </row>
    <row r="414" s="6" customFormat="1" ht="50" hidden="1" customHeight="1" spans="1:40">
      <c r="A414" s="37" t="s">
        <v>108</v>
      </c>
      <c r="B414" s="37" t="s">
        <v>109</v>
      </c>
      <c r="C414" s="37" t="str">
        <f>_xlfn.XLOOKUP(F414,'6月产品包'!B:B,'6月产品包'!H:H)</f>
        <v>电脑散热器</v>
      </c>
      <c r="D414" s="38" t="str">
        <f>_xlfn.XLOOKUP(F414,'6月产品包'!B:B,'6月产品包'!O:O)</f>
        <v>单扇电脑散热器</v>
      </c>
      <c r="E414" s="38" t="s">
        <v>794</v>
      </c>
      <c r="F414" s="37" t="s">
        <v>795</v>
      </c>
      <c r="G414" s="39" t="s">
        <v>126</v>
      </c>
      <c r="H414" s="37" t="s">
        <v>107</v>
      </c>
      <c r="I414" s="37" t="str">
        <f>_xlfn.XLOOKUP($F414,'6月库存'!A:A,'6月库存'!B:B)</f>
        <v>正常销售</v>
      </c>
      <c r="J414" s="12"/>
      <c r="K414" s="39">
        <f>_xlfn.XLOOKUP(E414,'[1]6月分配 '!$B:$B,'[1]6月分配 '!$K:$K)</f>
        <v>390</v>
      </c>
      <c r="L414" s="12" t="str">
        <f t="shared" si="164"/>
        <v>是</v>
      </c>
      <c r="M414" s="40" t="str">
        <f>_xlfn.XLOOKUP(F414,'6月产品包'!B:B,'6月产品包'!J:J)</f>
        <v>2024-10-29</v>
      </c>
      <c r="N414" s="39" t="str">
        <f ca="1">IF(DATEDIF(M414,TODAY(),"m")&lt;6,"新品","老品")</f>
        <v>老品</v>
      </c>
      <c r="O414" s="37">
        <f>_xlfn.XLOOKUP(F414,'6月库存'!A:A,'6月库存'!R:R)</f>
        <v>100</v>
      </c>
      <c r="P414" s="39">
        <f>_xlfn.XLOOKUP(F414,'6月产品包'!B:B,'6月产品包'!S:S)</f>
        <v>420</v>
      </c>
      <c r="Q414" s="39"/>
      <c r="R414" s="41">
        <f>_xlfn.XLOOKUP(F414,'6月产品包'!B:B,'6月产品包'!AD:AD)</f>
        <v>8.3868</v>
      </c>
      <c r="S414" s="39">
        <v>16</v>
      </c>
      <c r="T414" s="39">
        <f t="shared" si="165"/>
        <v>20</v>
      </c>
      <c r="U414" s="42">
        <f t="shared" si="155"/>
        <v>16</v>
      </c>
      <c r="V414" s="43">
        <v>0.2</v>
      </c>
      <c r="W414" s="44">
        <f t="shared" si="166"/>
        <v>0.475825</v>
      </c>
      <c r="X414" s="44">
        <f t="shared" si="167"/>
        <v>0.279236851151599</v>
      </c>
      <c r="Y414" s="52">
        <v>0.04</v>
      </c>
      <c r="Z414" s="46">
        <v>0.09</v>
      </c>
      <c r="AA414" s="46">
        <v>0.049</v>
      </c>
      <c r="AB414" s="46">
        <f t="shared" si="168"/>
        <v>0.03375</v>
      </c>
      <c r="AC414" s="46">
        <v>0.06</v>
      </c>
      <c r="AD414" s="47"/>
      <c r="AF414" s="55" t="s">
        <v>114</v>
      </c>
      <c r="AG414" s="39">
        <f t="shared" si="156"/>
        <v>0</v>
      </c>
      <c r="AH414" s="39">
        <f t="shared" si="157"/>
        <v>0</v>
      </c>
      <c r="AI414" s="39">
        <f t="shared" si="158"/>
        <v>0</v>
      </c>
      <c r="AJ414" s="39">
        <f t="shared" si="162"/>
        <v>0</v>
      </c>
      <c r="AK414" s="39">
        <f t="shared" si="163"/>
        <v>0</v>
      </c>
      <c r="AL414" s="39">
        <f t="shared" si="159"/>
        <v>0</v>
      </c>
      <c r="AM414" s="39">
        <f t="shared" si="160"/>
        <v>0</v>
      </c>
      <c r="AN414" s="39">
        <f t="shared" si="161"/>
        <v>0</v>
      </c>
    </row>
    <row r="415" s="6" customFormat="1" ht="50" hidden="1" customHeight="1" spans="1:40">
      <c r="A415" s="37" t="s">
        <v>96</v>
      </c>
      <c r="B415" s="37" t="s">
        <v>115</v>
      </c>
      <c r="C415" s="37" t="str">
        <f>_xlfn.XLOOKUP(F415,'6月产品包'!B:B,'6月产品包'!H:H)</f>
        <v>打印机</v>
      </c>
      <c r="D415" s="38" t="str">
        <f>_xlfn.XLOOKUP(F415,'6月产品包'!B:B,'6月产品包'!O:O)</f>
        <v>58mm小票打印机</v>
      </c>
      <c r="E415" s="38" t="s">
        <v>796</v>
      </c>
      <c r="F415" s="39" t="s">
        <v>797</v>
      </c>
      <c r="G415" s="39" t="e">
        <v>#N/A</v>
      </c>
      <c r="H415" s="39" t="s">
        <v>101</v>
      </c>
      <c r="I415" s="37" t="str">
        <f>_xlfn.XLOOKUP($F415,'6月库存'!A:A,'6月库存'!B:B)</f>
        <v>正常销售</v>
      </c>
      <c r="J415" s="12"/>
      <c r="K415" s="39">
        <f>_xlfn.XLOOKUP(E415,'[1]6月分配 '!$B:$B,'[1]6月分配 '!$K:$K)</f>
        <v>388</v>
      </c>
      <c r="L415" s="12" t="str">
        <f t="shared" si="164"/>
        <v>是</v>
      </c>
      <c r="M415" s="40" t="str">
        <f>_xlfn.XLOOKUP(F415,'6月产品包'!B:B,'6月产品包'!J:J)</f>
        <v>2025-11-13</v>
      </c>
      <c r="N415" s="39" t="str">
        <f ca="1">IF(DATEDIF(M415,TODAY(),"m")&lt;6,"新品","老品")</f>
        <v>老品</v>
      </c>
      <c r="O415" s="37">
        <f>_xlfn.XLOOKUP(F415,'6月库存'!A:A,'6月库存'!R:R)</f>
        <v>28</v>
      </c>
      <c r="P415" s="39">
        <f>_xlfn.XLOOKUP(F415,'6月产品包'!B:B,'6月产品包'!S:S)</f>
        <v>640</v>
      </c>
      <c r="Q415" s="39"/>
      <c r="R415" s="41">
        <f>_xlfn.XLOOKUP(F415,'6月产品包'!B:B,'6月产品包'!AD:AD)</f>
        <v>37.4854</v>
      </c>
      <c r="S415" s="39">
        <v>72</v>
      </c>
      <c r="T415" s="39">
        <f t="shared" si="165"/>
        <v>90</v>
      </c>
      <c r="U415" s="42">
        <f t="shared" si="155"/>
        <v>72</v>
      </c>
      <c r="V415" s="43">
        <v>0.2</v>
      </c>
      <c r="W415" s="44">
        <f t="shared" si="166"/>
        <v>0.479369444444444</v>
      </c>
      <c r="X415" s="44">
        <f t="shared" si="167"/>
        <v>0.299757154599118</v>
      </c>
      <c r="Y415" s="44">
        <v>0.04</v>
      </c>
      <c r="Z415" s="46">
        <v>0.1</v>
      </c>
      <c r="AA415" s="46">
        <v>0.049</v>
      </c>
      <c r="AB415" s="46">
        <f t="shared" si="168"/>
        <v>0.0075</v>
      </c>
      <c r="AC415" s="46">
        <v>0.06</v>
      </c>
      <c r="AD415" s="47"/>
      <c r="AF415" s="48" t="s">
        <v>114</v>
      </c>
      <c r="AG415" s="39">
        <f t="shared" si="156"/>
        <v>4.32</v>
      </c>
      <c r="AH415" s="39">
        <f t="shared" si="157"/>
        <v>4.32</v>
      </c>
      <c r="AI415" s="39">
        <f t="shared" si="158"/>
        <v>0</v>
      </c>
      <c r="AJ415" s="39">
        <f t="shared" si="162"/>
        <v>0</v>
      </c>
      <c r="AK415" s="39">
        <f t="shared" si="163"/>
        <v>0</v>
      </c>
      <c r="AL415" s="39">
        <f t="shared" si="159"/>
        <v>0</v>
      </c>
      <c r="AM415" s="39">
        <f t="shared" si="160"/>
        <v>0</v>
      </c>
      <c r="AN415" s="39">
        <f t="shared" si="161"/>
        <v>0</v>
      </c>
    </row>
    <row r="416" s="6" customFormat="1" ht="50" hidden="1" customHeight="1" spans="1:40">
      <c r="A416" s="37" t="s">
        <v>96</v>
      </c>
      <c r="B416" s="37" t="s">
        <v>115</v>
      </c>
      <c r="C416" s="37" t="str">
        <f>_xlfn.XLOOKUP(F416,'6月产品包'!B:B,'6月产品包'!H:H)</f>
        <v>收银箱</v>
      </c>
      <c r="D416" s="38" t="str">
        <f>_xlfn.XLOOKUP(F416,'6月产品包'!B:B,'6月产品包'!O:O)</f>
        <v>现金盒钥匙款</v>
      </c>
      <c r="E416" s="38" t="s">
        <v>798</v>
      </c>
      <c r="F416" s="39" t="s">
        <v>799</v>
      </c>
      <c r="G416" s="39" t="s">
        <v>126</v>
      </c>
      <c r="H416" s="39" t="s">
        <v>101</v>
      </c>
      <c r="I416" s="37" t="str">
        <f>_xlfn.XLOOKUP($F416,'6月库存'!A:A,'6月库存'!B:B)</f>
        <v>正常销售</v>
      </c>
      <c r="J416" s="12"/>
      <c r="K416" s="39">
        <f>_xlfn.XLOOKUP(E416,'[1]6月分配 '!$B:$B,'[1]6月分配 '!$K:$K)</f>
        <v>352</v>
      </c>
      <c r="L416" s="12" t="str">
        <f t="shared" si="164"/>
        <v>是</v>
      </c>
      <c r="M416" s="40" t="str">
        <f>_xlfn.XLOOKUP(F416,'6月产品包'!B:B,'6月产品包'!J:J)</f>
        <v>2026-01-06</v>
      </c>
      <c r="N416" s="39" t="str">
        <f ca="1">IF(DATEDIF(M416,TODAY(),"m")&lt;6,"新品","老品")</f>
        <v>新品</v>
      </c>
      <c r="O416" s="37">
        <f>_xlfn.XLOOKUP(F416,'6月库存'!A:A,'6月库存'!R:R)</f>
        <v>62</v>
      </c>
      <c r="P416" s="39">
        <f>_xlfn.XLOOKUP(F416,'6月产品包'!B:B,'6月产品包'!S:S)</f>
        <v>1600</v>
      </c>
      <c r="Q416" s="39"/>
      <c r="R416" s="41">
        <f>_xlfn.XLOOKUP(F416,'6月产品包'!B:B,'6月产品包'!AD:AD)</f>
        <v>18.5426</v>
      </c>
      <c r="S416" s="39">
        <v>38</v>
      </c>
      <c r="T416" s="39">
        <f t="shared" si="165"/>
        <v>48</v>
      </c>
      <c r="U416" s="42">
        <f t="shared" si="155"/>
        <v>38.4</v>
      </c>
      <c r="V416" s="43">
        <v>0.2</v>
      </c>
      <c r="W416" s="44">
        <f t="shared" si="166"/>
        <v>0.517119791666667</v>
      </c>
      <c r="X416" s="44">
        <f t="shared" si="167"/>
        <v>0.344747406213779</v>
      </c>
      <c r="Y416" s="44">
        <v>0.04</v>
      </c>
      <c r="Z416" s="46">
        <v>0.1</v>
      </c>
      <c r="AA416" s="46">
        <v>0.049</v>
      </c>
      <c r="AB416" s="46">
        <f t="shared" si="168"/>
        <v>0.0140625</v>
      </c>
      <c r="AC416" s="46">
        <v>0.06</v>
      </c>
      <c r="AD416" s="47"/>
      <c r="AE416" s="11"/>
      <c r="AF416" s="55" t="s">
        <v>114</v>
      </c>
      <c r="AG416" s="39">
        <f t="shared" si="156"/>
        <v>0</v>
      </c>
      <c r="AH416" s="39">
        <f t="shared" si="157"/>
        <v>0</v>
      </c>
      <c r="AI416" s="39">
        <f t="shared" si="158"/>
        <v>0</v>
      </c>
      <c r="AJ416" s="39">
        <f t="shared" si="162"/>
        <v>0</v>
      </c>
      <c r="AK416" s="39">
        <f t="shared" si="163"/>
        <v>0</v>
      </c>
      <c r="AL416" s="39">
        <f t="shared" si="159"/>
        <v>0</v>
      </c>
      <c r="AM416" s="39">
        <f t="shared" si="160"/>
        <v>0</v>
      </c>
      <c r="AN416" s="39">
        <f t="shared" si="161"/>
        <v>0</v>
      </c>
    </row>
    <row r="417" s="6" customFormat="1" ht="50" hidden="1" customHeight="1" spans="1:40">
      <c r="A417" s="37" t="s">
        <v>96</v>
      </c>
      <c r="B417" s="37" t="s">
        <v>115</v>
      </c>
      <c r="C417" s="37" t="str">
        <f>_xlfn.XLOOKUP(F417,'6月产品包'!B:B,'6月产品包'!H:H)</f>
        <v>银钱盒</v>
      </c>
      <c r="D417" s="38" t="str">
        <f>_xlfn.XLOOKUP(F417,'6月产品包'!B:B,'6月产品包'!O:O)</f>
        <v>迷你收银箱</v>
      </c>
      <c r="E417" s="38" t="s">
        <v>800</v>
      </c>
      <c r="F417" s="39" t="s">
        <v>801</v>
      </c>
      <c r="G417" s="49" t="s">
        <v>100</v>
      </c>
      <c r="H417" s="39" t="s">
        <v>101</v>
      </c>
      <c r="I417" s="37" t="str">
        <f>_xlfn.XLOOKUP($F417,'6月库存'!A:A,'6月库存'!B:B)</f>
        <v>正常销售</v>
      </c>
      <c r="J417" s="12"/>
      <c r="K417" s="39">
        <f>_xlfn.XLOOKUP(E417,'[1]6月分配 '!$B:$B,'[1]6月分配 '!$K:$K)</f>
        <v>350</v>
      </c>
      <c r="L417" s="12" t="str">
        <f t="shared" si="164"/>
        <v>是</v>
      </c>
      <c r="M417" s="40" t="str">
        <f>_xlfn.XLOOKUP(F417,'6月产品包'!B:B,'6月产品包'!J:J)</f>
        <v>2025-11-18</v>
      </c>
      <c r="N417" s="39" t="s">
        <v>149</v>
      </c>
      <c r="O417" s="37">
        <f>_xlfn.XLOOKUP(F417,'6月库存'!A:A,'6月库存'!R:R)</f>
        <v>44</v>
      </c>
      <c r="P417" s="39">
        <f>_xlfn.XLOOKUP(F417,'6月产品包'!B:B,'6月产品包'!S:S)</f>
        <v>470</v>
      </c>
      <c r="Q417" s="39"/>
      <c r="R417" s="41">
        <f>_xlfn.XLOOKUP(F417,'6月产品包'!B:B,'6月产品包'!AD:AD)</f>
        <v>13.5198</v>
      </c>
      <c r="S417" s="39">
        <v>26</v>
      </c>
      <c r="T417" s="39">
        <f t="shared" si="165"/>
        <v>33</v>
      </c>
      <c r="U417" s="42">
        <f t="shared" si="155"/>
        <v>26.4</v>
      </c>
      <c r="V417" s="43">
        <v>0.2</v>
      </c>
      <c r="W417" s="44">
        <f t="shared" si="166"/>
        <v>0.487886363636364</v>
      </c>
      <c r="X417" s="44">
        <f t="shared" si="167"/>
        <v>0.298998257839721</v>
      </c>
      <c r="Y417" s="44">
        <v>0.04</v>
      </c>
      <c r="Z417" s="46">
        <v>0.1</v>
      </c>
      <c r="AA417" s="46">
        <v>0.049</v>
      </c>
      <c r="AB417" s="46">
        <f t="shared" si="168"/>
        <v>0.0204545454545455</v>
      </c>
      <c r="AC417" s="46">
        <v>0.06</v>
      </c>
      <c r="AD417" s="47"/>
      <c r="AF417" s="55" t="s">
        <v>114</v>
      </c>
      <c r="AG417" s="39">
        <f t="shared" si="156"/>
        <v>0</v>
      </c>
      <c r="AH417" s="39">
        <f t="shared" si="157"/>
        <v>0</v>
      </c>
      <c r="AI417" s="39">
        <f t="shared" si="158"/>
        <v>0</v>
      </c>
      <c r="AJ417" s="39">
        <f t="shared" si="162"/>
        <v>0</v>
      </c>
      <c r="AK417" s="39">
        <f t="shared" si="163"/>
        <v>0</v>
      </c>
      <c r="AL417" s="39">
        <f t="shared" si="159"/>
        <v>0</v>
      </c>
      <c r="AM417" s="39">
        <f t="shared" si="160"/>
        <v>0</v>
      </c>
      <c r="AN417" s="39">
        <f t="shared" si="161"/>
        <v>0</v>
      </c>
    </row>
    <row r="418" ht="50" hidden="1" customHeight="1" spans="1:40">
      <c r="A418" s="37" t="s">
        <v>96</v>
      </c>
      <c r="B418" s="37" t="s">
        <v>97</v>
      </c>
      <c r="C418" s="37" t="str">
        <f>_xlfn.XLOOKUP(F418,'6月产品包'!B:B,'6月产品包'!H:H)</f>
        <v>摄像头</v>
      </c>
      <c r="D418" s="38" t="str">
        <f>_xlfn.XLOOKUP(F418,'6月产品包'!B:B,'6月产品包'!O:O)</f>
        <v>看护摄像头</v>
      </c>
      <c r="E418" s="38" t="s">
        <v>802</v>
      </c>
      <c r="F418" s="37" t="s">
        <v>803</v>
      </c>
      <c r="G418" s="39" t="s">
        <v>154</v>
      </c>
      <c r="H418" s="37" t="s">
        <v>107</v>
      </c>
      <c r="I418" s="37" t="str">
        <f>_xlfn.XLOOKUP($F418,'6月库存'!A:A,'6月库存'!B:B)</f>
        <v>商品清仓</v>
      </c>
      <c r="K418" s="39">
        <f>_xlfn.XLOOKUP(E418,'[1]6月分配 '!$B:$B,'[1]6月分配 '!$K:$K)</f>
        <v>267</v>
      </c>
      <c r="L418" s="12" t="str">
        <f t="shared" si="164"/>
        <v>是</v>
      </c>
      <c r="M418" s="40" t="str">
        <f>_xlfn.XLOOKUP(F418,'6月产品包'!B:B,'6月产品包'!J:J)</f>
        <v>2024-03-26</v>
      </c>
      <c r="N418" s="39" t="str">
        <f ca="1">IF(DATEDIF(M418,TODAY(),"m")&lt;6,"新品","老品")</f>
        <v>老品</v>
      </c>
      <c r="O418" s="37">
        <f>_xlfn.XLOOKUP(F418,'6月库存'!A:A,'6月库存'!R:R)</f>
        <v>3</v>
      </c>
      <c r="P418" s="39">
        <f>_xlfn.XLOOKUP(F418,'6月产品包'!B:B,'6月产品包'!S:S)</f>
        <v>350</v>
      </c>
      <c r="Q418" s="39"/>
      <c r="R418" s="41">
        <f>_xlfn.XLOOKUP(F418,'6月产品包'!B:B,'6月产品包'!AD:AD)</f>
        <v>34.394</v>
      </c>
      <c r="S418" s="39">
        <v>49</v>
      </c>
      <c r="T418" s="39">
        <f t="shared" si="165"/>
        <v>61</v>
      </c>
      <c r="U418" s="42">
        <f t="shared" si="155"/>
        <v>48.8</v>
      </c>
      <c r="V418" s="43">
        <v>0.2</v>
      </c>
      <c r="W418" s="44">
        <f t="shared" si="166"/>
        <v>0.295204918032787</v>
      </c>
      <c r="X418" s="44">
        <f t="shared" si="167"/>
        <v>0.104378892985855</v>
      </c>
      <c r="Y418" s="51">
        <v>0.038</v>
      </c>
      <c r="Z418" s="46">
        <v>0.105</v>
      </c>
      <c r="AA418" s="46">
        <v>0.049</v>
      </c>
      <c r="AB418" s="46">
        <f t="shared" si="168"/>
        <v>0.0110655737704918</v>
      </c>
      <c r="AC418" s="46">
        <v>0.01</v>
      </c>
      <c r="AD418" s="47"/>
      <c r="AE418" s="6"/>
      <c r="AF418" s="48" t="s">
        <v>114</v>
      </c>
      <c r="AG418" s="39">
        <f t="shared" si="156"/>
        <v>0</v>
      </c>
      <c r="AH418" s="39">
        <f t="shared" si="157"/>
        <v>0</v>
      </c>
      <c r="AI418" s="39">
        <f t="shared" si="158"/>
        <v>0</v>
      </c>
      <c r="AJ418" s="39">
        <f t="shared" si="162"/>
        <v>0</v>
      </c>
      <c r="AK418" s="39">
        <f t="shared" si="163"/>
        <v>0</v>
      </c>
      <c r="AL418" s="39">
        <f t="shared" si="159"/>
        <v>0</v>
      </c>
      <c r="AM418" s="39">
        <f t="shared" si="160"/>
        <v>0</v>
      </c>
      <c r="AN418" s="39">
        <f t="shared" si="161"/>
        <v>0</v>
      </c>
    </row>
    <row r="419" ht="50" hidden="1" customHeight="1" spans="1:40">
      <c r="A419" s="37" t="s">
        <v>96</v>
      </c>
      <c r="B419" s="37" t="s">
        <v>115</v>
      </c>
      <c r="C419" s="37" t="str">
        <f>_xlfn.XLOOKUP(F419,'6月产品包'!B:B,'6月产品包'!H:H)</f>
        <v>毛毡照片墙</v>
      </c>
      <c r="D419" s="38" t="str">
        <f>_xlfn.XLOOKUP(F419,'6月产品包'!B:B,'6月产品包'!O:O)</f>
        <v>毛毡照片公告墙</v>
      </c>
      <c r="E419" s="38" t="s">
        <v>804</v>
      </c>
      <c r="F419" s="39" t="s">
        <v>805</v>
      </c>
      <c r="G419" s="39" t="e">
        <v>#N/A</v>
      </c>
      <c r="H419" s="39" t="s">
        <v>101</v>
      </c>
      <c r="I419" s="37" t="str">
        <f>_xlfn.XLOOKUP($F419,'6月库存'!A:A,'6月库存'!B:B)</f>
        <v>正常销售</v>
      </c>
      <c r="K419" s="39">
        <f>_xlfn.XLOOKUP(E419,'[1]6月分配 '!$B:$B,'[1]6月分配 '!$K:$K)</f>
        <v>224</v>
      </c>
      <c r="L419" s="12" t="str">
        <f t="shared" si="164"/>
        <v>是</v>
      </c>
      <c r="M419" s="40" t="str">
        <f>_xlfn.XLOOKUP(F419,'6月产品包'!B:B,'6月产品包'!J:J)</f>
        <v>2026-01-06</v>
      </c>
      <c r="N419" s="39" t="str">
        <f ca="1">IF(DATEDIF(M419,TODAY(),"m")&lt;6,"新品","老品")</f>
        <v>新品</v>
      </c>
      <c r="O419" s="37">
        <f>_xlfn.XLOOKUP(F419,'6月库存'!A:A,'6月库存'!R:R)</f>
        <v>28</v>
      </c>
      <c r="P419" s="39">
        <f>_xlfn.XLOOKUP(F419,'6月产品包'!B:B,'6月产品包'!S:S)</f>
        <v>2440</v>
      </c>
      <c r="Q419" s="39"/>
      <c r="R419" s="41">
        <f>_xlfn.XLOOKUP(F419,'6月产品包'!B:B,'6月产品包'!AD:AD)</f>
        <v>43.2332</v>
      </c>
      <c r="S419" s="39">
        <v>89</v>
      </c>
      <c r="T419" s="39">
        <f t="shared" si="165"/>
        <v>111</v>
      </c>
      <c r="U419" s="42">
        <f t="shared" si="155"/>
        <v>88.8</v>
      </c>
      <c r="V419" s="43">
        <v>0.2</v>
      </c>
      <c r="W419" s="44">
        <f t="shared" si="166"/>
        <v>0.51313963963964</v>
      </c>
      <c r="X419" s="44">
        <f t="shared" si="167"/>
        <v>0.35678664095789</v>
      </c>
      <c r="Y419" s="44">
        <v>0.038</v>
      </c>
      <c r="Z419" s="46">
        <v>0.09</v>
      </c>
      <c r="AA419" s="46">
        <v>0.049</v>
      </c>
      <c r="AB419" s="46">
        <f t="shared" si="168"/>
        <v>0.00608108108108108</v>
      </c>
      <c r="AC419" s="46">
        <v>0.06</v>
      </c>
      <c r="AD419" s="47"/>
      <c r="AE419" s="6"/>
      <c r="AF419" s="48" t="s">
        <v>114</v>
      </c>
      <c r="AG419" s="39">
        <f t="shared" si="156"/>
        <v>5.328</v>
      </c>
      <c r="AH419" s="39">
        <f t="shared" si="157"/>
        <v>5.328</v>
      </c>
      <c r="AI419" s="39">
        <f t="shared" si="158"/>
        <v>0</v>
      </c>
      <c r="AJ419" s="39">
        <f t="shared" si="162"/>
        <v>0</v>
      </c>
      <c r="AK419" s="39">
        <f t="shared" si="163"/>
        <v>0</v>
      </c>
      <c r="AL419" s="39">
        <f t="shared" si="159"/>
        <v>0</v>
      </c>
      <c r="AM419" s="39">
        <f t="shared" si="160"/>
        <v>0</v>
      </c>
      <c r="AN419" s="39">
        <f t="shared" si="161"/>
        <v>0</v>
      </c>
    </row>
    <row r="420" s="6" customFormat="1" ht="50" hidden="1" customHeight="1" spans="1:40">
      <c r="A420" s="37" t="s">
        <v>96</v>
      </c>
      <c r="B420" s="37" t="s">
        <v>103</v>
      </c>
      <c r="C420" s="37" t="str">
        <f>_xlfn.XLOOKUP(F420,'6月产品包'!B:B,'6月产品包'!H:H)</f>
        <v>充电宝</v>
      </c>
      <c r="D420" s="38" t="str">
        <f>_xlfn.XLOOKUP(F420,'6月产品包'!B:B,'6月产品包'!O:O)</f>
        <v>普通款充电宝</v>
      </c>
      <c r="E420" s="38" t="s">
        <v>806</v>
      </c>
      <c r="F420" s="37" t="s">
        <v>807</v>
      </c>
      <c r="G420" s="39" t="s">
        <v>154</v>
      </c>
      <c r="H420" s="37" t="s">
        <v>107</v>
      </c>
      <c r="I420" s="37" t="str">
        <f>_xlfn.XLOOKUP($F420,'6月库存'!A:A,'6月库存'!B:B)</f>
        <v>商品清仓</v>
      </c>
      <c r="J420" s="12"/>
      <c r="K420" s="39">
        <f>_xlfn.XLOOKUP(E420,'[1]6月分配 '!$B:$B,'[1]6月分配 '!$K:$K)</f>
        <v>198</v>
      </c>
      <c r="L420" s="12" t="str">
        <f t="shared" si="164"/>
        <v>是</v>
      </c>
      <c r="M420" s="40" t="str">
        <f>_xlfn.XLOOKUP(F420,'6月产品包'!B:B,'6月产品包'!J:J)</f>
        <v>2024-08-13</v>
      </c>
      <c r="N420" s="39" t="str">
        <f ca="1">IF(DATEDIF(M420,TODAY(),"m")&lt;6,"新品","老品")</f>
        <v>老品</v>
      </c>
      <c r="O420" s="37">
        <f>_xlfn.XLOOKUP(F420,'6月库存'!A:A,'6月库存'!R:R)</f>
        <v>2</v>
      </c>
      <c r="P420" s="39">
        <f>_xlfn.XLOOKUP(F420,'6月产品包'!B:B,'6月产品包'!S:S)</f>
        <v>380</v>
      </c>
      <c r="Q420" s="39"/>
      <c r="R420" s="41">
        <f>_xlfn.XLOOKUP(F420,'6月产品包'!B:B,'6月产品包'!AD:AD)</f>
        <v>38.338</v>
      </c>
      <c r="S420" s="39">
        <v>59</v>
      </c>
      <c r="T420" s="39">
        <f t="shared" si="165"/>
        <v>74</v>
      </c>
      <c r="U420" s="42">
        <f t="shared" si="155"/>
        <v>59.2</v>
      </c>
      <c r="V420" s="43">
        <v>0.2</v>
      </c>
      <c r="W420" s="44">
        <f t="shared" si="166"/>
        <v>0.352398648648649</v>
      </c>
      <c r="X420" s="44">
        <f t="shared" si="167"/>
        <v>0.129425763438516</v>
      </c>
      <c r="Y420" s="44">
        <v>0.038</v>
      </c>
      <c r="Z420" s="46">
        <v>0.1</v>
      </c>
      <c r="AA420" s="46">
        <v>0.049</v>
      </c>
      <c r="AB420" s="46">
        <f t="shared" si="168"/>
        <v>0.00912162162162162</v>
      </c>
      <c r="AC420" s="46">
        <v>0.06</v>
      </c>
      <c r="AD420" s="47"/>
      <c r="AF420" s="48" t="s">
        <v>114</v>
      </c>
      <c r="AG420" s="39">
        <f t="shared" si="156"/>
        <v>3.552</v>
      </c>
      <c r="AH420" s="39">
        <f t="shared" si="157"/>
        <v>3.552</v>
      </c>
      <c r="AI420" s="39">
        <f t="shared" si="158"/>
        <v>0</v>
      </c>
      <c r="AJ420" s="39">
        <f t="shared" si="162"/>
        <v>0</v>
      </c>
      <c r="AK420" s="39">
        <f t="shared" si="163"/>
        <v>0</v>
      </c>
      <c r="AL420" s="39">
        <f t="shared" si="159"/>
        <v>0</v>
      </c>
      <c r="AM420" s="39">
        <f t="shared" si="160"/>
        <v>0</v>
      </c>
      <c r="AN420" s="39">
        <f t="shared" si="161"/>
        <v>0</v>
      </c>
    </row>
    <row r="421" s="6" customFormat="1" ht="50" hidden="1" customHeight="1" spans="1:40">
      <c r="A421" s="37" t="s">
        <v>108</v>
      </c>
      <c r="B421" s="37" t="s">
        <v>146</v>
      </c>
      <c r="C421" s="37" t="str">
        <f>_xlfn.XLOOKUP(F421,'6月产品包'!B:B,'6月产品包'!H:H)</f>
        <v>电子鼓</v>
      </c>
      <c r="D421" s="38" t="str">
        <f>_xlfn.XLOOKUP(F421,'6月产品包'!B:B,'6月产品包'!O:O)</f>
        <v>电子架子鼓</v>
      </c>
      <c r="E421" s="38" t="s">
        <v>808</v>
      </c>
      <c r="F421" s="39" t="s">
        <v>809</v>
      </c>
      <c r="G421" s="39" t="s">
        <v>106</v>
      </c>
      <c r="H421" s="37" t="s">
        <v>101</v>
      </c>
      <c r="I421" s="37" t="str">
        <f>_xlfn.XLOOKUP($F421,'6月库存'!A:A,'6月库存'!B:B)</f>
        <v>正常销售</v>
      </c>
      <c r="J421" s="12">
        <v>30</v>
      </c>
      <c r="K421" s="39" t="e">
        <f>_xlfn.XLOOKUP(E421,'[1]6月分配 '!$B:$B,'[1]6月分配 '!$K:$K)</f>
        <v>#N/A</v>
      </c>
      <c r="L421" s="12" t="str">
        <f t="shared" si="164"/>
        <v>否</v>
      </c>
      <c r="M421" s="40" t="str">
        <f>_xlfn.XLOOKUP(F421,'6月产品包'!B:B,'6月产品包'!J:J)</f>
        <v>2025-10-09</v>
      </c>
      <c r="N421" s="37" t="s">
        <v>149</v>
      </c>
      <c r="O421" s="37">
        <f>_xlfn.XLOOKUP(F421,'6月库存'!A:A,'6月库存'!R:R)</f>
        <v>12</v>
      </c>
      <c r="P421" s="39">
        <f>_xlfn.XLOOKUP(F421,'6月产品包'!B:B,'6月产品包'!S:S)</f>
        <v>10000</v>
      </c>
      <c r="Q421" s="39"/>
      <c r="R421" s="41">
        <f>_xlfn.XLOOKUP(F421,'6月产品包'!B:B,'6月产品包'!AD:AD)</f>
        <v>343.5804</v>
      </c>
      <c r="S421" s="39">
        <v>725</v>
      </c>
      <c r="T421" s="39">
        <f t="shared" si="165"/>
        <v>906</v>
      </c>
      <c r="U421" s="42">
        <f t="shared" si="155"/>
        <v>724.8</v>
      </c>
      <c r="V421" s="43">
        <v>0.2</v>
      </c>
      <c r="W421" s="44">
        <f t="shared" si="166"/>
        <v>0.52596523178808</v>
      </c>
      <c r="X421" s="44">
        <f t="shared" si="167"/>
        <v>0.369848270762079</v>
      </c>
      <c r="Y421" s="44">
        <v>0.038</v>
      </c>
      <c r="Z421" s="46">
        <v>0.1</v>
      </c>
      <c r="AA421" s="46">
        <v>0.049</v>
      </c>
      <c r="AB421" s="46">
        <f t="shared" si="168"/>
        <v>0.000745033112582781</v>
      </c>
      <c r="AC421" s="46">
        <v>0.06</v>
      </c>
      <c r="AD421" s="49"/>
      <c r="AF421" s="48" t="s">
        <v>102</v>
      </c>
      <c r="AG421" s="39">
        <f t="shared" si="156"/>
        <v>60.8832</v>
      </c>
      <c r="AH421" s="39">
        <f t="shared" si="157"/>
        <v>6</v>
      </c>
      <c r="AI421" s="39">
        <f t="shared" si="158"/>
        <v>21</v>
      </c>
      <c r="AJ421" s="39">
        <f t="shared" si="162"/>
        <v>60.8832</v>
      </c>
      <c r="AK421" s="39">
        <f t="shared" si="163"/>
        <v>54.36</v>
      </c>
      <c r="AL421" s="39">
        <f t="shared" si="159"/>
        <v>47.8368</v>
      </c>
      <c r="AM421" s="39">
        <f t="shared" si="160"/>
        <v>36</v>
      </c>
      <c r="AN421" s="39">
        <f t="shared" si="161"/>
        <v>18</v>
      </c>
    </row>
    <row r="422" s="6" customFormat="1" ht="50" hidden="1" customHeight="1" spans="1:40">
      <c r="A422" s="39" t="s">
        <v>108</v>
      </c>
      <c r="B422" s="39" t="s">
        <v>146</v>
      </c>
      <c r="C422" s="37" t="str">
        <f>_xlfn.XLOOKUP(F422,'6月产品包'!B:B,'6月产品包'!H:H)</f>
        <v>手卷鼓</v>
      </c>
      <c r="D422" s="38" t="str">
        <f>_xlfn.XLOOKUP(F422,'6月产品包'!B:B,'6月产品包'!O:O)</f>
        <v>手卷电子鼓</v>
      </c>
      <c r="E422" s="38" t="s">
        <v>810</v>
      </c>
      <c r="F422" s="39" t="s">
        <v>811</v>
      </c>
      <c r="G422" s="39" t="s">
        <v>106</v>
      </c>
      <c r="H422" s="39" t="s">
        <v>101</v>
      </c>
      <c r="I422" s="37" t="s">
        <v>812</v>
      </c>
      <c r="J422" s="12"/>
      <c r="K422" s="39" t="e">
        <f>_xlfn.XLOOKUP(E422,'[1]6月分配 '!$B:$B,'[1]6月分配 '!$K:$K)</f>
        <v>#N/A</v>
      </c>
      <c r="L422" s="12" t="s">
        <v>813</v>
      </c>
      <c r="M422" s="40" t="str">
        <f>_xlfn.XLOOKUP(F422,'6月产品包'!B:B,'6月产品包'!J:J)</f>
        <v>2026-03-30</v>
      </c>
      <c r="N422" s="39" t="s">
        <v>149</v>
      </c>
      <c r="O422" s="37">
        <v>0</v>
      </c>
      <c r="P422" s="39">
        <f>_xlfn.XLOOKUP(F422,'6月产品包'!B:B,'6月产品包'!S:S)</f>
        <v>1360</v>
      </c>
      <c r="Q422" s="56"/>
      <c r="R422" s="41">
        <f>_xlfn.XLOOKUP(F422,'6月产品包'!B:B,'6月产品包'!AD:AD)</f>
        <v>89.3548</v>
      </c>
      <c r="S422" s="39">
        <v>175</v>
      </c>
      <c r="T422" s="39">
        <v>219</v>
      </c>
      <c r="U422" s="42">
        <f t="shared" si="155"/>
        <v>175.2</v>
      </c>
      <c r="V422" s="43">
        <v>0.2</v>
      </c>
      <c r="W422" s="44">
        <v>0.49</v>
      </c>
      <c r="X422" s="44">
        <v>0.315</v>
      </c>
      <c r="Y422" s="44">
        <v>0.038</v>
      </c>
      <c r="Z422" s="46">
        <v>0.105</v>
      </c>
      <c r="AA422" s="46">
        <v>0.049</v>
      </c>
      <c r="AB422" s="46">
        <v>0.003</v>
      </c>
      <c r="AC422" s="46">
        <v>0.06</v>
      </c>
      <c r="AD422" s="11"/>
      <c r="AF422" s="48" t="s">
        <v>102</v>
      </c>
      <c r="AG422" s="39">
        <f t="shared" si="156"/>
        <v>6</v>
      </c>
      <c r="AH422" s="39">
        <f t="shared" si="157"/>
        <v>6</v>
      </c>
      <c r="AI422" s="39">
        <f t="shared" si="158"/>
        <v>0</v>
      </c>
      <c r="AJ422" s="39">
        <f t="shared" si="162"/>
        <v>0</v>
      </c>
      <c r="AK422" s="39">
        <f t="shared" si="163"/>
        <v>0</v>
      </c>
      <c r="AL422" s="39">
        <f t="shared" si="159"/>
        <v>0</v>
      </c>
      <c r="AM422" s="39">
        <f t="shared" si="160"/>
        <v>0</v>
      </c>
      <c r="AN422" s="39">
        <f t="shared" si="161"/>
        <v>0</v>
      </c>
    </row>
    <row r="423" s="6" customFormat="1" ht="50" hidden="1" customHeight="1" spans="1:40">
      <c r="A423" s="39" t="str">
        <f>_xlfn.XLOOKUP(F423,'6月产品包'!B:B,'6月产品包'!F:F)</f>
        <v>3C数码</v>
      </c>
      <c r="B423" s="39" t="str">
        <f>_xlfn.XLOOKUP(F423,'6月产品包'!B:B,'6月产品包'!G:G)</f>
        <v>音响乐器</v>
      </c>
      <c r="C423" s="37" t="str">
        <f>_xlfn.XLOOKUP(F423,'6月产品包'!B:B,'6月产品包'!H:H)</f>
        <v>电子鼓</v>
      </c>
      <c r="D423" s="38" t="str">
        <f>_xlfn.XLOOKUP(F423,'6月产品包'!B:B,'6月产品包'!O:O)</f>
        <v>电子架子鼓MT10L</v>
      </c>
      <c r="E423" s="38" t="str">
        <f>_xlfn.XLOOKUP(F423,'6月产品包'!B:B,'6月产品包'!C:C)</f>
        <v>3C-电子架子鼓两鼓两镲MT10L</v>
      </c>
      <c r="F423" s="39" t="s">
        <v>814</v>
      </c>
      <c r="G423" s="39" t="s">
        <v>106</v>
      </c>
      <c r="H423" s="39" t="s">
        <v>107</v>
      </c>
      <c r="I423" s="37" t="str">
        <f>_xlfn.XLOOKUP($F423,'6月库存'!A:A,'6月库存'!B:B)</f>
        <v>正常销售</v>
      </c>
      <c r="J423" s="12">
        <v>30</v>
      </c>
      <c r="K423" s="39" t="e">
        <f>_xlfn.XLOOKUP(E423,'[1]6月分配 '!$B:$B,'[1]6月分配 '!$K:$K)</f>
        <v>#N/A</v>
      </c>
      <c r="L423" s="12" t="str">
        <f t="shared" ref="L423:L428" si="169">IF(ISNUMBER(K423),"是",IF(ISNA(K423),"否",""))</f>
        <v>否</v>
      </c>
      <c r="M423" s="40" t="str">
        <f>_xlfn.XLOOKUP(F423,'6月产品包'!B:B,'6月产品包'!J:J)</f>
        <v>2026-02-26</v>
      </c>
      <c r="N423" s="39" t="s">
        <v>149</v>
      </c>
      <c r="O423" s="37">
        <f>_xlfn.XLOOKUP(F423,'6月库存'!A:A,'6月库存'!R:R)</f>
        <v>1</v>
      </c>
      <c r="P423" s="39">
        <f>_xlfn.XLOOKUP(F423,'6月产品包'!B:B,'6月产品包'!S:S)</f>
        <v>8000</v>
      </c>
      <c r="Q423" s="56"/>
      <c r="R423" s="41">
        <f>_xlfn.XLOOKUP(F423,'6月产品包'!B:B,'6月产品包'!AD:AD)</f>
        <v>214.6</v>
      </c>
      <c r="S423" s="39">
        <v>399</v>
      </c>
      <c r="T423" s="39">
        <f t="shared" ref="T423:T428" si="170">ROUND(S423*(1+0.25),0)</f>
        <v>499</v>
      </c>
      <c r="U423" s="42">
        <f t="shared" si="155"/>
        <v>399.2</v>
      </c>
      <c r="V423" s="43">
        <v>0.2</v>
      </c>
      <c r="W423" s="44">
        <f t="shared" ref="W423:W428" si="171">(U423-R423)/U423</f>
        <v>0.462424849699399</v>
      </c>
      <c r="X423" s="44">
        <f t="shared" ref="X423:X428" si="172">(U423*(1-Y423-Z423-AA423-AC423-AB423)-R423)/(U423*(1-Y423-Z423-AA423-AC423-AB423))</f>
        <v>0.280014601008651</v>
      </c>
      <c r="Y423" s="44">
        <v>0.038</v>
      </c>
      <c r="Z423" s="46">
        <v>0.105</v>
      </c>
      <c r="AA423" s="46">
        <v>0.049</v>
      </c>
      <c r="AB423" s="46">
        <f t="shared" ref="AB423:AB428" si="173">$AB$1/U423</f>
        <v>0.00135270541082164</v>
      </c>
      <c r="AC423" s="46">
        <v>0.06</v>
      </c>
      <c r="AD423" s="11"/>
      <c r="AF423" s="48" t="s">
        <v>102</v>
      </c>
      <c r="AG423" s="39">
        <f t="shared" si="156"/>
        <v>33.5328</v>
      </c>
      <c r="AH423" s="39">
        <f t="shared" si="157"/>
        <v>6</v>
      </c>
      <c r="AI423" s="39">
        <f t="shared" si="158"/>
        <v>21</v>
      </c>
      <c r="AJ423" s="39">
        <f t="shared" si="162"/>
        <v>33.5328</v>
      </c>
      <c r="AK423" s="39">
        <f t="shared" si="163"/>
        <v>29.94</v>
      </c>
      <c r="AL423" s="39">
        <f t="shared" si="159"/>
        <v>26.3472</v>
      </c>
      <c r="AM423" s="39">
        <f t="shared" si="160"/>
        <v>21.5568</v>
      </c>
      <c r="AN423" s="39">
        <f t="shared" si="161"/>
        <v>17.964</v>
      </c>
    </row>
    <row r="424" ht="50" hidden="1" customHeight="1" spans="1:40">
      <c r="A424" s="39" t="str">
        <f>_xlfn.XLOOKUP(F424,'6月产品包'!B:B,'6月产品包'!F:F)</f>
        <v>3C数码</v>
      </c>
      <c r="B424" s="39" t="str">
        <f>_xlfn.XLOOKUP(F424,'6月产品包'!B:B,'6月产品包'!G:G)</f>
        <v>音响乐器</v>
      </c>
      <c r="C424" s="37" t="str">
        <f>_xlfn.XLOOKUP(F424,'6月产品包'!B:B,'6月产品包'!H:H)</f>
        <v>节拍器</v>
      </c>
      <c r="D424" s="38" t="str">
        <f>_xlfn.XLOOKUP(F424,'6月产品包'!B:B,'6月产品包'!O:O)</f>
        <v>机械节拍器</v>
      </c>
      <c r="E424" s="38" t="str">
        <f>_xlfn.XLOOKUP(F424,'6月产品包'!B:B,'6月产品包'!C:C)</f>
        <v>3C-乐器机械节拍器</v>
      </c>
      <c r="F424" s="39" t="s">
        <v>815</v>
      </c>
      <c r="G424" s="39" t="s">
        <v>106</v>
      </c>
      <c r="H424" s="49" t="s">
        <v>101</v>
      </c>
      <c r="I424" s="37" t="str">
        <f>_xlfn.XLOOKUP($F424,'6月库存'!A:A,'6月库存'!B:B)</f>
        <v>正常销售</v>
      </c>
      <c r="K424" s="39" t="e">
        <f>_xlfn.XLOOKUP(E424,'[1]6月分配 '!$B:$B,'[1]6月分配 '!$K:$K)</f>
        <v>#N/A</v>
      </c>
      <c r="L424" s="12" t="str">
        <f t="shared" si="169"/>
        <v>否</v>
      </c>
      <c r="M424" s="40" t="str">
        <f>_xlfn.XLOOKUP(F424,'6月产品包'!B:B,'6月产品包'!J:J)</f>
        <v>2026-03-26</v>
      </c>
      <c r="N424" s="39" t="s">
        <v>149</v>
      </c>
      <c r="O424" s="37">
        <f>_xlfn.XLOOKUP(F424,'6月库存'!A:A,'6月库存'!R:R)</f>
        <v>0</v>
      </c>
      <c r="P424" s="39">
        <f>_xlfn.XLOOKUP(F424,'6月产品包'!B:B,'6月产品包'!S:S)</f>
        <v>615</v>
      </c>
      <c r="Q424" s="56"/>
      <c r="R424" s="41">
        <f>_xlfn.XLOOKUP(F424,'6月产品包'!B:B,'6月产品包'!AD:AD)</f>
        <v>25.8274</v>
      </c>
      <c r="S424" s="39">
        <v>50</v>
      </c>
      <c r="T424" s="39">
        <f t="shared" si="170"/>
        <v>63</v>
      </c>
      <c r="U424" s="42">
        <f t="shared" si="155"/>
        <v>50.4</v>
      </c>
      <c r="V424" s="43">
        <v>0.2</v>
      </c>
      <c r="W424" s="44">
        <f t="shared" si="171"/>
        <v>0.487551587301587</v>
      </c>
      <c r="X424" s="44">
        <f t="shared" si="172"/>
        <v>0.304952743869621</v>
      </c>
      <c r="Y424" s="44">
        <v>0.038</v>
      </c>
      <c r="Z424" s="46">
        <v>0.105</v>
      </c>
      <c r="AA424" s="46">
        <v>0.049</v>
      </c>
      <c r="AB424" s="46">
        <f t="shared" si="173"/>
        <v>0.0107142857142857</v>
      </c>
      <c r="AC424" s="46">
        <v>0.06</v>
      </c>
      <c r="AF424" s="48" t="s">
        <v>102</v>
      </c>
      <c r="AG424" s="39">
        <f t="shared" si="156"/>
        <v>3.024</v>
      </c>
      <c r="AH424" s="39">
        <f t="shared" si="157"/>
        <v>3.024</v>
      </c>
      <c r="AI424" s="39">
        <f t="shared" si="158"/>
        <v>0</v>
      </c>
      <c r="AJ424" s="39">
        <f t="shared" si="162"/>
        <v>0</v>
      </c>
      <c r="AK424" s="39">
        <f t="shared" si="163"/>
        <v>0</v>
      </c>
      <c r="AL424" s="39">
        <f t="shared" si="159"/>
        <v>0</v>
      </c>
      <c r="AM424" s="39">
        <f t="shared" si="160"/>
        <v>0</v>
      </c>
      <c r="AN424" s="39">
        <f t="shared" si="161"/>
        <v>0</v>
      </c>
    </row>
    <row r="425" s="6" customFormat="1" ht="50" hidden="1" customHeight="1" spans="1:40">
      <c r="A425" s="37" t="s">
        <v>96</v>
      </c>
      <c r="B425" s="37" t="s">
        <v>97</v>
      </c>
      <c r="C425" s="37" t="str">
        <f>_xlfn.XLOOKUP(F425,'6月产品包'!B:B,'6月产品包'!H:H)</f>
        <v>折叠锥桶</v>
      </c>
      <c r="D425" s="38" t="str">
        <f>_xlfn.XLOOKUP(F425,'6月产品包'!B:B,'6月产品包'!O:O)</f>
        <v>折叠锥桶</v>
      </c>
      <c r="E425" s="38" t="s">
        <v>816</v>
      </c>
      <c r="F425" s="37" t="s">
        <v>817</v>
      </c>
      <c r="G425" s="39" t="s">
        <v>126</v>
      </c>
      <c r="H425" s="37" t="s">
        <v>101</v>
      </c>
      <c r="I425" s="37" t="str">
        <f>_xlfn.XLOOKUP($F425,'6月库存'!A:A,'6月库存'!B:B)</f>
        <v>正常销售</v>
      </c>
      <c r="J425" s="12"/>
      <c r="K425" s="39">
        <f>_xlfn.XLOOKUP(E425,'[1]6月分配 '!$B:$B,'[1]6月分配 '!$K:$K)</f>
        <v>197</v>
      </c>
      <c r="L425" s="12" t="str">
        <f t="shared" si="169"/>
        <v>是</v>
      </c>
      <c r="M425" s="40" t="str">
        <f>_xlfn.XLOOKUP(F425,'6月产品包'!B:B,'6月产品包'!J:J)</f>
        <v>2025-07-03</v>
      </c>
      <c r="N425" s="39" t="str">
        <f ca="1">IF(DATEDIF(M425,TODAY(),"m")&lt;6,"新品","老品")</f>
        <v>老品</v>
      </c>
      <c r="O425" s="37">
        <f>_xlfn.XLOOKUP(F425,'6月库存'!A:A,'6月库存'!R:R)</f>
        <v>20</v>
      </c>
      <c r="P425" s="39">
        <f>_xlfn.XLOOKUP(F425,'6月产品包'!B:B,'6月产品包'!S:S)</f>
        <v>8000</v>
      </c>
      <c r="Q425" s="39"/>
      <c r="R425" s="41">
        <f>_xlfn.XLOOKUP(F425,'6月产品包'!B:B,'6月产品包'!AD:AD)</f>
        <v>12.6962</v>
      </c>
      <c r="S425" s="39">
        <v>22</v>
      </c>
      <c r="T425" s="39">
        <f t="shared" si="170"/>
        <v>28</v>
      </c>
      <c r="U425" s="42">
        <f t="shared" si="155"/>
        <v>22.4</v>
      </c>
      <c r="V425" s="43">
        <v>0.2</v>
      </c>
      <c r="W425" s="44">
        <f t="shared" si="171"/>
        <v>0.433205357142857</v>
      </c>
      <c r="X425" s="44">
        <f t="shared" si="172"/>
        <v>0.222389632025087</v>
      </c>
      <c r="Y425" s="44">
        <v>0.038</v>
      </c>
      <c r="Z425" s="46">
        <v>0.1</v>
      </c>
      <c r="AA425" s="46">
        <v>0.049</v>
      </c>
      <c r="AB425" s="46">
        <f t="shared" si="173"/>
        <v>0.0241071428571429</v>
      </c>
      <c r="AC425" s="46">
        <v>0.06</v>
      </c>
      <c r="AD425" s="47"/>
      <c r="AE425" s="6"/>
      <c r="AF425" s="55" t="s">
        <v>114</v>
      </c>
      <c r="AG425" s="39">
        <f t="shared" si="156"/>
        <v>0</v>
      </c>
      <c r="AH425" s="39">
        <f t="shared" si="157"/>
        <v>0</v>
      </c>
      <c r="AI425" s="39">
        <f t="shared" si="158"/>
        <v>0</v>
      </c>
      <c r="AJ425" s="39">
        <f t="shared" si="162"/>
        <v>0</v>
      </c>
      <c r="AK425" s="39">
        <f t="shared" si="163"/>
        <v>0</v>
      </c>
      <c r="AL425" s="39">
        <f t="shared" si="159"/>
        <v>0</v>
      </c>
      <c r="AM425" s="39">
        <f t="shared" si="160"/>
        <v>0</v>
      </c>
      <c r="AN425" s="39">
        <f t="shared" si="161"/>
        <v>0</v>
      </c>
    </row>
    <row r="426" ht="50" hidden="1" customHeight="1" spans="1:40">
      <c r="A426" s="39" t="str">
        <f>_xlfn.XLOOKUP(F426,'6月产品包'!B:B,'6月产品包'!F:F)</f>
        <v>3C数码</v>
      </c>
      <c r="B426" s="39" t="str">
        <f>_xlfn.XLOOKUP(F426,'6月产品包'!B:B,'6月产品包'!G:G)</f>
        <v>游戏娱乐</v>
      </c>
      <c r="C426" s="37" t="str">
        <f>_xlfn.XLOOKUP(F426,'6月产品包'!B:B,'6月产品包'!H:H)</f>
        <v>游戏手柄</v>
      </c>
      <c r="D426" s="38" t="str">
        <f>_xlfn.XLOOKUP(F426,'6月产品包'!B:B,'6月产品包'!O:O)</f>
        <v>X3S游戏手柄</v>
      </c>
      <c r="E426" s="38" t="str">
        <f>_xlfn.XLOOKUP(F426,'6月产品包'!B:B,'6月产品包'!C:C)</f>
        <v>3C-X3S游戏手柄带手机支架</v>
      </c>
      <c r="F426" s="39" t="s">
        <v>818</v>
      </c>
      <c r="G426" s="39" t="s">
        <v>106</v>
      </c>
      <c r="H426" s="39" t="s">
        <v>107</v>
      </c>
      <c r="I426" s="37" t="str">
        <f>_xlfn.XLOOKUP($F426,'6月库存'!A:A,'6月库存'!B:B)</f>
        <v>等待开发</v>
      </c>
      <c r="K426" s="39" t="e">
        <f>_xlfn.XLOOKUP(E426,'[1]6月分配 '!$B:$B,'[1]6月分配 '!$K:$K)</f>
        <v>#N/A</v>
      </c>
      <c r="L426" s="12" t="str">
        <f t="shared" si="169"/>
        <v>否</v>
      </c>
      <c r="M426" s="40" t="str">
        <f>_xlfn.XLOOKUP(F426,'6月产品包'!B:B,'6月产品包'!J:J)</f>
        <v>2026-03-30</v>
      </c>
      <c r="N426" s="39" t="s">
        <v>149</v>
      </c>
      <c r="O426" s="37">
        <f>_xlfn.XLOOKUP(F426,'6月库存'!A:A,'6月库存'!R:R)</f>
        <v>0</v>
      </c>
      <c r="P426" s="39">
        <f>_xlfn.XLOOKUP(F426,'6月产品包'!B:B,'6月产品包'!S:S)</f>
        <v>230</v>
      </c>
      <c r="Q426" s="56"/>
      <c r="R426" s="41">
        <f>_xlfn.XLOOKUP(F426,'6月产品包'!B:B,'6月产品包'!AD:AD)</f>
        <v>13.8156</v>
      </c>
      <c r="S426" s="39">
        <v>28</v>
      </c>
      <c r="T426" s="39">
        <f t="shared" si="170"/>
        <v>35</v>
      </c>
      <c r="U426" s="42">
        <f t="shared" si="155"/>
        <v>28</v>
      </c>
      <c r="V426" s="43">
        <v>0.2</v>
      </c>
      <c r="W426" s="44">
        <f t="shared" si="171"/>
        <v>0.506585714285714</v>
      </c>
      <c r="X426" s="44">
        <f t="shared" si="172"/>
        <v>0.318219502566127</v>
      </c>
      <c r="Y426" s="44">
        <v>0.038</v>
      </c>
      <c r="Z426" s="46">
        <v>0.09</v>
      </c>
      <c r="AA426" s="46">
        <v>0.049</v>
      </c>
      <c r="AB426" s="46">
        <f t="shared" si="173"/>
        <v>0.0192857142857143</v>
      </c>
      <c r="AC426" s="46">
        <v>0.08</v>
      </c>
      <c r="AD426" s="50">
        <v>0.08</v>
      </c>
      <c r="AE426" s="58">
        <v>0.05</v>
      </c>
      <c r="AF426" s="48" t="s">
        <v>102</v>
      </c>
      <c r="AG426" s="39">
        <f t="shared" si="156"/>
        <v>0</v>
      </c>
      <c r="AH426" s="39">
        <f t="shared" si="157"/>
        <v>0</v>
      </c>
      <c r="AI426" s="39">
        <f t="shared" si="158"/>
        <v>0</v>
      </c>
      <c r="AJ426" s="39">
        <f t="shared" si="162"/>
        <v>0</v>
      </c>
      <c r="AK426" s="39">
        <f t="shared" si="163"/>
        <v>0</v>
      </c>
      <c r="AL426" s="39">
        <f t="shared" si="159"/>
        <v>0</v>
      </c>
      <c r="AM426" s="39">
        <f t="shared" si="160"/>
        <v>0</v>
      </c>
      <c r="AN426" s="39">
        <f t="shared" si="161"/>
        <v>0</v>
      </c>
    </row>
    <row r="427" s="6" customFormat="1" ht="50" hidden="1" customHeight="1" spans="1:40">
      <c r="A427" s="37" t="s">
        <v>108</v>
      </c>
      <c r="B427" s="37" t="s">
        <v>278</v>
      </c>
      <c r="C427" s="37" t="str">
        <f>_xlfn.XLOOKUP(F427,'6月产品包'!B:B,'6月产品包'!H:H)</f>
        <v>游戏手柄</v>
      </c>
      <c r="D427" s="38" t="str">
        <f>_xlfn.XLOOKUP(F427,'6月产品包'!B:B,'6月产品包'!O:O)</f>
        <v>360游戏手柄</v>
      </c>
      <c r="E427" s="38" t="s">
        <v>819</v>
      </c>
      <c r="F427" s="39" t="s">
        <v>820</v>
      </c>
      <c r="G427" s="39" t="s">
        <v>126</v>
      </c>
      <c r="H427" s="37" t="s">
        <v>107</v>
      </c>
      <c r="I427" s="37" t="str">
        <f>_xlfn.XLOOKUP($F427,'6月库存'!A:A,'6月库存'!B:B)</f>
        <v>正常销售</v>
      </c>
      <c r="J427" s="12"/>
      <c r="K427" s="39" t="e">
        <f>_xlfn.XLOOKUP(E427,'[1]6月分配 '!$B:$B,'[1]6月分配 '!$K:$K)</f>
        <v>#N/A</v>
      </c>
      <c r="L427" s="12" t="str">
        <f t="shared" si="169"/>
        <v>否</v>
      </c>
      <c r="M427" s="40" t="str">
        <f>_xlfn.XLOOKUP(F427,'6月产品包'!B:B,'6月产品包'!J:J)</f>
        <v>2024-09-01</v>
      </c>
      <c r="N427" s="39" t="s">
        <v>155</v>
      </c>
      <c r="O427" s="37">
        <f>_xlfn.XLOOKUP(F427,'6月库存'!A:A,'6月库存'!R:R)</f>
        <v>216</v>
      </c>
      <c r="P427" s="39">
        <f>_xlfn.XLOOKUP(F427,'6月产品包'!B:B,'6月产品包'!S:S)</f>
        <v>285</v>
      </c>
      <c r="Q427" s="39"/>
      <c r="R427" s="41">
        <f>_xlfn.XLOOKUP(F427,'6月产品包'!B:B,'6月产品包'!AD:AD)</f>
        <v>11.0548</v>
      </c>
      <c r="S427" s="39">
        <v>20.5</v>
      </c>
      <c r="T427" s="39">
        <f t="shared" si="170"/>
        <v>26</v>
      </c>
      <c r="U427" s="42">
        <f t="shared" si="155"/>
        <v>20.8</v>
      </c>
      <c r="V427" s="43">
        <v>0.2</v>
      </c>
      <c r="W427" s="44">
        <f t="shared" si="171"/>
        <v>0.468519230769231</v>
      </c>
      <c r="X427" s="44">
        <f t="shared" si="172"/>
        <v>0.258783457598026</v>
      </c>
      <c r="Y427" s="44">
        <v>0.038</v>
      </c>
      <c r="Z427" s="46">
        <v>0.09</v>
      </c>
      <c r="AA427" s="46">
        <v>0.049</v>
      </c>
      <c r="AB427" s="46">
        <f t="shared" si="173"/>
        <v>0.0259615384615385</v>
      </c>
      <c r="AC427" s="46">
        <v>0.08</v>
      </c>
      <c r="AD427" s="50">
        <v>0.06</v>
      </c>
      <c r="AE427" s="50">
        <v>0.03</v>
      </c>
      <c r="AF427" s="48" t="s">
        <v>102</v>
      </c>
      <c r="AG427" s="39">
        <f t="shared" si="156"/>
        <v>0</v>
      </c>
      <c r="AH427" s="39">
        <f t="shared" si="157"/>
        <v>0</v>
      </c>
      <c r="AI427" s="39">
        <f t="shared" si="158"/>
        <v>0</v>
      </c>
      <c r="AJ427" s="39">
        <f t="shared" si="162"/>
        <v>0</v>
      </c>
      <c r="AK427" s="39">
        <f t="shared" si="163"/>
        <v>0</v>
      </c>
      <c r="AL427" s="39">
        <f t="shared" si="159"/>
        <v>0</v>
      </c>
      <c r="AM427" s="39">
        <f t="shared" si="160"/>
        <v>0</v>
      </c>
      <c r="AN427" s="39">
        <f t="shared" si="161"/>
        <v>0</v>
      </c>
    </row>
    <row r="428" s="6" customFormat="1" ht="50" hidden="1" customHeight="1" spans="1:40">
      <c r="A428" s="37" t="s">
        <v>108</v>
      </c>
      <c r="B428" s="37" t="s">
        <v>278</v>
      </c>
      <c r="C428" s="37" t="str">
        <f>_xlfn.XLOOKUP(F428,'6月产品包'!B:B,'6月产品包'!H:H)</f>
        <v>游戏手柄</v>
      </c>
      <c r="D428" s="38" t="str">
        <f>_xlfn.XLOOKUP(F428,'6月产品包'!B:B,'6月产品包'!O:O)</f>
        <v>360游戏手柄</v>
      </c>
      <c r="E428" s="38" t="s">
        <v>821</v>
      </c>
      <c r="F428" s="39" t="s">
        <v>822</v>
      </c>
      <c r="G428" s="39" t="s">
        <v>126</v>
      </c>
      <c r="H428" s="37" t="s">
        <v>107</v>
      </c>
      <c r="I428" s="37" t="str">
        <f>_xlfn.XLOOKUP($F428,'6月库存'!A:A,'6月库存'!B:B)</f>
        <v>正常销售</v>
      </c>
      <c r="J428" s="12"/>
      <c r="K428" s="39" t="e">
        <f>_xlfn.XLOOKUP(E428,'[1]6月分配 '!$B:$B,'[1]6月分配 '!$K:$K)</f>
        <v>#N/A</v>
      </c>
      <c r="L428" s="12" t="str">
        <f t="shared" si="169"/>
        <v>否</v>
      </c>
      <c r="M428" s="40" t="str">
        <f>_xlfn.XLOOKUP(F428,'6月产品包'!B:B,'6月产品包'!J:J)</f>
        <v>2023-10-07</v>
      </c>
      <c r="N428" s="39" t="s">
        <v>155</v>
      </c>
      <c r="O428" s="37">
        <f>_xlfn.XLOOKUP(F428,'6月库存'!A:A,'6月库存'!R:R)</f>
        <v>356</v>
      </c>
      <c r="P428" s="39">
        <f>_xlfn.XLOOKUP(F428,'6月产品包'!B:B,'6月产品包'!S:S)</f>
        <v>300</v>
      </c>
      <c r="Q428" s="39"/>
      <c r="R428" s="41">
        <f>_xlfn.XLOOKUP(F428,'6月产品包'!B:B,'6月产品包'!AD:AD)</f>
        <v>10.7648</v>
      </c>
      <c r="S428" s="39">
        <v>20.5</v>
      </c>
      <c r="T428" s="39">
        <f t="shared" si="170"/>
        <v>26</v>
      </c>
      <c r="U428" s="42">
        <f t="shared" si="155"/>
        <v>20.8</v>
      </c>
      <c r="V428" s="43">
        <v>0.2</v>
      </c>
      <c r="W428" s="44">
        <f t="shared" si="171"/>
        <v>0.482461538461538</v>
      </c>
      <c r="X428" s="44">
        <f t="shared" si="172"/>
        <v>0.278227753044038</v>
      </c>
      <c r="Y428" s="44">
        <v>0.038</v>
      </c>
      <c r="Z428" s="46">
        <v>0.09</v>
      </c>
      <c r="AA428" s="46">
        <v>0.049</v>
      </c>
      <c r="AB428" s="46">
        <f t="shared" si="173"/>
        <v>0.0259615384615385</v>
      </c>
      <c r="AC428" s="46">
        <v>0.08</v>
      </c>
      <c r="AD428" s="50">
        <v>0.06</v>
      </c>
      <c r="AE428" s="50">
        <v>0.03</v>
      </c>
      <c r="AF428" s="48" t="s">
        <v>102</v>
      </c>
      <c r="AG428" s="39">
        <f t="shared" si="156"/>
        <v>0</v>
      </c>
      <c r="AH428" s="39">
        <f t="shared" si="157"/>
        <v>0</v>
      </c>
      <c r="AI428" s="39">
        <f t="shared" si="158"/>
        <v>0</v>
      </c>
      <c r="AJ428" s="39">
        <f t="shared" si="162"/>
        <v>0</v>
      </c>
      <c r="AK428" s="39">
        <f t="shared" si="163"/>
        <v>0</v>
      </c>
      <c r="AL428" s="39">
        <f t="shared" si="159"/>
        <v>0</v>
      </c>
      <c r="AM428" s="39">
        <f t="shared" si="160"/>
        <v>0</v>
      </c>
      <c r="AN428" s="39">
        <f t="shared" si="161"/>
        <v>0</v>
      </c>
    </row>
    <row r="429" s="6" customFormat="1" ht="50" hidden="1" customHeight="1" spans="1:40">
      <c r="A429" s="39" t="str">
        <f>_xlfn.XLOOKUP(F429,'6月产品包'!B:B,'6月产品包'!F:F)</f>
        <v>3C数码</v>
      </c>
      <c r="B429" s="39" t="str">
        <f>_xlfn.XLOOKUP(F429,'6月产品包'!B:B,'6月产品包'!G:G)</f>
        <v>游戏娱乐</v>
      </c>
      <c r="C429" s="37" t="str">
        <f>_xlfn.XLOOKUP(F429,'6月产品包'!B:B,'6月产品包'!H:H)</f>
        <v>游戏手柄</v>
      </c>
      <c r="D429" s="38" t="str">
        <f>_xlfn.XLOOKUP(F429,'6月产品包'!B:B,'6月产品包'!O:O)</f>
        <v>有线游戏透明手柄2039XRG</v>
      </c>
      <c r="E429" s="38" t="s">
        <v>823</v>
      </c>
      <c r="F429" s="39" t="s">
        <v>824</v>
      </c>
      <c r="G429" s="39" t="s">
        <v>106</v>
      </c>
      <c r="H429" s="37" t="s">
        <v>107</v>
      </c>
      <c r="I429" s="37" t="s">
        <v>812</v>
      </c>
      <c r="J429" s="12"/>
      <c r="K429" s="39" t="e">
        <f>_xlfn.XLOOKUP(E429,'[1]6月分配 '!$B:$B,'[1]6月分配 '!$K:$K)</f>
        <v>#N/A</v>
      </c>
      <c r="L429" s="12" t="s">
        <v>813</v>
      </c>
      <c r="M429" s="40" t="str">
        <f>_xlfn.XLOOKUP(F429,'6月产品包'!B:B,'6月产品包'!J:J)</f>
        <v>2026-04-07</v>
      </c>
      <c r="N429" s="39" t="s">
        <v>149</v>
      </c>
      <c r="O429" s="37">
        <v>0</v>
      </c>
      <c r="P429" s="39">
        <f>_xlfn.XLOOKUP(F429,'6月产品包'!B:B,'6月产品包'!S:S)</f>
        <v>304</v>
      </c>
      <c r="Q429" s="39"/>
      <c r="R429" s="41">
        <f>_xlfn.XLOOKUP(F429,'6月产品包'!B:B,'6月产品包'!AD:AD)</f>
        <v>23.1536</v>
      </c>
      <c r="S429" s="39">
        <v>49</v>
      </c>
      <c r="T429" s="39">
        <v>60</v>
      </c>
      <c r="U429" s="42">
        <f t="shared" si="155"/>
        <v>48</v>
      </c>
      <c r="V429" s="43">
        <v>0.2</v>
      </c>
      <c r="W429" s="44">
        <v>0.518</v>
      </c>
      <c r="X429" s="44">
        <v>0.341</v>
      </c>
      <c r="Y429" s="44">
        <v>0.038</v>
      </c>
      <c r="Z429" s="46">
        <v>0.09</v>
      </c>
      <c r="AA429" s="46">
        <v>0.049</v>
      </c>
      <c r="AB429" s="46">
        <v>0.011</v>
      </c>
      <c r="AC429" s="46">
        <v>0.08</v>
      </c>
      <c r="AD429" s="50">
        <v>0.08</v>
      </c>
      <c r="AE429" s="50">
        <v>0.05</v>
      </c>
      <c r="AF429" s="48" t="s">
        <v>102</v>
      </c>
      <c r="AG429" s="39">
        <f t="shared" si="156"/>
        <v>0</v>
      </c>
      <c r="AH429" s="39">
        <f t="shared" si="157"/>
        <v>0</v>
      </c>
      <c r="AI429" s="39">
        <f t="shared" si="158"/>
        <v>0</v>
      </c>
      <c r="AJ429" s="39">
        <f t="shared" si="162"/>
        <v>0</v>
      </c>
      <c r="AK429" s="39">
        <f t="shared" si="163"/>
        <v>0</v>
      </c>
      <c r="AL429" s="39">
        <f t="shared" si="159"/>
        <v>0</v>
      </c>
      <c r="AM429" s="39">
        <f t="shared" si="160"/>
        <v>0</v>
      </c>
      <c r="AN429" s="39">
        <f t="shared" si="161"/>
        <v>0</v>
      </c>
    </row>
    <row r="430" s="6" customFormat="1" ht="50" hidden="1" customHeight="1" spans="1:40">
      <c r="A430" s="39" t="str">
        <f>_xlfn.XLOOKUP(F430,'6月产品包'!B:B,'6月产品包'!F:F)</f>
        <v>3C数码</v>
      </c>
      <c r="B430" s="39" t="str">
        <f>_xlfn.XLOOKUP(F430,'6月产品包'!B:B,'6月产品包'!G:G)</f>
        <v>游戏娱乐</v>
      </c>
      <c r="C430" s="37" t="str">
        <f>_xlfn.XLOOKUP(F430,'6月产品包'!B:B,'6月产品包'!H:H)</f>
        <v>游戏手柄</v>
      </c>
      <c r="D430" s="38" t="str">
        <f>_xlfn.XLOOKUP(F430,'6月产品包'!B:B,'6月产品包'!O:O)</f>
        <v>透明RGB无线蓝牙游戏手柄</v>
      </c>
      <c r="E430" s="38" t="s">
        <v>825</v>
      </c>
      <c r="F430" s="39" t="s">
        <v>826</v>
      </c>
      <c r="G430" s="39" t="s">
        <v>106</v>
      </c>
      <c r="H430" s="37" t="s">
        <v>107</v>
      </c>
      <c r="I430" s="37" t="str">
        <f>_xlfn.XLOOKUP($F430,'6月库存'!A:A,'6月库存'!B:B)</f>
        <v>正常销售</v>
      </c>
      <c r="J430" s="12"/>
      <c r="K430" s="39" t="e">
        <f>_xlfn.XLOOKUP(E430,'[1]6月分配 '!$B:$B,'[1]6月分配 '!$K:$K)</f>
        <v>#N/A</v>
      </c>
      <c r="L430" s="12" t="str">
        <f t="shared" ref="L430:L441" si="174">IF(ISNUMBER(K430),"是",IF(ISNA(K430),"否",""))</f>
        <v>否</v>
      </c>
      <c r="M430" s="40" t="str">
        <f>_xlfn.XLOOKUP(F430,'6月产品包'!B:B,'6月产品包'!J:J)</f>
        <v>2025-09-27</v>
      </c>
      <c r="N430" s="37" t="s">
        <v>149</v>
      </c>
      <c r="O430" s="37">
        <f>_xlfn.XLOOKUP(F430,'6月库存'!A:A,'6月库存'!R:R)</f>
        <v>1</v>
      </c>
      <c r="P430" s="39">
        <f>_xlfn.XLOOKUP(F430,'6月产品包'!B:B,'6月产品包'!S:S)</f>
        <v>425</v>
      </c>
      <c r="Q430" s="39"/>
      <c r="R430" s="41">
        <f>_xlfn.XLOOKUP(F430,'6月产品包'!B:B,'6月产品包'!AD:AD)</f>
        <v>36.3892</v>
      </c>
      <c r="S430" s="39">
        <v>72</v>
      </c>
      <c r="T430" s="39">
        <f t="shared" ref="T430:T440" si="175">ROUND(S430*(1+0.25),0)</f>
        <v>90</v>
      </c>
      <c r="U430" s="42">
        <f t="shared" si="155"/>
        <v>72</v>
      </c>
      <c r="V430" s="43">
        <v>0.2</v>
      </c>
      <c r="W430" s="44">
        <f t="shared" ref="W430:W440" si="176">(U430-R430)/U430</f>
        <v>0.494594444444444</v>
      </c>
      <c r="X430" s="44">
        <f t="shared" ref="X430:X440" si="177">(U430*(1-Y430-Z430-AA430-AC430-AB430)-R430)/(U430*(1-Y430-Z430-AA430-AC430-AB430))</f>
        <v>0.312840849006723</v>
      </c>
      <c r="Y430" s="44">
        <v>0.038</v>
      </c>
      <c r="Z430" s="46">
        <v>0.09</v>
      </c>
      <c r="AA430" s="46">
        <v>0.049</v>
      </c>
      <c r="AB430" s="46">
        <f t="shared" ref="AB430:AB462" si="178">$AB$1/U430</f>
        <v>0.0075</v>
      </c>
      <c r="AC430" s="46">
        <v>0.08</v>
      </c>
      <c r="AD430" s="50">
        <v>0.08</v>
      </c>
      <c r="AE430" s="58">
        <v>0.05</v>
      </c>
      <c r="AF430" s="48" t="s">
        <v>102</v>
      </c>
      <c r="AG430" s="39">
        <f t="shared" si="156"/>
        <v>4.32</v>
      </c>
      <c r="AH430" s="39">
        <f t="shared" si="157"/>
        <v>4.32</v>
      </c>
      <c r="AI430" s="39">
        <f t="shared" si="158"/>
        <v>0</v>
      </c>
      <c r="AJ430" s="39">
        <f t="shared" si="162"/>
        <v>0</v>
      </c>
      <c r="AK430" s="39">
        <f t="shared" si="163"/>
        <v>0</v>
      </c>
      <c r="AL430" s="39">
        <f t="shared" si="159"/>
        <v>0</v>
      </c>
      <c r="AM430" s="39">
        <f t="shared" si="160"/>
        <v>0</v>
      </c>
      <c r="AN430" s="39">
        <f t="shared" si="161"/>
        <v>0</v>
      </c>
    </row>
    <row r="431" ht="50" hidden="1" customHeight="1" spans="1:40">
      <c r="A431" s="39" t="str">
        <f>_xlfn.XLOOKUP(F431,'6月产品包'!B:B,'6月产品包'!F:F)</f>
        <v>3C数码</v>
      </c>
      <c r="B431" s="39" t="str">
        <f>_xlfn.XLOOKUP(F431,'6月产品包'!B:B,'6月产品包'!G:G)</f>
        <v>游戏娱乐</v>
      </c>
      <c r="C431" s="37" t="str">
        <f>_xlfn.XLOOKUP(F431,'6月产品包'!B:B,'6月产品包'!H:H)</f>
        <v>游戏手柄</v>
      </c>
      <c r="D431" s="38" t="str">
        <f>_xlfn.XLOOKUP(F431,'6月产品包'!B:B,'6月产品包'!O:O)</f>
        <v>透明RGB无线蓝牙游戏手柄</v>
      </c>
      <c r="E431" s="38" t="str">
        <f>_xlfn.XLOOKUP(F431,'6月产品包'!B:B,'6月产品包'!C:C)</f>
        <v>3C-透明RGB无线蓝牙游戏手柄STK7040</v>
      </c>
      <c r="F431" s="39" t="s">
        <v>827</v>
      </c>
      <c r="G431" s="39" t="s">
        <v>106</v>
      </c>
      <c r="H431" s="39" t="s">
        <v>107</v>
      </c>
      <c r="I431" s="37" t="str">
        <f>_xlfn.XLOOKUP($F431,'6月库存'!A:A,'6月库存'!B:B)</f>
        <v>等待开发</v>
      </c>
      <c r="K431" s="39" t="e">
        <f>_xlfn.XLOOKUP(E431,'[1]6月分配 '!$B:$B,'[1]6月分配 '!$K:$K)</f>
        <v>#N/A</v>
      </c>
      <c r="L431" s="12" t="str">
        <f t="shared" si="174"/>
        <v>否</v>
      </c>
      <c r="M431" s="40" t="str">
        <f>_xlfn.XLOOKUP(F431,'6月产品包'!B:B,'6月产品包'!J:J)</f>
        <v>2026-04-14</v>
      </c>
      <c r="N431" s="39" t="s">
        <v>149</v>
      </c>
      <c r="O431" s="37">
        <f>_xlfn.XLOOKUP(F431,'6月库存'!A:A,'6月库存'!R:R)</f>
        <v>0</v>
      </c>
      <c r="P431" s="39">
        <f>_xlfn.XLOOKUP(F431,'6月产品包'!B:B,'6月产品包'!S:S)</f>
        <v>425</v>
      </c>
      <c r="Q431" s="56"/>
      <c r="R431" s="41">
        <f>_xlfn.XLOOKUP(F431,'6月产品包'!B:B,'6月产品包'!AD:AD)</f>
        <v>35.3104</v>
      </c>
      <c r="S431" s="39">
        <v>72</v>
      </c>
      <c r="T431" s="39">
        <f t="shared" si="175"/>
        <v>90</v>
      </c>
      <c r="U431" s="42">
        <f t="shared" si="155"/>
        <v>72</v>
      </c>
      <c r="V431" s="43">
        <v>0.2</v>
      </c>
      <c r="W431" s="44">
        <f t="shared" si="176"/>
        <v>0.509577777777778</v>
      </c>
      <c r="X431" s="44">
        <f t="shared" si="177"/>
        <v>0.333212478283858</v>
      </c>
      <c r="Y431" s="44">
        <v>0.038</v>
      </c>
      <c r="Z431" s="46">
        <v>0.09</v>
      </c>
      <c r="AA431" s="46">
        <v>0.049</v>
      </c>
      <c r="AB431" s="46">
        <f t="shared" si="178"/>
        <v>0.0075</v>
      </c>
      <c r="AC431" s="46">
        <v>0.08</v>
      </c>
      <c r="AD431" s="50">
        <v>0.08</v>
      </c>
      <c r="AE431" s="58">
        <v>0.05</v>
      </c>
      <c r="AF431" s="48" t="s">
        <v>102</v>
      </c>
      <c r="AG431" s="39">
        <f t="shared" si="156"/>
        <v>4.32</v>
      </c>
      <c r="AH431" s="39">
        <f t="shared" si="157"/>
        <v>4.32</v>
      </c>
      <c r="AI431" s="39">
        <f t="shared" si="158"/>
        <v>0</v>
      </c>
      <c r="AJ431" s="39">
        <f t="shared" si="162"/>
        <v>0</v>
      </c>
      <c r="AK431" s="39">
        <f t="shared" si="163"/>
        <v>0</v>
      </c>
      <c r="AL431" s="39">
        <f t="shared" si="159"/>
        <v>0</v>
      </c>
      <c r="AM431" s="39">
        <f t="shared" si="160"/>
        <v>0</v>
      </c>
      <c r="AN431" s="39">
        <f t="shared" si="161"/>
        <v>0</v>
      </c>
    </row>
    <row r="432" s="6" customFormat="1" ht="50" hidden="1" customHeight="1" spans="1:40">
      <c r="A432" s="37" t="s">
        <v>96</v>
      </c>
      <c r="B432" s="37" t="s">
        <v>97</v>
      </c>
      <c r="C432" s="37" t="str">
        <f>_xlfn.XLOOKUP(F432,'6月产品包'!B:B,'6月产品包'!H:H)</f>
        <v>摄像头</v>
      </c>
      <c r="D432" s="38" t="str">
        <f>_xlfn.XLOOKUP(F432,'6月产品包'!B:B,'6月产品包'!O:O)</f>
        <v>桌面摄像头</v>
      </c>
      <c r="E432" s="38" t="s">
        <v>828</v>
      </c>
      <c r="F432" s="39" t="s">
        <v>829</v>
      </c>
      <c r="G432" s="39" t="s">
        <v>154</v>
      </c>
      <c r="H432" s="39" t="s">
        <v>107</v>
      </c>
      <c r="I432" s="37" t="str">
        <f>_xlfn.XLOOKUP($F432,'6月库存'!A:A,'6月库存'!B:B)</f>
        <v>商品清仓</v>
      </c>
      <c r="J432" s="12"/>
      <c r="K432" s="39">
        <f>_xlfn.XLOOKUP(E432,'[1]6月分配 '!$B:$B,'[1]6月分配 '!$K:$K)</f>
        <v>170</v>
      </c>
      <c r="L432" s="12" t="str">
        <f t="shared" si="174"/>
        <v>是</v>
      </c>
      <c r="M432" s="40" t="str">
        <f>_xlfn.XLOOKUP(F432,'6月产品包'!B:B,'6月产品包'!J:J)</f>
        <v>2024-02-01</v>
      </c>
      <c r="N432" s="39" t="str">
        <f ca="1">IF(DATEDIF(M432,TODAY(),"m")&lt;6,"新品","老品")</f>
        <v>老品</v>
      </c>
      <c r="O432" s="37">
        <f>_xlfn.XLOOKUP(F432,'6月库存'!A:A,'6月库存'!R:R)</f>
        <v>3</v>
      </c>
      <c r="P432" s="39">
        <f>_xlfn.XLOOKUP(F432,'6月产品包'!B:B,'6月产品包'!S:S)</f>
        <v>383</v>
      </c>
      <c r="Q432" s="39"/>
      <c r="R432" s="41">
        <f>_xlfn.XLOOKUP(F432,'6月产品包'!B:B,'6月产品包'!AD:AD)</f>
        <v>21.8718</v>
      </c>
      <c r="S432" s="39">
        <v>41</v>
      </c>
      <c r="T432" s="39">
        <f t="shared" si="175"/>
        <v>51</v>
      </c>
      <c r="U432" s="42">
        <f t="shared" si="155"/>
        <v>40.8</v>
      </c>
      <c r="V432" s="43">
        <v>0.2</v>
      </c>
      <c r="W432" s="44">
        <f t="shared" si="176"/>
        <v>0.463926470588235</v>
      </c>
      <c r="X432" s="44">
        <f t="shared" si="177"/>
        <v>0.27041469858298</v>
      </c>
      <c r="Y432" s="44">
        <v>0.038</v>
      </c>
      <c r="Z432" s="46">
        <v>0.105</v>
      </c>
      <c r="AA432" s="46">
        <v>0.049</v>
      </c>
      <c r="AB432" s="46">
        <f t="shared" si="178"/>
        <v>0.0132352941176471</v>
      </c>
      <c r="AC432" s="46">
        <v>0.06</v>
      </c>
      <c r="AD432" s="47"/>
      <c r="AE432" s="6"/>
      <c r="AF432" s="55" t="s">
        <v>114</v>
      </c>
      <c r="AG432" s="39">
        <f t="shared" si="156"/>
        <v>0</v>
      </c>
      <c r="AH432" s="39">
        <f t="shared" si="157"/>
        <v>0</v>
      </c>
      <c r="AI432" s="39">
        <f t="shared" si="158"/>
        <v>0</v>
      </c>
      <c r="AJ432" s="39">
        <f t="shared" si="162"/>
        <v>0</v>
      </c>
      <c r="AK432" s="39">
        <f t="shared" si="163"/>
        <v>0</v>
      </c>
      <c r="AL432" s="39">
        <f t="shared" si="159"/>
        <v>0</v>
      </c>
      <c r="AM432" s="39">
        <f t="shared" si="160"/>
        <v>0</v>
      </c>
      <c r="AN432" s="39">
        <f t="shared" si="161"/>
        <v>0</v>
      </c>
    </row>
    <row r="433" ht="50" hidden="1" customHeight="1" spans="1:40">
      <c r="A433" s="37" t="s">
        <v>96</v>
      </c>
      <c r="B433" s="37" t="s">
        <v>115</v>
      </c>
      <c r="C433" s="37" t="str">
        <f>_xlfn.XLOOKUP(F433,'6月产品包'!B:B,'6月产品包'!H:H)</f>
        <v>碎纸机</v>
      </c>
      <c r="D433" s="38" t="str">
        <f>_xlfn.XLOOKUP(F433,'6月产品包'!B:B,'6月产品包'!O:O)</f>
        <v>碎纸机6张段状</v>
      </c>
      <c r="E433" s="38" t="s">
        <v>830</v>
      </c>
      <c r="F433" s="39" t="s">
        <v>831</v>
      </c>
      <c r="G433" s="39" t="e">
        <v>#N/A</v>
      </c>
      <c r="H433" s="39" t="s">
        <v>101</v>
      </c>
      <c r="I433" s="37" t="str">
        <f>_xlfn.XLOOKUP($F433,'6月库存'!A:A,'6月库存'!B:B)</f>
        <v>正常销售</v>
      </c>
      <c r="K433" s="39">
        <f>_xlfn.XLOOKUP(E433,'[1]6月分配 '!$B:$B,'[1]6月分配 '!$K:$K)</f>
        <v>163</v>
      </c>
      <c r="L433" s="12" t="str">
        <f t="shared" si="174"/>
        <v>是</v>
      </c>
      <c r="M433" s="40" t="str">
        <f>_xlfn.XLOOKUP(F433,'6月产品包'!B:B,'6月产品包'!J:J)</f>
        <v>2025-12-02</v>
      </c>
      <c r="N433" s="39" t="str">
        <f ca="1">IF(DATEDIF(M433,TODAY(),"m")&lt;6,"新品","老品")</f>
        <v>老品</v>
      </c>
      <c r="O433" s="37">
        <f>_xlfn.XLOOKUP(F433,'6月库存'!A:A,'6月库存'!R:R)</f>
        <v>1</v>
      </c>
      <c r="P433" s="39">
        <f>_xlfn.XLOOKUP(F433,'6月产品包'!B:B,'6月产品包'!S:S)</f>
        <v>3800</v>
      </c>
      <c r="Q433" s="39"/>
      <c r="R433" s="41">
        <f>_xlfn.XLOOKUP(F433,'6月产品包'!B:B,'6月产品包'!AD:AD)</f>
        <v>63.1968</v>
      </c>
      <c r="S433" s="39">
        <v>121</v>
      </c>
      <c r="T433" s="39">
        <f t="shared" si="175"/>
        <v>151</v>
      </c>
      <c r="U433" s="42">
        <f t="shared" si="155"/>
        <v>120.8</v>
      </c>
      <c r="V433" s="43">
        <v>0.2</v>
      </c>
      <c r="W433" s="44">
        <f t="shared" si="176"/>
        <v>0.476847682119205</v>
      </c>
      <c r="X433" s="44">
        <f t="shared" si="177"/>
        <v>0.301093534345472</v>
      </c>
      <c r="Y433" s="44">
        <v>0.038</v>
      </c>
      <c r="Z433" s="46">
        <v>0.1</v>
      </c>
      <c r="AA433" s="46">
        <v>0.049</v>
      </c>
      <c r="AB433" s="46">
        <f t="shared" si="178"/>
        <v>0.00447019867549669</v>
      </c>
      <c r="AC433" s="46">
        <v>0.06</v>
      </c>
      <c r="AD433" s="47"/>
      <c r="AE433" s="6"/>
      <c r="AF433" s="55" t="s">
        <v>114</v>
      </c>
      <c r="AG433" s="39">
        <f t="shared" si="156"/>
        <v>6</v>
      </c>
      <c r="AH433" s="39">
        <f t="shared" si="157"/>
        <v>6</v>
      </c>
      <c r="AI433" s="39">
        <f t="shared" si="158"/>
        <v>0</v>
      </c>
      <c r="AJ433" s="39">
        <f t="shared" si="162"/>
        <v>0</v>
      </c>
      <c r="AK433" s="39">
        <f t="shared" si="163"/>
        <v>0</v>
      </c>
      <c r="AL433" s="39">
        <f t="shared" si="159"/>
        <v>0</v>
      </c>
      <c r="AM433" s="39">
        <f t="shared" si="160"/>
        <v>0</v>
      </c>
      <c r="AN433" s="39">
        <f t="shared" si="161"/>
        <v>0</v>
      </c>
    </row>
    <row r="434" s="6" customFormat="1" ht="50" hidden="1" customHeight="1" spans="1:40">
      <c r="A434" s="37" t="s">
        <v>96</v>
      </c>
      <c r="B434" s="37" t="s">
        <v>115</v>
      </c>
      <c r="C434" s="37" t="str">
        <f>_xlfn.XLOOKUP(F434,'6月产品包'!B:B,'6月产品包'!H:H)</f>
        <v>碎纸机</v>
      </c>
      <c r="D434" s="38" t="str">
        <f>_xlfn.XLOOKUP(F434,'6月产品包'!B:B,'6月产品包'!O:O)</f>
        <v>碎纸机4张段状</v>
      </c>
      <c r="E434" s="38" t="s">
        <v>832</v>
      </c>
      <c r="F434" s="39" t="s">
        <v>833</v>
      </c>
      <c r="G434" s="39" t="e">
        <v>#N/A</v>
      </c>
      <c r="H434" s="39" t="s">
        <v>101</v>
      </c>
      <c r="I434" s="37" t="str">
        <f>_xlfn.XLOOKUP($F434,'6月库存'!A:A,'6月库存'!B:B)</f>
        <v>正常销售</v>
      </c>
      <c r="J434" s="12"/>
      <c r="K434" s="39">
        <f>_xlfn.XLOOKUP(E434,'[1]6月分配 '!$B:$B,'[1]6月分配 '!$K:$K)</f>
        <v>129</v>
      </c>
      <c r="L434" s="12" t="str">
        <f t="shared" si="174"/>
        <v>是</v>
      </c>
      <c r="M434" s="40" t="str">
        <f>_xlfn.XLOOKUP(F434,'6月产品包'!B:B,'6月产品包'!J:J)</f>
        <v>2025-12-02</v>
      </c>
      <c r="N434" s="39" t="str">
        <f ca="1">IF(DATEDIF(M434,TODAY(),"m")&lt;6,"新品","老品")</f>
        <v>老品</v>
      </c>
      <c r="O434" s="37">
        <f>_xlfn.XLOOKUP(F434,'6月库存'!A:A,'6月库存'!R:R)</f>
        <v>1</v>
      </c>
      <c r="P434" s="39">
        <f>_xlfn.XLOOKUP(F434,'6月产品包'!B:B,'6月产品包'!S:S)</f>
        <v>2650</v>
      </c>
      <c r="Q434" s="39"/>
      <c r="R434" s="41">
        <f>_xlfn.XLOOKUP(F434,'6月产品包'!B:B,'6月产品包'!AD:AD)</f>
        <v>50.0424</v>
      </c>
      <c r="S434" s="39">
        <v>95</v>
      </c>
      <c r="T434" s="39">
        <f t="shared" si="175"/>
        <v>119</v>
      </c>
      <c r="U434" s="42">
        <f t="shared" si="155"/>
        <v>95.2</v>
      </c>
      <c r="V434" s="43">
        <v>0.2</v>
      </c>
      <c r="W434" s="44">
        <f t="shared" si="176"/>
        <v>0.474344537815126</v>
      </c>
      <c r="X434" s="44">
        <f t="shared" si="177"/>
        <v>0.296619889353663</v>
      </c>
      <c r="Y434" s="44">
        <v>0.038</v>
      </c>
      <c r="Z434" s="46">
        <v>0.1</v>
      </c>
      <c r="AA434" s="46">
        <v>0.049</v>
      </c>
      <c r="AB434" s="46">
        <f t="shared" si="178"/>
        <v>0.00567226890756303</v>
      </c>
      <c r="AC434" s="46">
        <v>0.06</v>
      </c>
      <c r="AD434" s="47"/>
      <c r="AE434" s="6"/>
      <c r="AF434" s="55" t="s">
        <v>114</v>
      </c>
      <c r="AG434" s="39">
        <f t="shared" si="156"/>
        <v>5.712</v>
      </c>
      <c r="AH434" s="39">
        <f t="shared" si="157"/>
        <v>5.712</v>
      </c>
      <c r="AI434" s="39">
        <f t="shared" si="158"/>
        <v>0</v>
      </c>
      <c r="AJ434" s="39">
        <f t="shared" si="162"/>
        <v>0</v>
      </c>
      <c r="AK434" s="39">
        <f t="shared" si="163"/>
        <v>0</v>
      </c>
      <c r="AL434" s="39">
        <f t="shared" si="159"/>
        <v>0</v>
      </c>
      <c r="AM434" s="39">
        <f t="shared" si="160"/>
        <v>0</v>
      </c>
      <c r="AN434" s="39">
        <f t="shared" si="161"/>
        <v>0</v>
      </c>
    </row>
    <row r="435" s="6" customFormat="1" ht="50" hidden="1" customHeight="1" spans="1:40">
      <c r="A435" s="37" t="s">
        <v>108</v>
      </c>
      <c r="B435" s="37" t="s">
        <v>146</v>
      </c>
      <c r="C435" s="37" t="str">
        <f>_xlfn.XLOOKUP(F435,'6月产品包'!B:B,'6月产品包'!H:H)</f>
        <v>音箱</v>
      </c>
      <c r="D435" s="38" t="str">
        <f>_xlfn.XLOOKUP(F435,'6月产品包'!B:B,'6月产品包'!O:O)</f>
        <v>RGB蓝牙音箱</v>
      </c>
      <c r="E435" s="38" t="s">
        <v>834</v>
      </c>
      <c r="F435" s="39" t="s">
        <v>835</v>
      </c>
      <c r="G435" s="39" t="s">
        <v>154</v>
      </c>
      <c r="H435" s="37" t="s">
        <v>107</v>
      </c>
      <c r="I435" s="37" t="str">
        <f>_xlfn.XLOOKUP($F435,'6月库存'!A:A,'6月库存'!B:B)</f>
        <v>正常销售</v>
      </c>
      <c r="J435" s="12"/>
      <c r="K435" s="39">
        <f>_xlfn.XLOOKUP(E435,'[1]6月分配 '!$B:$B,'[1]6月分配 '!$K:$K)</f>
        <v>107</v>
      </c>
      <c r="L435" s="12" t="str">
        <f t="shared" si="174"/>
        <v>是</v>
      </c>
      <c r="M435" s="40" t="str">
        <f>_xlfn.XLOOKUP(F435,'6月产品包'!B:B,'6月产品包'!J:J)</f>
        <v>2025-09-25</v>
      </c>
      <c r="N435" s="37" t="s">
        <v>149</v>
      </c>
      <c r="O435" s="37">
        <f>_xlfn.XLOOKUP(F435,'6月库存'!A:A,'6月库存'!R:R)</f>
        <v>1</v>
      </c>
      <c r="P435" s="39">
        <f>_xlfn.XLOOKUP(F435,'6月产品包'!B:B,'6月产品包'!S:S)</f>
        <v>900</v>
      </c>
      <c r="Q435" s="39"/>
      <c r="R435" s="41">
        <f>_xlfn.XLOOKUP(F435,'6月产品包'!B:B,'6月产品包'!AD:AD)</f>
        <v>41.3134</v>
      </c>
      <c r="S435" s="39">
        <v>81</v>
      </c>
      <c r="T435" s="39">
        <f t="shared" si="175"/>
        <v>101</v>
      </c>
      <c r="U435" s="42">
        <f t="shared" si="155"/>
        <v>80.8</v>
      </c>
      <c r="V435" s="43">
        <v>0.2</v>
      </c>
      <c r="W435" s="44">
        <f t="shared" si="176"/>
        <v>0.488695544554456</v>
      </c>
      <c r="X435" s="44">
        <f t="shared" si="177"/>
        <v>0.300844130349431</v>
      </c>
      <c r="Y435" s="44">
        <v>0.038</v>
      </c>
      <c r="Z435" s="46">
        <v>0.115</v>
      </c>
      <c r="AA435" s="46">
        <v>0.049</v>
      </c>
      <c r="AB435" s="46">
        <f t="shared" si="178"/>
        <v>0.00668316831683168</v>
      </c>
      <c r="AC435" s="46">
        <v>0.06</v>
      </c>
      <c r="AD435" s="47"/>
      <c r="AE435" s="6"/>
      <c r="AF435" s="55" t="s">
        <v>114</v>
      </c>
      <c r="AG435" s="39">
        <f t="shared" si="156"/>
        <v>4.848</v>
      </c>
      <c r="AH435" s="39">
        <f t="shared" si="157"/>
        <v>4.848</v>
      </c>
      <c r="AI435" s="39">
        <f t="shared" si="158"/>
        <v>0</v>
      </c>
      <c r="AJ435" s="39">
        <f t="shared" si="162"/>
        <v>0</v>
      </c>
      <c r="AK435" s="39">
        <f t="shared" si="163"/>
        <v>0</v>
      </c>
      <c r="AL435" s="39">
        <f t="shared" si="159"/>
        <v>0</v>
      </c>
      <c r="AM435" s="39">
        <f t="shared" si="160"/>
        <v>0</v>
      </c>
      <c r="AN435" s="39">
        <f t="shared" si="161"/>
        <v>0</v>
      </c>
    </row>
    <row r="436" ht="50" hidden="1" customHeight="1" spans="1:40">
      <c r="A436" s="39" t="str">
        <f>_xlfn.XLOOKUP(F436,'6月产品包'!B:B,'6月产品包'!F:F)</f>
        <v>办公安防</v>
      </c>
      <c r="B436" s="39" t="str">
        <f>_xlfn.XLOOKUP(F436,'6月产品包'!B:B,'6月产品包'!G:G)</f>
        <v>应急安防</v>
      </c>
      <c r="C436" s="37" t="str">
        <f>_xlfn.XLOOKUP(F436,'6月产品包'!B:B,'6月产品包'!H:H)</f>
        <v>单相电子式电度表</v>
      </c>
      <c r="D436" s="38" t="str">
        <f>_xlfn.XLOOKUP(F436,'6月产品包'!B:B,'6月产品包'!O:O)</f>
        <v>彩色屏多功能导轨表2P63A</v>
      </c>
      <c r="E436" s="38" t="str">
        <f>_xlfn.XLOOKUP(F436,'6月产品包'!B:B,'6月产品包'!C:C)</f>
        <v>3B-WIFI漏电多功能导轨表彩屏款2P63A</v>
      </c>
      <c r="F436" s="39" t="s">
        <v>836</v>
      </c>
      <c r="H436" s="39" t="s">
        <v>107</v>
      </c>
      <c r="I436" s="37" t="str">
        <f>_xlfn.XLOOKUP($F436,'6月库存'!A:A,'6月库存'!B:B)</f>
        <v>正常销售</v>
      </c>
      <c r="K436" s="39" t="e">
        <f>_xlfn.XLOOKUP(E436,'[1]6月分配 '!$B:$B,'[1]6月分配 '!$K:$K)</f>
        <v>#N/A</v>
      </c>
      <c r="L436" s="12" t="str">
        <f t="shared" si="174"/>
        <v>否</v>
      </c>
      <c r="M436" s="40" t="str">
        <f>_xlfn.XLOOKUP(F436,'6月产品包'!B:B,'6月产品包'!J:J)</f>
        <v>2026-02-04</v>
      </c>
      <c r="N436" s="39" t="s">
        <v>149</v>
      </c>
      <c r="O436" s="37">
        <f>_xlfn.XLOOKUP(F436,'6月库存'!A:A,'6月库存'!R:R)</f>
        <v>33</v>
      </c>
      <c r="P436" s="39">
        <f>_xlfn.XLOOKUP(F436,'6月产品包'!B:B,'6月产品包'!S:S)</f>
        <v>180</v>
      </c>
      <c r="R436" s="41">
        <f>_xlfn.XLOOKUP(F436,'6月产品包'!B:B,'6月产品包'!AD:AD)</f>
        <v>29.493</v>
      </c>
      <c r="S436" s="39">
        <v>59</v>
      </c>
      <c r="T436" s="39">
        <f t="shared" si="175"/>
        <v>74</v>
      </c>
      <c r="U436" s="42">
        <f t="shared" si="155"/>
        <v>59.2</v>
      </c>
      <c r="V436" s="43">
        <v>0.2</v>
      </c>
      <c r="W436" s="44">
        <f t="shared" si="176"/>
        <v>0.501807432432433</v>
      </c>
      <c r="X436" s="44">
        <f t="shared" si="177"/>
        <v>0.321151048667759</v>
      </c>
      <c r="Y436" s="44">
        <v>0.038</v>
      </c>
      <c r="Z436" s="46">
        <v>0.09</v>
      </c>
      <c r="AA436" s="46">
        <v>0.049</v>
      </c>
      <c r="AB436" s="46">
        <f t="shared" si="178"/>
        <v>0.00912162162162162</v>
      </c>
      <c r="AC436" s="46">
        <v>0.08</v>
      </c>
      <c r="AD436" s="58">
        <v>0.06</v>
      </c>
      <c r="AE436" s="58">
        <v>0.03</v>
      </c>
      <c r="AF436" s="48" t="s">
        <v>102</v>
      </c>
      <c r="AG436" s="39">
        <f t="shared" si="156"/>
        <v>3.552</v>
      </c>
      <c r="AH436" s="39">
        <f t="shared" si="157"/>
        <v>3.552</v>
      </c>
      <c r="AI436" s="39">
        <f t="shared" si="158"/>
        <v>0</v>
      </c>
      <c r="AJ436" s="39">
        <f t="shared" si="162"/>
        <v>0</v>
      </c>
      <c r="AK436" s="39">
        <f t="shared" si="163"/>
        <v>0</v>
      </c>
      <c r="AL436" s="39">
        <f t="shared" si="159"/>
        <v>0</v>
      </c>
      <c r="AM436" s="39">
        <f t="shared" si="160"/>
        <v>0</v>
      </c>
      <c r="AN436" s="39">
        <f t="shared" si="161"/>
        <v>0</v>
      </c>
    </row>
    <row r="437" ht="50" hidden="1" customHeight="1" spans="1:40">
      <c r="A437" s="37" t="s">
        <v>96</v>
      </c>
      <c r="B437" s="37" t="s">
        <v>97</v>
      </c>
      <c r="C437" s="37" t="str">
        <f>_xlfn.XLOOKUP(F437,'6月产品包'!B:B,'6月产品包'!H:H)</f>
        <v>减速带</v>
      </c>
      <c r="D437" s="38" t="str">
        <f>_xlfn.XLOOKUP(F437,'6月产品包'!B:B,'6月产品包'!O:O)</f>
        <v>斜坡垫</v>
      </c>
      <c r="E437" s="38" t="s">
        <v>837</v>
      </c>
      <c r="F437" s="37" t="s">
        <v>838</v>
      </c>
      <c r="G437" s="39" t="s">
        <v>126</v>
      </c>
      <c r="H437" s="37" t="s">
        <v>101</v>
      </c>
      <c r="I437" s="37" t="str">
        <f>_xlfn.XLOOKUP($F437,'6月库存'!A:A,'6月库存'!B:B)</f>
        <v>商品清仓</v>
      </c>
      <c r="K437" s="39">
        <f>_xlfn.XLOOKUP(E437,'[1]6月分配 '!$B:$B,'[1]6月分配 '!$K:$K)</f>
        <v>100</v>
      </c>
      <c r="L437" s="12" t="str">
        <f t="shared" si="174"/>
        <v>是</v>
      </c>
      <c r="M437" s="40" t="str">
        <f>_xlfn.XLOOKUP(F437,'6月产品包'!B:B,'6月产品包'!J:J)</f>
        <v>2025-07-03</v>
      </c>
      <c r="N437" s="39" t="str">
        <f ca="1">IF(DATEDIF(M437,TODAY(),"m")&lt;6,"新品","老品")</f>
        <v>老品</v>
      </c>
      <c r="O437" s="37">
        <f>_xlfn.XLOOKUP(F437,'6月库存'!A:A,'6月库存'!R:R)</f>
        <v>29</v>
      </c>
      <c r="P437" s="39">
        <f>_xlfn.XLOOKUP(F437,'6月产品包'!B:B,'6月产品包'!S:S)</f>
        <v>2200</v>
      </c>
      <c r="Q437" s="39"/>
      <c r="R437" s="41">
        <f>_xlfn.XLOOKUP(F437,'6月产品包'!B:B,'6月产品包'!AD:AD)</f>
        <v>9.686</v>
      </c>
      <c r="S437" s="39">
        <v>15</v>
      </c>
      <c r="T437" s="39">
        <f t="shared" si="175"/>
        <v>19</v>
      </c>
      <c r="U437" s="42">
        <f t="shared" si="155"/>
        <v>15.2</v>
      </c>
      <c r="V437" s="43">
        <v>0.2</v>
      </c>
      <c r="W437" s="44">
        <f t="shared" si="176"/>
        <v>0.362763157894737</v>
      </c>
      <c r="X437" s="44">
        <f t="shared" si="177"/>
        <v>0.169695515018516</v>
      </c>
      <c r="Y437" s="44">
        <v>0.038</v>
      </c>
      <c r="Z437" s="46">
        <v>0.1</v>
      </c>
      <c r="AA437" s="46">
        <v>0.049</v>
      </c>
      <c r="AB437" s="46">
        <f t="shared" si="178"/>
        <v>0.0355263157894737</v>
      </c>
      <c r="AC437" s="46">
        <v>0.01</v>
      </c>
      <c r="AD437" s="47"/>
      <c r="AE437" s="6"/>
      <c r="AF437" s="55" t="s">
        <v>114</v>
      </c>
      <c r="AG437" s="39">
        <f t="shared" ref="AG437:AG442" si="179">MAX(AH437:AN437)</f>
        <v>0</v>
      </c>
      <c r="AH437" s="39">
        <f t="shared" ref="AH437:AH442" si="180">IF(U437&gt;=50,MIN(MIN(U437*0.2,20)*0.3,6),0)</f>
        <v>0</v>
      </c>
      <c r="AI437" s="39">
        <f t="shared" ref="AI437:AI442" si="181">IF(U437&gt;=200,MIN(MIN(U437*0.18,70)*0.3,21),0)</f>
        <v>0</v>
      </c>
      <c r="AJ437" s="39">
        <f t="shared" ref="AJ437:AJ442" si="182">IF(U437&gt;=380,MIN(MIN(U437*0.28,350)*0.3,105),0)</f>
        <v>0</v>
      </c>
      <c r="AK437" s="39">
        <f t="shared" ref="AK437:AK442" si="183">IF(U437&gt;=380,MIN(MIN(U437*0.25,350)*0.3,105),0)</f>
        <v>0</v>
      </c>
      <c r="AL437" s="39">
        <f t="shared" ref="AL437:AL442" si="184">IF(U437&gt;=380,MIN(MIN(U437*0.22,300)*0.3,90),0)</f>
        <v>0</v>
      </c>
      <c r="AM437" s="39">
        <f t="shared" ref="AM437:AM442" si="185">IF(U437&gt;=250,MIN(MIN(U437*0.18,120)*0.3,36),0)</f>
        <v>0</v>
      </c>
      <c r="AN437" s="39">
        <f t="shared" ref="AN437:AN442" si="186">IF(U437&gt;=180,MIN(MIN(U437*0.15,60)*0.3,18),0)</f>
        <v>0</v>
      </c>
    </row>
    <row r="438" ht="50" hidden="1" customHeight="1" spans="1:40">
      <c r="A438" s="39" t="str">
        <f>_xlfn.XLOOKUP(F438,'6月产品包'!B:B,'6月产品包'!F:F)</f>
        <v>3C数码</v>
      </c>
      <c r="B438" s="39" t="str">
        <f>_xlfn.XLOOKUP(F438,'6月产品包'!B:B,'6月产品包'!G:G)</f>
        <v>影像摄影</v>
      </c>
      <c r="C438" s="37" t="str">
        <f>_xlfn.XLOOKUP(F438,'6月产品包'!B:B,'6月产品包'!H:H)</f>
        <v>投影仪支架-2</v>
      </c>
      <c r="D438" s="38" t="str">
        <f>_xlfn.XLOOKUP(F438,'6月产品包'!B:B,'6月产品包'!O:O)</f>
        <v>投影仪支架系列</v>
      </c>
      <c r="E438" s="38" t="str">
        <f>_xlfn.XLOOKUP(F438,'6月产品包'!B:B,'6月产品包'!C:C)</f>
        <v>3C-投影仪支架托盘</v>
      </c>
      <c r="F438" s="37" t="s">
        <v>839</v>
      </c>
      <c r="G438" s="39" t="s">
        <v>126</v>
      </c>
      <c r="H438" s="37" t="s">
        <v>101</v>
      </c>
      <c r="I438" s="37" t="str">
        <f>_xlfn.XLOOKUP($F438,'6月库存'!A:A,'6月库存'!B:B)</f>
        <v>商品清仓</v>
      </c>
      <c r="K438" s="39">
        <f>_xlfn.XLOOKUP(E438,'[1]6月分配 '!$B:$B,'[1]6月分配 '!$K:$K)</f>
        <v>96</v>
      </c>
      <c r="L438" s="12" t="str">
        <f t="shared" si="174"/>
        <v>是</v>
      </c>
      <c r="M438" s="40" t="str">
        <f>_xlfn.XLOOKUP(F438,'6月产品包'!B:B,'6月产品包'!J:J)</f>
        <v>2024-01-01</v>
      </c>
      <c r="N438" s="39" t="str">
        <f ca="1">IF(DATEDIF(M438,TODAY(),"m")&lt;6,"新品","老品")</f>
        <v>老品</v>
      </c>
      <c r="O438" s="37">
        <f>_xlfn.XLOOKUP(F438,'6月库存'!A:A,'6月库存'!R:R)</f>
        <v>217</v>
      </c>
      <c r="P438" s="39">
        <f>_xlfn.XLOOKUP(F438,'6月产品包'!B:B,'6月产品包'!S:S)</f>
        <v>750</v>
      </c>
      <c r="Q438" s="39"/>
      <c r="R438" s="41">
        <f>_xlfn.XLOOKUP(F438,'6月产品包'!B:B,'6月产品包'!AD:AD)</f>
        <v>2.3491</v>
      </c>
      <c r="S438" s="39">
        <v>6</v>
      </c>
      <c r="T438" s="39">
        <f t="shared" si="175"/>
        <v>8</v>
      </c>
      <c r="U438" s="42">
        <f t="shared" si="155"/>
        <v>6.4</v>
      </c>
      <c r="V438" s="43">
        <v>0.2</v>
      </c>
      <c r="W438" s="44">
        <f t="shared" si="176"/>
        <v>0.632953125</v>
      </c>
      <c r="X438" s="44">
        <f t="shared" si="177"/>
        <v>0.438444253203289</v>
      </c>
      <c r="Y438" s="44">
        <v>0.038</v>
      </c>
      <c r="Z438" s="46">
        <v>0.115</v>
      </c>
      <c r="AA438" s="46">
        <v>0.049</v>
      </c>
      <c r="AB438" s="46">
        <f t="shared" si="178"/>
        <v>0.084375</v>
      </c>
      <c r="AC438" s="46">
        <v>0.06</v>
      </c>
      <c r="AD438" s="47"/>
      <c r="AE438" s="6"/>
      <c r="AF438" s="55" t="s">
        <v>114</v>
      </c>
      <c r="AG438" s="39">
        <f t="shared" si="179"/>
        <v>0</v>
      </c>
      <c r="AH438" s="39">
        <f t="shared" si="180"/>
        <v>0</v>
      </c>
      <c r="AI438" s="39">
        <f t="shared" si="181"/>
        <v>0</v>
      </c>
      <c r="AJ438" s="39">
        <f t="shared" si="182"/>
        <v>0</v>
      </c>
      <c r="AK438" s="39">
        <f t="shared" si="183"/>
        <v>0</v>
      </c>
      <c r="AL438" s="39">
        <f t="shared" si="184"/>
        <v>0</v>
      </c>
      <c r="AM438" s="39">
        <f t="shared" si="185"/>
        <v>0</v>
      </c>
      <c r="AN438" s="39">
        <f t="shared" si="186"/>
        <v>0</v>
      </c>
    </row>
    <row r="439" ht="50" hidden="1" customHeight="1" spans="1:40">
      <c r="A439" s="39" t="str">
        <f>_xlfn.XLOOKUP(F439,'6月产品包'!B:B,'6月产品包'!F:F)</f>
        <v>办公安防</v>
      </c>
      <c r="B439" s="39" t="str">
        <f>_xlfn.XLOOKUP(F439,'6月产品包'!B:B,'6月产品包'!G:G)</f>
        <v>应急安防</v>
      </c>
      <c r="C439" s="37" t="str">
        <f>_xlfn.XLOOKUP(F439,'6月产品包'!B:B,'6月产品包'!H:H)</f>
        <v>WiFi断路器</v>
      </c>
      <c r="D439" s="38" t="str">
        <f>_xlfn.XLOOKUP(F439,'6月产品包'!B:B,'6月产品包'!O:O)</f>
        <v>WIFI断路器单继电器ZWF63T2P</v>
      </c>
      <c r="E439" s="38" t="str">
        <f>_xlfn.XLOOKUP(F439,'6月产品包'!B:B,'6月产品包'!C:C)</f>
        <v>3B-WIFI断路器涂鸦单继电器ZWF63T2P</v>
      </c>
      <c r="F439" s="39" t="s">
        <v>840</v>
      </c>
      <c r="H439" s="39" t="s">
        <v>107</v>
      </c>
      <c r="I439" s="37" t="str">
        <f>_xlfn.XLOOKUP($F439,'6月库存'!A:A,'6月库存'!B:B)</f>
        <v>等待开发</v>
      </c>
      <c r="K439" s="39" t="e">
        <f>_xlfn.XLOOKUP(E439,'[1]6月分配 '!$B:$B,'[1]6月分配 '!$K:$K)</f>
        <v>#N/A</v>
      </c>
      <c r="L439" s="12" t="str">
        <f t="shared" si="174"/>
        <v>否</v>
      </c>
      <c r="M439" s="40" t="str">
        <f>_xlfn.XLOOKUP(F439,'6月产品包'!B:B,'6月产品包'!J:J)</f>
        <v>2026-05-12</v>
      </c>
      <c r="N439" s="39" t="s">
        <v>149</v>
      </c>
      <c r="O439" s="37">
        <f>_xlfn.XLOOKUP(F439,'6月库存'!A:A,'6月库存'!R:R)</f>
        <v>0</v>
      </c>
      <c r="P439" s="39">
        <f>_xlfn.XLOOKUP(F439,'6月产品包'!B:B,'6月产品包'!S:S)</f>
        <v>160</v>
      </c>
      <c r="R439" s="41">
        <f>_xlfn.XLOOKUP(F439,'6月产品包'!B:B,'6月产品包'!AD:AD)</f>
        <v>23.8496</v>
      </c>
      <c r="S439" s="39">
        <v>48</v>
      </c>
      <c r="T439" s="39">
        <f t="shared" si="175"/>
        <v>60</v>
      </c>
      <c r="U439" s="42">
        <f t="shared" si="155"/>
        <v>48</v>
      </c>
      <c r="V439" s="43">
        <v>0.2</v>
      </c>
      <c r="W439" s="44">
        <f t="shared" si="176"/>
        <v>0.503133333333333</v>
      </c>
      <c r="X439" s="44">
        <f t="shared" si="177"/>
        <v>0.320988497893179</v>
      </c>
      <c r="Y439" s="44">
        <v>0.038</v>
      </c>
      <c r="Z439" s="46">
        <v>0.09</v>
      </c>
      <c r="AA439" s="46">
        <v>0.049</v>
      </c>
      <c r="AB439" s="46">
        <f t="shared" si="178"/>
        <v>0.01125</v>
      </c>
      <c r="AC439" s="46">
        <v>0.08</v>
      </c>
      <c r="AD439" s="58">
        <v>0.06</v>
      </c>
      <c r="AE439" s="58">
        <v>0.03</v>
      </c>
      <c r="AF439" s="48" t="s">
        <v>102</v>
      </c>
      <c r="AG439" s="39">
        <f t="shared" si="179"/>
        <v>0</v>
      </c>
      <c r="AH439" s="39">
        <f t="shared" si="180"/>
        <v>0</v>
      </c>
      <c r="AI439" s="39">
        <f t="shared" si="181"/>
        <v>0</v>
      </c>
      <c r="AJ439" s="39">
        <f t="shared" si="182"/>
        <v>0</v>
      </c>
      <c r="AK439" s="39">
        <f t="shared" si="183"/>
        <v>0</v>
      </c>
      <c r="AL439" s="39">
        <f t="shared" si="184"/>
        <v>0</v>
      </c>
      <c r="AM439" s="39">
        <f t="shared" si="185"/>
        <v>0</v>
      </c>
      <c r="AN439" s="39">
        <f t="shared" si="186"/>
        <v>0</v>
      </c>
    </row>
    <row r="440" ht="50" hidden="1" customHeight="1" spans="1:40">
      <c r="A440" s="39" t="str">
        <f>_xlfn.XLOOKUP(F440,'6月产品包'!B:B,'6月产品包'!F:F)</f>
        <v>办公安防</v>
      </c>
      <c r="B440" s="39" t="str">
        <f>_xlfn.XLOOKUP(F440,'6月产品包'!B:B,'6月产品包'!G:G)</f>
        <v>应急安防</v>
      </c>
      <c r="C440" s="37" t="str">
        <f>_xlfn.XLOOKUP(F440,'6月产品包'!B:B,'6月产品包'!H:H)</f>
        <v>WiFi断路器</v>
      </c>
      <c r="D440" s="38" t="str">
        <f>_xlfn.XLOOKUP(F440,'6月产品包'!B:B,'6月产品包'!O:O)</f>
        <v>WIFI断路器双继电器ZWF63AVP2P</v>
      </c>
      <c r="E440" s="38" t="str">
        <f>_xlfn.XLOOKUP(F440,'6月产品包'!B:B,'6月产品包'!C:C)</f>
        <v>3B-WIFI断路器涂鸦双继电器ZWF63AVP2P</v>
      </c>
      <c r="F440" s="39" t="s">
        <v>841</v>
      </c>
      <c r="H440" s="39" t="s">
        <v>107</v>
      </c>
      <c r="I440" s="37" t="str">
        <f>_xlfn.XLOOKUP($F440,'6月库存'!A:A,'6月库存'!B:B)</f>
        <v>等待开发</v>
      </c>
      <c r="K440" s="39" t="e">
        <f>_xlfn.XLOOKUP(E440,'[1]6月分配 '!$B:$B,'[1]6月分配 '!$K:$K)</f>
        <v>#N/A</v>
      </c>
      <c r="L440" s="12" t="str">
        <f t="shared" si="174"/>
        <v>否</v>
      </c>
      <c r="M440" s="40" t="str">
        <f>_xlfn.XLOOKUP(F440,'6月产品包'!B:B,'6月产品包'!J:J)</f>
        <v>2026-05-12</v>
      </c>
      <c r="N440" s="39" t="s">
        <v>149</v>
      </c>
      <c r="O440" s="37">
        <f>_xlfn.XLOOKUP(F440,'6月库存'!A:A,'6月库存'!R:R)</f>
        <v>0</v>
      </c>
      <c r="P440" s="39">
        <f>_xlfn.XLOOKUP(F440,'6月产品包'!B:B,'6月产品包'!S:S)</f>
        <v>170</v>
      </c>
      <c r="R440" s="41">
        <f>_xlfn.XLOOKUP(F440,'6月产品包'!B:B,'6月产品包'!AD:AD)</f>
        <v>29.493</v>
      </c>
      <c r="S440" s="39">
        <v>59</v>
      </c>
      <c r="T440" s="39">
        <f t="shared" si="175"/>
        <v>74</v>
      </c>
      <c r="U440" s="42">
        <f t="shared" si="155"/>
        <v>59.2</v>
      </c>
      <c r="V440" s="43">
        <v>0.2</v>
      </c>
      <c r="W440" s="44">
        <f t="shared" si="176"/>
        <v>0.501807432432433</v>
      </c>
      <c r="X440" s="44">
        <f t="shared" si="177"/>
        <v>0.321151048667759</v>
      </c>
      <c r="Y440" s="44">
        <v>0.038</v>
      </c>
      <c r="Z440" s="46">
        <v>0.09</v>
      </c>
      <c r="AA440" s="46">
        <v>0.049</v>
      </c>
      <c r="AB440" s="46">
        <f t="shared" si="178"/>
        <v>0.00912162162162162</v>
      </c>
      <c r="AC440" s="46">
        <v>0.08</v>
      </c>
      <c r="AD440" s="58">
        <v>0.06</v>
      </c>
      <c r="AE440" s="58">
        <v>0.03</v>
      </c>
      <c r="AF440" s="48" t="s">
        <v>102</v>
      </c>
      <c r="AG440" s="39">
        <f t="shared" si="179"/>
        <v>3.552</v>
      </c>
      <c r="AH440" s="39">
        <f t="shared" si="180"/>
        <v>3.552</v>
      </c>
      <c r="AI440" s="39">
        <f t="shared" si="181"/>
        <v>0</v>
      </c>
      <c r="AJ440" s="39">
        <f t="shared" si="182"/>
        <v>0</v>
      </c>
      <c r="AK440" s="39">
        <f t="shared" si="183"/>
        <v>0</v>
      </c>
      <c r="AL440" s="39">
        <f t="shared" si="184"/>
        <v>0</v>
      </c>
      <c r="AM440" s="39">
        <f t="shared" si="185"/>
        <v>0</v>
      </c>
      <c r="AN440" s="39">
        <f t="shared" si="186"/>
        <v>0</v>
      </c>
    </row>
    <row r="441" ht="39.15" hidden="1" customHeight="1" spans="1:40">
      <c r="A441" s="39" t="str">
        <f>_xlfn.XLOOKUP(F441,'6月产品包'!B:B,'6月产品包'!F:F)</f>
        <v>办公安防</v>
      </c>
      <c r="B441" s="39" t="str">
        <f>_xlfn.XLOOKUP(F441,'6月产品包'!B:B,'6月产品包'!G:G)</f>
        <v>教学周边</v>
      </c>
      <c r="C441" s="37" t="str">
        <f>_xlfn.XLOOKUP(F441,'6月产品包'!B:B,'6月产品包'!H:H)</f>
        <v>白板配件</v>
      </c>
      <c r="D441" s="38" t="str">
        <f>_xlfn.XLOOKUP(F441,'6月产品包'!B:B,'6月产品包'!O:O)</f>
        <v>白板笔配件包</v>
      </c>
      <c r="E441" s="38" t="str">
        <f>_xlfn.XLOOKUP(F441,'6月产品包'!B:B,'6月产品包'!C:C)</f>
        <v>3B-白板笔配件包</v>
      </c>
      <c r="F441" s="39" t="s">
        <v>842</v>
      </c>
      <c r="H441" s="39" t="s">
        <v>101</v>
      </c>
      <c r="I441" s="39" t="str">
        <f>_xlfn.XLOOKUP($F441,'6月库存'!A:A,'6月库存'!B:B)</f>
        <v>正常销售</v>
      </c>
      <c r="K441" s="39" t="e">
        <f>_xlfn.XLOOKUP(E441,'[1]6月分配 '!$B:$B,'[1]6月分配 '!$K:$K)</f>
        <v>#N/A</v>
      </c>
      <c r="L441" s="12" t="str">
        <f t="shared" si="174"/>
        <v>否</v>
      </c>
      <c r="M441" s="40" t="str">
        <f>_xlfn.XLOOKUP(F441,'6月产品包'!B:B,'6月产品包'!J:J)</f>
        <v>2025-07-22</v>
      </c>
      <c r="N441" s="39" t="s">
        <v>149</v>
      </c>
      <c r="O441" s="37">
        <f>_xlfn.XLOOKUP(F441,'6月库存'!A:A,'6月库存'!R:R)</f>
        <v>3055</v>
      </c>
      <c r="P441" s="39">
        <f>_xlfn.XLOOKUP(F441,'6月产品包'!B:B,'6月产品包'!S:S)</f>
        <v>0</v>
      </c>
      <c r="R441" s="41">
        <f>_xlfn.XLOOKUP(F441,'6月产品包'!B:B,'6月产品包'!AD:AD)</f>
        <v>0.0001</v>
      </c>
      <c r="S441" s="39">
        <v>1</v>
      </c>
      <c r="T441" s="39">
        <f t="shared" ref="T441:T462" si="187">ROUND(S441*(1+0.25),0)</f>
        <v>1</v>
      </c>
      <c r="U441" s="42">
        <f t="shared" ref="U441:U460" si="188">$T441*(1-0.2)</f>
        <v>0.8</v>
      </c>
      <c r="V441" s="43">
        <v>1.2</v>
      </c>
      <c r="W441" s="44">
        <f t="shared" ref="W441:W462" si="189">(U441-R441)/U441</f>
        <v>0.999875</v>
      </c>
      <c r="X441" s="44">
        <f t="shared" ref="X441:X462" si="190">(U441*(1-Y441-Z441-AA441-AC441-AB441)-R441)/(U441*(1-Y441-Z441-AA441-AC441-AB441))</f>
        <v>0.998161764705882</v>
      </c>
      <c r="Y441" s="44">
        <v>0.038</v>
      </c>
      <c r="Z441" s="46">
        <v>0.09</v>
      </c>
      <c r="AA441" s="46">
        <v>0.049</v>
      </c>
      <c r="AB441" s="46">
        <f t="shared" si="178"/>
        <v>0.675</v>
      </c>
      <c r="AC441" s="46">
        <v>0.08</v>
      </c>
      <c r="AF441" s="48" t="s">
        <v>102</v>
      </c>
      <c r="AG441" s="39">
        <f t="shared" si="179"/>
        <v>0</v>
      </c>
      <c r="AH441" s="39">
        <f t="shared" si="180"/>
        <v>0</v>
      </c>
      <c r="AI441" s="39">
        <f t="shared" si="181"/>
        <v>0</v>
      </c>
      <c r="AJ441" s="39">
        <f t="shared" si="182"/>
        <v>0</v>
      </c>
      <c r="AK441" s="39">
        <f t="shared" si="183"/>
        <v>0</v>
      </c>
      <c r="AL441" s="39">
        <f t="shared" si="184"/>
        <v>0</v>
      </c>
      <c r="AM441" s="39">
        <f t="shared" si="185"/>
        <v>0</v>
      </c>
      <c r="AN441" s="39">
        <f t="shared" si="186"/>
        <v>0</v>
      </c>
    </row>
    <row r="442" ht="39.15" hidden="1" customHeight="1" spans="1:40">
      <c r="A442" s="39" t="str">
        <f>_xlfn.XLOOKUP(F442,'6月产品包'!B:B,'6月产品包'!F:F)</f>
        <v>3C数码</v>
      </c>
      <c r="B442" s="39" t="str">
        <f>_xlfn.XLOOKUP(F442,'6月产品包'!B:B,'6月产品包'!G:G)</f>
        <v>电脑周边</v>
      </c>
      <c r="C442" s="37" t="str">
        <f>_xlfn.XLOOKUP(F442,'6月产品包'!B:B,'6月产品包'!H:H)</f>
        <v>显示器</v>
      </c>
      <c r="D442" s="38" t="str">
        <f>_xlfn.XLOOKUP(F442,'6月产品包'!B:B,'6月产品包'!O:O)</f>
        <v>14寸便携显示器触摸款</v>
      </c>
      <c r="E442" s="38" t="str">
        <f>_xlfn.XLOOKUP(F442,'6月产品包'!B:B,'6月产品包'!C:C)</f>
        <v>3C-14寸60Hz直面1K便携式显示器触摸黑色</v>
      </c>
      <c r="F442" s="39" t="s">
        <v>843</v>
      </c>
      <c r="H442" s="39" t="s">
        <v>101</v>
      </c>
      <c r="I442" s="39" t="str">
        <f>_xlfn.XLOOKUP($F442,'6月库存'!A:A,'6月库存'!B:B)</f>
        <v>正常销售</v>
      </c>
      <c r="K442" s="39" t="e">
        <f>_xlfn.XLOOKUP(E442,'[1]6月分配 '!$B:$B,'[1]6月分配 '!$K:$K)</f>
        <v>#N/A</v>
      </c>
      <c r="L442" s="12" t="str">
        <f t="shared" ref="L442:L467" si="191">IF(ISNUMBER(K442),"是",IF(ISNA(K442),"否",""))</f>
        <v>否</v>
      </c>
      <c r="M442" s="40" t="str">
        <f>_xlfn.XLOOKUP(F442,'6月产品包'!B:B,'6月产品包'!J:J)</f>
        <v>2026-03-07</v>
      </c>
      <c r="N442" s="39" t="s">
        <v>149</v>
      </c>
      <c r="O442" s="37">
        <f>_xlfn.XLOOKUP(F442,'6月库存'!A:A,'6月库存'!R:R)</f>
        <v>0</v>
      </c>
      <c r="P442" s="39">
        <f>_xlfn.XLOOKUP(F442,'6月产品包'!B:B,'6月产品包'!S:S)</f>
        <v>1200</v>
      </c>
      <c r="R442" s="41">
        <f>_xlfn.XLOOKUP(F442,'6月产品包'!B:B,'6月产品包'!AD:AD)</f>
        <v>158.1428</v>
      </c>
      <c r="S442" s="39"/>
      <c r="T442" s="39">
        <f t="shared" si="187"/>
        <v>0</v>
      </c>
      <c r="U442" s="42">
        <f t="shared" si="188"/>
        <v>0</v>
      </c>
      <c r="V442" s="43">
        <v>2.2</v>
      </c>
      <c r="W442" s="44" t="e">
        <f t="shared" si="189"/>
        <v>#DIV/0!</v>
      </c>
      <c r="X442" s="44" t="e">
        <f t="shared" si="190"/>
        <v>#DIV/0!</v>
      </c>
      <c r="Y442" s="44">
        <v>0.038</v>
      </c>
      <c r="Z442" s="46">
        <v>0.09</v>
      </c>
      <c r="AA442" s="46">
        <v>0.049</v>
      </c>
      <c r="AB442" s="46" t="e">
        <f t="shared" si="178"/>
        <v>#DIV/0!</v>
      </c>
      <c r="AC442" s="46">
        <v>0.08</v>
      </c>
      <c r="AF442" s="48" t="s">
        <v>102</v>
      </c>
      <c r="AG442" s="39">
        <f t="shared" si="179"/>
        <v>0</v>
      </c>
      <c r="AH442" s="39">
        <f t="shared" si="180"/>
        <v>0</v>
      </c>
      <c r="AI442" s="39">
        <f t="shared" si="181"/>
        <v>0</v>
      </c>
      <c r="AJ442" s="39">
        <f t="shared" si="182"/>
        <v>0</v>
      </c>
      <c r="AK442" s="39">
        <f t="shared" si="183"/>
        <v>0</v>
      </c>
      <c r="AL442" s="39">
        <f t="shared" si="184"/>
        <v>0</v>
      </c>
      <c r="AM442" s="39">
        <f t="shared" si="185"/>
        <v>0</v>
      </c>
      <c r="AN442" s="39">
        <f t="shared" si="186"/>
        <v>0</v>
      </c>
    </row>
    <row r="443" ht="39.15" hidden="1" customHeight="1" spans="1:40">
      <c r="A443" s="37" t="s">
        <v>96</v>
      </c>
      <c r="B443" s="37" t="s">
        <v>97</v>
      </c>
      <c r="C443" s="37" t="str">
        <f>_xlfn.XLOOKUP(F443,'6月产品包'!B:B,'6月产品包'!H:H)</f>
        <v>路由器</v>
      </c>
      <c r="D443" s="38" t="str">
        <f>_xlfn.XLOOKUP(F443,'6月产品包'!B:B,'6月产品包'!O:O)</f>
        <v>R5路由器</v>
      </c>
      <c r="E443" s="38" t="s">
        <v>844</v>
      </c>
      <c r="F443" s="37" t="s">
        <v>845</v>
      </c>
      <c r="G443" s="39" t="e">
        <v>#N/A</v>
      </c>
      <c r="H443" s="37" t="s">
        <v>107</v>
      </c>
      <c r="I443" s="37" t="str">
        <f>_xlfn.XLOOKUP($F443,'6月库存'!A:A,'6月库存'!B:B)</f>
        <v>商品清仓</v>
      </c>
      <c r="K443" s="39">
        <f>_xlfn.XLOOKUP(E443,'[1]6月分配 '!$B:$B,'[1]6月分配 '!$K:$K)</f>
        <v>92</v>
      </c>
      <c r="L443" s="12" t="str">
        <f t="shared" si="191"/>
        <v>是</v>
      </c>
      <c r="M443" s="40" t="str">
        <f>_xlfn.XLOOKUP(F443,'6月产品包'!B:B,'6月产品包'!J:J)</f>
        <v>2023-08-17</v>
      </c>
      <c r="N443" s="39" t="str">
        <f ca="1">IF(DATEDIF(M443,TODAY(),"m")&lt;6,"新品","老品")</f>
        <v>老品</v>
      </c>
      <c r="O443" s="37">
        <f>_xlfn.XLOOKUP(F443,'6月库存'!A:A,'6月库存'!R:R)</f>
        <v>1</v>
      </c>
      <c r="P443" s="39">
        <f>_xlfn.XLOOKUP(F443,'6月产品包'!B:B,'6月产品包'!S:S)</f>
        <v>150</v>
      </c>
      <c r="Q443" s="39"/>
      <c r="R443" s="41">
        <f>_xlfn.XLOOKUP(F443,'6月产品包'!B:B,'6月产品包'!AD:AD)</f>
        <v>35.7222</v>
      </c>
      <c r="S443" s="39">
        <v>80</v>
      </c>
      <c r="T443" s="39">
        <f t="shared" si="187"/>
        <v>100</v>
      </c>
      <c r="U443" s="42">
        <f t="shared" si="188"/>
        <v>80</v>
      </c>
      <c r="V443" s="43">
        <v>0.2</v>
      </c>
      <c r="W443" s="44">
        <f t="shared" si="189"/>
        <v>0.5534725</v>
      </c>
      <c r="X443" s="44">
        <f t="shared" si="190"/>
        <v>0.397602023608769</v>
      </c>
      <c r="Y443" s="51">
        <v>0.038</v>
      </c>
      <c r="Z443" s="46">
        <v>0.105</v>
      </c>
      <c r="AA443" s="46">
        <v>0.049</v>
      </c>
      <c r="AB443" s="46">
        <f t="shared" si="178"/>
        <v>0.00675</v>
      </c>
      <c r="AC443" s="46">
        <v>0.06</v>
      </c>
      <c r="AD443" s="47"/>
      <c r="AE443" s="6"/>
      <c r="AF443" s="48" t="s">
        <v>114</v>
      </c>
      <c r="AG443" s="39">
        <f t="shared" ref="AG443:AG445" si="192">MAX(AH443:AN443)</f>
        <v>4.8</v>
      </c>
      <c r="AH443" s="39">
        <f t="shared" ref="AH443:AH445" si="193">IF(U443&gt;=50,MIN(MIN(U443*0.2,20)*0.3,6),0)</f>
        <v>4.8</v>
      </c>
      <c r="AI443" s="39">
        <f t="shared" ref="AI443:AI445" si="194">IF(U443&gt;=200,MIN(MIN(U443*0.18,70)*0.3,21),0)</f>
        <v>0</v>
      </c>
      <c r="AJ443" s="39">
        <f t="shared" ref="AJ443:AJ445" si="195">IF(U443&gt;=380,MIN(MIN(U443*0.28,350)*0.3,105),0)</f>
        <v>0</v>
      </c>
      <c r="AK443" s="39">
        <f t="shared" ref="AK443:AK445" si="196">IF(U443&gt;=380,MIN(MIN(U443*0.25,350)*0.3,105),0)</f>
        <v>0</v>
      </c>
      <c r="AL443" s="39">
        <f t="shared" ref="AL443:AL445" si="197">IF(U443&gt;=380,MIN(MIN(U443*0.22,300)*0.3,90),0)</f>
        <v>0</v>
      </c>
      <c r="AM443" s="39">
        <f t="shared" ref="AM443:AM445" si="198">IF(U443&gt;=250,MIN(MIN(U443*0.18,120)*0.3,36),0)</f>
        <v>0</v>
      </c>
      <c r="AN443" s="39">
        <f t="shared" ref="AN443:AN445" si="199">IF(U443&gt;=180,MIN(MIN(U443*0.15,60)*0.3,18),0)</f>
        <v>0</v>
      </c>
    </row>
    <row r="444" ht="39.15" hidden="1" customHeight="1" spans="1:40">
      <c r="A444" s="39" t="str">
        <f>_xlfn.XLOOKUP(F444,'6月产品包'!B:B,'6月产品包'!F:F)</f>
        <v>办公安防</v>
      </c>
      <c r="B444" s="39" t="str">
        <f>_xlfn.XLOOKUP(F444,'6月产品包'!B:B,'6月产品包'!G:G)</f>
        <v>安防存储</v>
      </c>
      <c r="C444" s="37" t="str">
        <f>_xlfn.XLOOKUP(F444,'6月产品包'!B:B,'6月产品包'!H:H)</f>
        <v>保险箱</v>
      </c>
      <c r="D444" s="38" t="str">
        <f>_xlfn.XLOOKUP(F444,'6月产品包'!B:B,'6月产品包'!O:O)</f>
        <v>保险箱密码款F640</v>
      </c>
      <c r="E444" s="38" t="str">
        <f>_xlfn.XLOOKUP(F444,'6月产品包'!B:B,'6月产品包'!C:C)</f>
        <v>3B-保险箱密码款F640黑色</v>
      </c>
      <c r="F444" s="39" t="s">
        <v>846</v>
      </c>
      <c r="H444" s="39" t="s">
        <v>101</v>
      </c>
      <c r="I444" s="39" t="str">
        <f>_xlfn.XLOOKUP($F444,'6月库存'!A:A,'6月库存'!B:B)</f>
        <v>等待开发</v>
      </c>
      <c r="K444" s="39" t="e">
        <f>_xlfn.XLOOKUP(E444,'[1]6月分配 '!$B:$B,'[1]6月分配 '!$K:$K)</f>
        <v>#N/A</v>
      </c>
      <c r="L444" s="12" t="str">
        <f t="shared" si="191"/>
        <v>否</v>
      </c>
      <c r="M444" s="40" t="str">
        <f>_xlfn.XLOOKUP(F444,'6月产品包'!B:B,'6月产品包'!J:J)</f>
        <v>2026-05-12</v>
      </c>
      <c r="N444" s="39" t="s">
        <v>149</v>
      </c>
      <c r="O444" s="37">
        <f>_xlfn.XLOOKUP(F444,'6月库存'!A:A,'6月库存'!R:R)</f>
        <v>0</v>
      </c>
      <c r="P444" s="39">
        <f>_xlfn.XLOOKUP(F444,'6月产品包'!B:B,'6月产品包'!S:S)</f>
        <v>11600</v>
      </c>
      <c r="R444" s="41">
        <f>_xlfn.XLOOKUP(F444,'6月产品包'!B:B,'6月产品包'!AD:AD)</f>
        <v>144.3156</v>
      </c>
      <c r="S444" s="39">
        <v>309</v>
      </c>
      <c r="T444" s="39">
        <f t="shared" si="187"/>
        <v>386</v>
      </c>
      <c r="U444" s="42">
        <f t="shared" si="188"/>
        <v>308.8</v>
      </c>
      <c r="V444" s="43">
        <v>4.2</v>
      </c>
      <c r="W444" s="44">
        <f t="shared" si="189"/>
        <v>0.532656735751295</v>
      </c>
      <c r="X444" s="44">
        <f t="shared" si="190"/>
        <v>0.369521149994932</v>
      </c>
      <c r="Y444" s="44">
        <v>0.038</v>
      </c>
      <c r="Z444" s="46">
        <v>0.09</v>
      </c>
      <c r="AA444" s="46">
        <v>0.049</v>
      </c>
      <c r="AB444" s="46">
        <f t="shared" si="178"/>
        <v>0.00174870466321244</v>
      </c>
      <c r="AC444" s="46">
        <v>0.08</v>
      </c>
      <c r="AF444" s="48" t="s">
        <v>102</v>
      </c>
      <c r="AG444" s="39">
        <f t="shared" si="192"/>
        <v>16.6752</v>
      </c>
      <c r="AH444" s="39">
        <f t="shared" si="193"/>
        <v>6</v>
      </c>
      <c r="AI444" s="39">
        <f t="shared" si="194"/>
        <v>16.6752</v>
      </c>
      <c r="AJ444" s="39">
        <f t="shared" si="195"/>
        <v>0</v>
      </c>
      <c r="AK444" s="39">
        <f t="shared" si="196"/>
        <v>0</v>
      </c>
      <c r="AL444" s="39">
        <f t="shared" si="197"/>
        <v>0</v>
      </c>
      <c r="AM444" s="39">
        <f t="shared" si="198"/>
        <v>16.6752</v>
      </c>
      <c r="AN444" s="39">
        <f t="shared" si="199"/>
        <v>13.896</v>
      </c>
    </row>
    <row r="445" ht="39.15" hidden="1" customHeight="1" spans="1:40">
      <c r="A445" s="39" t="str">
        <f>_xlfn.XLOOKUP(F445,'6月产品包'!B:B,'6月产品包'!F:F)</f>
        <v>办公安防</v>
      </c>
      <c r="B445" s="39" t="str">
        <f>_xlfn.XLOOKUP(F445,'6月产品包'!B:B,'6月产品包'!G:G)</f>
        <v>安防存储</v>
      </c>
      <c r="C445" s="37" t="str">
        <f>_xlfn.XLOOKUP(F445,'6月产品包'!B:B,'6月产品包'!H:H)</f>
        <v>保险箱</v>
      </c>
      <c r="D445" s="38" t="str">
        <f>_xlfn.XLOOKUP(F445,'6月产品包'!B:B,'6月产品包'!O:O)</f>
        <v>保险箱密码款F645</v>
      </c>
      <c r="E445" s="38" t="str">
        <f>_xlfn.XLOOKUP(F445,'6月产品包'!B:B,'6月产品包'!C:C)</f>
        <v>3B-保险箱密码款内柜F645金色</v>
      </c>
      <c r="F445" s="39" t="s">
        <v>847</v>
      </c>
      <c r="H445" s="39" t="s">
        <v>101</v>
      </c>
      <c r="I445" s="39" t="str">
        <f>_xlfn.XLOOKUP($F445,'6月库存'!A:A,'6月库存'!B:B)</f>
        <v>等待开发</v>
      </c>
      <c r="K445" s="39" t="e">
        <f>_xlfn.XLOOKUP(E445,'[1]6月分配 '!$B:$B,'[1]6月分配 '!$K:$K)</f>
        <v>#N/A</v>
      </c>
      <c r="L445" s="12" t="str">
        <f t="shared" si="191"/>
        <v>否</v>
      </c>
      <c r="M445" s="40" t="str">
        <f>_xlfn.XLOOKUP(F445,'6月产品包'!B:B,'6月产品包'!J:J)</f>
        <v>2026-05-12</v>
      </c>
      <c r="N445" s="39" t="s">
        <v>149</v>
      </c>
      <c r="O445" s="37">
        <f>_xlfn.XLOOKUP(F445,'6月库存'!A:A,'6月库存'!R:R)</f>
        <v>0</v>
      </c>
      <c r="P445" s="39">
        <f>_xlfn.XLOOKUP(F445,'6月产品包'!B:B,'6月产品包'!S:S)</f>
        <v>15000</v>
      </c>
      <c r="R445" s="41">
        <f>_xlfn.XLOOKUP(F445,'6月产品包'!B:B,'6月产品包'!AD:AD)</f>
        <v>161.269</v>
      </c>
      <c r="S445" s="39">
        <v>339</v>
      </c>
      <c r="T445" s="39">
        <f t="shared" si="187"/>
        <v>424</v>
      </c>
      <c r="U445" s="42">
        <f t="shared" si="188"/>
        <v>339.2</v>
      </c>
      <c r="V445" s="43">
        <v>5.2</v>
      </c>
      <c r="W445" s="44">
        <f t="shared" si="189"/>
        <v>0.524560731132075</v>
      </c>
      <c r="X445" s="44">
        <f t="shared" si="190"/>
        <v>0.358734655185029</v>
      </c>
      <c r="Y445" s="44">
        <v>0.038</v>
      </c>
      <c r="Z445" s="46">
        <v>0.09</v>
      </c>
      <c r="AA445" s="46">
        <v>0.049</v>
      </c>
      <c r="AB445" s="46">
        <f t="shared" si="178"/>
        <v>0.00159198113207547</v>
      </c>
      <c r="AC445" s="46">
        <v>0.08</v>
      </c>
      <c r="AF445" s="48" t="s">
        <v>102</v>
      </c>
      <c r="AG445" s="39">
        <f t="shared" si="192"/>
        <v>18.3168</v>
      </c>
      <c r="AH445" s="39">
        <f t="shared" si="193"/>
        <v>6</v>
      </c>
      <c r="AI445" s="39">
        <f t="shared" si="194"/>
        <v>18.3168</v>
      </c>
      <c r="AJ445" s="39">
        <f t="shared" si="195"/>
        <v>0</v>
      </c>
      <c r="AK445" s="39">
        <f t="shared" si="196"/>
        <v>0</v>
      </c>
      <c r="AL445" s="39">
        <f t="shared" si="197"/>
        <v>0</v>
      </c>
      <c r="AM445" s="39">
        <f t="shared" si="198"/>
        <v>18.3168</v>
      </c>
      <c r="AN445" s="39">
        <f t="shared" si="199"/>
        <v>15.264</v>
      </c>
    </row>
    <row r="446" ht="39.15" hidden="1" customHeight="1" spans="1:40">
      <c r="A446" s="37" t="s">
        <v>96</v>
      </c>
      <c r="B446" s="37" t="s">
        <v>115</v>
      </c>
      <c r="C446" s="37" t="str">
        <f>_xlfn.XLOOKUP(F446,'6月产品包'!B:B,'6月产品包'!H:H)</f>
        <v>扫码枪</v>
      </c>
      <c r="D446" s="38" t="str">
        <f>_xlfn.XLOOKUP(F446,'6月产品包'!B:B,'6月产品包'!O:O)</f>
        <v>一维扫描枪</v>
      </c>
      <c r="E446" s="38" t="s">
        <v>848</v>
      </c>
      <c r="F446" s="37" t="s">
        <v>849</v>
      </c>
      <c r="G446" s="39" t="e">
        <v>#N/A</v>
      </c>
      <c r="H446" s="37" t="s">
        <v>107</v>
      </c>
      <c r="I446" s="37" t="str">
        <f>_xlfn.XLOOKUP($F446,'6月库存'!A:A,'6月库存'!B:B)</f>
        <v>商品清仓</v>
      </c>
      <c r="K446" s="39">
        <f>_xlfn.XLOOKUP(E446,'[1]6月分配 '!$B:$B,'[1]6月分配 '!$K:$K)</f>
        <v>54</v>
      </c>
      <c r="L446" s="12" t="str">
        <f t="shared" si="191"/>
        <v>是</v>
      </c>
      <c r="M446" s="40" t="str">
        <f>_xlfn.XLOOKUP(F446,'6月产品包'!B:B,'6月产品包'!J:J)</f>
        <v>2024-08-13</v>
      </c>
      <c r="N446" s="39" t="str">
        <f ca="1">IF(DATEDIF(M446,TODAY(),"m")&lt;6,"新品","老品")</f>
        <v>老品</v>
      </c>
      <c r="O446" s="37">
        <f>_xlfn.XLOOKUP(F446,'6月库存'!A:A,'6月库存'!R:R)</f>
        <v>1</v>
      </c>
      <c r="P446" s="39">
        <f>_xlfn.XLOOKUP(F446,'6月产品包'!B:B,'6月产品包'!S:S)</f>
        <v>220</v>
      </c>
      <c r="Q446" s="39"/>
      <c r="R446" s="41">
        <f>_xlfn.XLOOKUP(F446,'6月产品包'!B:B,'6月产品包'!AD:AD)</f>
        <v>20.7408</v>
      </c>
      <c r="S446" s="39">
        <v>39</v>
      </c>
      <c r="T446" s="39">
        <f t="shared" si="187"/>
        <v>49</v>
      </c>
      <c r="U446" s="42">
        <f t="shared" si="188"/>
        <v>39.2</v>
      </c>
      <c r="V446" s="43">
        <v>0.2</v>
      </c>
      <c r="W446" s="44">
        <f t="shared" si="189"/>
        <v>0.470897959183673</v>
      </c>
      <c r="X446" s="44">
        <f t="shared" si="190"/>
        <v>0.312161731932506</v>
      </c>
      <c r="Y446" s="44">
        <v>0.038</v>
      </c>
      <c r="Z446" s="46">
        <v>0.1</v>
      </c>
      <c r="AA446" s="46">
        <v>0.049</v>
      </c>
      <c r="AB446" s="46">
        <f t="shared" si="178"/>
        <v>0.0137755102040816</v>
      </c>
      <c r="AC446" s="46">
        <v>0.03</v>
      </c>
      <c r="AD446" s="47"/>
      <c r="AE446" s="6"/>
      <c r="AF446" s="55" t="s">
        <v>114</v>
      </c>
      <c r="AG446" s="39">
        <f t="shared" ref="AG446:AG449" si="200">MAX(AH446:AN446)</f>
        <v>0</v>
      </c>
      <c r="AH446" s="39">
        <f t="shared" ref="AH446:AH449" si="201">IF(U446&gt;=50,MIN(MIN(U446*0.2,20)*0.3,6),0)</f>
        <v>0</v>
      </c>
      <c r="AI446" s="39">
        <f t="shared" ref="AI446:AI449" si="202">IF(U446&gt;=200,MIN(MIN(U446*0.18,70)*0.3,21),0)</f>
        <v>0</v>
      </c>
      <c r="AJ446" s="39">
        <f t="shared" ref="AJ446:AJ449" si="203">IF(U446&gt;=380,MIN(MIN(U446*0.28,350)*0.3,105),0)</f>
        <v>0</v>
      </c>
      <c r="AK446" s="39">
        <f t="shared" ref="AK446:AK449" si="204">IF(U446&gt;=380,MIN(MIN(U446*0.25,350)*0.3,105),0)</f>
        <v>0</v>
      </c>
      <c r="AL446" s="39">
        <f t="shared" ref="AL446:AL449" si="205">IF(U446&gt;=380,MIN(MIN(U446*0.22,300)*0.3,90),0)</f>
        <v>0</v>
      </c>
      <c r="AM446" s="39">
        <f t="shared" ref="AM446:AM449" si="206">IF(U446&gt;=250,MIN(MIN(U446*0.18,120)*0.3,36),0)</f>
        <v>0</v>
      </c>
      <c r="AN446" s="39">
        <f t="shared" ref="AN446:AN449" si="207">IF(U446&gt;=180,MIN(MIN(U446*0.15,60)*0.3,18),0)</f>
        <v>0</v>
      </c>
    </row>
    <row r="447" ht="39.15" hidden="1" customHeight="1" spans="1:40">
      <c r="A447" s="39" t="str">
        <f>_xlfn.XLOOKUP(F447,'6月产品包'!B:B,'6月产品包'!F:F)</f>
        <v>办公安防</v>
      </c>
      <c r="B447" s="39" t="str">
        <f>_xlfn.XLOOKUP(F447,'6月产品包'!B:B,'6月产品包'!G:G)</f>
        <v>办公周边</v>
      </c>
      <c r="C447" s="37" t="str">
        <f>_xlfn.XLOOKUP(F447,'6月产品包'!B:B,'6月产品包'!H:H)</f>
        <v>收银箱</v>
      </c>
      <c r="D447" s="38" t="str">
        <f>_xlfn.XLOOKUP(F447,'6月产品包'!B:B,'6月产品包'!O:O)</f>
        <v>手提收银箱</v>
      </c>
      <c r="E447" s="38" t="str">
        <f>_xlfn.XLOOKUP(F447,'6月产品包'!B:B,'6月产品包'!C:C)</f>
        <v>3B-手提收银箱双层粉色</v>
      </c>
      <c r="F447" s="39" t="s">
        <v>850</v>
      </c>
      <c r="H447" s="39" t="s">
        <v>101</v>
      </c>
      <c r="I447" s="39" t="str">
        <f>_xlfn.XLOOKUP($F447,'6月库存'!A:A,'6月库存'!B:B)</f>
        <v>等待开发</v>
      </c>
      <c r="K447" s="39" t="e">
        <f>_xlfn.XLOOKUP(E447,'[1]6月分配 '!$B:$B,'[1]6月分配 '!$K:$K)</f>
        <v>#N/A</v>
      </c>
      <c r="L447" s="12" t="str">
        <f t="shared" si="191"/>
        <v>否</v>
      </c>
      <c r="M447" s="40" t="str">
        <f>_xlfn.XLOOKUP(F447,'6月产品包'!B:B,'6月产品包'!J:J)</f>
        <v>2026-05-05</v>
      </c>
      <c r="N447" s="39" t="s">
        <v>149</v>
      </c>
      <c r="O447" s="37">
        <f>_xlfn.XLOOKUP(F447,'6月库存'!A:A,'6月库存'!R:R)</f>
        <v>0</v>
      </c>
      <c r="P447" s="39">
        <f>_xlfn.XLOOKUP(F447,'6月产品包'!B:B,'6月产品包'!S:S)</f>
        <v>1800</v>
      </c>
      <c r="Q447" s="2">
        <v>2450</v>
      </c>
      <c r="R447" s="41">
        <f>_xlfn.XLOOKUP(F447,'6月产品包'!B:B,'6月产品包'!AD:AD)</f>
        <v>20.4566</v>
      </c>
      <c r="S447" s="39"/>
      <c r="T447" s="39">
        <f t="shared" si="187"/>
        <v>0</v>
      </c>
      <c r="U447" s="42">
        <f t="shared" si="188"/>
        <v>0</v>
      </c>
      <c r="V447" s="43">
        <v>7.2</v>
      </c>
      <c r="W447" s="44" t="e">
        <f t="shared" si="189"/>
        <v>#DIV/0!</v>
      </c>
      <c r="X447" s="44" t="e">
        <f t="shared" si="190"/>
        <v>#DIV/0!</v>
      </c>
      <c r="Y447" s="44">
        <v>0.038</v>
      </c>
      <c r="Z447" s="46">
        <v>0.09</v>
      </c>
      <c r="AA447" s="46">
        <v>0.049</v>
      </c>
      <c r="AB447" s="46" t="e">
        <f t="shared" si="178"/>
        <v>#DIV/0!</v>
      </c>
      <c r="AC447" s="46">
        <v>0.08</v>
      </c>
      <c r="AF447" s="48" t="s">
        <v>102</v>
      </c>
      <c r="AG447" s="39">
        <f t="shared" si="200"/>
        <v>0</v>
      </c>
      <c r="AH447" s="39">
        <f t="shared" si="201"/>
        <v>0</v>
      </c>
      <c r="AI447" s="39">
        <f t="shared" si="202"/>
        <v>0</v>
      </c>
      <c r="AJ447" s="39">
        <f t="shared" si="203"/>
        <v>0</v>
      </c>
      <c r="AK447" s="39">
        <f t="shared" si="204"/>
        <v>0</v>
      </c>
      <c r="AL447" s="39">
        <f t="shared" si="205"/>
        <v>0</v>
      </c>
      <c r="AM447" s="39">
        <f t="shared" si="206"/>
        <v>0</v>
      </c>
      <c r="AN447" s="39">
        <f t="shared" si="207"/>
        <v>0</v>
      </c>
    </row>
    <row r="448" ht="39.15" hidden="1" customHeight="1" spans="1:40">
      <c r="A448" s="39" t="str">
        <f>_xlfn.XLOOKUP(F448,'6月产品包'!B:B,'6月产品包'!F:F)</f>
        <v>办公安防</v>
      </c>
      <c r="B448" s="39" t="str">
        <f>_xlfn.XLOOKUP(F448,'6月产品包'!B:B,'6月产品包'!G:G)</f>
        <v>办公周边</v>
      </c>
      <c r="C448" s="37" t="str">
        <f>_xlfn.XLOOKUP(F448,'6月产品包'!B:B,'6月产品包'!H:H)</f>
        <v>收银箱</v>
      </c>
      <c r="D448" s="38" t="str">
        <f>_xlfn.XLOOKUP(F448,'6月产品包'!B:B,'6月产品包'!O:O)</f>
        <v>手提收银箱</v>
      </c>
      <c r="E448" s="38" t="str">
        <f>_xlfn.XLOOKUP(F448,'6月产品包'!B:B,'6月产品包'!C:C)</f>
        <v>3B-手提收银箱双层黑色密码款</v>
      </c>
      <c r="F448" s="39" t="s">
        <v>851</v>
      </c>
      <c r="H448" s="39" t="s">
        <v>101</v>
      </c>
      <c r="I448" s="39" t="str">
        <f>_xlfn.XLOOKUP($F448,'6月库存'!A:A,'6月库存'!B:B)</f>
        <v>等待开发</v>
      </c>
      <c r="K448" s="39" t="e">
        <f>_xlfn.XLOOKUP(E448,'[1]6月分配 '!$B:$B,'[1]6月分配 '!$K:$K)</f>
        <v>#N/A</v>
      </c>
      <c r="L448" s="12" t="str">
        <f t="shared" si="191"/>
        <v>否</v>
      </c>
      <c r="M448" s="40" t="str">
        <f>_xlfn.XLOOKUP(F448,'6月产品包'!B:B,'6月产品包'!J:J)</f>
        <v>2026-05-05</v>
      </c>
      <c r="N448" s="39" t="s">
        <v>149</v>
      </c>
      <c r="O448" s="37">
        <f>_xlfn.XLOOKUP(F448,'6月库存'!A:A,'6月库存'!R:R)</f>
        <v>0</v>
      </c>
      <c r="P448" s="39">
        <f>_xlfn.XLOOKUP(F448,'6月产品包'!B:B,'6月产品包'!S:S)</f>
        <v>1710</v>
      </c>
      <c r="Q448" s="2">
        <v>2450</v>
      </c>
      <c r="R448" s="41">
        <f>_xlfn.XLOOKUP(F448,'6月产品包'!B:B,'6月产品包'!AD:AD)</f>
        <v>20.9728</v>
      </c>
      <c r="S448" s="39"/>
      <c r="T448" s="39">
        <f t="shared" si="187"/>
        <v>0</v>
      </c>
      <c r="U448" s="42">
        <f t="shared" si="188"/>
        <v>0</v>
      </c>
      <c r="V448" s="43">
        <v>8.2</v>
      </c>
      <c r="W448" s="44" t="e">
        <f t="shared" si="189"/>
        <v>#DIV/0!</v>
      </c>
      <c r="X448" s="44" t="e">
        <f t="shared" si="190"/>
        <v>#DIV/0!</v>
      </c>
      <c r="Y448" s="44">
        <v>0.038</v>
      </c>
      <c r="Z448" s="46">
        <v>0.09</v>
      </c>
      <c r="AA448" s="46">
        <v>0.049</v>
      </c>
      <c r="AB448" s="46" t="e">
        <f t="shared" si="178"/>
        <v>#DIV/0!</v>
      </c>
      <c r="AC448" s="46">
        <v>0.08</v>
      </c>
      <c r="AF448" s="48" t="s">
        <v>102</v>
      </c>
      <c r="AG448" s="39">
        <f t="shared" si="200"/>
        <v>0</v>
      </c>
      <c r="AH448" s="39">
        <f t="shared" si="201"/>
        <v>0</v>
      </c>
      <c r="AI448" s="39">
        <f t="shared" si="202"/>
        <v>0</v>
      </c>
      <c r="AJ448" s="39">
        <f t="shared" si="203"/>
        <v>0</v>
      </c>
      <c r="AK448" s="39">
        <f t="shared" si="204"/>
        <v>0</v>
      </c>
      <c r="AL448" s="39">
        <f t="shared" si="205"/>
        <v>0</v>
      </c>
      <c r="AM448" s="39">
        <f t="shared" si="206"/>
        <v>0</v>
      </c>
      <c r="AN448" s="39">
        <f t="shared" si="207"/>
        <v>0</v>
      </c>
    </row>
    <row r="449" ht="39.15" hidden="1" customHeight="1" spans="1:40">
      <c r="A449" s="39" t="str">
        <f>_xlfn.XLOOKUP(F449,'6月产品包'!B:B,'6月产品包'!F:F)</f>
        <v>3C数码</v>
      </c>
      <c r="B449" s="39" t="str">
        <f>_xlfn.XLOOKUP(F449,'6月产品包'!B:B,'6月产品包'!G:G)</f>
        <v>音响乐器</v>
      </c>
      <c r="C449" s="37" t="str">
        <f>_xlfn.XLOOKUP(F449,'6月产品包'!B:B,'6月产品包'!H:H)</f>
        <v>音箱</v>
      </c>
      <c r="D449" s="38" t="str">
        <f>_xlfn.XLOOKUP(F449,'6月产品包'!B:B,'6月产品包'!O:O)</f>
        <v>马歇尔风格复古音箱</v>
      </c>
      <c r="E449" s="38" t="str">
        <f>_xlfn.XLOOKUP(F449,'6月产品包'!B:B,'6月产品包'!C:C)</f>
        <v>3C-马歇尔风格复古音箱</v>
      </c>
      <c r="F449" s="39" t="s">
        <v>852</v>
      </c>
      <c r="H449" s="39" t="s">
        <v>101</v>
      </c>
      <c r="I449" s="39" t="str">
        <f>_xlfn.XLOOKUP($F449,'6月库存'!A:A,'6月库存'!B:B)</f>
        <v>等待开发</v>
      </c>
      <c r="K449" s="39" t="e">
        <f>_xlfn.XLOOKUP(E449,'[1]6月分配 '!$B:$B,'[1]6月分配 '!$K:$K)</f>
        <v>#N/A</v>
      </c>
      <c r="L449" s="12" t="str">
        <f t="shared" si="191"/>
        <v>否</v>
      </c>
      <c r="M449" s="40" t="str">
        <f>_xlfn.XLOOKUP(F449,'6月产品包'!B:B,'6月产品包'!J:J)</f>
        <v>2026-05-05</v>
      </c>
      <c r="N449" s="39" t="s">
        <v>149</v>
      </c>
      <c r="O449" s="37">
        <f>_xlfn.XLOOKUP(F449,'6月库存'!A:A,'6月库存'!R:R)</f>
        <v>0</v>
      </c>
      <c r="P449" s="39">
        <f>_xlfn.XLOOKUP(F449,'6月产品包'!B:B,'6月产品包'!S:S)</f>
        <v>2450</v>
      </c>
      <c r="R449" s="41">
        <f>_xlfn.XLOOKUP(F449,'6月产品包'!B:B,'6月产品包'!AD:AD)</f>
        <v>62.2572</v>
      </c>
      <c r="S449" s="39">
        <v>129</v>
      </c>
      <c r="T449" s="39">
        <f t="shared" si="187"/>
        <v>161</v>
      </c>
      <c r="U449" s="42">
        <f t="shared" si="188"/>
        <v>128.8</v>
      </c>
      <c r="V449" s="43">
        <v>9.2</v>
      </c>
      <c r="W449" s="44">
        <f t="shared" si="189"/>
        <v>0.516636645962733</v>
      </c>
      <c r="X449" s="44">
        <f t="shared" si="190"/>
        <v>0.345751925211017</v>
      </c>
      <c r="Y449" s="44">
        <v>0.038</v>
      </c>
      <c r="Z449" s="46">
        <v>0.09</v>
      </c>
      <c r="AA449" s="46">
        <v>0.049</v>
      </c>
      <c r="AB449" s="46">
        <f t="shared" si="178"/>
        <v>0.00419254658385093</v>
      </c>
      <c r="AC449" s="46">
        <v>0.08</v>
      </c>
      <c r="AF449" s="48" t="s">
        <v>102</v>
      </c>
      <c r="AG449" s="39">
        <f t="shared" si="200"/>
        <v>6</v>
      </c>
      <c r="AH449" s="39">
        <f t="shared" si="201"/>
        <v>6</v>
      </c>
      <c r="AI449" s="39">
        <f t="shared" si="202"/>
        <v>0</v>
      </c>
      <c r="AJ449" s="39">
        <f t="shared" si="203"/>
        <v>0</v>
      </c>
      <c r="AK449" s="39">
        <f t="shared" si="204"/>
        <v>0</v>
      </c>
      <c r="AL449" s="39">
        <f t="shared" si="205"/>
        <v>0</v>
      </c>
      <c r="AM449" s="39">
        <f t="shared" si="206"/>
        <v>0</v>
      </c>
      <c r="AN449" s="39">
        <f t="shared" si="207"/>
        <v>0</v>
      </c>
    </row>
    <row r="450" ht="39.15" hidden="1" customHeight="1" spans="1:40">
      <c r="A450" s="37" t="s">
        <v>96</v>
      </c>
      <c r="B450" s="37" t="s">
        <v>115</v>
      </c>
      <c r="C450" s="37" t="str">
        <f>_xlfn.XLOOKUP(F450,'6月产品包'!B:B,'6月产品包'!H:H)</f>
        <v>收银箱</v>
      </c>
      <c r="D450" s="38" t="str">
        <f>_xlfn.XLOOKUP(F450,'6月产品包'!B:B,'6月产品包'!O:O)</f>
        <v>现金盒钥匙款</v>
      </c>
      <c r="E450" s="38" t="s">
        <v>853</v>
      </c>
      <c r="F450" s="39" t="s">
        <v>854</v>
      </c>
      <c r="G450" s="39" t="s">
        <v>126</v>
      </c>
      <c r="H450" s="39" t="s">
        <v>101</v>
      </c>
      <c r="I450" s="37" t="str">
        <f>_xlfn.XLOOKUP($F450,'6月库存'!A:A,'6月库存'!B:B)</f>
        <v>正常销售</v>
      </c>
      <c r="K450" s="39">
        <f>_xlfn.XLOOKUP(E450,'[1]6月分配 '!$B:$B,'[1]6月分配 '!$K:$K)</f>
        <v>32</v>
      </c>
      <c r="L450" s="12" t="str">
        <f t="shared" si="191"/>
        <v>是</v>
      </c>
      <c r="M450" s="40" t="str">
        <f>_xlfn.XLOOKUP(F450,'6月产品包'!B:B,'6月产品包'!J:J)</f>
        <v>2026-01-06</v>
      </c>
      <c r="N450" s="39" t="str">
        <f ca="1">IF(DATEDIF(M450,TODAY(),"m")&lt;6,"新品","老品")</f>
        <v>新品</v>
      </c>
      <c r="O450" s="37">
        <f>_xlfn.XLOOKUP(F450,'6月库存'!A:A,'6月库存'!R:R)</f>
        <v>2</v>
      </c>
      <c r="P450" s="39">
        <f>_xlfn.XLOOKUP(F450,'6月产品包'!B:B,'6月产品包'!S:S)</f>
        <v>1600</v>
      </c>
      <c r="Q450" s="39"/>
      <c r="R450" s="41">
        <f>_xlfn.XLOOKUP(F450,'6月产品包'!B:B,'6月产品包'!AD:AD)</f>
        <v>18.5426</v>
      </c>
      <c r="S450" s="39">
        <v>38</v>
      </c>
      <c r="T450" s="39">
        <f t="shared" si="187"/>
        <v>48</v>
      </c>
      <c r="U450" s="42">
        <f t="shared" si="188"/>
        <v>38.4</v>
      </c>
      <c r="V450" s="43">
        <v>0.2</v>
      </c>
      <c r="W450" s="44">
        <f t="shared" si="189"/>
        <v>0.517119791666667</v>
      </c>
      <c r="X450" s="44">
        <f t="shared" si="190"/>
        <v>0.344747406213779</v>
      </c>
      <c r="Y450" s="44">
        <v>0.04</v>
      </c>
      <c r="Z450" s="46">
        <v>0.1</v>
      </c>
      <c r="AA450" s="46">
        <v>0.049</v>
      </c>
      <c r="AB450" s="46">
        <f t="shared" si="178"/>
        <v>0.0140625</v>
      </c>
      <c r="AC450" s="46">
        <v>0.06</v>
      </c>
      <c r="AD450" s="47"/>
      <c r="AF450" s="55" t="s">
        <v>114</v>
      </c>
      <c r="AG450" s="39">
        <f t="shared" ref="AG450:AG462" si="208">MAX(AH450:AN450)</f>
        <v>0</v>
      </c>
      <c r="AH450" s="39">
        <f t="shared" ref="AH450:AH462" si="209">IF(U450&gt;=50,MIN(MIN(U450*0.2,20)*0.3,6),0)</f>
        <v>0</v>
      </c>
      <c r="AI450" s="39">
        <f t="shared" ref="AI450:AI462" si="210">IF(U450&gt;=200,MIN(MIN(U450*0.18,70)*0.3,21),0)</f>
        <v>0</v>
      </c>
      <c r="AJ450" s="39">
        <f t="shared" ref="AJ450:AJ462" si="211">IF(U450&gt;=380,MIN(MIN(U450*0.28,350)*0.3,105),0)</f>
        <v>0</v>
      </c>
      <c r="AK450" s="39">
        <f t="shared" ref="AK450:AK462" si="212">IF(U450&gt;=380,MIN(MIN(U450*0.25,350)*0.3,105),0)</f>
        <v>0</v>
      </c>
      <c r="AL450" s="39">
        <f t="shared" ref="AL450:AL462" si="213">IF(U450&gt;=380,MIN(MIN(U450*0.22,300)*0.3,90),0)</f>
        <v>0</v>
      </c>
      <c r="AM450" s="39">
        <f t="shared" ref="AM450:AM462" si="214">IF(U450&gt;=250,MIN(MIN(U450*0.18,120)*0.3,36),0)</f>
        <v>0</v>
      </c>
      <c r="AN450" s="39">
        <f t="shared" ref="AN450:AN462" si="215">IF(U450&gt;=180,MIN(MIN(U450*0.15,60)*0.3,18),0)</f>
        <v>0</v>
      </c>
    </row>
    <row r="451" ht="39.15" hidden="1" customHeight="1" spans="1:40">
      <c r="A451" s="37" t="s">
        <v>108</v>
      </c>
      <c r="B451" s="37" t="s">
        <v>109</v>
      </c>
      <c r="C451" s="37" t="str">
        <f>_xlfn.XLOOKUP(F451,'6月产品包'!B:B,'6月产品包'!H:H)</f>
        <v>无线蓝牙鼠标</v>
      </c>
      <c r="D451" s="38" t="str">
        <f>_xlfn.XLOOKUP(F451,'6月产品包'!B:B,'6月产品包'!O:O)</f>
        <v>蓝牙鼠标</v>
      </c>
      <c r="E451" s="38" t="s">
        <v>855</v>
      </c>
      <c r="F451" s="39" t="s">
        <v>856</v>
      </c>
      <c r="G451" s="39" t="s">
        <v>154</v>
      </c>
      <c r="H451" s="39" t="s">
        <v>107</v>
      </c>
      <c r="I451" s="37" t="str">
        <f>_xlfn.XLOOKUP($F451,'6月库存'!A:A,'6月库存'!B:B)</f>
        <v>商品清仓</v>
      </c>
      <c r="K451" s="39">
        <f>_xlfn.XLOOKUP(E451,'[1]6月分配 '!$B:$B,'[1]6月分配 '!$K:$K)</f>
        <v>25</v>
      </c>
      <c r="L451" s="12" t="str">
        <f t="shared" si="191"/>
        <v>是</v>
      </c>
      <c r="M451" s="40" t="str">
        <f>_xlfn.XLOOKUP(F451,'6月产品包'!B:B,'6月产品包'!J:J)</f>
        <v>2024-10-29</v>
      </c>
      <c r="N451" s="39" t="str">
        <f ca="1">IF(DATEDIF(M451,TODAY(),"m")&lt;6,"新品","老品")</f>
        <v>老品</v>
      </c>
      <c r="O451" s="37">
        <f>_xlfn.XLOOKUP(F451,'6月库存'!A:A,'6月库存'!R:R)</f>
        <v>7</v>
      </c>
      <c r="P451" s="39">
        <f>_xlfn.XLOOKUP(F451,'6月产品包'!B:B,'6月产品包'!S:S)</f>
        <v>122</v>
      </c>
      <c r="Q451" s="39"/>
      <c r="R451" s="41">
        <f>_xlfn.XLOOKUP(F451,'6月产品包'!B:B,'6月产品包'!AD:AD)</f>
        <v>14.4594</v>
      </c>
      <c r="S451" s="39">
        <v>24.65</v>
      </c>
      <c r="T451" s="39">
        <f t="shared" si="187"/>
        <v>31</v>
      </c>
      <c r="U451" s="42">
        <f t="shared" si="188"/>
        <v>24.8</v>
      </c>
      <c r="V451" s="43">
        <v>0.2</v>
      </c>
      <c r="W451" s="44">
        <f t="shared" si="189"/>
        <v>0.416959677419355</v>
      </c>
      <c r="X451" s="44">
        <f t="shared" si="190"/>
        <v>0.200466690259223</v>
      </c>
      <c r="Y451" s="44">
        <v>0.04</v>
      </c>
      <c r="Z451" s="46">
        <v>0.1</v>
      </c>
      <c r="AA451" s="46">
        <v>0.049</v>
      </c>
      <c r="AB451" s="46">
        <f t="shared" si="178"/>
        <v>0.0217741935483871</v>
      </c>
      <c r="AC451" s="46">
        <v>0.06</v>
      </c>
      <c r="AD451" s="47"/>
      <c r="AE451" s="6"/>
      <c r="AF451" s="55" t="s">
        <v>114</v>
      </c>
      <c r="AG451" s="39">
        <f t="shared" si="208"/>
        <v>0</v>
      </c>
      <c r="AH451" s="39">
        <f t="shared" si="209"/>
        <v>0</v>
      </c>
      <c r="AI451" s="39">
        <f t="shared" si="210"/>
        <v>0</v>
      </c>
      <c r="AJ451" s="39">
        <f t="shared" si="211"/>
        <v>0</v>
      </c>
      <c r="AK451" s="39">
        <f t="shared" si="212"/>
        <v>0</v>
      </c>
      <c r="AL451" s="39">
        <f t="shared" si="213"/>
        <v>0</v>
      </c>
      <c r="AM451" s="39">
        <f t="shared" si="214"/>
        <v>0</v>
      </c>
      <c r="AN451" s="39">
        <f t="shared" si="215"/>
        <v>0</v>
      </c>
    </row>
    <row r="452" ht="39.15" hidden="1" customHeight="1" spans="1:40">
      <c r="A452" s="37" t="s">
        <v>96</v>
      </c>
      <c r="B452" s="37" t="s">
        <v>103</v>
      </c>
      <c r="C452" s="37" t="str">
        <f>_xlfn.XLOOKUP(F452,'6月产品包'!B:B,'6月产品包'!H:H)</f>
        <v>充电宝</v>
      </c>
      <c r="D452" s="38" t="str">
        <f>_xlfn.XLOOKUP(F452,'6月产品包'!B:B,'6月产品包'!O:O)</f>
        <v>胶囊充电宝</v>
      </c>
      <c r="E452" s="38" t="s">
        <v>857</v>
      </c>
      <c r="F452" s="37" t="s">
        <v>858</v>
      </c>
      <c r="G452" s="39" t="s">
        <v>154</v>
      </c>
      <c r="H452" s="37" t="s">
        <v>107</v>
      </c>
      <c r="I452" s="37" t="str">
        <f>_xlfn.XLOOKUP($F452,'6月库存'!A:A,'6月库存'!B:B)</f>
        <v>商品清仓</v>
      </c>
      <c r="K452" s="39">
        <f>_xlfn.XLOOKUP(E452,'[1]6月分配 '!$B:$B,'[1]6月分配 '!$K:$K)</f>
        <v>20</v>
      </c>
      <c r="L452" s="12" t="str">
        <f t="shared" si="191"/>
        <v>是</v>
      </c>
      <c r="M452" s="40" t="str">
        <f>_xlfn.XLOOKUP(F452,'6月产品包'!B:B,'6月产品包'!J:J)</f>
        <v>2024-08-13</v>
      </c>
      <c r="N452" s="39" t="str">
        <f ca="1">IF(DATEDIF(M452,TODAY(),"m")&lt;6,"新品","老品")</f>
        <v>老品</v>
      </c>
      <c r="O452" s="37">
        <f>_xlfn.XLOOKUP(F452,'6月库存'!A:A,'6月库存'!R:R)</f>
        <v>4</v>
      </c>
      <c r="P452" s="39">
        <f>_xlfn.XLOOKUP(F452,'6月产品包'!B:B,'6月产品包'!S:S)</f>
        <v>130</v>
      </c>
      <c r="Q452" s="39"/>
      <c r="R452" s="41">
        <f>_xlfn.XLOOKUP(F452,'6月产品包'!B:B,'6月产品包'!AD:AD)</f>
        <v>11.368</v>
      </c>
      <c r="S452" s="39">
        <v>18</v>
      </c>
      <c r="T452" s="39">
        <f t="shared" si="187"/>
        <v>23</v>
      </c>
      <c r="U452" s="42">
        <f t="shared" si="188"/>
        <v>18.4</v>
      </c>
      <c r="V452" s="43">
        <v>0.2</v>
      </c>
      <c r="W452" s="44">
        <f t="shared" si="189"/>
        <v>0.382173913043478</v>
      </c>
      <c r="X452" s="44">
        <f t="shared" si="190"/>
        <v>0.140298868655091</v>
      </c>
      <c r="Y452" s="44">
        <v>0.038</v>
      </c>
      <c r="Z452" s="62">
        <v>0.105</v>
      </c>
      <c r="AA452" s="46">
        <v>0.049</v>
      </c>
      <c r="AB452" s="46">
        <f t="shared" si="178"/>
        <v>0.0293478260869565</v>
      </c>
      <c r="AC452" s="46">
        <v>0.06</v>
      </c>
      <c r="AD452" s="47"/>
      <c r="AE452" s="50"/>
      <c r="AF452" s="55" t="s">
        <v>114</v>
      </c>
      <c r="AG452" s="39">
        <f t="shared" si="208"/>
        <v>0</v>
      </c>
      <c r="AH452" s="39">
        <f t="shared" si="209"/>
        <v>0</v>
      </c>
      <c r="AI452" s="39">
        <f t="shared" si="210"/>
        <v>0</v>
      </c>
      <c r="AJ452" s="39">
        <f t="shared" si="211"/>
        <v>0</v>
      </c>
      <c r="AK452" s="39">
        <f t="shared" si="212"/>
        <v>0</v>
      </c>
      <c r="AL452" s="39">
        <f t="shared" si="213"/>
        <v>0</v>
      </c>
      <c r="AM452" s="39">
        <f t="shared" si="214"/>
        <v>0</v>
      </c>
      <c r="AN452" s="39">
        <f t="shared" si="215"/>
        <v>0</v>
      </c>
    </row>
    <row r="453" ht="39.15" hidden="1" customHeight="1" spans="1:40">
      <c r="A453" s="39" t="str">
        <f>_xlfn.XLOOKUP(F453,'6月产品包'!B:B,'6月产品包'!F:F)</f>
        <v>3C数码</v>
      </c>
      <c r="B453" s="39" t="str">
        <f>_xlfn.XLOOKUP(F453,'6月产品包'!B:B,'6月产品包'!G:G)</f>
        <v>游戏娱乐</v>
      </c>
      <c r="C453" s="37" t="str">
        <f>_xlfn.XLOOKUP(F453,'6月产品包'!B:B,'6月产品包'!H:H)</f>
        <v>游戏手柄</v>
      </c>
      <c r="D453" s="38" t="str">
        <f>_xlfn.XLOOKUP(F453,'6月产品包'!B:B,'6月产品包'!O:O)</f>
        <v>PS4无线游戏手柄STK4006L</v>
      </c>
      <c r="E453" s="38" t="str">
        <f>_xlfn.XLOOKUP(F453,'6月产品包'!B:B,'6月产品包'!C:C)</f>
        <v>3C-PS4无线游戏手柄STK4006L</v>
      </c>
      <c r="F453" s="39" t="s">
        <v>859</v>
      </c>
      <c r="H453" s="39" t="s">
        <v>101</v>
      </c>
      <c r="I453" s="39" t="str">
        <f>_xlfn.XLOOKUP($F453,'6月库存'!A:A,'6月库存'!B:B)</f>
        <v>等待开发</v>
      </c>
      <c r="K453" s="39" t="e">
        <f>_xlfn.XLOOKUP(E453,'[1]6月分配 '!$B:$B,'[1]6月分配 '!$K:$K)</f>
        <v>#N/A</v>
      </c>
      <c r="L453" s="12" t="str">
        <f t="shared" si="191"/>
        <v>否</v>
      </c>
      <c r="M453" s="40" t="str">
        <f>_xlfn.XLOOKUP(F453,'6月产品包'!B:B,'6月产品包'!J:J)</f>
        <v>2026-05-05</v>
      </c>
      <c r="N453" s="39" t="s">
        <v>149</v>
      </c>
      <c r="O453" s="37">
        <f>_xlfn.XLOOKUP(F453,'6月库存'!A:A,'6月库存'!R:R)</f>
        <v>0</v>
      </c>
      <c r="P453" s="39">
        <f>_xlfn.XLOOKUP(F453,'6月产品包'!B:B,'6月产品包'!S:S)</f>
        <v>276</v>
      </c>
      <c r="R453" s="41">
        <f>_xlfn.XLOOKUP(F453,'6月产品包'!B:B,'6月产品包'!AD:AD)</f>
        <v>27.7646</v>
      </c>
      <c r="S453" s="39">
        <v>59</v>
      </c>
      <c r="T453" s="39">
        <f t="shared" si="187"/>
        <v>74</v>
      </c>
      <c r="U453" s="42">
        <f t="shared" si="188"/>
        <v>59.2</v>
      </c>
      <c r="V453" s="43">
        <v>13.2</v>
      </c>
      <c r="W453" s="44">
        <f t="shared" si="189"/>
        <v>0.531003378378378</v>
      </c>
      <c r="X453" s="44">
        <f t="shared" si="190"/>
        <v>0.360934133721251</v>
      </c>
      <c r="Y453" s="44">
        <v>0.038</v>
      </c>
      <c r="Z453" s="46">
        <v>0.09</v>
      </c>
      <c r="AA453" s="46">
        <v>0.049</v>
      </c>
      <c r="AB453" s="46">
        <f t="shared" si="178"/>
        <v>0.00912162162162162</v>
      </c>
      <c r="AC453" s="46">
        <v>0.08</v>
      </c>
      <c r="AF453" s="48" t="s">
        <v>102</v>
      </c>
      <c r="AG453" s="39">
        <f t="shared" si="208"/>
        <v>3.552</v>
      </c>
      <c r="AH453" s="39">
        <f t="shared" si="209"/>
        <v>3.552</v>
      </c>
      <c r="AI453" s="39">
        <f t="shared" si="210"/>
        <v>0</v>
      </c>
      <c r="AJ453" s="39">
        <f t="shared" si="211"/>
        <v>0</v>
      </c>
      <c r="AK453" s="39">
        <f t="shared" si="212"/>
        <v>0</v>
      </c>
      <c r="AL453" s="39">
        <f t="shared" si="213"/>
        <v>0</v>
      </c>
      <c r="AM453" s="39">
        <f t="shared" si="214"/>
        <v>0</v>
      </c>
      <c r="AN453" s="39">
        <f t="shared" si="215"/>
        <v>0</v>
      </c>
    </row>
    <row r="454" ht="39.15" hidden="1" customHeight="1" spans="1:40">
      <c r="A454" s="39" t="str">
        <f>_xlfn.XLOOKUP(F454,'6月产品包'!B:B,'6月产品包'!F:F)</f>
        <v>3C数码</v>
      </c>
      <c r="B454" s="39" t="str">
        <f>_xlfn.XLOOKUP(F454,'6月产品包'!B:B,'6月产品包'!G:G)</f>
        <v>音响乐器</v>
      </c>
      <c r="C454" s="37" t="str">
        <f>_xlfn.XLOOKUP(F454,'6月产品包'!B:B,'6月产品包'!H:H)</f>
        <v>电子鼓</v>
      </c>
      <c r="D454" s="38" t="str">
        <f>_xlfn.XLOOKUP(F454,'6月产品包'!B:B,'6月产品包'!O:O)</f>
        <v>彩色电子7垫鼓</v>
      </c>
      <c r="E454" s="38" t="str">
        <f>_xlfn.XLOOKUP(F454,'6月产品包'!B:B,'6月产品包'!C:C)</f>
        <v>3C-彩色电子7垫鼓</v>
      </c>
      <c r="F454" s="39" t="s">
        <v>860</v>
      </c>
      <c r="H454" s="39" t="s">
        <v>101</v>
      </c>
      <c r="I454" s="39" t="str">
        <f>_xlfn.XLOOKUP($F454,'6月库存'!A:A,'6月库存'!B:B)</f>
        <v>等待开发</v>
      </c>
      <c r="K454" s="39" t="e">
        <f>_xlfn.XLOOKUP(E454,'[1]6月分配 '!$B:$B,'[1]6月分配 '!$K:$K)</f>
        <v>#N/A</v>
      </c>
      <c r="L454" s="12" t="str">
        <f t="shared" si="191"/>
        <v>否</v>
      </c>
      <c r="M454" s="40" t="str">
        <f>_xlfn.XLOOKUP(F454,'6月产品包'!B:B,'6月产品包'!J:J)</f>
        <v>2026-05-05</v>
      </c>
      <c r="N454" s="39" t="s">
        <v>149</v>
      </c>
      <c r="O454" s="37">
        <f>_xlfn.XLOOKUP(F454,'6月库存'!A:A,'6月库存'!R:R)</f>
        <v>0</v>
      </c>
      <c r="P454" s="39">
        <f>_xlfn.XLOOKUP(F454,'6月产品包'!B:B,'6月产品包'!S:S)</f>
        <v>1042</v>
      </c>
      <c r="R454" s="41">
        <f>_xlfn.XLOOKUP(F454,'6月产品包'!B:B,'6月产品包'!AD:AD)</f>
        <v>64.7048</v>
      </c>
      <c r="S454" s="39">
        <v>139</v>
      </c>
      <c r="T454" s="39">
        <f t="shared" si="187"/>
        <v>174</v>
      </c>
      <c r="U454" s="42">
        <f t="shared" si="188"/>
        <v>139.2</v>
      </c>
      <c r="V454" s="43">
        <v>14.2</v>
      </c>
      <c r="W454" s="44">
        <f t="shared" si="189"/>
        <v>0.535166666666667</v>
      </c>
      <c r="X454" s="44">
        <f t="shared" si="190"/>
        <v>0.37109955134635</v>
      </c>
      <c r="Y454" s="44">
        <v>0.038</v>
      </c>
      <c r="Z454" s="46">
        <v>0.09</v>
      </c>
      <c r="AA454" s="46">
        <v>0.049</v>
      </c>
      <c r="AB454" s="46">
        <f t="shared" si="178"/>
        <v>0.00387931034482759</v>
      </c>
      <c r="AC454" s="46">
        <v>0.08</v>
      </c>
      <c r="AF454" s="48" t="s">
        <v>102</v>
      </c>
      <c r="AG454" s="39">
        <f t="shared" si="208"/>
        <v>6</v>
      </c>
      <c r="AH454" s="39">
        <f t="shared" si="209"/>
        <v>6</v>
      </c>
      <c r="AI454" s="39">
        <f t="shared" si="210"/>
        <v>0</v>
      </c>
      <c r="AJ454" s="39">
        <f t="shared" si="211"/>
        <v>0</v>
      </c>
      <c r="AK454" s="39">
        <f t="shared" si="212"/>
        <v>0</v>
      </c>
      <c r="AL454" s="39">
        <f t="shared" si="213"/>
        <v>0</v>
      </c>
      <c r="AM454" s="39">
        <f t="shared" si="214"/>
        <v>0</v>
      </c>
      <c r="AN454" s="39">
        <f t="shared" si="215"/>
        <v>0</v>
      </c>
    </row>
    <row r="455" ht="39.15" hidden="1" customHeight="1" spans="1:40">
      <c r="A455" s="39" t="str">
        <f>_xlfn.XLOOKUP(F455,'6月产品包'!B:B,'6月产品包'!F:F)</f>
        <v>3C数码</v>
      </c>
      <c r="B455" s="39" t="str">
        <f>_xlfn.XLOOKUP(F455,'6月产品包'!B:B,'6月产品包'!G:G)</f>
        <v>电脑周边</v>
      </c>
      <c r="C455" s="37" t="str">
        <f>_xlfn.XLOOKUP(F455,'6月产品包'!B:B,'6月产品包'!H:H)</f>
        <v>显示器支架</v>
      </c>
      <c r="D455" s="38" t="str">
        <f>_xlfn.XLOOKUP(F455,'6月产品包'!B:B,'6月产品包'!O:O)</f>
        <v>单臂显示器支架MS001</v>
      </c>
      <c r="E455" s="38" t="str">
        <f>_xlfn.XLOOKUP(F455,'6月产品包'!B:B,'6月产品包'!C:C)</f>
        <v>3C-单臂显示器支架灯效银白色MS001</v>
      </c>
      <c r="F455" s="39" t="s">
        <v>861</v>
      </c>
      <c r="H455" s="39" t="s">
        <v>101</v>
      </c>
      <c r="I455" s="39" t="str">
        <f>_xlfn.XLOOKUP($F455,'6月库存'!A:A,'6月库存'!B:B)</f>
        <v>等待开发</v>
      </c>
      <c r="K455" s="39" t="e">
        <f>_xlfn.XLOOKUP(E455,'[1]6月分配 '!$B:$B,'[1]6月分配 '!$K:$K)</f>
        <v>#N/A</v>
      </c>
      <c r="L455" s="12" t="str">
        <f t="shared" si="191"/>
        <v>否</v>
      </c>
      <c r="M455" s="40" t="str">
        <f>_xlfn.XLOOKUP(F455,'6月产品包'!B:B,'6月产品包'!J:J)</f>
        <v>2026-05-05</v>
      </c>
      <c r="N455" s="39" t="s">
        <v>149</v>
      </c>
      <c r="O455" s="37">
        <f>_xlfn.XLOOKUP(F455,'6月库存'!A:A,'6月库存'!R:R)</f>
        <v>0</v>
      </c>
      <c r="P455" s="39">
        <f>_xlfn.XLOOKUP(F455,'6月产品包'!B:B,'6月产品包'!S:S)</f>
        <v>3670</v>
      </c>
      <c r="R455" s="41">
        <f>_xlfn.XLOOKUP(F455,'6月产品包'!B:B,'6月产品包'!AD:AD)</f>
        <v>92.7362</v>
      </c>
      <c r="S455" s="39"/>
      <c r="T455" s="39">
        <f t="shared" si="187"/>
        <v>0</v>
      </c>
      <c r="U455" s="42">
        <f t="shared" si="188"/>
        <v>0</v>
      </c>
      <c r="V455" s="43">
        <v>15.2</v>
      </c>
      <c r="W455" s="44" t="e">
        <f t="shared" si="189"/>
        <v>#DIV/0!</v>
      </c>
      <c r="X455" s="44" t="e">
        <f t="shared" si="190"/>
        <v>#DIV/0!</v>
      </c>
      <c r="Y455" s="44">
        <v>0.038</v>
      </c>
      <c r="Z455" s="46">
        <v>0.09</v>
      </c>
      <c r="AA455" s="46">
        <v>0.049</v>
      </c>
      <c r="AB455" s="46" t="e">
        <f t="shared" si="178"/>
        <v>#DIV/0!</v>
      </c>
      <c r="AC455" s="46">
        <v>0.08</v>
      </c>
      <c r="AF455" s="48" t="s">
        <v>102</v>
      </c>
      <c r="AG455" s="39">
        <f t="shared" si="208"/>
        <v>0</v>
      </c>
      <c r="AH455" s="39">
        <f t="shared" si="209"/>
        <v>0</v>
      </c>
      <c r="AI455" s="39">
        <f t="shared" si="210"/>
        <v>0</v>
      </c>
      <c r="AJ455" s="39">
        <f t="shared" si="211"/>
        <v>0</v>
      </c>
      <c r="AK455" s="39">
        <f t="shared" si="212"/>
        <v>0</v>
      </c>
      <c r="AL455" s="39">
        <f t="shared" si="213"/>
        <v>0</v>
      </c>
      <c r="AM455" s="39">
        <f t="shared" si="214"/>
        <v>0</v>
      </c>
      <c r="AN455" s="39">
        <f t="shared" si="215"/>
        <v>0</v>
      </c>
    </row>
    <row r="456" ht="39.15" hidden="1" customHeight="1" spans="1:40">
      <c r="A456" s="39" t="str">
        <f>_xlfn.XLOOKUP(F456,'6月产品包'!B:B,'6月产品包'!F:F)</f>
        <v>3C数码</v>
      </c>
      <c r="B456" s="39" t="str">
        <f>_xlfn.XLOOKUP(F456,'6月产品包'!B:B,'6月产品包'!G:G)</f>
        <v>电脑周边</v>
      </c>
      <c r="C456" s="37" t="str">
        <f>_xlfn.XLOOKUP(F456,'6月产品包'!B:B,'6月产品包'!H:H)</f>
        <v>显示器支架</v>
      </c>
      <c r="D456" s="38" t="str">
        <f>_xlfn.XLOOKUP(F456,'6月产品包'!B:B,'6月产品包'!O:O)</f>
        <v>单臂显示器支架MS011D</v>
      </c>
      <c r="E456" s="38" t="str">
        <f>_xlfn.XLOOKUP(F456,'6月产品包'!B:B,'6月产品包'!C:C)</f>
        <v>3C-单臂显示器支架基础灯效款白色MS011D</v>
      </c>
      <c r="F456" s="39" t="s">
        <v>862</v>
      </c>
      <c r="H456" s="39" t="s">
        <v>101</v>
      </c>
      <c r="I456" s="39" t="str">
        <f>_xlfn.XLOOKUP($F456,'6月库存'!A:A,'6月库存'!B:B)</f>
        <v>等待开发</v>
      </c>
      <c r="K456" s="39" t="e">
        <f>_xlfn.XLOOKUP(E456,'[1]6月分配 '!$B:$B,'[1]6月分配 '!$K:$K)</f>
        <v>#N/A</v>
      </c>
      <c r="L456" s="12" t="str">
        <f t="shared" si="191"/>
        <v>否</v>
      </c>
      <c r="M456" s="40" t="str">
        <f>_xlfn.XLOOKUP(F456,'6月产品包'!B:B,'6月产品包'!J:J)</f>
        <v>2026-05-05</v>
      </c>
      <c r="N456" s="39" t="s">
        <v>149</v>
      </c>
      <c r="O456" s="37">
        <f>_xlfn.XLOOKUP(F456,'6月库存'!A:A,'6月库存'!R:R)</f>
        <v>0</v>
      </c>
      <c r="P456" s="39">
        <f>_xlfn.XLOOKUP(F456,'6月产品包'!B:B,'6月产品包'!S:S)</f>
        <v>2946</v>
      </c>
      <c r="R456" s="41">
        <f>_xlfn.XLOOKUP(F456,'6月产品包'!B:B,'6月产品包'!AD:AD)</f>
        <v>58.319</v>
      </c>
      <c r="S456" s="39"/>
      <c r="T456" s="39">
        <f t="shared" si="187"/>
        <v>0</v>
      </c>
      <c r="U456" s="42">
        <f t="shared" si="188"/>
        <v>0</v>
      </c>
      <c r="V456" s="43">
        <v>16.2</v>
      </c>
      <c r="W456" s="44" t="e">
        <f t="shared" si="189"/>
        <v>#DIV/0!</v>
      </c>
      <c r="X456" s="44" t="e">
        <f t="shared" si="190"/>
        <v>#DIV/0!</v>
      </c>
      <c r="Y456" s="44">
        <v>0.038</v>
      </c>
      <c r="Z456" s="46">
        <v>0.09</v>
      </c>
      <c r="AA456" s="46">
        <v>0.049</v>
      </c>
      <c r="AB456" s="46" t="e">
        <f t="shared" si="178"/>
        <v>#DIV/0!</v>
      </c>
      <c r="AC456" s="46">
        <v>0.08</v>
      </c>
      <c r="AF456" s="48" t="s">
        <v>102</v>
      </c>
      <c r="AG456" s="39">
        <f t="shared" si="208"/>
        <v>0</v>
      </c>
      <c r="AH456" s="39">
        <f t="shared" si="209"/>
        <v>0</v>
      </c>
      <c r="AI456" s="39">
        <f t="shared" si="210"/>
        <v>0</v>
      </c>
      <c r="AJ456" s="39">
        <f t="shared" si="211"/>
        <v>0</v>
      </c>
      <c r="AK456" s="39">
        <f t="shared" si="212"/>
        <v>0</v>
      </c>
      <c r="AL456" s="39">
        <f t="shared" si="213"/>
        <v>0</v>
      </c>
      <c r="AM456" s="39">
        <f t="shared" si="214"/>
        <v>0</v>
      </c>
      <c r="AN456" s="39">
        <f t="shared" si="215"/>
        <v>0</v>
      </c>
    </row>
    <row r="457" ht="39.15" hidden="1" customHeight="1" spans="1:40">
      <c r="A457" s="39" t="str">
        <f>_xlfn.XLOOKUP(F457,'6月产品包'!B:B,'6月产品包'!F:F)</f>
        <v>3C数码</v>
      </c>
      <c r="B457" s="39" t="str">
        <f>_xlfn.XLOOKUP(F457,'6月产品包'!B:B,'6月产品包'!G:G)</f>
        <v>电脑周边</v>
      </c>
      <c r="C457" s="37" t="str">
        <f>_xlfn.XLOOKUP(F457,'6月产品包'!B:B,'6月产品包'!H:H)</f>
        <v>显示器支架</v>
      </c>
      <c r="D457" s="38" t="str">
        <f>_xlfn.XLOOKUP(F457,'6月产品包'!B:B,'6月产品包'!O:O)</f>
        <v>双臂显示器支架MS012</v>
      </c>
      <c r="E457" s="38" t="str">
        <f>_xlfn.XLOOKUP(F457,'6月产品包'!B:B,'6月产品包'!C:C)</f>
        <v>3C-双臂显示器支架银色MS012</v>
      </c>
      <c r="F457" s="39" t="s">
        <v>863</v>
      </c>
      <c r="H457" s="39" t="s">
        <v>101</v>
      </c>
      <c r="I457" s="39" t="str">
        <f>_xlfn.XLOOKUP($F457,'6月库存'!A:A,'6月库存'!B:B)</f>
        <v>等待开发</v>
      </c>
      <c r="K457" s="39" t="e">
        <f>_xlfn.XLOOKUP(E457,'[1]6月分配 '!$B:$B,'[1]6月分配 '!$K:$K)</f>
        <v>#N/A</v>
      </c>
      <c r="L457" s="12" t="str">
        <f t="shared" si="191"/>
        <v>否</v>
      </c>
      <c r="M457" s="40" t="str">
        <f>_xlfn.XLOOKUP(F457,'6月产品包'!B:B,'6月产品包'!J:J)</f>
        <v>2026-05-05</v>
      </c>
      <c r="N457" s="39" t="s">
        <v>149</v>
      </c>
      <c r="O457" s="37">
        <f>_xlfn.XLOOKUP(F457,'6月库存'!A:A,'6月库存'!R:R)</f>
        <v>0</v>
      </c>
      <c r="P457" s="39">
        <f>_xlfn.XLOOKUP(F457,'6月产品包'!B:B,'6月产品包'!S:S)</f>
        <v>5461</v>
      </c>
      <c r="R457" s="41">
        <f>_xlfn.XLOOKUP(F457,'6月产品包'!B:B,'6月产品包'!AD:AD)</f>
        <v>76.1076</v>
      </c>
      <c r="S457" s="39"/>
      <c r="T457" s="39">
        <f t="shared" si="187"/>
        <v>0</v>
      </c>
      <c r="U457" s="42">
        <f t="shared" si="188"/>
        <v>0</v>
      </c>
      <c r="V457" s="43">
        <v>17.2</v>
      </c>
      <c r="W457" s="44" t="e">
        <f t="shared" si="189"/>
        <v>#DIV/0!</v>
      </c>
      <c r="X457" s="44" t="e">
        <f t="shared" si="190"/>
        <v>#DIV/0!</v>
      </c>
      <c r="Y457" s="44">
        <v>0.038</v>
      </c>
      <c r="Z457" s="46">
        <v>0.09</v>
      </c>
      <c r="AA457" s="46">
        <v>0.049</v>
      </c>
      <c r="AB457" s="46" t="e">
        <f t="shared" si="178"/>
        <v>#DIV/0!</v>
      </c>
      <c r="AC457" s="46">
        <v>0.08</v>
      </c>
      <c r="AF457" s="48" t="s">
        <v>102</v>
      </c>
      <c r="AG457" s="39">
        <f t="shared" si="208"/>
        <v>0</v>
      </c>
      <c r="AH457" s="39">
        <f t="shared" si="209"/>
        <v>0</v>
      </c>
      <c r="AI457" s="39">
        <f t="shared" si="210"/>
        <v>0</v>
      </c>
      <c r="AJ457" s="39">
        <f t="shared" si="211"/>
        <v>0</v>
      </c>
      <c r="AK457" s="39">
        <f t="shared" si="212"/>
        <v>0</v>
      </c>
      <c r="AL457" s="39">
        <f t="shared" si="213"/>
        <v>0</v>
      </c>
      <c r="AM457" s="39">
        <f t="shared" si="214"/>
        <v>0</v>
      </c>
      <c r="AN457" s="39">
        <f t="shared" si="215"/>
        <v>0</v>
      </c>
    </row>
    <row r="458" ht="39.15" hidden="1" customHeight="1" spans="1:40">
      <c r="A458" s="39" t="str">
        <f>_xlfn.XLOOKUP(F458,'6月产品包'!B:B,'6月产品包'!F:F)</f>
        <v>3C数码</v>
      </c>
      <c r="B458" s="39" t="str">
        <f>_xlfn.XLOOKUP(F458,'6月产品包'!B:B,'6月产品包'!G:G)</f>
        <v>影像摄影</v>
      </c>
      <c r="C458" s="37" t="str">
        <f>_xlfn.XLOOKUP(F458,'6月产品包'!B:B,'6月产品包'!H:H)</f>
        <v>投影幕布</v>
      </c>
      <c r="D458" s="38" t="str">
        <f>_xlfn.XLOOKUP(F458,'6月产品包'!B:B,'6月产品包'!O:O)</f>
        <v>便携式壁挂支架幕布</v>
      </c>
      <c r="E458" s="38" t="str">
        <f>_xlfn.XLOOKUP(F458,'6月产品包'!B:B,'6月产品包'!C:C)</f>
        <v>3C-60英寸16比9便携式壁挂支架幕布</v>
      </c>
      <c r="F458" s="39" t="s">
        <v>864</v>
      </c>
      <c r="H458" s="39" t="s">
        <v>101</v>
      </c>
      <c r="I458" s="39" t="str">
        <f>_xlfn.XLOOKUP($F458,'6月库存'!A:A,'6月库存'!B:B)</f>
        <v>等待开发</v>
      </c>
      <c r="K458" s="39" t="e">
        <f>_xlfn.XLOOKUP(E458,'[1]6月分配 '!$B:$B,'[1]6月分配 '!$K:$K)</f>
        <v>#N/A</v>
      </c>
      <c r="L458" s="12" t="str">
        <f t="shared" si="191"/>
        <v>否</v>
      </c>
      <c r="M458" s="40" t="str">
        <f>_xlfn.XLOOKUP(F458,'6月产品包'!B:B,'6月产品包'!J:J)</f>
        <v>2026-05-05</v>
      </c>
      <c r="N458" s="39" t="s">
        <v>149</v>
      </c>
      <c r="O458" s="37">
        <f>_xlfn.XLOOKUP(F458,'6月库存'!A:A,'6月库存'!R:R)</f>
        <v>0</v>
      </c>
      <c r="P458" s="39">
        <f>_xlfn.XLOOKUP(F458,'6月产品包'!B:B,'6月产品包'!S:S)</f>
        <v>7130</v>
      </c>
      <c r="R458" s="41">
        <f>_xlfn.XLOOKUP(F458,'6月产品包'!B:B,'6月产品包'!AD:AD)</f>
        <v>43.1172</v>
      </c>
      <c r="S458" s="39">
        <v>86</v>
      </c>
      <c r="T458" s="39">
        <f t="shared" si="187"/>
        <v>108</v>
      </c>
      <c r="U458" s="42">
        <f t="shared" si="188"/>
        <v>86.4</v>
      </c>
      <c r="V458" s="43">
        <v>18.2</v>
      </c>
      <c r="W458" s="44">
        <f t="shared" si="189"/>
        <v>0.500958333333333</v>
      </c>
      <c r="X458" s="44">
        <f t="shared" si="190"/>
        <v>0.32264449722882</v>
      </c>
      <c r="Y458" s="44">
        <v>0.038</v>
      </c>
      <c r="Z458" s="46">
        <v>0.09</v>
      </c>
      <c r="AA458" s="46">
        <v>0.049</v>
      </c>
      <c r="AB458" s="46">
        <f t="shared" si="178"/>
        <v>0.00625</v>
      </c>
      <c r="AC458" s="46">
        <v>0.08</v>
      </c>
      <c r="AF458" s="48" t="s">
        <v>102</v>
      </c>
      <c r="AG458" s="39">
        <f t="shared" si="208"/>
        <v>5.184</v>
      </c>
      <c r="AH458" s="39">
        <f t="shared" si="209"/>
        <v>5.184</v>
      </c>
      <c r="AI458" s="39">
        <f t="shared" si="210"/>
        <v>0</v>
      </c>
      <c r="AJ458" s="39">
        <f t="shared" si="211"/>
        <v>0</v>
      </c>
      <c r="AK458" s="39">
        <f t="shared" si="212"/>
        <v>0</v>
      </c>
      <c r="AL458" s="39">
        <f t="shared" si="213"/>
        <v>0</v>
      </c>
      <c r="AM458" s="39">
        <f t="shared" si="214"/>
        <v>0</v>
      </c>
      <c r="AN458" s="39">
        <f t="shared" si="215"/>
        <v>0</v>
      </c>
    </row>
    <row r="459" ht="39.15" hidden="1" customHeight="1" spans="1:40">
      <c r="A459" s="39" t="str">
        <f>_xlfn.XLOOKUP(F459,'6月产品包'!B:B,'6月产品包'!F:F)</f>
        <v>3C数码</v>
      </c>
      <c r="B459" s="39" t="str">
        <f>_xlfn.XLOOKUP(F459,'6月产品包'!B:B,'6月产品包'!G:G)</f>
        <v>影像摄影</v>
      </c>
      <c r="C459" s="37" t="str">
        <f>_xlfn.XLOOKUP(F459,'6月产品包'!B:B,'6月产品包'!H:H)</f>
        <v>投影幕布</v>
      </c>
      <c r="D459" s="38" t="str">
        <f>_xlfn.XLOOKUP(F459,'6月产品包'!B:B,'6月产品包'!O:O)</f>
        <v>便携式壁挂支架幕布</v>
      </c>
      <c r="E459" s="38" t="str">
        <f>_xlfn.XLOOKUP(F459,'6月产品包'!B:B,'6月产品包'!C:C)</f>
        <v>3C-72英寸16比9便携式壁挂支架幕布</v>
      </c>
      <c r="F459" s="39" t="s">
        <v>865</v>
      </c>
      <c r="H459" s="39" t="s">
        <v>101</v>
      </c>
      <c r="I459" s="39" t="str">
        <f>_xlfn.XLOOKUP($F459,'6月库存'!A:A,'6月库存'!B:B)</f>
        <v>等待开发</v>
      </c>
      <c r="K459" s="39" t="e">
        <f>_xlfn.XLOOKUP(E459,'[1]6月分配 '!$B:$B,'[1]6月分配 '!$K:$K)</f>
        <v>#N/A</v>
      </c>
      <c r="L459" s="12" t="str">
        <f t="shared" si="191"/>
        <v>否</v>
      </c>
      <c r="M459" s="40" t="str">
        <f>_xlfn.XLOOKUP(F459,'6月产品包'!B:B,'6月产品包'!J:J)</f>
        <v>2026-05-05</v>
      </c>
      <c r="N459" s="39" t="s">
        <v>149</v>
      </c>
      <c r="O459" s="37">
        <f>_xlfn.XLOOKUP(F459,'6月库存'!A:A,'6月库存'!R:R)</f>
        <v>0</v>
      </c>
      <c r="P459" s="39">
        <f>_xlfn.XLOOKUP(F459,'6月产品包'!B:B,'6月产品包'!S:S)</f>
        <v>7640</v>
      </c>
      <c r="R459" s="41">
        <f>_xlfn.XLOOKUP(F459,'6月产品包'!B:B,'6月产品包'!AD:AD)</f>
        <v>48.865</v>
      </c>
      <c r="S459" s="39">
        <v>95</v>
      </c>
      <c r="T459" s="39">
        <f t="shared" si="187"/>
        <v>119</v>
      </c>
      <c r="U459" s="42">
        <f t="shared" si="188"/>
        <v>95.2</v>
      </c>
      <c r="V459" s="43">
        <v>19.2</v>
      </c>
      <c r="W459" s="44">
        <f t="shared" si="189"/>
        <v>0.48671218487395</v>
      </c>
      <c r="X459" s="44">
        <f t="shared" si="190"/>
        <v>0.303853912607417</v>
      </c>
      <c r="Y459" s="44">
        <v>0.038</v>
      </c>
      <c r="Z459" s="46">
        <v>0.09</v>
      </c>
      <c r="AA459" s="46">
        <v>0.049</v>
      </c>
      <c r="AB459" s="46">
        <f t="shared" si="178"/>
        <v>0.00567226890756303</v>
      </c>
      <c r="AC459" s="46">
        <v>0.08</v>
      </c>
      <c r="AF459" s="48" t="s">
        <v>102</v>
      </c>
      <c r="AG459" s="39">
        <f t="shared" si="208"/>
        <v>5.712</v>
      </c>
      <c r="AH459" s="39">
        <f t="shared" si="209"/>
        <v>5.712</v>
      </c>
      <c r="AI459" s="39">
        <f t="shared" si="210"/>
        <v>0</v>
      </c>
      <c r="AJ459" s="39">
        <f t="shared" si="211"/>
        <v>0</v>
      </c>
      <c r="AK459" s="39">
        <f t="shared" si="212"/>
        <v>0</v>
      </c>
      <c r="AL459" s="39">
        <f t="shared" si="213"/>
        <v>0</v>
      </c>
      <c r="AM459" s="39">
        <f t="shared" si="214"/>
        <v>0</v>
      </c>
      <c r="AN459" s="39">
        <f t="shared" si="215"/>
        <v>0</v>
      </c>
    </row>
    <row r="460" ht="39.15" hidden="1" customHeight="1" spans="1:40">
      <c r="B460" s="39" t="str">
        <f>_xlfn.XLOOKUP(F460,'6月产品包'!B:B,'6月产品包'!G:G)</f>
        <v>电视设备</v>
      </c>
      <c r="C460" s="37" t="str">
        <f>_xlfn.XLOOKUP(F460,'6月产品包'!B:B,'6月产品包'!H:H)</f>
        <v>机顶盒</v>
      </c>
      <c r="D460" s="38" t="str">
        <f>_xlfn.XLOOKUP(F460,'6月产品包'!B:B,'6月产品包'!O:O)</f>
        <v>机顶盒</v>
      </c>
      <c r="E460" s="63" t="str">
        <f>_xlfn.XLOOKUP(F460,'6月产品包'!B:B,'6月产品包'!C:C)</f>
        <v>3C-蓝牙语音机顶盒</v>
      </c>
      <c r="F460" s="39" t="s">
        <v>866</v>
      </c>
      <c r="K460" s="39" t="e">
        <f>_xlfn.XLOOKUP(E460,'[1]6月分配 '!$B:$B,'[1]6月分配 '!$K:$K)</f>
        <v>#N/A</v>
      </c>
      <c r="L460" s="12" t="str">
        <f t="shared" si="191"/>
        <v>否</v>
      </c>
      <c r="M460" s="40" t="str">
        <f>_xlfn.XLOOKUP(F460,'6月产品包'!B:B,'6月产品包'!J:J)</f>
        <v>2024-05-23</v>
      </c>
      <c r="N460" s="39" t="str">
        <f ca="1" t="shared" ref="N460:N462" si="216">IF(DATEDIF(M460,TODAY(),"m")&lt;6,"新品","老品")</f>
        <v>老品</v>
      </c>
      <c r="O460" s="37">
        <f>_xlfn.XLOOKUP(F460,'6月库存'!A:A,'6月库存'!R:R)</f>
        <v>0</v>
      </c>
      <c r="P460" s="39">
        <f>_xlfn.XLOOKUP(F460,'6月产品包'!B:B,'6月产品包'!S:S)</f>
        <v>325</v>
      </c>
      <c r="Q460" s="39"/>
      <c r="R460" s="41">
        <f>_xlfn.XLOOKUP(F460,'6月产品包'!B:B,'6月产品包'!AD:AD)</f>
        <v>42.9258</v>
      </c>
      <c r="S460" s="39">
        <v>129</v>
      </c>
      <c r="T460" s="39">
        <f t="shared" si="187"/>
        <v>161</v>
      </c>
      <c r="U460" s="42">
        <f>$T460*(1-0.25)</f>
        <v>120.75</v>
      </c>
      <c r="V460" s="43">
        <v>0.25</v>
      </c>
      <c r="W460" s="44">
        <f t="shared" si="189"/>
        <v>0.644506832298137</v>
      </c>
      <c r="X460" s="44">
        <f t="shared" si="190"/>
        <v>0.531338077184478</v>
      </c>
      <c r="Y460" s="51">
        <v>0.038</v>
      </c>
      <c r="Z460" s="46">
        <v>0.09</v>
      </c>
      <c r="AA460" s="46">
        <v>0.049</v>
      </c>
      <c r="AB460" s="46">
        <f t="shared" si="178"/>
        <v>0.00447204968944099</v>
      </c>
      <c r="AC460" s="46">
        <v>0.06</v>
      </c>
      <c r="AF460" s="48" t="s">
        <v>102</v>
      </c>
      <c r="AG460" s="39">
        <f t="shared" si="208"/>
        <v>6</v>
      </c>
      <c r="AH460" s="39">
        <f t="shared" si="209"/>
        <v>6</v>
      </c>
      <c r="AI460" s="39">
        <f t="shared" si="210"/>
        <v>0</v>
      </c>
      <c r="AJ460" s="39">
        <f t="shared" si="211"/>
        <v>0</v>
      </c>
      <c r="AK460" s="39">
        <f t="shared" si="212"/>
        <v>0</v>
      </c>
      <c r="AL460" s="39">
        <f t="shared" si="213"/>
        <v>0</v>
      </c>
      <c r="AM460" s="39">
        <f t="shared" si="214"/>
        <v>0</v>
      </c>
      <c r="AN460" s="39">
        <f t="shared" si="215"/>
        <v>0</v>
      </c>
    </row>
    <row r="461" ht="39.15" hidden="1" customHeight="1" spans="1:40">
      <c r="B461" s="39" t="str">
        <f>_xlfn.XLOOKUP(F461,'6月产品包'!B:B,'6月产品包'!G:G)</f>
        <v>影像摄影</v>
      </c>
      <c r="C461" s="37" t="str">
        <f>_xlfn.XLOOKUP(F461,'6月产品包'!B:B,'6月产品包'!H:H)</f>
        <v>家用音视频设备*投影仪</v>
      </c>
      <c r="D461" s="38" t="str">
        <f>_xlfn.XLOOKUP(F461,'6月产品包'!B:B,'6月产品包'!O:O)</f>
        <v>投影仪N21</v>
      </c>
      <c r="E461" s="38" t="str">
        <f>_xlfn.XLOOKUP(F461,'6月产品包'!B:B,'6月产品包'!C:C)</f>
        <v>3C-高亮直投自动对焦灯带投影仪N21米白色</v>
      </c>
      <c r="F461" s="39" t="s">
        <v>867</v>
      </c>
      <c r="K461" s="39" t="e">
        <f>_xlfn.XLOOKUP(E461,'[1]6月分配 '!$B:$B,'[1]6月分配 '!$K:$K)</f>
        <v>#N/A</v>
      </c>
      <c r="L461" s="12" t="str">
        <f t="shared" si="191"/>
        <v>否</v>
      </c>
      <c r="M461" s="40" t="str">
        <f>_xlfn.XLOOKUP(F461,'6月产品包'!B:B,'6月产品包'!J:J)</f>
        <v>2026-05-19</v>
      </c>
      <c r="N461" s="39" t="str">
        <f ca="1" t="shared" si="216"/>
        <v>新品</v>
      </c>
      <c r="O461" s="37">
        <f>_xlfn.XLOOKUP(F461,'6月库存'!A:A,'6月库存'!R:R)</f>
        <v>0</v>
      </c>
      <c r="P461" s="39">
        <f>_xlfn.XLOOKUP(F461,'6月产品包'!B:B,'6月产品包'!S:S)</f>
        <v>1378</v>
      </c>
      <c r="Q461" s="56"/>
      <c r="R461" s="41">
        <f>_xlfn.XLOOKUP(F461,'6月产品包'!B:B,'6月产品包'!AD:AD)</f>
        <v>173.9304</v>
      </c>
      <c r="S461" s="39">
        <v>369</v>
      </c>
      <c r="T461" s="39">
        <f t="shared" si="187"/>
        <v>461</v>
      </c>
      <c r="U461" s="42">
        <f>$T461*(1-0.2)</f>
        <v>368.8</v>
      </c>
      <c r="V461" s="43">
        <v>0.2</v>
      </c>
      <c r="W461" s="44">
        <f t="shared" si="189"/>
        <v>0.528388286334056</v>
      </c>
      <c r="X461" s="44">
        <f t="shared" si="190"/>
        <v>0.320968452219213</v>
      </c>
      <c r="Y461" s="44">
        <v>0.04</v>
      </c>
      <c r="Z461" s="46">
        <v>0.115</v>
      </c>
      <c r="AA461" s="46">
        <v>0.049</v>
      </c>
      <c r="AB461" s="46">
        <f t="shared" si="178"/>
        <v>0.00146420824295011</v>
      </c>
      <c r="AC461" s="46">
        <v>0.1</v>
      </c>
      <c r="AD461" s="44">
        <v>0.08</v>
      </c>
      <c r="AE461" s="44">
        <v>0.05</v>
      </c>
      <c r="AF461" s="48" t="s">
        <v>102</v>
      </c>
      <c r="AG461" s="39">
        <f t="shared" si="208"/>
        <v>19.9152</v>
      </c>
      <c r="AH461" s="39">
        <f t="shared" si="209"/>
        <v>6</v>
      </c>
      <c r="AI461" s="39">
        <f t="shared" si="210"/>
        <v>19.9152</v>
      </c>
      <c r="AJ461" s="39">
        <f t="shared" si="211"/>
        <v>0</v>
      </c>
      <c r="AK461" s="39">
        <f t="shared" si="212"/>
        <v>0</v>
      </c>
      <c r="AL461" s="39">
        <f t="shared" si="213"/>
        <v>0</v>
      </c>
      <c r="AM461" s="39">
        <f t="shared" si="214"/>
        <v>19.9152</v>
      </c>
      <c r="AN461" s="39">
        <f t="shared" si="215"/>
        <v>16.596</v>
      </c>
    </row>
    <row r="462" ht="39.15" hidden="1" customHeight="1" spans="1:40">
      <c r="B462" s="39" t="str">
        <f>_xlfn.XLOOKUP(F462,'6月产品包'!B:B,'6月产品包'!G:G)</f>
        <v>影像摄影</v>
      </c>
      <c r="C462" s="37" t="str">
        <f>_xlfn.XLOOKUP(F462,'6月产品包'!B:B,'6月产品包'!H:H)</f>
        <v>家用音视频设备*投影仪</v>
      </c>
      <c r="D462" s="38" t="str">
        <f>_xlfn.XLOOKUP(F462,'6月产品包'!B:B,'6月产品包'!O:O)</f>
        <v>投影仪V8</v>
      </c>
      <c r="E462" s="38" t="str">
        <f>_xlfn.XLOOKUP(F462,'6月产品包'!B:B,'6月产品包'!C:C)</f>
        <v>3C-高亮手动对焦投影仪V8白色</v>
      </c>
      <c r="F462" s="39" t="s">
        <v>868</v>
      </c>
      <c r="K462" s="39" t="e">
        <f>_xlfn.XLOOKUP(E462,'[1]6月分配 '!$B:$B,'[1]6月分配 '!$K:$K)</f>
        <v>#N/A</v>
      </c>
      <c r="L462" s="12" t="str">
        <f t="shared" si="191"/>
        <v>否</v>
      </c>
      <c r="M462" s="40" t="str">
        <f>_xlfn.XLOOKUP(F462,'6月产品包'!B:B,'6月产品包'!J:J)</f>
        <v>2026-05-19</v>
      </c>
      <c r="N462" s="39" t="str">
        <f ca="1" t="shared" si="216"/>
        <v>新品</v>
      </c>
      <c r="O462" s="37">
        <f>_xlfn.XLOOKUP(F462,'6月库存'!A:A,'6月库存'!R:R)</f>
        <v>0</v>
      </c>
      <c r="P462" s="39">
        <f>_xlfn.XLOOKUP(F462,'6月产品包'!B:B,'6月产品包'!S:S)</f>
        <v>850</v>
      </c>
      <c r="Q462" s="56"/>
      <c r="R462" s="41">
        <f>_xlfn.XLOOKUP(F462,'6月产品包'!B:B,'6月产品包'!AD:AD)</f>
        <v>116.1914</v>
      </c>
      <c r="S462" s="39">
        <v>258</v>
      </c>
      <c r="T462" s="39">
        <f t="shared" si="187"/>
        <v>323</v>
      </c>
      <c r="U462" s="42">
        <f>$T462*(1-0.2)</f>
        <v>258.4</v>
      </c>
      <c r="V462" s="43">
        <v>0.2</v>
      </c>
      <c r="W462" s="44">
        <f t="shared" si="189"/>
        <v>0.550342879256966</v>
      </c>
      <c r="X462" s="44">
        <f t="shared" si="190"/>
        <v>0.351995243895366</v>
      </c>
      <c r="Y462" s="44">
        <v>0.04</v>
      </c>
      <c r="Z462" s="46">
        <v>0.115</v>
      </c>
      <c r="AA462" s="46">
        <v>0.049</v>
      </c>
      <c r="AB462" s="46">
        <f t="shared" si="178"/>
        <v>0.00208978328173375</v>
      </c>
      <c r="AC462" s="46">
        <v>0.1</v>
      </c>
      <c r="AD462" s="44">
        <v>0.08</v>
      </c>
      <c r="AE462" s="44">
        <v>0.05</v>
      </c>
      <c r="AF462" s="48" t="s">
        <v>102</v>
      </c>
      <c r="AG462" s="39">
        <f t="shared" si="208"/>
        <v>13.9536</v>
      </c>
      <c r="AH462" s="39">
        <f t="shared" si="209"/>
        <v>6</v>
      </c>
      <c r="AI462" s="39">
        <f t="shared" si="210"/>
        <v>13.9536</v>
      </c>
      <c r="AJ462" s="39">
        <f t="shared" si="211"/>
        <v>0</v>
      </c>
      <c r="AK462" s="39">
        <f t="shared" si="212"/>
        <v>0</v>
      </c>
      <c r="AL462" s="39">
        <f t="shared" si="213"/>
        <v>0</v>
      </c>
      <c r="AM462" s="39">
        <f t="shared" si="214"/>
        <v>13.9536</v>
      </c>
      <c r="AN462" s="39">
        <f t="shared" si="215"/>
        <v>11.628</v>
      </c>
    </row>
  </sheetData>
  <sheetProtection formatCells="0" formatColumns="0" formatRows="0" insertRows="0" insertColumns="0" insertHyperlinks="0" deleteColumns="0" deleteRows="0" sort="0" autoFilter="0" pivotTables="0"/>
  <autoFilter xmlns:etc="http://www.wps.cn/officeDocument/2017/etCustomData" ref="A2:AN462" etc:filterBottomFollowUsedRange="1">
    <filterColumn colId="5">
      <filters>
        <filter val="T2CC1120040"/>
      </filters>
    </filterColumn>
    <filterColumn colId="31">
      <filters>
        <filter val="原价进"/>
      </filters>
    </filterColumn>
    <sortState ref="A2:AN462">
      <sortCondition ref="K2" descending="1"/>
    </sortState>
    <extLst/>
  </autoFilter>
  <mergeCells count="3">
    <mergeCell ref="A1:I1"/>
    <mergeCell ref="J1:Q1"/>
    <mergeCell ref="R1:X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I481"/>
  <sheetViews>
    <sheetView workbookViewId="0">
      <selection activeCell="B45" sqref="B45:B46"/>
    </sheetView>
  </sheetViews>
  <sheetFormatPr defaultColWidth="9" defaultRowHeight="11.25"/>
  <cols>
    <col min="1" max="1" width="9" style="3"/>
    <col min="2" max="2" width="14.625" style="3" customWidth="1"/>
    <col min="3" max="3" width="33.625" style="3" customWidth="1"/>
    <col min="4" max="29" width="9" style="3"/>
    <col min="30" max="30" width="13.375" style="3" customWidth="1"/>
    <col min="31" max="31" width="10.125" style="3"/>
    <col min="32" max="32" width="9.625" style="3"/>
    <col min="33" max="34" width="11.125" style="3"/>
    <col min="35" max="16384" width="9" style="3"/>
  </cols>
  <sheetData>
    <row r="1" spans="1:35">
      <c r="A1" s="4" t="s">
        <v>869</v>
      </c>
      <c r="B1" s="4" t="s">
        <v>2</v>
      </c>
      <c r="C1" s="4" t="s">
        <v>1</v>
      </c>
      <c r="D1" s="4" t="s">
        <v>870</v>
      </c>
      <c r="E1" s="4" t="s">
        <v>871</v>
      </c>
      <c r="F1" s="4" t="s">
        <v>66</v>
      </c>
      <c r="G1" s="4" t="s">
        <v>67</v>
      </c>
      <c r="H1" s="4" t="s">
        <v>872</v>
      </c>
      <c r="I1" s="4" t="s">
        <v>873</v>
      </c>
      <c r="J1" s="4" t="s">
        <v>75</v>
      </c>
      <c r="K1" s="4" t="s">
        <v>874</v>
      </c>
      <c r="L1" s="4" t="s">
        <v>875</v>
      </c>
      <c r="M1" s="4" t="s">
        <v>72</v>
      </c>
      <c r="N1" s="4" t="s">
        <v>876</v>
      </c>
      <c r="O1" s="4" t="s">
        <v>69</v>
      </c>
      <c r="P1" s="4" t="s">
        <v>877</v>
      </c>
      <c r="Q1" s="4" t="s">
        <v>878</v>
      </c>
      <c r="R1" s="4" t="s">
        <v>879</v>
      </c>
      <c r="S1" s="4" t="s">
        <v>880</v>
      </c>
      <c r="T1" s="4" t="s">
        <v>881</v>
      </c>
      <c r="U1" s="4" t="s">
        <v>882</v>
      </c>
      <c r="V1" s="4" t="s">
        <v>883</v>
      </c>
      <c r="W1" s="4" t="s">
        <v>884</v>
      </c>
      <c r="X1" s="4" t="s">
        <v>885</v>
      </c>
      <c r="Y1" s="4" t="s">
        <v>886</v>
      </c>
      <c r="Z1" s="4" t="s">
        <v>887</v>
      </c>
      <c r="AA1" s="4" t="s">
        <v>888</v>
      </c>
      <c r="AB1" s="4" t="s">
        <v>889</v>
      </c>
      <c r="AC1" s="4" t="s">
        <v>890</v>
      </c>
      <c r="AD1" s="4" t="s">
        <v>891</v>
      </c>
      <c r="AE1" s="4" t="s">
        <v>892</v>
      </c>
      <c r="AF1" s="4" t="s">
        <v>893</v>
      </c>
      <c r="AG1" s="4" t="s">
        <v>894</v>
      </c>
      <c r="AH1" s="4" t="s">
        <v>895</v>
      </c>
      <c r="AI1" s="4" t="s">
        <v>896</v>
      </c>
    </row>
    <row r="2" hidden="1" spans="1:35">
      <c r="A2" s="5" t="s">
        <v>897</v>
      </c>
      <c r="B2" s="5" t="s">
        <v>157</v>
      </c>
      <c r="C2" s="5" t="s">
        <v>156</v>
      </c>
      <c r="D2" s="5" t="s">
        <v>898</v>
      </c>
      <c r="E2" s="5" t="s">
        <v>899</v>
      </c>
      <c r="F2" s="5" t="s">
        <v>96</v>
      </c>
      <c r="G2" s="5" t="s">
        <v>97</v>
      </c>
      <c r="H2" s="5" t="s">
        <v>900</v>
      </c>
      <c r="I2" s="5" t="s">
        <v>901</v>
      </c>
      <c r="J2" s="5" t="s">
        <v>901</v>
      </c>
      <c r="K2" s="5">
        <v>42</v>
      </c>
      <c r="L2" s="5"/>
      <c r="M2" s="5" t="s">
        <v>902</v>
      </c>
      <c r="N2" s="5" t="s">
        <v>903</v>
      </c>
      <c r="O2" s="5" t="s">
        <v>904</v>
      </c>
      <c r="P2" s="5" t="s">
        <v>905</v>
      </c>
      <c r="Q2" s="5" t="s">
        <v>906</v>
      </c>
      <c r="R2" s="5">
        <v>250</v>
      </c>
      <c r="S2" s="5">
        <v>300</v>
      </c>
      <c r="T2" s="5">
        <v>1.3</v>
      </c>
      <c r="U2" s="5">
        <v>44</v>
      </c>
      <c r="V2" s="5">
        <v>32.5</v>
      </c>
      <c r="W2" s="5">
        <v>40</v>
      </c>
      <c r="X2" s="5" t="s">
        <v>907</v>
      </c>
      <c r="Y2" s="5" t="s">
        <v>908</v>
      </c>
      <c r="Z2" s="5">
        <v>363</v>
      </c>
      <c r="AA2" s="5" t="s">
        <v>909</v>
      </c>
      <c r="AB2" s="5">
        <v>93.44</v>
      </c>
      <c r="AC2" s="5">
        <v>0.58</v>
      </c>
      <c r="AD2" s="5">
        <v>54.1952</v>
      </c>
      <c r="AE2" s="5">
        <v>67.744</v>
      </c>
      <c r="AF2" s="5">
        <v>72.2603</v>
      </c>
      <c r="AG2" s="5">
        <v>83.3772</v>
      </c>
      <c r="AH2" s="5">
        <v>98.5367</v>
      </c>
      <c r="AI2" s="5"/>
    </row>
    <row r="3" hidden="1" spans="1:35">
      <c r="A3" s="5" t="s">
        <v>897</v>
      </c>
      <c r="B3" s="5" t="s">
        <v>845</v>
      </c>
      <c r="C3" s="5" t="s">
        <v>844</v>
      </c>
      <c r="D3" s="5" t="s">
        <v>910</v>
      </c>
      <c r="E3" s="5" t="s">
        <v>899</v>
      </c>
      <c r="F3" s="5" t="s">
        <v>96</v>
      </c>
      <c r="G3" s="5" t="s">
        <v>97</v>
      </c>
      <c r="H3" s="5" t="s">
        <v>900</v>
      </c>
      <c r="I3" s="5" t="s">
        <v>911</v>
      </c>
      <c r="J3" s="5" t="s">
        <v>911</v>
      </c>
      <c r="K3" s="5">
        <v>42</v>
      </c>
      <c r="L3" s="5"/>
      <c r="M3" s="5" t="s">
        <v>902</v>
      </c>
      <c r="N3" s="5" t="s">
        <v>912</v>
      </c>
      <c r="O3" s="5" t="s">
        <v>913</v>
      </c>
      <c r="P3" s="5" t="s">
        <v>914</v>
      </c>
      <c r="Q3" s="5" t="s">
        <v>915</v>
      </c>
      <c r="R3" s="5">
        <v>100</v>
      </c>
      <c r="S3" s="5">
        <v>150</v>
      </c>
      <c r="T3" s="5">
        <v>0.6</v>
      </c>
      <c r="U3" s="5">
        <v>27</v>
      </c>
      <c r="V3" s="5">
        <v>29.5</v>
      </c>
      <c r="W3" s="5">
        <v>100</v>
      </c>
      <c r="X3" s="5" t="s">
        <v>907</v>
      </c>
      <c r="Y3" s="5" t="s">
        <v>908</v>
      </c>
      <c r="Z3" s="5">
        <v>1</v>
      </c>
      <c r="AA3" s="5" t="s">
        <v>909</v>
      </c>
      <c r="AB3" s="5">
        <v>61.59</v>
      </c>
      <c r="AC3" s="5">
        <v>0.58</v>
      </c>
      <c r="AD3" s="5">
        <v>35.7222</v>
      </c>
      <c r="AE3" s="5">
        <v>44.6527</v>
      </c>
      <c r="AF3" s="5">
        <v>47.6296</v>
      </c>
      <c r="AG3" s="5">
        <v>54.9572</v>
      </c>
      <c r="AH3" s="5">
        <v>64.9495</v>
      </c>
      <c r="AI3" s="5"/>
    </row>
    <row r="4" hidden="1" spans="1:35">
      <c r="A4" s="5" t="s">
        <v>897</v>
      </c>
      <c r="B4" s="5" t="s">
        <v>137</v>
      </c>
      <c r="C4" s="5" t="s">
        <v>136</v>
      </c>
      <c r="D4" s="5" t="s">
        <v>916</v>
      </c>
      <c r="E4" s="5" t="s">
        <v>899</v>
      </c>
      <c r="F4" s="5" t="s">
        <v>96</v>
      </c>
      <c r="G4" s="5" t="s">
        <v>115</v>
      </c>
      <c r="H4" s="5" t="s">
        <v>917</v>
      </c>
      <c r="I4" s="5" t="s">
        <v>918</v>
      </c>
      <c r="J4" s="5" t="s">
        <v>918</v>
      </c>
      <c r="K4" s="5">
        <v>42</v>
      </c>
      <c r="L4" s="5"/>
      <c r="M4" s="5" t="s">
        <v>919</v>
      </c>
      <c r="N4" s="5" t="s">
        <v>920</v>
      </c>
      <c r="O4" s="5" t="s">
        <v>921</v>
      </c>
      <c r="P4" s="5" t="s">
        <v>922</v>
      </c>
      <c r="Q4" s="5" t="s">
        <v>923</v>
      </c>
      <c r="R4" s="5">
        <v>207</v>
      </c>
      <c r="S4" s="5">
        <v>466</v>
      </c>
      <c r="T4" s="5">
        <v>2.4</v>
      </c>
      <c r="U4" s="5">
        <v>43.5</v>
      </c>
      <c r="V4" s="5">
        <v>30.5</v>
      </c>
      <c r="W4" s="5">
        <v>20</v>
      </c>
      <c r="X4" s="5" t="s">
        <v>907</v>
      </c>
      <c r="Y4" s="5" t="s">
        <v>908</v>
      </c>
      <c r="Z4" s="5">
        <v>2246</v>
      </c>
      <c r="AA4" s="5" t="s">
        <v>909</v>
      </c>
      <c r="AB4" s="5">
        <v>76.15</v>
      </c>
      <c r="AC4" s="5">
        <v>0.58</v>
      </c>
      <c r="AD4" s="5">
        <v>44.167</v>
      </c>
      <c r="AE4" s="5">
        <v>55.2087</v>
      </c>
      <c r="AF4" s="5">
        <v>58.8893</v>
      </c>
      <c r="AG4" s="5">
        <v>67.9492</v>
      </c>
      <c r="AH4" s="5">
        <v>80.3036</v>
      </c>
      <c r="AI4" s="5"/>
    </row>
    <row r="5" hidden="1" spans="1:35">
      <c r="A5" s="5" t="s">
        <v>897</v>
      </c>
      <c r="B5" s="5" t="s">
        <v>924</v>
      </c>
      <c r="C5" s="5" t="s">
        <v>925</v>
      </c>
      <c r="D5" s="5" t="s">
        <v>926</v>
      </c>
      <c r="E5" s="5" t="s">
        <v>899</v>
      </c>
      <c r="F5" s="5" t="s">
        <v>108</v>
      </c>
      <c r="G5" s="5" t="s">
        <v>927</v>
      </c>
      <c r="H5" s="5" t="s">
        <v>928</v>
      </c>
      <c r="I5" s="5" t="s">
        <v>929</v>
      </c>
      <c r="J5" s="5" t="s">
        <v>929</v>
      </c>
      <c r="K5" s="5">
        <v>42</v>
      </c>
      <c r="L5" s="5"/>
      <c r="M5" s="5" t="s">
        <v>902</v>
      </c>
      <c r="N5" s="5" t="s">
        <v>930</v>
      </c>
      <c r="O5" s="5" t="s">
        <v>931</v>
      </c>
      <c r="P5" s="5" t="s">
        <v>932</v>
      </c>
      <c r="Q5" s="5" t="s">
        <v>933</v>
      </c>
      <c r="R5" s="5">
        <v>827</v>
      </c>
      <c r="S5" s="5">
        <v>1358</v>
      </c>
      <c r="T5" s="5">
        <v>3.71</v>
      </c>
      <c r="U5" s="5">
        <v>42</v>
      </c>
      <c r="V5" s="5">
        <v>40</v>
      </c>
      <c r="W5" s="5">
        <v>12</v>
      </c>
      <c r="X5" s="5" t="s">
        <v>907</v>
      </c>
      <c r="Y5" s="5" t="s">
        <v>908</v>
      </c>
      <c r="Z5" s="5">
        <v>0</v>
      </c>
      <c r="AA5" s="5" t="s">
        <v>909</v>
      </c>
      <c r="AB5" s="5">
        <v>259.08</v>
      </c>
      <c r="AC5" s="5">
        <v>0.58</v>
      </c>
      <c r="AD5" s="5">
        <v>150.2664</v>
      </c>
      <c r="AE5" s="5">
        <v>187.833</v>
      </c>
      <c r="AF5" s="5">
        <v>200.3552</v>
      </c>
      <c r="AG5" s="5">
        <v>231.1791</v>
      </c>
      <c r="AH5" s="5">
        <v>273.2116</v>
      </c>
      <c r="AI5" s="5"/>
    </row>
    <row r="6" hidden="1" spans="1:35">
      <c r="A6" s="5" t="s">
        <v>897</v>
      </c>
      <c r="B6" s="5" t="s">
        <v>361</v>
      </c>
      <c r="C6" s="5" t="s">
        <v>360</v>
      </c>
      <c r="D6" s="5" t="s">
        <v>934</v>
      </c>
      <c r="E6" s="5" t="s">
        <v>899</v>
      </c>
      <c r="F6" s="5" t="s">
        <v>96</v>
      </c>
      <c r="G6" s="5" t="s">
        <v>115</v>
      </c>
      <c r="H6" s="5" t="s">
        <v>935</v>
      </c>
      <c r="I6" s="5" t="s">
        <v>936</v>
      </c>
      <c r="J6" s="5" t="s">
        <v>936</v>
      </c>
      <c r="K6" s="5">
        <v>30</v>
      </c>
      <c r="L6" s="5"/>
      <c r="M6" s="5" t="s">
        <v>919</v>
      </c>
      <c r="N6" s="5" t="s">
        <v>937</v>
      </c>
      <c r="O6" s="5" t="s">
        <v>938</v>
      </c>
      <c r="P6" s="5" t="s">
        <v>939</v>
      </c>
      <c r="Q6" s="5" t="s">
        <v>940</v>
      </c>
      <c r="R6" s="5">
        <v>325</v>
      </c>
      <c r="S6" s="5">
        <v>625</v>
      </c>
      <c r="T6" s="5">
        <v>1.4</v>
      </c>
      <c r="U6" s="5">
        <v>51.5</v>
      </c>
      <c r="V6" s="5">
        <v>39.5</v>
      </c>
      <c r="W6" s="5">
        <v>36</v>
      </c>
      <c r="X6" s="5" t="s">
        <v>907</v>
      </c>
      <c r="Y6" s="5" t="s">
        <v>908</v>
      </c>
      <c r="Z6" s="5">
        <v>900</v>
      </c>
      <c r="AA6" s="5" t="s">
        <v>909</v>
      </c>
      <c r="AB6" s="5">
        <v>49.49</v>
      </c>
      <c r="AC6" s="5">
        <v>0.58</v>
      </c>
      <c r="AD6" s="5">
        <v>28.7042</v>
      </c>
      <c r="AE6" s="5">
        <v>35.8802</v>
      </c>
      <c r="AF6" s="5">
        <v>38.2723</v>
      </c>
      <c r="AG6" s="5">
        <v>44.1603</v>
      </c>
      <c r="AH6" s="5">
        <v>52.1895</v>
      </c>
      <c r="AI6" s="5"/>
    </row>
    <row r="7" hidden="1" spans="1:35">
      <c r="A7" s="5" t="s">
        <v>897</v>
      </c>
      <c r="B7" s="5" t="s">
        <v>807</v>
      </c>
      <c r="C7" s="5" t="s">
        <v>806</v>
      </c>
      <c r="D7" s="5" t="s">
        <v>941</v>
      </c>
      <c r="E7" s="5" t="s">
        <v>899</v>
      </c>
      <c r="F7" s="5" t="s">
        <v>96</v>
      </c>
      <c r="G7" s="5" t="s">
        <v>103</v>
      </c>
      <c r="H7" s="5" t="s">
        <v>942</v>
      </c>
      <c r="I7" s="5" t="s">
        <v>943</v>
      </c>
      <c r="J7" s="5" t="s">
        <v>943</v>
      </c>
      <c r="K7" s="5">
        <v>30</v>
      </c>
      <c r="L7" s="5" t="s">
        <v>909</v>
      </c>
      <c r="M7" s="5" t="s">
        <v>902</v>
      </c>
      <c r="N7" s="5" t="s">
        <v>944</v>
      </c>
      <c r="O7" s="5" t="s">
        <v>945</v>
      </c>
      <c r="P7" s="5" t="s">
        <v>946</v>
      </c>
      <c r="Q7" s="5" t="s">
        <v>947</v>
      </c>
      <c r="R7" s="5">
        <v>360</v>
      </c>
      <c r="S7" s="5">
        <v>380</v>
      </c>
      <c r="T7" s="5">
        <v>0.6</v>
      </c>
      <c r="U7" s="5">
        <v>42.5</v>
      </c>
      <c r="V7" s="5">
        <v>30.5</v>
      </c>
      <c r="W7" s="5">
        <v>75</v>
      </c>
      <c r="X7" s="5" t="s">
        <v>948</v>
      </c>
      <c r="Y7" s="5" t="s">
        <v>908</v>
      </c>
      <c r="Z7" s="5">
        <v>2</v>
      </c>
      <c r="AA7" s="5" t="s">
        <v>909</v>
      </c>
      <c r="AB7" s="5">
        <v>66.1</v>
      </c>
      <c r="AC7" s="5">
        <v>0.58</v>
      </c>
      <c r="AD7" s="5">
        <v>38.338</v>
      </c>
      <c r="AE7" s="5">
        <v>47.9225</v>
      </c>
      <c r="AF7" s="5">
        <v>51.1173</v>
      </c>
      <c r="AG7" s="5">
        <v>58.9815</v>
      </c>
      <c r="AH7" s="5">
        <v>69.7055</v>
      </c>
      <c r="AI7" s="5"/>
    </row>
    <row r="8" hidden="1" spans="1:35">
      <c r="A8" s="5" t="s">
        <v>897</v>
      </c>
      <c r="B8" s="5" t="s">
        <v>338</v>
      </c>
      <c r="C8" s="5" t="s">
        <v>949</v>
      </c>
      <c r="D8" s="5" t="s">
        <v>950</v>
      </c>
      <c r="E8" s="5" t="s">
        <v>899</v>
      </c>
      <c r="F8" s="5" t="s">
        <v>108</v>
      </c>
      <c r="G8" s="5" t="s">
        <v>927</v>
      </c>
      <c r="H8" s="5" t="s">
        <v>928</v>
      </c>
      <c r="I8" s="5" t="s">
        <v>951</v>
      </c>
      <c r="J8" s="5" t="s">
        <v>951</v>
      </c>
      <c r="K8" s="5">
        <v>30</v>
      </c>
      <c r="L8" s="5"/>
      <c r="M8" s="5" t="s">
        <v>902</v>
      </c>
      <c r="N8" s="5" t="s">
        <v>930</v>
      </c>
      <c r="O8" s="5" t="s">
        <v>952</v>
      </c>
      <c r="P8" s="5" t="s">
        <v>953</v>
      </c>
      <c r="Q8" s="5" t="s">
        <v>954</v>
      </c>
      <c r="R8" s="5">
        <v>730</v>
      </c>
      <c r="S8" s="5">
        <v>845</v>
      </c>
      <c r="T8" s="5">
        <v>3.1</v>
      </c>
      <c r="U8" s="5">
        <v>45.5</v>
      </c>
      <c r="V8" s="5">
        <v>28.5</v>
      </c>
      <c r="W8" s="5">
        <v>20</v>
      </c>
      <c r="X8" s="5" t="s">
        <v>907</v>
      </c>
      <c r="Y8" s="5" t="s">
        <v>908</v>
      </c>
      <c r="Z8" s="5">
        <v>45</v>
      </c>
      <c r="AA8" s="5" t="s">
        <v>909</v>
      </c>
      <c r="AB8" s="5">
        <v>171.74</v>
      </c>
      <c r="AC8" s="5">
        <v>0.58</v>
      </c>
      <c r="AD8" s="5">
        <v>99.6092</v>
      </c>
      <c r="AE8" s="5">
        <v>124.5115</v>
      </c>
      <c r="AF8" s="5">
        <v>132.8123</v>
      </c>
      <c r="AG8" s="5">
        <v>153.2449</v>
      </c>
      <c r="AH8" s="5">
        <v>181.1076</v>
      </c>
      <c r="AI8" s="5"/>
    </row>
    <row r="9" hidden="1" spans="1:35">
      <c r="A9" s="5" t="s">
        <v>897</v>
      </c>
      <c r="B9" s="5" t="s">
        <v>775</v>
      </c>
      <c r="C9" s="5" t="s">
        <v>774</v>
      </c>
      <c r="D9" s="5" t="s">
        <v>955</v>
      </c>
      <c r="E9" s="5" t="s">
        <v>899</v>
      </c>
      <c r="F9" s="5" t="s">
        <v>96</v>
      </c>
      <c r="G9" s="5" t="s">
        <v>115</v>
      </c>
      <c r="H9" s="5" t="s">
        <v>956</v>
      </c>
      <c r="I9" s="5" t="s">
        <v>918</v>
      </c>
      <c r="J9" s="5" t="s">
        <v>918</v>
      </c>
      <c r="K9" s="5">
        <v>42</v>
      </c>
      <c r="L9" s="5"/>
      <c r="M9" s="5" t="s">
        <v>902</v>
      </c>
      <c r="N9" s="5" t="s">
        <v>944</v>
      </c>
      <c r="O9" s="5" t="s">
        <v>957</v>
      </c>
      <c r="P9" s="5" t="s">
        <v>958</v>
      </c>
      <c r="Q9" s="5" t="s">
        <v>959</v>
      </c>
      <c r="R9" s="5">
        <v>112</v>
      </c>
      <c r="S9" s="5">
        <v>135</v>
      </c>
      <c r="T9" s="5">
        <v>0.5</v>
      </c>
      <c r="U9" s="5">
        <v>32.5</v>
      </c>
      <c r="V9" s="5">
        <v>27.5</v>
      </c>
      <c r="W9" s="5">
        <v>63</v>
      </c>
      <c r="X9" s="5" t="s">
        <v>907</v>
      </c>
      <c r="Y9" s="5" t="s">
        <v>908</v>
      </c>
      <c r="Z9" s="5">
        <v>8</v>
      </c>
      <c r="AA9" s="5" t="s">
        <v>909</v>
      </c>
      <c r="AB9" s="5">
        <v>55.39</v>
      </c>
      <c r="AC9" s="5">
        <v>0.58</v>
      </c>
      <c r="AD9" s="5">
        <v>32.1262</v>
      </c>
      <c r="AE9" s="5">
        <v>40.1577</v>
      </c>
      <c r="AF9" s="5">
        <v>42.8349</v>
      </c>
      <c r="AG9" s="5">
        <v>49.4249</v>
      </c>
      <c r="AH9" s="5">
        <v>58.4113</v>
      </c>
      <c r="AI9" s="5"/>
    </row>
    <row r="10" hidden="1" spans="1:35">
      <c r="A10" s="5" t="s">
        <v>897</v>
      </c>
      <c r="B10" s="5" t="s">
        <v>829</v>
      </c>
      <c r="C10" s="5" t="s">
        <v>828</v>
      </c>
      <c r="D10" s="5" t="s">
        <v>960</v>
      </c>
      <c r="E10" s="5" t="s">
        <v>899</v>
      </c>
      <c r="F10" s="5" t="s">
        <v>96</v>
      </c>
      <c r="G10" s="5" t="s">
        <v>97</v>
      </c>
      <c r="H10" s="5" t="s">
        <v>961</v>
      </c>
      <c r="I10" s="5" t="s">
        <v>962</v>
      </c>
      <c r="J10" s="5" t="s">
        <v>962</v>
      </c>
      <c r="K10" s="5">
        <v>30</v>
      </c>
      <c r="L10" s="5"/>
      <c r="M10" s="5" t="s">
        <v>902</v>
      </c>
      <c r="N10" s="5" t="s">
        <v>944</v>
      </c>
      <c r="O10" s="5" t="s">
        <v>963</v>
      </c>
      <c r="P10" s="5" t="s">
        <v>964</v>
      </c>
      <c r="Q10" s="5" t="s">
        <v>965</v>
      </c>
      <c r="R10" s="5">
        <v>220</v>
      </c>
      <c r="S10" s="5">
        <v>383</v>
      </c>
      <c r="T10" s="5">
        <v>2.1</v>
      </c>
      <c r="U10" s="5">
        <v>46.5</v>
      </c>
      <c r="V10" s="5">
        <v>30.5</v>
      </c>
      <c r="W10" s="5">
        <v>30</v>
      </c>
      <c r="X10" s="5" t="s">
        <v>907</v>
      </c>
      <c r="Y10" s="5" t="s">
        <v>908</v>
      </c>
      <c r="Z10" s="5">
        <v>3</v>
      </c>
      <c r="AA10" s="5" t="s">
        <v>909</v>
      </c>
      <c r="AB10" s="5">
        <v>37.71</v>
      </c>
      <c r="AC10" s="5">
        <v>0.58</v>
      </c>
      <c r="AD10" s="5">
        <v>21.8718</v>
      </c>
      <c r="AE10" s="5">
        <v>27.3397</v>
      </c>
      <c r="AF10" s="5">
        <v>29.1624</v>
      </c>
      <c r="AG10" s="5">
        <v>33.6489</v>
      </c>
      <c r="AH10" s="5">
        <v>39.7669</v>
      </c>
      <c r="AI10" s="5"/>
    </row>
    <row r="11" hidden="1" spans="1:35">
      <c r="A11" s="5" t="s">
        <v>897</v>
      </c>
      <c r="B11" s="5" t="s">
        <v>803</v>
      </c>
      <c r="C11" s="5" t="s">
        <v>802</v>
      </c>
      <c r="D11" s="5" t="s">
        <v>966</v>
      </c>
      <c r="E11" s="5" t="s">
        <v>899</v>
      </c>
      <c r="F11" s="5" t="s">
        <v>96</v>
      </c>
      <c r="G11" s="5" t="s">
        <v>97</v>
      </c>
      <c r="H11" s="5" t="s">
        <v>961</v>
      </c>
      <c r="I11" s="5" t="s">
        <v>967</v>
      </c>
      <c r="J11" s="5" t="s">
        <v>967</v>
      </c>
      <c r="K11" s="5">
        <v>30</v>
      </c>
      <c r="L11" s="5"/>
      <c r="M11" s="5" t="s">
        <v>902</v>
      </c>
      <c r="N11" s="5" t="s">
        <v>944</v>
      </c>
      <c r="O11" s="5" t="s">
        <v>968</v>
      </c>
      <c r="P11" s="5" t="s">
        <v>969</v>
      </c>
      <c r="Q11" s="5" t="s">
        <v>970</v>
      </c>
      <c r="R11" s="5">
        <v>200</v>
      </c>
      <c r="S11" s="5">
        <v>350</v>
      </c>
      <c r="T11" s="5">
        <v>1</v>
      </c>
      <c r="U11" s="5">
        <v>50</v>
      </c>
      <c r="V11" s="5">
        <v>40</v>
      </c>
      <c r="W11" s="5">
        <v>50</v>
      </c>
      <c r="X11" s="5" t="s">
        <v>907</v>
      </c>
      <c r="Y11" s="5" t="s">
        <v>908</v>
      </c>
      <c r="Z11" s="5">
        <v>3</v>
      </c>
      <c r="AA11" s="5" t="s">
        <v>909</v>
      </c>
      <c r="AB11" s="5">
        <v>59.3</v>
      </c>
      <c r="AC11" s="5">
        <v>0.58</v>
      </c>
      <c r="AD11" s="5">
        <v>34.394</v>
      </c>
      <c r="AE11" s="5">
        <v>42.9925</v>
      </c>
      <c r="AF11" s="5">
        <v>45.8587</v>
      </c>
      <c r="AG11" s="5">
        <v>52.9138</v>
      </c>
      <c r="AH11" s="5">
        <v>62.5345</v>
      </c>
      <c r="AI11" s="5"/>
    </row>
    <row r="12" hidden="1" spans="1:35">
      <c r="A12" s="5" t="s">
        <v>897</v>
      </c>
      <c r="B12" s="5" t="s">
        <v>866</v>
      </c>
      <c r="C12" s="5" t="s">
        <v>971</v>
      </c>
      <c r="D12" s="5" t="s">
        <v>972</v>
      </c>
      <c r="E12" s="5" t="s">
        <v>899</v>
      </c>
      <c r="F12" s="5" t="s">
        <v>108</v>
      </c>
      <c r="G12" s="5" t="s">
        <v>168</v>
      </c>
      <c r="H12" s="5" t="s">
        <v>973</v>
      </c>
      <c r="I12" s="5" t="s">
        <v>974</v>
      </c>
      <c r="J12" s="5" t="s">
        <v>974</v>
      </c>
      <c r="K12" s="5">
        <v>30</v>
      </c>
      <c r="L12" s="5"/>
      <c r="M12" s="5" t="s">
        <v>919</v>
      </c>
      <c r="N12" s="5" t="s">
        <v>975</v>
      </c>
      <c r="O12" s="5" t="s">
        <v>973</v>
      </c>
      <c r="P12" s="5"/>
      <c r="Q12" s="5" t="s">
        <v>976</v>
      </c>
      <c r="R12" s="5">
        <v>310</v>
      </c>
      <c r="S12" s="5">
        <v>325</v>
      </c>
      <c r="T12" s="5">
        <v>1.4</v>
      </c>
      <c r="U12" s="5">
        <v>37.5</v>
      </c>
      <c r="V12" s="5">
        <v>25.5</v>
      </c>
      <c r="W12" s="5">
        <v>40</v>
      </c>
      <c r="X12" s="5" t="s">
        <v>907</v>
      </c>
      <c r="Y12" s="5" t="s">
        <v>908</v>
      </c>
      <c r="Z12" s="5">
        <v>0</v>
      </c>
      <c r="AA12" s="5" t="s">
        <v>909</v>
      </c>
      <c r="AB12" s="5">
        <v>74.01</v>
      </c>
      <c r="AC12" s="5">
        <v>0.58</v>
      </c>
      <c r="AD12" s="5">
        <v>42.9258</v>
      </c>
      <c r="AE12" s="5">
        <v>53.6572</v>
      </c>
      <c r="AF12" s="5">
        <v>57.2344</v>
      </c>
      <c r="AG12" s="5">
        <v>66.0397</v>
      </c>
      <c r="AH12" s="5">
        <v>78.0469</v>
      </c>
      <c r="AI12" s="5"/>
    </row>
    <row r="13" hidden="1" spans="1:35">
      <c r="A13" s="5" t="s">
        <v>897</v>
      </c>
      <c r="B13" s="5" t="s">
        <v>268</v>
      </c>
      <c r="C13" s="5" t="s">
        <v>267</v>
      </c>
      <c r="D13" s="5" t="s">
        <v>977</v>
      </c>
      <c r="E13" s="5" t="s">
        <v>899</v>
      </c>
      <c r="F13" s="5" t="s">
        <v>96</v>
      </c>
      <c r="G13" s="5" t="s">
        <v>115</v>
      </c>
      <c r="H13" s="5" t="s">
        <v>978</v>
      </c>
      <c r="I13" s="5" t="s">
        <v>979</v>
      </c>
      <c r="J13" s="5" t="s">
        <v>979</v>
      </c>
      <c r="K13" s="5">
        <v>30</v>
      </c>
      <c r="L13" s="5"/>
      <c r="M13" s="5" t="s">
        <v>919</v>
      </c>
      <c r="N13" s="5" t="s">
        <v>980</v>
      </c>
      <c r="O13" s="5" t="s">
        <v>981</v>
      </c>
      <c r="P13" s="5" t="s">
        <v>982</v>
      </c>
      <c r="Q13" s="5" t="s">
        <v>983</v>
      </c>
      <c r="R13" s="5">
        <v>1600</v>
      </c>
      <c r="S13" s="5">
        <v>1900</v>
      </c>
      <c r="T13" s="5">
        <v>15</v>
      </c>
      <c r="U13" s="5">
        <v>33</v>
      </c>
      <c r="V13" s="5">
        <v>30</v>
      </c>
      <c r="W13" s="5">
        <v>4</v>
      </c>
      <c r="X13" s="5" t="s">
        <v>907</v>
      </c>
      <c r="Y13" s="5" t="s">
        <v>908</v>
      </c>
      <c r="Z13" s="5">
        <v>386</v>
      </c>
      <c r="AA13" s="5" t="s">
        <v>909</v>
      </c>
      <c r="AB13" s="5">
        <v>93.64</v>
      </c>
      <c r="AC13" s="5">
        <v>0.58</v>
      </c>
      <c r="AD13" s="5">
        <v>54.3112</v>
      </c>
      <c r="AE13" s="5">
        <v>67.889</v>
      </c>
      <c r="AF13" s="5">
        <v>72.4149</v>
      </c>
      <c r="AG13" s="5">
        <v>83.5557</v>
      </c>
      <c r="AH13" s="5">
        <v>98.7476</v>
      </c>
      <c r="AI13" s="5"/>
    </row>
    <row r="14" hidden="1" spans="1:35">
      <c r="A14" s="5" t="s">
        <v>897</v>
      </c>
      <c r="B14" s="5" t="s">
        <v>180</v>
      </c>
      <c r="C14" s="5" t="s">
        <v>179</v>
      </c>
      <c r="D14" s="5" t="s">
        <v>984</v>
      </c>
      <c r="E14" s="5" t="s">
        <v>899</v>
      </c>
      <c r="F14" s="5" t="s">
        <v>96</v>
      </c>
      <c r="G14" s="5" t="s">
        <v>97</v>
      </c>
      <c r="H14" s="5" t="s">
        <v>900</v>
      </c>
      <c r="I14" s="5" t="s">
        <v>985</v>
      </c>
      <c r="J14" s="5" t="s">
        <v>985</v>
      </c>
      <c r="K14" s="5">
        <v>31</v>
      </c>
      <c r="L14" s="5"/>
      <c r="M14" s="5" t="s">
        <v>902</v>
      </c>
      <c r="N14" s="5" t="s">
        <v>986</v>
      </c>
      <c r="O14" s="5" t="s">
        <v>987</v>
      </c>
      <c r="P14" s="5"/>
      <c r="Q14" s="5" t="s">
        <v>988</v>
      </c>
      <c r="R14" s="5">
        <v>590</v>
      </c>
      <c r="S14" s="5">
        <v>625</v>
      </c>
      <c r="T14" s="5">
        <v>2.89</v>
      </c>
      <c r="U14" s="5">
        <v>54.2</v>
      </c>
      <c r="V14" s="5">
        <v>29.8</v>
      </c>
      <c r="W14" s="5">
        <v>20</v>
      </c>
      <c r="X14" s="5" t="s">
        <v>907</v>
      </c>
      <c r="Y14" s="5" t="s">
        <v>908</v>
      </c>
      <c r="Z14" s="5">
        <v>136</v>
      </c>
      <c r="AA14" s="5" t="s">
        <v>909</v>
      </c>
      <c r="AB14" s="5">
        <v>127.34</v>
      </c>
      <c r="AC14" s="5">
        <v>0.58</v>
      </c>
      <c r="AD14" s="5">
        <v>73.8572</v>
      </c>
      <c r="AE14" s="5">
        <v>92.3215</v>
      </c>
      <c r="AF14" s="5">
        <v>98.4763</v>
      </c>
      <c r="AG14" s="5">
        <v>113.6265</v>
      </c>
      <c r="AH14" s="5">
        <v>134.2858</v>
      </c>
      <c r="AI14" s="5"/>
    </row>
    <row r="15" hidden="1" spans="1:35">
      <c r="A15" s="5" t="s">
        <v>897</v>
      </c>
      <c r="B15" s="5" t="s">
        <v>318</v>
      </c>
      <c r="C15" s="5" t="s">
        <v>317</v>
      </c>
      <c r="D15" s="5" t="s">
        <v>989</v>
      </c>
      <c r="E15" s="5" t="s">
        <v>899</v>
      </c>
      <c r="F15" s="5" t="s">
        <v>96</v>
      </c>
      <c r="G15" s="5" t="s">
        <v>97</v>
      </c>
      <c r="H15" s="5" t="s">
        <v>900</v>
      </c>
      <c r="I15" s="5" t="s">
        <v>985</v>
      </c>
      <c r="J15" s="5" t="s">
        <v>985</v>
      </c>
      <c r="K15" s="5">
        <v>31</v>
      </c>
      <c r="L15" s="5"/>
      <c r="M15" s="5" t="s">
        <v>902</v>
      </c>
      <c r="N15" s="5" t="s">
        <v>990</v>
      </c>
      <c r="O15" s="5" t="s">
        <v>991</v>
      </c>
      <c r="P15" s="5"/>
      <c r="Q15" s="5" t="s">
        <v>992</v>
      </c>
      <c r="R15" s="5">
        <v>371</v>
      </c>
      <c r="S15" s="5">
        <v>389</v>
      </c>
      <c r="T15" s="5">
        <v>1.52</v>
      </c>
      <c r="U15" s="5">
        <v>54.3</v>
      </c>
      <c r="V15" s="5">
        <v>27.3</v>
      </c>
      <c r="W15" s="5">
        <v>36</v>
      </c>
      <c r="X15" s="5" t="s">
        <v>907</v>
      </c>
      <c r="Y15" s="5" t="s">
        <v>908</v>
      </c>
      <c r="Z15" s="5">
        <v>47</v>
      </c>
      <c r="AA15" s="5" t="s">
        <v>909</v>
      </c>
      <c r="AB15" s="5">
        <v>109.41</v>
      </c>
      <c r="AC15" s="5">
        <v>0.58</v>
      </c>
      <c r="AD15" s="5">
        <v>63.4578</v>
      </c>
      <c r="AE15" s="5">
        <v>79.3222</v>
      </c>
      <c r="AF15" s="5">
        <v>84.6104</v>
      </c>
      <c r="AG15" s="5">
        <v>97.6274</v>
      </c>
      <c r="AH15" s="5">
        <v>115.3778</v>
      </c>
      <c r="AI15" s="5"/>
    </row>
    <row r="16" hidden="1" spans="1:35">
      <c r="A16" s="5" t="s">
        <v>897</v>
      </c>
      <c r="B16" s="5" t="s">
        <v>117</v>
      </c>
      <c r="C16" s="5" t="s">
        <v>116</v>
      </c>
      <c r="D16" s="5" t="s">
        <v>993</v>
      </c>
      <c r="E16" s="5" t="s">
        <v>899</v>
      </c>
      <c r="F16" s="5" t="s">
        <v>96</v>
      </c>
      <c r="G16" s="5" t="s">
        <v>115</v>
      </c>
      <c r="H16" s="5" t="s">
        <v>935</v>
      </c>
      <c r="I16" s="5" t="s">
        <v>994</v>
      </c>
      <c r="J16" s="5" t="s">
        <v>994</v>
      </c>
      <c r="K16" s="5">
        <v>18</v>
      </c>
      <c r="L16" s="5"/>
      <c r="M16" s="5" t="s">
        <v>919</v>
      </c>
      <c r="N16" s="5" t="s">
        <v>995</v>
      </c>
      <c r="O16" s="5" t="s">
        <v>996</v>
      </c>
      <c r="P16" s="5" t="s">
        <v>997</v>
      </c>
      <c r="Q16" s="5" t="s">
        <v>998</v>
      </c>
      <c r="R16" s="5">
        <v>1800</v>
      </c>
      <c r="S16" s="5">
        <v>2375</v>
      </c>
      <c r="T16" s="5">
        <v>6.25</v>
      </c>
      <c r="U16" s="5">
        <v>49</v>
      </c>
      <c r="V16" s="5">
        <v>37</v>
      </c>
      <c r="W16" s="5">
        <v>8</v>
      </c>
      <c r="X16" s="5" t="s">
        <v>907</v>
      </c>
      <c r="Y16" s="5" t="s">
        <v>908</v>
      </c>
      <c r="Z16" s="5">
        <v>0</v>
      </c>
      <c r="AA16" s="5" t="s">
        <v>909</v>
      </c>
      <c r="AB16" s="5">
        <v>210.65</v>
      </c>
      <c r="AC16" s="5">
        <v>0.58</v>
      </c>
      <c r="AD16" s="5">
        <v>122.177</v>
      </c>
      <c r="AE16" s="5">
        <v>152.7212</v>
      </c>
      <c r="AF16" s="5">
        <v>162.9027</v>
      </c>
      <c r="AG16" s="5">
        <v>187.9646</v>
      </c>
      <c r="AH16" s="5">
        <v>222.14</v>
      </c>
      <c r="AI16" s="5"/>
    </row>
    <row r="17" spans="1:35">
      <c r="A17" s="5" t="s">
        <v>897</v>
      </c>
      <c r="B17" s="5" t="s">
        <v>289</v>
      </c>
      <c r="C17" s="5" t="s">
        <v>999</v>
      </c>
      <c r="D17" s="5" t="s">
        <v>1000</v>
      </c>
      <c r="E17" s="5" t="s">
        <v>899</v>
      </c>
      <c r="F17" s="5" t="s">
        <v>108</v>
      </c>
      <c r="G17" s="5" t="s">
        <v>927</v>
      </c>
      <c r="H17" s="5" t="s">
        <v>1001</v>
      </c>
      <c r="I17" s="5" t="s">
        <v>1002</v>
      </c>
      <c r="J17" s="5" t="s">
        <v>1002</v>
      </c>
      <c r="K17" s="5">
        <v>18</v>
      </c>
      <c r="L17" s="5"/>
      <c r="M17" s="5" t="s">
        <v>919</v>
      </c>
      <c r="N17" s="5" t="s">
        <v>1003</v>
      </c>
      <c r="O17" s="5" t="s">
        <v>1004</v>
      </c>
      <c r="P17" s="5" t="s">
        <v>1005</v>
      </c>
      <c r="Q17" s="5" t="s">
        <v>1006</v>
      </c>
      <c r="R17" s="5">
        <v>5700</v>
      </c>
      <c r="S17" s="5">
        <v>5750</v>
      </c>
      <c r="T17" s="5">
        <v>202</v>
      </c>
      <c r="U17" s="5">
        <v>13</v>
      </c>
      <c r="V17" s="5">
        <v>12</v>
      </c>
      <c r="W17" s="5">
        <v>1</v>
      </c>
      <c r="X17" s="5" t="s">
        <v>907</v>
      </c>
      <c r="Y17" s="5" t="s">
        <v>908</v>
      </c>
      <c r="Z17" s="5">
        <v>13</v>
      </c>
      <c r="AA17" s="5" t="s">
        <v>909</v>
      </c>
      <c r="AB17" s="5">
        <v>173.21</v>
      </c>
      <c r="AC17" s="5">
        <v>0.58</v>
      </c>
      <c r="AD17" s="5">
        <v>100.4618</v>
      </c>
      <c r="AE17" s="5">
        <v>125.5772</v>
      </c>
      <c r="AF17" s="5">
        <v>133.9491</v>
      </c>
      <c r="AG17" s="5">
        <v>154.5566</v>
      </c>
      <c r="AH17" s="5">
        <v>182.6578</v>
      </c>
      <c r="AI17" s="5"/>
    </row>
    <row r="18" hidden="1" spans="1:35">
      <c r="A18" s="5" t="s">
        <v>897</v>
      </c>
      <c r="B18" s="5" t="s">
        <v>241</v>
      </c>
      <c r="C18" s="5" t="s">
        <v>240</v>
      </c>
      <c r="D18" s="5" t="s">
        <v>1007</v>
      </c>
      <c r="E18" s="5" t="s">
        <v>899</v>
      </c>
      <c r="F18" s="5" t="s">
        <v>96</v>
      </c>
      <c r="G18" s="5" t="s">
        <v>115</v>
      </c>
      <c r="H18" s="5" t="s">
        <v>978</v>
      </c>
      <c r="I18" s="5" t="s">
        <v>1008</v>
      </c>
      <c r="J18" s="5" t="s">
        <v>1008</v>
      </c>
      <c r="K18" s="5">
        <v>18</v>
      </c>
      <c r="L18" s="5"/>
      <c r="M18" s="5" t="s">
        <v>919</v>
      </c>
      <c r="N18" s="5" t="s">
        <v>1009</v>
      </c>
      <c r="O18" s="5" t="s">
        <v>1010</v>
      </c>
      <c r="P18" s="5" t="s">
        <v>1011</v>
      </c>
      <c r="Q18" s="5" t="s">
        <v>1012</v>
      </c>
      <c r="R18" s="5">
        <v>1510</v>
      </c>
      <c r="S18" s="5">
        <v>1710</v>
      </c>
      <c r="T18" s="5">
        <v>14.5</v>
      </c>
      <c r="U18" s="5">
        <v>37.2</v>
      </c>
      <c r="V18" s="5">
        <v>31</v>
      </c>
      <c r="W18" s="5">
        <v>4</v>
      </c>
      <c r="X18" s="5" t="s">
        <v>907</v>
      </c>
      <c r="Y18" s="5" t="s">
        <v>908</v>
      </c>
      <c r="Z18" s="5">
        <v>382</v>
      </c>
      <c r="AA18" s="5" t="s">
        <v>909</v>
      </c>
      <c r="AB18" s="5">
        <v>74.84</v>
      </c>
      <c r="AC18" s="5">
        <v>0.58</v>
      </c>
      <c r="AD18" s="5">
        <v>43.4072</v>
      </c>
      <c r="AE18" s="5">
        <v>54.259</v>
      </c>
      <c r="AF18" s="5">
        <v>57.8763</v>
      </c>
      <c r="AG18" s="5">
        <v>66.7803</v>
      </c>
      <c r="AH18" s="5">
        <v>78.9222</v>
      </c>
      <c r="AI18" s="5"/>
    </row>
    <row r="19" hidden="1" spans="1:35">
      <c r="A19" s="5" t="s">
        <v>897</v>
      </c>
      <c r="B19" s="5" t="s">
        <v>558</v>
      </c>
      <c r="C19" s="5" t="s">
        <v>557</v>
      </c>
      <c r="D19" s="5" t="s">
        <v>1013</v>
      </c>
      <c r="E19" s="5" t="s">
        <v>899</v>
      </c>
      <c r="F19" s="5" t="s">
        <v>96</v>
      </c>
      <c r="G19" s="5" t="s">
        <v>115</v>
      </c>
      <c r="H19" s="5" t="s">
        <v>1014</v>
      </c>
      <c r="I19" s="5" t="s">
        <v>1015</v>
      </c>
      <c r="J19" s="5" t="s">
        <v>1015</v>
      </c>
      <c r="K19" s="5">
        <v>19</v>
      </c>
      <c r="L19" s="5"/>
      <c r="M19" s="5" t="s">
        <v>919</v>
      </c>
      <c r="N19" s="5" t="s">
        <v>1016</v>
      </c>
      <c r="O19" s="5" t="s">
        <v>1017</v>
      </c>
      <c r="P19" s="5" t="s">
        <v>1018</v>
      </c>
      <c r="Q19" s="5" t="s">
        <v>1019</v>
      </c>
      <c r="R19" s="5">
        <v>1020</v>
      </c>
      <c r="S19" s="5">
        <v>1050</v>
      </c>
      <c r="T19" s="5">
        <v>4</v>
      </c>
      <c r="U19" s="5">
        <v>38.5</v>
      </c>
      <c r="V19" s="5">
        <v>28</v>
      </c>
      <c r="W19" s="5">
        <v>10</v>
      </c>
      <c r="X19" s="5" t="s">
        <v>1020</v>
      </c>
      <c r="Y19" s="5" t="s">
        <v>908</v>
      </c>
      <c r="Z19" s="5">
        <v>32</v>
      </c>
      <c r="AA19" s="5" t="s">
        <v>909</v>
      </c>
      <c r="AB19" s="5">
        <v>57.5</v>
      </c>
      <c r="AC19" s="5">
        <v>0.58</v>
      </c>
      <c r="AD19" s="5">
        <v>33.35</v>
      </c>
      <c r="AE19" s="5">
        <v>41.6875</v>
      </c>
      <c r="AF19" s="5">
        <v>44.4667</v>
      </c>
      <c r="AG19" s="5">
        <v>51.3077</v>
      </c>
      <c r="AH19" s="5">
        <v>60.6364</v>
      </c>
      <c r="AI19" s="5"/>
    </row>
    <row r="20" hidden="1" spans="1:35">
      <c r="A20" s="5" t="s">
        <v>897</v>
      </c>
      <c r="B20" s="5" t="s">
        <v>467</v>
      </c>
      <c r="C20" s="5" t="s">
        <v>466</v>
      </c>
      <c r="D20" s="5" t="s">
        <v>1021</v>
      </c>
      <c r="E20" s="5" t="s">
        <v>899</v>
      </c>
      <c r="F20" s="5" t="s">
        <v>96</v>
      </c>
      <c r="G20" s="5" t="s">
        <v>115</v>
      </c>
      <c r="H20" s="5" t="s">
        <v>1014</v>
      </c>
      <c r="I20" s="5" t="s">
        <v>1015</v>
      </c>
      <c r="J20" s="5" t="s">
        <v>1015</v>
      </c>
      <c r="K20" s="5">
        <v>19</v>
      </c>
      <c r="L20" s="5"/>
      <c r="M20" s="5" t="s">
        <v>919</v>
      </c>
      <c r="N20" s="5" t="s">
        <v>1022</v>
      </c>
      <c r="O20" s="5" t="s">
        <v>1023</v>
      </c>
      <c r="P20" s="5" t="s">
        <v>1024</v>
      </c>
      <c r="Q20" s="5" t="s">
        <v>1025</v>
      </c>
      <c r="R20" s="5">
        <v>1200</v>
      </c>
      <c r="S20" s="5">
        <v>1310</v>
      </c>
      <c r="T20" s="5">
        <v>4.88</v>
      </c>
      <c r="U20" s="5">
        <v>40</v>
      </c>
      <c r="V20" s="5">
        <v>28</v>
      </c>
      <c r="W20" s="5">
        <v>10</v>
      </c>
      <c r="X20" s="5" t="s">
        <v>1020</v>
      </c>
      <c r="Y20" s="5" t="s">
        <v>908</v>
      </c>
      <c r="Z20" s="5">
        <v>35</v>
      </c>
      <c r="AA20" s="5" t="s">
        <v>909</v>
      </c>
      <c r="AB20" s="5">
        <v>70.61</v>
      </c>
      <c r="AC20" s="5">
        <v>0.58</v>
      </c>
      <c r="AD20" s="5">
        <v>40.9538</v>
      </c>
      <c r="AE20" s="5">
        <v>51.1922</v>
      </c>
      <c r="AF20" s="5">
        <v>54.6051</v>
      </c>
      <c r="AG20" s="5">
        <v>63.0058</v>
      </c>
      <c r="AH20" s="5">
        <v>74.4615</v>
      </c>
      <c r="AI20" s="5"/>
    </row>
    <row r="21" hidden="1" spans="1:35">
      <c r="A21" s="5" t="s">
        <v>897</v>
      </c>
      <c r="B21" s="5" t="s">
        <v>741</v>
      </c>
      <c r="C21" s="5" t="s">
        <v>740</v>
      </c>
      <c r="D21" s="5" t="s">
        <v>1026</v>
      </c>
      <c r="E21" s="5" t="s">
        <v>899</v>
      </c>
      <c r="F21" s="5" t="s">
        <v>96</v>
      </c>
      <c r="G21" s="5" t="s">
        <v>115</v>
      </c>
      <c r="H21" s="5" t="s">
        <v>1014</v>
      </c>
      <c r="I21" s="5" t="s">
        <v>1015</v>
      </c>
      <c r="J21" s="5" t="s">
        <v>1015</v>
      </c>
      <c r="K21" s="5">
        <v>19</v>
      </c>
      <c r="L21" s="5"/>
      <c r="M21" s="5" t="s">
        <v>919</v>
      </c>
      <c r="N21" s="5" t="s">
        <v>1027</v>
      </c>
      <c r="O21" s="5" t="s">
        <v>1028</v>
      </c>
      <c r="P21" s="5" t="s">
        <v>1029</v>
      </c>
      <c r="Q21" s="5" t="s">
        <v>1030</v>
      </c>
      <c r="R21" s="5">
        <v>2900</v>
      </c>
      <c r="S21" s="5">
        <v>3200</v>
      </c>
      <c r="T21" s="5">
        <v>14.2</v>
      </c>
      <c r="U21" s="5">
        <v>48</v>
      </c>
      <c r="V21" s="5">
        <v>31</v>
      </c>
      <c r="W21" s="5">
        <v>4</v>
      </c>
      <c r="X21" s="5" t="s">
        <v>1020</v>
      </c>
      <c r="Y21" s="5" t="s">
        <v>908</v>
      </c>
      <c r="Z21" s="5">
        <v>4</v>
      </c>
      <c r="AA21" s="5" t="s">
        <v>909</v>
      </c>
      <c r="AB21" s="5">
        <v>176.39</v>
      </c>
      <c r="AC21" s="5">
        <v>0.58</v>
      </c>
      <c r="AD21" s="5">
        <v>102.3062</v>
      </c>
      <c r="AE21" s="5">
        <v>127.8827</v>
      </c>
      <c r="AF21" s="5">
        <v>136.4083</v>
      </c>
      <c r="AG21" s="5">
        <v>157.3942</v>
      </c>
      <c r="AH21" s="5">
        <v>186.0113</v>
      </c>
      <c r="AI21" s="5"/>
    </row>
    <row r="22" hidden="1" spans="1:35">
      <c r="A22" s="5" t="s">
        <v>897</v>
      </c>
      <c r="B22" s="5" t="s">
        <v>709</v>
      </c>
      <c r="C22" s="5" t="s">
        <v>708</v>
      </c>
      <c r="D22" s="5" t="s">
        <v>1031</v>
      </c>
      <c r="E22" s="5" t="s">
        <v>899</v>
      </c>
      <c r="F22" s="5" t="s">
        <v>96</v>
      </c>
      <c r="G22" s="5" t="s">
        <v>115</v>
      </c>
      <c r="H22" s="5" t="s">
        <v>1014</v>
      </c>
      <c r="I22" s="5" t="s">
        <v>1015</v>
      </c>
      <c r="J22" s="5" t="s">
        <v>1015</v>
      </c>
      <c r="K22" s="5">
        <v>19</v>
      </c>
      <c r="L22" s="5"/>
      <c r="M22" s="5" t="s">
        <v>919</v>
      </c>
      <c r="N22" s="5" t="s">
        <v>1032</v>
      </c>
      <c r="O22" s="5" t="s">
        <v>1033</v>
      </c>
      <c r="P22" s="5" t="s">
        <v>1034</v>
      </c>
      <c r="Q22" s="5" t="s">
        <v>1035</v>
      </c>
      <c r="R22" s="5">
        <v>2600</v>
      </c>
      <c r="S22" s="5">
        <v>3025</v>
      </c>
      <c r="T22" s="5">
        <v>13.13</v>
      </c>
      <c r="U22" s="5">
        <v>47.5</v>
      </c>
      <c r="V22" s="5">
        <v>33</v>
      </c>
      <c r="W22" s="5">
        <v>4</v>
      </c>
      <c r="X22" s="5" t="s">
        <v>1020</v>
      </c>
      <c r="Y22" s="5" t="s">
        <v>908</v>
      </c>
      <c r="Z22" s="5">
        <v>12</v>
      </c>
      <c r="AA22" s="5" t="s">
        <v>909</v>
      </c>
      <c r="AB22" s="5">
        <v>127.38</v>
      </c>
      <c r="AC22" s="5">
        <v>0.58</v>
      </c>
      <c r="AD22" s="5">
        <v>73.8804</v>
      </c>
      <c r="AE22" s="5">
        <v>92.3505</v>
      </c>
      <c r="AF22" s="5">
        <v>98.5072</v>
      </c>
      <c r="AG22" s="5">
        <v>113.6622</v>
      </c>
      <c r="AH22" s="5">
        <v>134.328</v>
      </c>
      <c r="AI22" s="5"/>
    </row>
    <row r="23" hidden="1" spans="1:35">
      <c r="A23" s="5" t="s">
        <v>897</v>
      </c>
      <c r="B23" s="5" t="s">
        <v>462</v>
      </c>
      <c r="C23" s="5" t="s">
        <v>461</v>
      </c>
      <c r="D23" s="5" t="s">
        <v>1036</v>
      </c>
      <c r="E23" s="5" t="s">
        <v>899</v>
      </c>
      <c r="F23" s="5" t="s">
        <v>96</v>
      </c>
      <c r="G23" s="5" t="s">
        <v>115</v>
      </c>
      <c r="H23" s="5" t="s">
        <v>978</v>
      </c>
      <c r="I23" s="5" t="s">
        <v>1015</v>
      </c>
      <c r="J23" s="5" t="s">
        <v>1015</v>
      </c>
      <c r="K23" s="5">
        <v>19</v>
      </c>
      <c r="L23" s="5"/>
      <c r="M23" s="5" t="s">
        <v>1037</v>
      </c>
      <c r="N23" s="5" t="s">
        <v>1038</v>
      </c>
      <c r="O23" s="5" t="s">
        <v>1039</v>
      </c>
      <c r="P23" s="5" t="s">
        <v>1040</v>
      </c>
      <c r="Q23" s="5" t="s">
        <v>1041</v>
      </c>
      <c r="R23" s="5">
        <v>1170</v>
      </c>
      <c r="S23" s="5">
        <v>1250</v>
      </c>
      <c r="T23" s="5">
        <v>6</v>
      </c>
      <c r="U23" s="5">
        <v>30.2</v>
      </c>
      <c r="V23" s="5">
        <v>24.1</v>
      </c>
      <c r="W23" s="5">
        <v>6</v>
      </c>
      <c r="X23" s="5" t="s">
        <v>1020</v>
      </c>
      <c r="Y23" s="5" t="s">
        <v>908</v>
      </c>
      <c r="Z23" s="5">
        <v>0</v>
      </c>
      <c r="AA23" s="5" t="s">
        <v>909</v>
      </c>
      <c r="AB23" s="5">
        <v>54</v>
      </c>
      <c r="AC23" s="5">
        <v>0.58</v>
      </c>
      <c r="AD23" s="5">
        <v>31.32</v>
      </c>
      <c r="AE23" s="5">
        <v>39.15</v>
      </c>
      <c r="AF23" s="5">
        <v>41.76</v>
      </c>
      <c r="AG23" s="5">
        <v>48.1846</v>
      </c>
      <c r="AH23" s="5">
        <v>56.9455</v>
      </c>
      <c r="AI23" s="5"/>
    </row>
    <row r="24" hidden="1" spans="1:35">
      <c r="A24" s="5" t="s">
        <v>897</v>
      </c>
      <c r="B24" s="5" t="s">
        <v>833</v>
      </c>
      <c r="C24" s="5" t="s">
        <v>832</v>
      </c>
      <c r="D24" s="5" t="s">
        <v>1042</v>
      </c>
      <c r="E24" s="5" t="s">
        <v>899</v>
      </c>
      <c r="F24" s="5" t="s">
        <v>96</v>
      </c>
      <c r="G24" s="5" t="s">
        <v>115</v>
      </c>
      <c r="H24" s="5" t="s">
        <v>978</v>
      </c>
      <c r="I24" s="5" t="s">
        <v>1015</v>
      </c>
      <c r="J24" s="5" t="s">
        <v>1015</v>
      </c>
      <c r="K24" s="5">
        <v>19</v>
      </c>
      <c r="L24" s="5"/>
      <c r="M24" s="5" t="s">
        <v>919</v>
      </c>
      <c r="N24" s="5" t="s">
        <v>1043</v>
      </c>
      <c r="O24" s="5" t="s">
        <v>1044</v>
      </c>
      <c r="P24" s="5" t="s">
        <v>1045</v>
      </c>
      <c r="Q24" s="5" t="s">
        <v>1046</v>
      </c>
      <c r="R24" s="5">
        <v>2430</v>
      </c>
      <c r="S24" s="5">
        <v>2650</v>
      </c>
      <c r="T24" s="5">
        <v>15.88</v>
      </c>
      <c r="U24" s="5">
        <v>35.5</v>
      </c>
      <c r="V24" s="5">
        <v>29.2</v>
      </c>
      <c r="W24" s="5">
        <v>4</v>
      </c>
      <c r="X24" s="5" t="s">
        <v>1020</v>
      </c>
      <c r="Y24" s="5" t="s">
        <v>908</v>
      </c>
      <c r="Z24" s="5">
        <v>1</v>
      </c>
      <c r="AA24" s="5" t="s">
        <v>909</v>
      </c>
      <c r="AB24" s="5">
        <v>86.28</v>
      </c>
      <c r="AC24" s="5">
        <v>0.58</v>
      </c>
      <c r="AD24" s="5">
        <v>50.0424</v>
      </c>
      <c r="AE24" s="5">
        <v>62.553</v>
      </c>
      <c r="AF24" s="5">
        <v>66.7232</v>
      </c>
      <c r="AG24" s="5">
        <v>76.9883</v>
      </c>
      <c r="AH24" s="5">
        <v>90.9862</v>
      </c>
      <c r="AI24" s="5"/>
    </row>
    <row r="25" hidden="1" spans="1:35">
      <c r="A25" s="5" t="s">
        <v>897</v>
      </c>
      <c r="B25" s="5" t="s">
        <v>831</v>
      </c>
      <c r="C25" s="5" t="s">
        <v>830</v>
      </c>
      <c r="D25" s="5" t="s">
        <v>1047</v>
      </c>
      <c r="E25" s="5" t="s">
        <v>899</v>
      </c>
      <c r="F25" s="5" t="s">
        <v>96</v>
      </c>
      <c r="G25" s="5" t="s">
        <v>115</v>
      </c>
      <c r="H25" s="5" t="s">
        <v>978</v>
      </c>
      <c r="I25" s="5" t="s">
        <v>1015</v>
      </c>
      <c r="J25" s="5" t="s">
        <v>1015</v>
      </c>
      <c r="K25" s="5">
        <v>19</v>
      </c>
      <c r="L25" s="5"/>
      <c r="M25" s="5" t="s">
        <v>919</v>
      </c>
      <c r="N25" s="5" t="s">
        <v>1048</v>
      </c>
      <c r="O25" s="5" t="s">
        <v>1049</v>
      </c>
      <c r="P25" s="5" t="s">
        <v>1050</v>
      </c>
      <c r="Q25" s="5" t="s">
        <v>1051</v>
      </c>
      <c r="R25" s="5">
        <v>3200</v>
      </c>
      <c r="S25" s="5">
        <v>3800</v>
      </c>
      <c r="T25" s="5">
        <v>19.4</v>
      </c>
      <c r="U25" s="5">
        <v>37.8</v>
      </c>
      <c r="V25" s="5">
        <v>32.3</v>
      </c>
      <c r="W25" s="5">
        <v>2</v>
      </c>
      <c r="X25" s="5" t="s">
        <v>1020</v>
      </c>
      <c r="Y25" s="5" t="s">
        <v>908</v>
      </c>
      <c r="Z25" s="5">
        <v>1</v>
      </c>
      <c r="AA25" s="5" t="s">
        <v>909</v>
      </c>
      <c r="AB25" s="5">
        <v>108.96</v>
      </c>
      <c r="AC25" s="5">
        <v>0.58</v>
      </c>
      <c r="AD25" s="5">
        <v>63.1968</v>
      </c>
      <c r="AE25" s="5">
        <v>78.996</v>
      </c>
      <c r="AF25" s="5">
        <v>84.2624</v>
      </c>
      <c r="AG25" s="5">
        <v>97.2258</v>
      </c>
      <c r="AH25" s="5">
        <v>114.9033</v>
      </c>
      <c r="AI25" s="5"/>
    </row>
    <row r="26" hidden="1" spans="1:35">
      <c r="A26" s="5" t="s">
        <v>897</v>
      </c>
      <c r="B26" s="5" t="s">
        <v>715</v>
      </c>
      <c r="C26" s="5" t="s">
        <v>714</v>
      </c>
      <c r="D26" s="5" t="s">
        <v>1052</v>
      </c>
      <c r="E26" s="5" t="s">
        <v>899</v>
      </c>
      <c r="F26" s="5" t="s">
        <v>108</v>
      </c>
      <c r="G26" s="5" t="s">
        <v>146</v>
      </c>
      <c r="H26" s="5" t="s">
        <v>1053</v>
      </c>
      <c r="I26" s="5" t="s">
        <v>1054</v>
      </c>
      <c r="J26" s="5" t="s">
        <v>1054</v>
      </c>
      <c r="K26" s="5">
        <v>20</v>
      </c>
      <c r="L26" s="5"/>
      <c r="M26" s="5" t="s">
        <v>919</v>
      </c>
      <c r="N26" s="5" t="s">
        <v>1055</v>
      </c>
      <c r="O26" s="5" t="s">
        <v>1056</v>
      </c>
      <c r="P26" s="5" t="s">
        <v>1057</v>
      </c>
      <c r="Q26" s="5" t="s">
        <v>1058</v>
      </c>
      <c r="R26" s="5">
        <v>1100</v>
      </c>
      <c r="S26" s="5">
        <v>2000</v>
      </c>
      <c r="T26" s="5">
        <v>78</v>
      </c>
      <c r="U26" s="5">
        <v>25</v>
      </c>
      <c r="V26" s="5">
        <v>9.5</v>
      </c>
      <c r="W26" s="5">
        <v>1</v>
      </c>
      <c r="X26" s="5" t="s">
        <v>907</v>
      </c>
      <c r="Y26" s="5" t="s">
        <v>908</v>
      </c>
      <c r="Z26" s="5">
        <v>86</v>
      </c>
      <c r="AA26" s="5" t="s">
        <v>909</v>
      </c>
      <c r="AB26" s="5">
        <v>85.07</v>
      </c>
      <c r="AC26" s="5">
        <v>0.58</v>
      </c>
      <c r="AD26" s="5">
        <v>49.3406</v>
      </c>
      <c r="AE26" s="5">
        <v>61.6757</v>
      </c>
      <c r="AF26" s="5">
        <v>65.7875</v>
      </c>
      <c r="AG26" s="5">
        <v>75.9086</v>
      </c>
      <c r="AH26" s="5">
        <v>89.7102</v>
      </c>
      <c r="AI26" s="5"/>
    </row>
    <row r="27" hidden="1" spans="1:35">
      <c r="A27" s="5" t="s">
        <v>897</v>
      </c>
      <c r="B27" s="5" t="s">
        <v>9</v>
      </c>
      <c r="C27" s="5" t="s">
        <v>8</v>
      </c>
      <c r="D27" s="5" t="s">
        <v>1059</v>
      </c>
      <c r="E27" s="5" t="s">
        <v>899</v>
      </c>
      <c r="F27" s="5" t="s">
        <v>108</v>
      </c>
      <c r="G27" s="5" t="s">
        <v>146</v>
      </c>
      <c r="H27" s="5" t="s">
        <v>1053</v>
      </c>
      <c r="I27" s="5" t="s">
        <v>1054</v>
      </c>
      <c r="J27" s="5" t="s">
        <v>1054</v>
      </c>
      <c r="K27" s="5">
        <v>20</v>
      </c>
      <c r="L27" s="5"/>
      <c r="M27" s="5" t="s">
        <v>919</v>
      </c>
      <c r="N27" s="5" t="s">
        <v>1060</v>
      </c>
      <c r="O27" s="5" t="s">
        <v>1061</v>
      </c>
      <c r="P27" s="5" t="s">
        <v>1062</v>
      </c>
      <c r="Q27" s="5" t="s">
        <v>1063</v>
      </c>
      <c r="R27" s="5">
        <v>2300</v>
      </c>
      <c r="S27" s="5">
        <v>3300</v>
      </c>
      <c r="T27" s="5">
        <v>56</v>
      </c>
      <c r="U27" s="5">
        <v>30</v>
      </c>
      <c r="V27" s="5">
        <v>18</v>
      </c>
      <c r="W27" s="5">
        <v>1</v>
      </c>
      <c r="X27" s="5" t="s">
        <v>1020</v>
      </c>
      <c r="Y27" s="5" t="s">
        <v>908</v>
      </c>
      <c r="Z27" s="5">
        <v>273</v>
      </c>
      <c r="AA27" s="5" t="s">
        <v>909</v>
      </c>
      <c r="AB27" s="5">
        <v>163.99</v>
      </c>
      <c r="AC27" s="5">
        <v>0.58</v>
      </c>
      <c r="AD27" s="5">
        <v>95.1142</v>
      </c>
      <c r="AE27" s="5">
        <v>118.8928</v>
      </c>
      <c r="AF27" s="5">
        <v>126.8189</v>
      </c>
      <c r="AG27" s="5">
        <v>146.3295</v>
      </c>
      <c r="AH27" s="5">
        <v>172.9349</v>
      </c>
      <c r="AI27" s="5"/>
    </row>
    <row r="28" hidden="1" spans="1:35">
      <c r="A28" s="5" t="s">
        <v>897</v>
      </c>
      <c r="B28" s="5" t="s">
        <v>199</v>
      </c>
      <c r="C28" s="5" t="s">
        <v>198</v>
      </c>
      <c r="D28" s="5" t="s">
        <v>1064</v>
      </c>
      <c r="E28" s="5" t="s">
        <v>899</v>
      </c>
      <c r="F28" s="5" t="s">
        <v>108</v>
      </c>
      <c r="G28" s="5" t="s">
        <v>146</v>
      </c>
      <c r="H28" s="5" t="s">
        <v>1053</v>
      </c>
      <c r="I28" s="5" t="s">
        <v>1054</v>
      </c>
      <c r="J28" s="5" t="s">
        <v>1054</v>
      </c>
      <c r="K28" s="5">
        <v>20</v>
      </c>
      <c r="L28" s="5"/>
      <c r="M28" s="5" t="s">
        <v>919</v>
      </c>
      <c r="N28" s="5" t="s">
        <v>1065</v>
      </c>
      <c r="O28" s="5" t="s">
        <v>1066</v>
      </c>
      <c r="P28" s="5" t="s">
        <v>1067</v>
      </c>
      <c r="Q28" s="5" t="s">
        <v>1068</v>
      </c>
      <c r="R28" s="5">
        <v>3400</v>
      </c>
      <c r="S28" s="5">
        <v>4500</v>
      </c>
      <c r="T28" s="5">
        <v>72.5</v>
      </c>
      <c r="U28" s="5">
        <v>29</v>
      </c>
      <c r="V28" s="5">
        <v>18</v>
      </c>
      <c r="W28" s="5">
        <v>1</v>
      </c>
      <c r="X28" s="5" t="s">
        <v>1020</v>
      </c>
      <c r="Y28" s="5" t="s">
        <v>908</v>
      </c>
      <c r="Z28" s="5">
        <v>237</v>
      </c>
      <c r="AA28" s="5" t="s">
        <v>909</v>
      </c>
      <c r="AB28" s="5">
        <v>233.66</v>
      </c>
      <c r="AC28" s="5">
        <v>0.58</v>
      </c>
      <c r="AD28" s="5">
        <v>135.5228</v>
      </c>
      <c r="AE28" s="5">
        <v>169.4035</v>
      </c>
      <c r="AF28" s="5">
        <v>180.6971</v>
      </c>
      <c r="AG28" s="5">
        <v>208.4966</v>
      </c>
      <c r="AH28" s="5">
        <v>246.4051</v>
      </c>
      <c r="AI28" s="5"/>
    </row>
    <row r="29" hidden="1" spans="1:35">
      <c r="A29" s="5" t="s">
        <v>897</v>
      </c>
      <c r="B29" s="5" t="s">
        <v>809</v>
      </c>
      <c r="C29" s="5" t="s">
        <v>808</v>
      </c>
      <c r="D29" s="5" t="s">
        <v>1069</v>
      </c>
      <c r="E29" s="5" t="s">
        <v>899</v>
      </c>
      <c r="F29" s="5" t="s">
        <v>108</v>
      </c>
      <c r="G29" s="5" t="s">
        <v>146</v>
      </c>
      <c r="H29" s="5" t="s">
        <v>1070</v>
      </c>
      <c r="I29" s="5" t="s">
        <v>1054</v>
      </c>
      <c r="J29" s="5" t="s">
        <v>1054</v>
      </c>
      <c r="K29" s="5">
        <v>20</v>
      </c>
      <c r="L29" s="5"/>
      <c r="M29" s="5" t="s">
        <v>919</v>
      </c>
      <c r="N29" s="5" t="s">
        <v>1071</v>
      </c>
      <c r="O29" s="5" t="s">
        <v>1072</v>
      </c>
      <c r="P29" s="5" t="s">
        <v>1073</v>
      </c>
      <c r="Q29" s="5" t="s">
        <v>1074</v>
      </c>
      <c r="R29" s="5">
        <v>8000</v>
      </c>
      <c r="S29" s="5">
        <v>10000</v>
      </c>
      <c r="T29" s="5">
        <v>75</v>
      </c>
      <c r="U29" s="5">
        <v>46</v>
      </c>
      <c r="V29" s="5">
        <v>22</v>
      </c>
      <c r="W29" s="5">
        <v>1</v>
      </c>
      <c r="X29" s="5" t="s">
        <v>1020</v>
      </c>
      <c r="Y29" s="5" t="s">
        <v>908</v>
      </c>
      <c r="Z29" s="5">
        <v>14</v>
      </c>
      <c r="AA29" s="5" t="s">
        <v>909</v>
      </c>
      <c r="AB29" s="5">
        <v>592.38</v>
      </c>
      <c r="AC29" s="5">
        <v>0.58</v>
      </c>
      <c r="AD29" s="5">
        <v>343.5804</v>
      </c>
      <c r="AE29" s="5">
        <v>429.4755</v>
      </c>
      <c r="AF29" s="5">
        <v>458.1072</v>
      </c>
      <c r="AG29" s="5">
        <v>528.5852</v>
      </c>
      <c r="AH29" s="5">
        <v>624.6916</v>
      </c>
      <c r="AI29" s="5"/>
    </row>
    <row r="30" hidden="1" spans="1:35">
      <c r="A30" s="5" t="s">
        <v>897</v>
      </c>
      <c r="B30" s="5" t="s">
        <v>293</v>
      </c>
      <c r="C30" s="5" t="s">
        <v>292</v>
      </c>
      <c r="D30" s="5" t="s">
        <v>1075</v>
      </c>
      <c r="E30" s="5" t="s">
        <v>899</v>
      </c>
      <c r="F30" s="5" t="s">
        <v>96</v>
      </c>
      <c r="G30" s="5" t="s">
        <v>115</v>
      </c>
      <c r="H30" s="5" t="s">
        <v>935</v>
      </c>
      <c r="I30" s="5" t="s">
        <v>1076</v>
      </c>
      <c r="J30" s="5" t="s">
        <v>1076</v>
      </c>
      <c r="K30" s="5">
        <v>19</v>
      </c>
      <c r="L30" s="5"/>
      <c r="M30" s="5" t="s">
        <v>1037</v>
      </c>
      <c r="N30" s="5" t="s">
        <v>937</v>
      </c>
      <c r="O30" s="5" t="s">
        <v>938</v>
      </c>
      <c r="P30" s="5" t="s">
        <v>1077</v>
      </c>
      <c r="Q30" s="5" t="s">
        <v>1078</v>
      </c>
      <c r="R30" s="5">
        <v>520</v>
      </c>
      <c r="S30" s="5">
        <v>562</v>
      </c>
      <c r="T30" s="5">
        <v>2.07</v>
      </c>
      <c r="U30" s="5">
        <v>39</v>
      </c>
      <c r="V30" s="5">
        <v>35</v>
      </c>
      <c r="W30" s="5">
        <v>24</v>
      </c>
      <c r="X30" s="5" t="s">
        <v>907</v>
      </c>
      <c r="Y30" s="5" t="s">
        <v>908</v>
      </c>
      <c r="Z30" s="5">
        <v>0</v>
      </c>
      <c r="AA30" s="5" t="s">
        <v>909</v>
      </c>
      <c r="AB30" s="5">
        <v>49.89</v>
      </c>
      <c r="AC30" s="5">
        <v>0.58</v>
      </c>
      <c r="AD30" s="5">
        <v>28.9362</v>
      </c>
      <c r="AE30" s="5">
        <v>36.1702</v>
      </c>
      <c r="AF30" s="5">
        <v>38.5816</v>
      </c>
      <c r="AG30" s="5">
        <v>44.5172</v>
      </c>
      <c r="AH30" s="5">
        <v>52.6113</v>
      </c>
      <c r="AI30" s="5"/>
    </row>
    <row r="31" hidden="1" spans="1:35">
      <c r="A31" s="5" t="s">
        <v>897</v>
      </c>
      <c r="B31" s="5" t="s">
        <v>118</v>
      </c>
      <c r="C31" s="5" t="s">
        <v>116</v>
      </c>
      <c r="D31" s="5" t="s">
        <v>993</v>
      </c>
      <c r="E31" s="5" t="s">
        <v>899</v>
      </c>
      <c r="F31" s="5" t="s">
        <v>96</v>
      </c>
      <c r="G31" s="5" t="s">
        <v>115</v>
      </c>
      <c r="H31" s="5" t="s">
        <v>935</v>
      </c>
      <c r="I31" s="5" t="s">
        <v>1079</v>
      </c>
      <c r="J31" s="5" t="s">
        <v>1079</v>
      </c>
      <c r="K31" s="5">
        <v>18</v>
      </c>
      <c r="L31" s="5"/>
      <c r="M31" s="5" t="s">
        <v>919</v>
      </c>
      <c r="N31" s="5" t="s">
        <v>995</v>
      </c>
      <c r="O31" s="5" t="s">
        <v>996</v>
      </c>
      <c r="P31" s="5" t="s">
        <v>1080</v>
      </c>
      <c r="Q31" s="5" t="s">
        <v>1081</v>
      </c>
      <c r="R31" s="5">
        <v>1550</v>
      </c>
      <c r="S31" s="5">
        <v>1688</v>
      </c>
      <c r="T31" s="5">
        <v>6.38</v>
      </c>
      <c r="U31" s="5">
        <v>48</v>
      </c>
      <c r="V31" s="5">
        <v>29.5</v>
      </c>
      <c r="W31" s="5">
        <v>8</v>
      </c>
      <c r="X31" s="5" t="s">
        <v>907</v>
      </c>
      <c r="Y31" s="5" t="s">
        <v>908</v>
      </c>
      <c r="Z31" s="5">
        <v>15</v>
      </c>
      <c r="AA31" s="5" t="s">
        <v>909</v>
      </c>
      <c r="AB31" s="5">
        <v>187.36</v>
      </c>
      <c r="AC31" s="5">
        <v>0.58</v>
      </c>
      <c r="AD31" s="5">
        <v>108.6688</v>
      </c>
      <c r="AE31" s="5">
        <v>135.836</v>
      </c>
      <c r="AF31" s="5">
        <v>144.8917</v>
      </c>
      <c r="AG31" s="5">
        <v>167.1828</v>
      </c>
      <c r="AH31" s="5">
        <v>197.5796</v>
      </c>
      <c r="AI31" s="5"/>
    </row>
    <row r="32" hidden="1" spans="1:35">
      <c r="A32" s="5" t="s">
        <v>897</v>
      </c>
      <c r="B32" s="5" t="s">
        <v>365</v>
      </c>
      <c r="C32" s="5" t="s">
        <v>360</v>
      </c>
      <c r="D32" s="5" t="s">
        <v>934</v>
      </c>
      <c r="E32" s="5" t="s">
        <v>899</v>
      </c>
      <c r="F32" s="5" t="s">
        <v>96</v>
      </c>
      <c r="G32" s="5" t="s">
        <v>115</v>
      </c>
      <c r="H32" s="5" t="s">
        <v>935</v>
      </c>
      <c r="I32" s="5" t="s">
        <v>1076</v>
      </c>
      <c r="J32" s="5" t="s">
        <v>1076</v>
      </c>
      <c r="K32" s="5">
        <v>19</v>
      </c>
      <c r="L32" s="5"/>
      <c r="M32" s="5" t="s">
        <v>919</v>
      </c>
      <c r="N32" s="5" t="s">
        <v>937</v>
      </c>
      <c r="O32" s="5" t="s">
        <v>938</v>
      </c>
      <c r="P32" s="5" t="s">
        <v>1077</v>
      </c>
      <c r="Q32" s="5" t="s">
        <v>1078</v>
      </c>
      <c r="R32" s="5">
        <v>520</v>
      </c>
      <c r="S32" s="5">
        <v>562</v>
      </c>
      <c r="T32" s="5">
        <v>2.07</v>
      </c>
      <c r="U32" s="5">
        <v>39</v>
      </c>
      <c r="V32" s="5">
        <v>35</v>
      </c>
      <c r="W32" s="5">
        <v>24</v>
      </c>
      <c r="X32" s="5" t="s">
        <v>907</v>
      </c>
      <c r="Y32" s="5" t="s">
        <v>908</v>
      </c>
      <c r="Z32" s="5">
        <v>534</v>
      </c>
      <c r="AA32" s="5" t="s">
        <v>909</v>
      </c>
      <c r="AB32" s="5">
        <v>49.89</v>
      </c>
      <c r="AC32" s="5">
        <v>0.58</v>
      </c>
      <c r="AD32" s="5">
        <v>28.9362</v>
      </c>
      <c r="AE32" s="5">
        <v>36.1702</v>
      </c>
      <c r="AF32" s="5">
        <v>38.5816</v>
      </c>
      <c r="AG32" s="5">
        <v>44.5172</v>
      </c>
      <c r="AH32" s="5">
        <v>52.6113</v>
      </c>
      <c r="AI32" s="5"/>
    </row>
    <row r="33" hidden="1" spans="1:35">
      <c r="A33" s="5" t="s">
        <v>897</v>
      </c>
      <c r="B33" s="5" t="s">
        <v>797</v>
      </c>
      <c r="C33" s="5" t="s">
        <v>796</v>
      </c>
      <c r="D33" s="5" t="s">
        <v>1082</v>
      </c>
      <c r="E33" s="5" t="s">
        <v>899</v>
      </c>
      <c r="F33" s="5" t="s">
        <v>96</v>
      </c>
      <c r="G33" s="5" t="s">
        <v>115</v>
      </c>
      <c r="H33" s="5" t="s">
        <v>935</v>
      </c>
      <c r="I33" s="5" t="s">
        <v>1083</v>
      </c>
      <c r="J33" s="5" t="s">
        <v>1083</v>
      </c>
      <c r="K33" s="5">
        <v>19</v>
      </c>
      <c r="L33" s="5"/>
      <c r="M33" s="5" t="s">
        <v>919</v>
      </c>
      <c r="N33" s="5" t="s">
        <v>1084</v>
      </c>
      <c r="O33" s="5" t="s">
        <v>1085</v>
      </c>
      <c r="P33" s="5" t="s">
        <v>1086</v>
      </c>
      <c r="Q33" s="5" t="s">
        <v>1087</v>
      </c>
      <c r="R33" s="5">
        <v>360</v>
      </c>
      <c r="S33" s="5">
        <v>640</v>
      </c>
      <c r="T33" s="5">
        <v>2.03</v>
      </c>
      <c r="U33" s="5">
        <v>41.5</v>
      </c>
      <c r="V33" s="5">
        <v>39</v>
      </c>
      <c r="W33" s="5">
        <v>24</v>
      </c>
      <c r="X33" s="5" t="s">
        <v>907</v>
      </c>
      <c r="Y33" s="5" t="s">
        <v>908</v>
      </c>
      <c r="Z33" s="5">
        <v>29</v>
      </c>
      <c r="AA33" s="5" t="s">
        <v>909</v>
      </c>
      <c r="AB33" s="5">
        <v>64.63</v>
      </c>
      <c r="AC33" s="5">
        <v>0.58</v>
      </c>
      <c r="AD33" s="5">
        <v>37.4854</v>
      </c>
      <c r="AE33" s="5">
        <v>46.8567</v>
      </c>
      <c r="AF33" s="5">
        <v>49.9805</v>
      </c>
      <c r="AG33" s="5">
        <v>57.6698</v>
      </c>
      <c r="AH33" s="5">
        <v>68.1553</v>
      </c>
      <c r="AI33" s="5"/>
    </row>
    <row r="34" hidden="1" spans="1:35">
      <c r="A34" s="5" t="s">
        <v>897</v>
      </c>
      <c r="B34" s="5" t="s">
        <v>212</v>
      </c>
      <c r="C34" s="5" t="s">
        <v>211</v>
      </c>
      <c r="D34" s="5" t="s">
        <v>1088</v>
      </c>
      <c r="E34" s="5" t="s">
        <v>899</v>
      </c>
      <c r="F34" s="5" t="s">
        <v>96</v>
      </c>
      <c r="G34" s="5" t="s">
        <v>115</v>
      </c>
      <c r="H34" s="5" t="s">
        <v>935</v>
      </c>
      <c r="I34" s="5" t="s">
        <v>1083</v>
      </c>
      <c r="J34" s="5" t="s">
        <v>1083</v>
      </c>
      <c r="K34" s="5">
        <v>19</v>
      </c>
      <c r="L34" s="5"/>
      <c r="M34" s="5" t="s">
        <v>919</v>
      </c>
      <c r="N34" s="5" t="s">
        <v>1089</v>
      </c>
      <c r="O34" s="5" t="s">
        <v>1090</v>
      </c>
      <c r="P34" s="5" t="s">
        <v>1091</v>
      </c>
      <c r="Q34" s="5" t="s">
        <v>1092</v>
      </c>
      <c r="R34" s="5">
        <v>720</v>
      </c>
      <c r="S34" s="5">
        <v>1160</v>
      </c>
      <c r="T34" s="5">
        <v>5.13</v>
      </c>
      <c r="U34" s="5">
        <v>39</v>
      </c>
      <c r="V34" s="5">
        <v>30</v>
      </c>
      <c r="W34" s="5">
        <v>12</v>
      </c>
      <c r="X34" s="5" t="s">
        <v>907</v>
      </c>
      <c r="Y34" s="5" t="s">
        <v>908</v>
      </c>
      <c r="Z34" s="5">
        <v>5</v>
      </c>
      <c r="AA34" s="5" t="s">
        <v>909</v>
      </c>
      <c r="AB34" s="5">
        <v>148.17</v>
      </c>
      <c r="AC34" s="5">
        <v>0.58</v>
      </c>
      <c r="AD34" s="5">
        <v>85.9386</v>
      </c>
      <c r="AE34" s="5">
        <v>107.4232</v>
      </c>
      <c r="AF34" s="5">
        <v>114.5848</v>
      </c>
      <c r="AG34" s="5">
        <v>132.2132</v>
      </c>
      <c r="AH34" s="5">
        <v>156.252</v>
      </c>
      <c r="AI34" s="5"/>
    </row>
    <row r="35" hidden="1" spans="1:35">
      <c r="A35" s="5" t="s">
        <v>897</v>
      </c>
      <c r="B35" s="5" t="s">
        <v>679</v>
      </c>
      <c r="C35" s="5" t="s">
        <v>678</v>
      </c>
      <c r="D35" s="5" t="s">
        <v>1093</v>
      </c>
      <c r="E35" s="5" t="s">
        <v>899</v>
      </c>
      <c r="F35" s="5" t="s">
        <v>96</v>
      </c>
      <c r="G35" s="5" t="s">
        <v>115</v>
      </c>
      <c r="H35" s="5" t="s">
        <v>935</v>
      </c>
      <c r="I35" s="5" t="s">
        <v>1083</v>
      </c>
      <c r="J35" s="5" t="s">
        <v>1083</v>
      </c>
      <c r="K35" s="5">
        <v>19</v>
      </c>
      <c r="L35" s="5"/>
      <c r="M35" s="5" t="s">
        <v>919</v>
      </c>
      <c r="N35" s="5" t="s">
        <v>1094</v>
      </c>
      <c r="O35" s="5" t="s">
        <v>1095</v>
      </c>
      <c r="P35" s="5" t="s">
        <v>1096</v>
      </c>
      <c r="Q35" s="5" t="s">
        <v>1097</v>
      </c>
      <c r="R35" s="5">
        <v>460</v>
      </c>
      <c r="S35" s="5">
        <v>837</v>
      </c>
      <c r="T35" s="5">
        <v>2.5</v>
      </c>
      <c r="U35" s="5">
        <v>39</v>
      </c>
      <c r="V35" s="5">
        <v>31</v>
      </c>
      <c r="W35" s="5">
        <v>18</v>
      </c>
      <c r="X35" s="5" t="s">
        <v>907</v>
      </c>
      <c r="Y35" s="5" t="s">
        <v>908</v>
      </c>
      <c r="Z35" s="5">
        <v>12</v>
      </c>
      <c r="AA35" s="5" t="s">
        <v>909</v>
      </c>
      <c r="AB35" s="5">
        <v>152.8</v>
      </c>
      <c r="AC35" s="5">
        <v>0.58</v>
      </c>
      <c r="AD35" s="5">
        <v>88.624</v>
      </c>
      <c r="AE35" s="5">
        <v>110.78</v>
      </c>
      <c r="AF35" s="5">
        <v>118.1653</v>
      </c>
      <c r="AG35" s="5">
        <v>136.3446</v>
      </c>
      <c r="AH35" s="5">
        <v>161.1345</v>
      </c>
      <c r="AI35" s="5"/>
    </row>
    <row r="36" hidden="1" spans="1:35">
      <c r="A36" s="5" t="s">
        <v>897</v>
      </c>
      <c r="B36" s="5" t="s">
        <v>428</v>
      </c>
      <c r="C36" s="5" t="s">
        <v>427</v>
      </c>
      <c r="D36" s="5" t="s">
        <v>1098</v>
      </c>
      <c r="E36" s="5" t="s">
        <v>899</v>
      </c>
      <c r="F36" s="5" t="s">
        <v>96</v>
      </c>
      <c r="G36" s="5" t="s">
        <v>115</v>
      </c>
      <c r="H36" s="5" t="s">
        <v>935</v>
      </c>
      <c r="I36" s="5" t="s">
        <v>1083</v>
      </c>
      <c r="J36" s="5" t="s">
        <v>1083</v>
      </c>
      <c r="K36" s="5">
        <v>19</v>
      </c>
      <c r="L36" s="5"/>
      <c r="M36" s="5" t="s">
        <v>919</v>
      </c>
      <c r="N36" s="5" t="s">
        <v>1094</v>
      </c>
      <c r="O36" s="5" t="s">
        <v>1095</v>
      </c>
      <c r="P36" s="5" t="s">
        <v>1099</v>
      </c>
      <c r="Q36" s="5" t="s">
        <v>1097</v>
      </c>
      <c r="R36" s="5">
        <v>460</v>
      </c>
      <c r="S36" s="5">
        <v>900</v>
      </c>
      <c r="T36" s="5">
        <v>2.5</v>
      </c>
      <c r="U36" s="5">
        <v>39</v>
      </c>
      <c r="V36" s="5">
        <v>31</v>
      </c>
      <c r="W36" s="5">
        <v>18</v>
      </c>
      <c r="X36" s="5" t="s">
        <v>907</v>
      </c>
      <c r="Y36" s="5" t="s">
        <v>908</v>
      </c>
      <c r="Z36" s="5">
        <v>25</v>
      </c>
      <c r="AA36" s="5" t="s">
        <v>909</v>
      </c>
      <c r="AB36" s="5">
        <v>161.65</v>
      </c>
      <c r="AC36" s="5">
        <v>0.58</v>
      </c>
      <c r="AD36" s="5">
        <v>93.757</v>
      </c>
      <c r="AE36" s="5">
        <v>117.1962</v>
      </c>
      <c r="AF36" s="5">
        <v>125.0093</v>
      </c>
      <c r="AG36" s="5">
        <v>144.2415</v>
      </c>
      <c r="AH36" s="5">
        <v>170.4673</v>
      </c>
      <c r="AI36" s="5"/>
    </row>
    <row r="37" hidden="1" spans="1:35">
      <c r="A37" s="5" t="s">
        <v>897</v>
      </c>
      <c r="B37" s="5" t="s">
        <v>151</v>
      </c>
      <c r="C37" s="5" t="s">
        <v>150</v>
      </c>
      <c r="D37" s="5" t="s">
        <v>1100</v>
      </c>
      <c r="E37" s="5" t="s">
        <v>899</v>
      </c>
      <c r="F37" s="5" t="s">
        <v>96</v>
      </c>
      <c r="G37" s="5" t="s">
        <v>115</v>
      </c>
      <c r="H37" s="5" t="s">
        <v>1101</v>
      </c>
      <c r="I37" s="5" t="s">
        <v>1102</v>
      </c>
      <c r="J37" s="5" t="s">
        <v>1102</v>
      </c>
      <c r="K37" s="5">
        <v>20</v>
      </c>
      <c r="L37" s="5"/>
      <c r="M37" s="5" t="s">
        <v>902</v>
      </c>
      <c r="N37" s="5" t="s">
        <v>1103</v>
      </c>
      <c r="O37" s="5" t="s">
        <v>1101</v>
      </c>
      <c r="P37" s="5" t="s">
        <v>1104</v>
      </c>
      <c r="Q37" s="5" t="s">
        <v>1105</v>
      </c>
      <c r="R37" s="5">
        <v>4600</v>
      </c>
      <c r="S37" s="5">
        <v>5500</v>
      </c>
      <c r="T37" s="5">
        <v>29.75</v>
      </c>
      <c r="U37" s="5">
        <v>33</v>
      </c>
      <c r="V37" s="5">
        <v>22.2</v>
      </c>
      <c r="W37" s="5">
        <v>2</v>
      </c>
      <c r="X37" s="5" t="s">
        <v>907</v>
      </c>
      <c r="Y37" s="5" t="s">
        <v>908</v>
      </c>
      <c r="Z37" s="5">
        <v>1065</v>
      </c>
      <c r="AA37" s="5" t="s">
        <v>909</v>
      </c>
      <c r="AB37" s="5">
        <v>213.27</v>
      </c>
      <c r="AC37" s="5">
        <v>0.58</v>
      </c>
      <c r="AD37" s="5">
        <v>123.6966</v>
      </c>
      <c r="AE37" s="5">
        <v>154.6207</v>
      </c>
      <c r="AF37" s="5">
        <v>164.9288</v>
      </c>
      <c r="AG37" s="5">
        <v>190.3025</v>
      </c>
      <c r="AH37" s="5">
        <v>224.9029</v>
      </c>
      <c r="AI37" s="5"/>
    </row>
    <row r="38" hidden="1" spans="1:35">
      <c r="A38" s="5" t="s">
        <v>897</v>
      </c>
      <c r="B38" s="5" t="s">
        <v>296</v>
      </c>
      <c r="C38" s="5" t="s">
        <v>295</v>
      </c>
      <c r="D38" s="5" t="s">
        <v>1106</v>
      </c>
      <c r="E38" s="5" t="s">
        <v>899</v>
      </c>
      <c r="F38" s="5" t="s">
        <v>96</v>
      </c>
      <c r="G38" s="5" t="s">
        <v>115</v>
      </c>
      <c r="H38" s="5" t="s">
        <v>1101</v>
      </c>
      <c r="I38" s="5" t="s">
        <v>1107</v>
      </c>
      <c r="J38" s="5" t="s">
        <v>1107</v>
      </c>
      <c r="K38" s="5">
        <v>19</v>
      </c>
      <c r="L38" s="5"/>
      <c r="M38" s="5" t="s">
        <v>919</v>
      </c>
      <c r="N38" s="5" t="s">
        <v>1108</v>
      </c>
      <c r="O38" s="5" t="s">
        <v>1109</v>
      </c>
      <c r="P38" s="5" t="s">
        <v>1110</v>
      </c>
      <c r="Q38" s="5" t="s">
        <v>1111</v>
      </c>
      <c r="R38" s="5">
        <v>5000</v>
      </c>
      <c r="S38" s="5">
        <v>12000</v>
      </c>
      <c r="T38" s="5">
        <v>31</v>
      </c>
      <c r="U38" s="5">
        <v>33</v>
      </c>
      <c r="V38" s="5">
        <v>29</v>
      </c>
      <c r="W38" s="5">
        <v>2</v>
      </c>
      <c r="X38" s="5" t="s">
        <v>1020</v>
      </c>
      <c r="Y38" s="5" t="s">
        <v>908</v>
      </c>
      <c r="Z38" s="5">
        <v>44</v>
      </c>
      <c r="AA38" s="5" t="s">
        <v>909</v>
      </c>
      <c r="AB38" s="5">
        <v>405.03</v>
      </c>
      <c r="AC38" s="5">
        <v>0.58</v>
      </c>
      <c r="AD38" s="5">
        <v>234.9174</v>
      </c>
      <c r="AE38" s="5">
        <v>293.6467</v>
      </c>
      <c r="AF38" s="5">
        <v>313.2232</v>
      </c>
      <c r="AG38" s="5">
        <v>361.4114</v>
      </c>
      <c r="AH38" s="5">
        <v>427.1225</v>
      </c>
      <c r="AI38" s="5"/>
    </row>
    <row r="39" hidden="1" spans="1:35">
      <c r="A39" s="5" t="s">
        <v>897</v>
      </c>
      <c r="B39" s="5" t="s">
        <v>437</v>
      </c>
      <c r="C39" s="5" t="s">
        <v>436</v>
      </c>
      <c r="D39" s="5" t="s">
        <v>1112</v>
      </c>
      <c r="E39" s="5" t="s">
        <v>899</v>
      </c>
      <c r="F39" s="5" t="s">
        <v>96</v>
      </c>
      <c r="G39" s="5" t="s">
        <v>115</v>
      </c>
      <c r="H39" s="5" t="s">
        <v>1101</v>
      </c>
      <c r="I39" s="5" t="s">
        <v>1107</v>
      </c>
      <c r="J39" s="5" t="s">
        <v>1107</v>
      </c>
      <c r="K39" s="5">
        <v>19</v>
      </c>
      <c r="L39" s="5"/>
      <c r="M39" s="5" t="s">
        <v>919</v>
      </c>
      <c r="N39" s="5" t="s">
        <v>1113</v>
      </c>
      <c r="O39" s="5" t="s">
        <v>1114</v>
      </c>
      <c r="P39" s="5" t="s">
        <v>1115</v>
      </c>
      <c r="Q39" s="5" t="s">
        <v>1116</v>
      </c>
      <c r="R39" s="5">
        <v>5600</v>
      </c>
      <c r="S39" s="5">
        <v>12800</v>
      </c>
      <c r="T39" s="5">
        <v>33</v>
      </c>
      <c r="U39" s="5">
        <v>38</v>
      </c>
      <c r="V39" s="5">
        <v>28</v>
      </c>
      <c r="W39" s="5">
        <v>2</v>
      </c>
      <c r="X39" s="5" t="s">
        <v>907</v>
      </c>
      <c r="Y39" s="5" t="s">
        <v>908</v>
      </c>
      <c r="Z39" s="5">
        <v>11</v>
      </c>
      <c r="AA39" s="5" t="s">
        <v>909</v>
      </c>
      <c r="AB39" s="5">
        <v>349.39</v>
      </c>
      <c r="AC39" s="5">
        <v>0.58</v>
      </c>
      <c r="AD39" s="5">
        <v>202.6462</v>
      </c>
      <c r="AE39" s="5">
        <v>253.3077</v>
      </c>
      <c r="AF39" s="5">
        <v>270.1949</v>
      </c>
      <c r="AG39" s="5">
        <v>311.7634</v>
      </c>
      <c r="AH39" s="5">
        <v>368.4476</v>
      </c>
      <c r="AI39" s="5"/>
    </row>
    <row r="40" hidden="1" spans="1:35">
      <c r="A40" s="5" t="s">
        <v>897</v>
      </c>
      <c r="B40" s="5" t="s">
        <v>460</v>
      </c>
      <c r="C40" s="5" t="s">
        <v>459</v>
      </c>
      <c r="D40" s="5" t="s">
        <v>1117</v>
      </c>
      <c r="E40" s="5" t="s">
        <v>899</v>
      </c>
      <c r="F40" s="5" t="s">
        <v>96</v>
      </c>
      <c r="G40" s="5" t="s">
        <v>115</v>
      </c>
      <c r="H40" s="5" t="s">
        <v>1118</v>
      </c>
      <c r="I40" s="5" t="s">
        <v>1015</v>
      </c>
      <c r="J40" s="5" t="s">
        <v>1015</v>
      </c>
      <c r="K40" s="5">
        <v>19</v>
      </c>
      <c r="L40" s="5"/>
      <c r="M40" s="5" t="s">
        <v>919</v>
      </c>
      <c r="N40" s="5" t="s">
        <v>1119</v>
      </c>
      <c r="O40" s="5" t="s">
        <v>1118</v>
      </c>
      <c r="P40" s="5" t="s">
        <v>1120</v>
      </c>
      <c r="Q40" s="5" t="s">
        <v>1121</v>
      </c>
      <c r="R40" s="5">
        <v>6000</v>
      </c>
      <c r="S40" s="5">
        <v>6500</v>
      </c>
      <c r="T40" s="5">
        <v>25</v>
      </c>
      <c r="U40" s="5">
        <v>30</v>
      </c>
      <c r="V40" s="5">
        <v>28.5</v>
      </c>
      <c r="W40" s="5">
        <v>2</v>
      </c>
      <c r="X40" s="5" t="s">
        <v>907</v>
      </c>
      <c r="Y40" s="5" t="s">
        <v>908</v>
      </c>
      <c r="Z40" s="5">
        <v>11</v>
      </c>
      <c r="AA40" s="5" t="s">
        <v>909</v>
      </c>
      <c r="AB40" s="5">
        <v>352.57</v>
      </c>
      <c r="AC40" s="5">
        <v>0.58</v>
      </c>
      <c r="AD40" s="5">
        <v>204.4906</v>
      </c>
      <c r="AE40" s="5">
        <v>255.6133</v>
      </c>
      <c r="AF40" s="5">
        <v>272.6541</v>
      </c>
      <c r="AG40" s="5">
        <v>314.6009</v>
      </c>
      <c r="AH40" s="5">
        <v>371.8011</v>
      </c>
      <c r="AI40" s="5"/>
    </row>
    <row r="41" hidden="1" spans="1:35">
      <c r="A41" s="5" t="s">
        <v>897</v>
      </c>
      <c r="B41" s="5" t="s">
        <v>42</v>
      </c>
      <c r="C41" s="5" t="s">
        <v>113</v>
      </c>
      <c r="D41" s="5" t="s">
        <v>1122</v>
      </c>
      <c r="E41" s="5" t="s">
        <v>899</v>
      </c>
      <c r="F41" s="5" t="s">
        <v>96</v>
      </c>
      <c r="G41" s="5" t="s">
        <v>103</v>
      </c>
      <c r="H41" s="5" t="s">
        <v>1123</v>
      </c>
      <c r="I41" s="5" t="s">
        <v>1124</v>
      </c>
      <c r="J41" s="5" t="s">
        <v>1124</v>
      </c>
      <c r="K41" s="5">
        <v>18</v>
      </c>
      <c r="L41" s="5"/>
      <c r="M41" s="5" t="s">
        <v>902</v>
      </c>
      <c r="N41" s="5" t="s">
        <v>1125</v>
      </c>
      <c r="O41" s="5" t="s">
        <v>1126</v>
      </c>
      <c r="P41" s="5" t="s">
        <v>1127</v>
      </c>
      <c r="Q41" s="5" t="s">
        <v>1128</v>
      </c>
      <c r="R41" s="5">
        <v>1450</v>
      </c>
      <c r="S41" s="5">
        <v>1800</v>
      </c>
      <c r="T41" s="5">
        <v>10.5</v>
      </c>
      <c r="U41" s="5">
        <v>31</v>
      </c>
      <c r="V41" s="5">
        <v>52</v>
      </c>
      <c r="W41" s="5">
        <v>6</v>
      </c>
      <c r="X41" s="5" t="s">
        <v>907</v>
      </c>
      <c r="Y41" s="5" t="s">
        <v>908</v>
      </c>
      <c r="Z41" s="5">
        <v>1760</v>
      </c>
      <c r="AA41" s="5" t="s">
        <v>909</v>
      </c>
      <c r="AB41" s="5">
        <v>173.4069</v>
      </c>
      <c r="AC41" s="5">
        <v>0.58</v>
      </c>
      <c r="AD41" s="5">
        <v>100.576</v>
      </c>
      <c r="AE41" s="5">
        <v>125.72</v>
      </c>
      <c r="AF41" s="5">
        <v>134.1013</v>
      </c>
      <c r="AG41" s="5">
        <v>154.7323</v>
      </c>
      <c r="AH41" s="5">
        <v>182.8655</v>
      </c>
      <c r="AI41" s="5"/>
    </row>
    <row r="42" hidden="1" spans="1:35">
      <c r="A42" s="5" t="s">
        <v>897</v>
      </c>
      <c r="B42" s="5" t="s">
        <v>40</v>
      </c>
      <c r="C42" s="5" t="s">
        <v>299</v>
      </c>
      <c r="D42" s="5" t="s">
        <v>1129</v>
      </c>
      <c r="E42" s="5" t="s">
        <v>899</v>
      </c>
      <c r="F42" s="5" t="s">
        <v>96</v>
      </c>
      <c r="G42" s="5" t="s">
        <v>103</v>
      </c>
      <c r="H42" s="5" t="s">
        <v>1123</v>
      </c>
      <c r="I42" s="5" t="s">
        <v>1130</v>
      </c>
      <c r="J42" s="5" t="s">
        <v>1130</v>
      </c>
      <c r="K42" s="5">
        <v>18</v>
      </c>
      <c r="L42" s="5"/>
      <c r="M42" s="5" t="s">
        <v>902</v>
      </c>
      <c r="N42" s="5" t="s">
        <v>1131</v>
      </c>
      <c r="O42" s="5" t="s">
        <v>1132</v>
      </c>
      <c r="P42" s="5" t="s">
        <v>1133</v>
      </c>
      <c r="Q42" s="5" t="s">
        <v>1134</v>
      </c>
      <c r="R42" s="5">
        <v>4000</v>
      </c>
      <c r="S42" s="5">
        <v>4738</v>
      </c>
      <c r="T42" s="5">
        <v>14</v>
      </c>
      <c r="U42" s="5">
        <v>56</v>
      </c>
      <c r="V42" s="5">
        <v>36</v>
      </c>
      <c r="W42" s="5">
        <v>4</v>
      </c>
      <c r="X42" s="5" t="s">
        <v>1020</v>
      </c>
      <c r="Y42" s="5" t="s">
        <v>908</v>
      </c>
      <c r="Z42" s="5">
        <v>3</v>
      </c>
      <c r="AA42" s="5" t="s">
        <v>909</v>
      </c>
      <c r="AB42" s="5">
        <v>327.0514</v>
      </c>
      <c r="AC42" s="5">
        <v>0.58</v>
      </c>
      <c r="AD42" s="5">
        <v>189.6898</v>
      </c>
      <c r="AE42" s="5">
        <v>237.1123</v>
      </c>
      <c r="AF42" s="5">
        <v>252.9197</v>
      </c>
      <c r="AG42" s="5">
        <v>291.8305</v>
      </c>
      <c r="AH42" s="5">
        <v>344.8906</v>
      </c>
      <c r="AI42" s="5"/>
    </row>
    <row r="43" hidden="1" spans="1:35">
      <c r="A43" s="5" t="s">
        <v>897</v>
      </c>
      <c r="B43" s="5" t="s">
        <v>105</v>
      </c>
      <c r="C43" s="5" t="s">
        <v>104</v>
      </c>
      <c r="D43" s="5" t="s">
        <v>1135</v>
      </c>
      <c r="E43" s="5" t="s">
        <v>899</v>
      </c>
      <c r="F43" s="5" t="s">
        <v>96</v>
      </c>
      <c r="G43" s="5" t="s">
        <v>103</v>
      </c>
      <c r="H43" s="5" t="s">
        <v>1123</v>
      </c>
      <c r="I43" s="5" t="s">
        <v>1130</v>
      </c>
      <c r="J43" s="5" t="s">
        <v>1130</v>
      </c>
      <c r="K43" s="5">
        <v>18</v>
      </c>
      <c r="L43" s="5"/>
      <c r="M43" s="5" t="s">
        <v>902</v>
      </c>
      <c r="N43" s="5" t="s">
        <v>1131</v>
      </c>
      <c r="O43" s="5" t="s">
        <v>1132</v>
      </c>
      <c r="P43" s="5" t="s">
        <v>1136</v>
      </c>
      <c r="Q43" s="5" t="s">
        <v>1137</v>
      </c>
      <c r="R43" s="5">
        <v>8000</v>
      </c>
      <c r="S43" s="5">
        <v>10750</v>
      </c>
      <c r="T43" s="5">
        <v>30</v>
      </c>
      <c r="U43" s="5">
        <v>40</v>
      </c>
      <c r="V43" s="5">
        <v>35</v>
      </c>
      <c r="W43" s="5">
        <v>2</v>
      </c>
      <c r="X43" s="5" t="s">
        <v>1020</v>
      </c>
      <c r="Y43" s="5" t="s">
        <v>908</v>
      </c>
      <c r="Z43" s="5">
        <v>0</v>
      </c>
      <c r="AA43" s="5" t="s">
        <v>909</v>
      </c>
      <c r="AB43" s="5">
        <v>882.685</v>
      </c>
      <c r="AC43" s="5">
        <v>0.58</v>
      </c>
      <c r="AD43" s="5">
        <v>511.9573</v>
      </c>
      <c r="AE43" s="5">
        <v>639.9466</v>
      </c>
      <c r="AF43" s="5">
        <v>682.6097</v>
      </c>
      <c r="AG43" s="5">
        <v>787.6266</v>
      </c>
      <c r="AH43" s="5">
        <v>930.8315</v>
      </c>
      <c r="AI43" s="5"/>
    </row>
    <row r="44" spans="1:35">
      <c r="A44" s="5" t="s">
        <v>897</v>
      </c>
      <c r="B44" s="5" t="s">
        <v>54</v>
      </c>
      <c r="C44" s="5" t="s">
        <v>55</v>
      </c>
      <c r="D44" s="5" t="s">
        <v>1138</v>
      </c>
      <c r="E44" s="5" t="s">
        <v>899</v>
      </c>
      <c r="F44" s="5" t="s">
        <v>108</v>
      </c>
      <c r="G44" s="5" t="s">
        <v>927</v>
      </c>
      <c r="H44" s="5" t="s">
        <v>1139</v>
      </c>
      <c r="I44" s="5" t="s">
        <v>1140</v>
      </c>
      <c r="J44" s="5" t="s">
        <v>1140</v>
      </c>
      <c r="K44" s="5">
        <v>6</v>
      </c>
      <c r="L44" s="5"/>
      <c r="M44" s="5" t="s">
        <v>919</v>
      </c>
      <c r="N44" s="5" t="s">
        <v>1141</v>
      </c>
      <c r="O44" s="5" t="s">
        <v>1142</v>
      </c>
      <c r="P44" s="5" t="s">
        <v>1143</v>
      </c>
      <c r="Q44" s="5" t="s">
        <v>1144</v>
      </c>
      <c r="R44" s="5">
        <v>1450</v>
      </c>
      <c r="S44" s="5">
        <v>1800</v>
      </c>
      <c r="T44" s="5">
        <v>6.1</v>
      </c>
      <c r="U44" s="5">
        <v>56.7</v>
      </c>
      <c r="V44" s="5">
        <v>30.7</v>
      </c>
      <c r="W44" s="5">
        <v>10</v>
      </c>
      <c r="X44" s="5" t="s">
        <v>907</v>
      </c>
      <c r="Y44" s="5" t="s">
        <v>908</v>
      </c>
      <c r="Z44" s="5">
        <v>74</v>
      </c>
      <c r="AA44" s="5" t="s">
        <v>909</v>
      </c>
      <c r="AB44" s="5">
        <v>404.38</v>
      </c>
      <c r="AC44" s="5">
        <v>0.58</v>
      </c>
      <c r="AD44" s="5">
        <v>234.5404</v>
      </c>
      <c r="AE44" s="5">
        <v>293.1755</v>
      </c>
      <c r="AF44" s="5">
        <v>312.7205</v>
      </c>
      <c r="AG44" s="5">
        <v>360.8314</v>
      </c>
      <c r="AH44" s="5">
        <v>426.4371</v>
      </c>
      <c r="AI44" s="5"/>
    </row>
    <row r="45" spans="1:35">
      <c r="A45" s="5" t="s">
        <v>897</v>
      </c>
      <c r="B45" s="5" t="s">
        <v>867</v>
      </c>
      <c r="C45" s="5" t="s">
        <v>1145</v>
      </c>
      <c r="D45" s="5" t="s">
        <v>1146</v>
      </c>
      <c r="E45" s="5" t="s">
        <v>899</v>
      </c>
      <c r="F45" s="5" t="s">
        <v>108</v>
      </c>
      <c r="G45" s="5" t="s">
        <v>927</v>
      </c>
      <c r="H45" s="5" t="s">
        <v>1139</v>
      </c>
      <c r="I45" s="5" t="s">
        <v>1147</v>
      </c>
      <c r="J45" s="5" t="s">
        <v>1147</v>
      </c>
      <c r="K45" s="5">
        <v>6</v>
      </c>
      <c r="L45" s="5"/>
      <c r="M45" s="5" t="s">
        <v>1037</v>
      </c>
      <c r="N45" s="5" t="s">
        <v>1148</v>
      </c>
      <c r="O45" s="5" t="s">
        <v>1149</v>
      </c>
      <c r="P45" s="5" t="s">
        <v>1150</v>
      </c>
      <c r="Q45" s="5" t="s">
        <v>1151</v>
      </c>
      <c r="R45" s="5">
        <v>953</v>
      </c>
      <c r="S45" s="5">
        <v>1378</v>
      </c>
      <c r="T45" s="5">
        <v>6</v>
      </c>
      <c r="U45" s="5">
        <v>47</v>
      </c>
      <c r="V45" s="5">
        <v>27.5</v>
      </c>
      <c r="W45" s="5">
        <v>10</v>
      </c>
      <c r="X45" s="5" t="s">
        <v>1020</v>
      </c>
      <c r="Y45" s="5" t="s">
        <v>908</v>
      </c>
      <c r="Z45" s="5">
        <v>0</v>
      </c>
      <c r="AA45" s="5" t="s">
        <v>909</v>
      </c>
      <c r="AB45" s="5">
        <v>299.88</v>
      </c>
      <c r="AC45" s="5">
        <v>0.58</v>
      </c>
      <c r="AD45" s="5">
        <v>173.9304</v>
      </c>
      <c r="AE45" s="5">
        <v>217.413</v>
      </c>
      <c r="AF45" s="5">
        <v>231.9072</v>
      </c>
      <c r="AG45" s="5">
        <v>267.5852</v>
      </c>
      <c r="AH45" s="5">
        <v>316.2371</v>
      </c>
      <c r="AI45" s="5"/>
    </row>
    <row r="46" spans="1:35">
      <c r="A46" s="5" t="s">
        <v>897</v>
      </c>
      <c r="B46" s="5" t="s">
        <v>868</v>
      </c>
      <c r="C46" s="5" t="s">
        <v>1152</v>
      </c>
      <c r="D46" s="5" t="s">
        <v>1153</v>
      </c>
      <c r="E46" s="5" t="s">
        <v>899</v>
      </c>
      <c r="F46" s="5" t="s">
        <v>108</v>
      </c>
      <c r="G46" s="5" t="s">
        <v>927</v>
      </c>
      <c r="H46" s="5" t="s">
        <v>1139</v>
      </c>
      <c r="I46" s="5" t="s">
        <v>1147</v>
      </c>
      <c r="J46" s="5" t="s">
        <v>1147</v>
      </c>
      <c r="K46" s="5">
        <v>6</v>
      </c>
      <c r="L46" s="5"/>
      <c r="M46" s="5" t="s">
        <v>1037</v>
      </c>
      <c r="N46" s="5" t="s">
        <v>1154</v>
      </c>
      <c r="O46" s="5" t="s">
        <v>1155</v>
      </c>
      <c r="P46" s="5" t="s">
        <v>1156</v>
      </c>
      <c r="Q46" s="5" t="s">
        <v>1157</v>
      </c>
      <c r="R46" s="5">
        <v>650</v>
      </c>
      <c r="S46" s="5">
        <v>850</v>
      </c>
      <c r="T46" s="5">
        <v>2.55</v>
      </c>
      <c r="U46" s="5">
        <v>42</v>
      </c>
      <c r="V46" s="5">
        <v>44</v>
      </c>
      <c r="W46" s="5">
        <v>20</v>
      </c>
      <c r="X46" s="5" t="s">
        <v>1020</v>
      </c>
      <c r="Y46" s="5" t="s">
        <v>908</v>
      </c>
      <c r="Z46" s="5">
        <v>0</v>
      </c>
      <c r="AA46" s="5" t="s">
        <v>909</v>
      </c>
      <c r="AB46" s="5">
        <v>200.33</v>
      </c>
      <c r="AC46" s="5">
        <v>0.58</v>
      </c>
      <c r="AD46" s="5">
        <v>116.1914</v>
      </c>
      <c r="AE46" s="5">
        <v>145.2392</v>
      </c>
      <c r="AF46" s="5">
        <v>154.9219</v>
      </c>
      <c r="AG46" s="5">
        <v>178.756</v>
      </c>
      <c r="AH46" s="5">
        <v>211.2571</v>
      </c>
      <c r="AI46" s="5"/>
    </row>
    <row r="47" hidden="1" spans="1:35">
      <c r="A47" s="5" t="s">
        <v>897</v>
      </c>
      <c r="B47" s="5" t="s">
        <v>380</v>
      </c>
      <c r="C47" s="5" t="s">
        <v>1158</v>
      </c>
      <c r="D47" s="5" t="s">
        <v>1159</v>
      </c>
      <c r="E47" s="5" t="s">
        <v>899</v>
      </c>
      <c r="F47" s="5" t="s">
        <v>96</v>
      </c>
      <c r="G47" s="5" t="s">
        <v>115</v>
      </c>
      <c r="H47" s="5" t="s">
        <v>978</v>
      </c>
      <c r="I47" s="5" t="s">
        <v>1160</v>
      </c>
      <c r="J47" s="5" t="s">
        <v>1160</v>
      </c>
      <c r="K47" s="5">
        <v>6</v>
      </c>
      <c r="L47" s="5"/>
      <c r="M47" s="5" t="s">
        <v>919</v>
      </c>
      <c r="N47" s="5" t="s">
        <v>1161</v>
      </c>
      <c r="O47" s="5" t="s">
        <v>1162</v>
      </c>
      <c r="P47" s="5" t="s">
        <v>1163</v>
      </c>
      <c r="Q47" s="5" t="s">
        <v>1164</v>
      </c>
      <c r="R47" s="5">
        <v>2600</v>
      </c>
      <c r="S47" s="5">
        <v>2850</v>
      </c>
      <c r="T47" s="5">
        <v>10.93</v>
      </c>
      <c r="U47" s="5">
        <v>38.8</v>
      </c>
      <c r="V47" s="5">
        <v>24.4</v>
      </c>
      <c r="W47" s="5">
        <v>4</v>
      </c>
      <c r="X47" s="5" t="s">
        <v>907</v>
      </c>
      <c r="Y47" s="5" t="s">
        <v>908</v>
      </c>
      <c r="Z47" s="5">
        <v>36</v>
      </c>
      <c r="AA47" s="5" t="s">
        <v>909</v>
      </c>
      <c r="AB47" s="5">
        <v>149.17</v>
      </c>
      <c r="AC47" s="5">
        <v>0.58</v>
      </c>
      <c r="AD47" s="5">
        <v>86.5186</v>
      </c>
      <c r="AE47" s="5">
        <v>108.1483</v>
      </c>
      <c r="AF47" s="5">
        <v>115.3581</v>
      </c>
      <c r="AG47" s="5">
        <v>133.1055</v>
      </c>
      <c r="AH47" s="5">
        <v>157.3065</v>
      </c>
      <c r="AI47" s="5"/>
    </row>
    <row r="48" hidden="1" spans="1:35">
      <c r="A48" s="5" t="s">
        <v>897</v>
      </c>
      <c r="B48" s="5" t="s">
        <v>776</v>
      </c>
      <c r="C48" s="5" t="s">
        <v>1165</v>
      </c>
      <c r="D48" s="5" t="s">
        <v>1166</v>
      </c>
      <c r="E48" s="5" t="s">
        <v>899</v>
      </c>
      <c r="F48" s="5" t="s">
        <v>108</v>
      </c>
      <c r="G48" s="5" t="s">
        <v>146</v>
      </c>
      <c r="H48" s="5" t="s">
        <v>1167</v>
      </c>
      <c r="I48" s="5" t="s">
        <v>1168</v>
      </c>
      <c r="J48" s="5" t="s">
        <v>1168</v>
      </c>
      <c r="K48" s="5">
        <v>6</v>
      </c>
      <c r="L48" s="5"/>
      <c r="M48" s="5" t="s">
        <v>1037</v>
      </c>
      <c r="N48" s="5" t="s">
        <v>1169</v>
      </c>
      <c r="O48" s="5" t="s">
        <v>1170</v>
      </c>
      <c r="P48" s="5" t="s">
        <v>1171</v>
      </c>
      <c r="Q48" s="5" t="s">
        <v>1172</v>
      </c>
      <c r="R48" s="5">
        <v>13500</v>
      </c>
      <c r="S48" s="5">
        <v>17800</v>
      </c>
      <c r="T48" s="5">
        <v>134.5</v>
      </c>
      <c r="U48" s="5">
        <v>37</v>
      </c>
      <c r="V48" s="5">
        <v>28.5</v>
      </c>
      <c r="W48" s="5">
        <v>1</v>
      </c>
      <c r="X48" s="5" t="s">
        <v>1020</v>
      </c>
      <c r="Y48" s="5" t="s">
        <v>908</v>
      </c>
      <c r="Z48" s="5">
        <v>0</v>
      </c>
      <c r="AA48" s="5" t="s">
        <v>909</v>
      </c>
      <c r="AB48" s="5">
        <v>376.55</v>
      </c>
      <c r="AC48" s="5">
        <v>0.58</v>
      </c>
      <c r="AD48" s="5">
        <v>218.399</v>
      </c>
      <c r="AE48" s="5">
        <v>272.9987</v>
      </c>
      <c r="AF48" s="5">
        <v>291.1987</v>
      </c>
      <c r="AG48" s="5">
        <v>335.9985</v>
      </c>
      <c r="AH48" s="5">
        <v>397.0891</v>
      </c>
      <c r="AI48" s="5"/>
    </row>
    <row r="49" hidden="1" spans="1:35">
      <c r="A49" s="5" t="s">
        <v>897</v>
      </c>
      <c r="B49" s="5" t="s">
        <v>777</v>
      </c>
      <c r="C49" s="5" t="s">
        <v>1173</v>
      </c>
      <c r="D49" s="5" t="s">
        <v>1174</v>
      </c>
      <c r="E49" s="5" t="s">
        <v>899</v>
      </c>
      <c r="F49" s="5" t="s">
        <v>108</v>
      </c>
      <c r="G49" s="5" t="s">
        <v>146</v>
      </c>
      <c r="H49" s="5" t="s">
        <v>1167</v>
      </c>
      <c r="I49" s="5" t="s">
        <v>1168</v>
      </c>
      <c r="J49" s="5" t="s">
        <v>1168</v>
      </c>
      <c r="K49" s="5">
        <v>6</v>
      </c>
      <c r="L49" s="5"/>
      <c r="M49" s="5" t="s">
        <v>1037</v>
      </c>
      <c r="N49" s="5" t="s">
        <v>1175</v>
      </c>
      <c r="O49" s="5" t="s">
        <v>1176</v>
      </c>
      <c r="P49" s="5" t="s">
        <v>1177</v>
      </c>
      <c r="Q49" s="5" t="s">
        <v>1178</v>
      </c>
      <c r="R49" s="5">
        <v>9700</v>
      </c>
      <c r="S49" s="5">
        <v>10700</v>
      </c>
      <c r="T49" s="5">
        <v>150</v>
      </c>
      <c r="U49" s="5">
        <v>33</v>
      </c>
      <c r="V49" s="5">
        <v>15.5</v>
      </c>
      <c r="W49" s="5">
        <v>1</v>
      </c>
      <c r="X49" s="5" t="s">
        <v>1020</v>
      </c>
      <c r="Y49" s="5" t="s">
        <v>908</v>
      </c>
      <c r="Z49" s="5">
        <v>0</v>
      </c>
      <c r="AA49" s="5" t="s">
        <v>909</v>
      </c>
      <c r="AB49" s="5">
        <v>320.27</v>
      </c>
      <c r="AC49" s="5">
        <v>0.58</v>
      </c>
      <c r="AD49" s="5">
        <v>185.7566</v>
      </c>
      <c r="AE49" s="5">
        <v>232.1957</v>
      </c>
      <c r="AF49" s="5">
        <v>247.6755</v>
      </c>
      <c r="AG49" s="5">
        <v>285.7794</v>
      </c>
      <c r="AH49" s="5">
        <v>337.7393</v>
      </c>
      <c r="AI49" s="5"/>
    </row>
    <row r="50" hidden="1" spans="1:35">
      <c r="A50" s="5" t="s">
        <v>897</v>
      </c>
      <c r="B50" s="5" t="s">
        <v>814</v>
      </c>
      <c r="C50" s="5" t="s">
        <v>1179</v>
      </c>
      <c r="D50" s="5" t="s">
        <v>1180</v>
      </c>
      <c r="E50" s="5" t="s">
        <v>899</v>
      </c>
      <c r="F50" s="5" t="s">
        <v>108</v>
      </c>
      <c r="G50" s="5" t="s">
        <v>146</v>
      </c>
      <c r="H50" s="5" t="s">
        <v>1070</v>
      </c>
      <c r="I50" s="5" t="s">
        <v>1168</v>
      </c>
      <c r="J50" s="5" t="s">
        <v>1168</v>
      </c>
      <c r="K50" s="5">
        <v>6</v>
      </c>
      <c r="L50" s="5"/>
      <c r="M50" s="5" t="s">
        <v>919</v>
      </c>
      <c r="N50" s="5" t="s">
        <v>1181</v>
      </c>
      <c r="O50" s="5" t="s">
        <v>1182</v>
      </c>
      <c r="P50" s="5" t="s">
        <v>1183</v>
      </c>
      <c r="Q50" s="5" t="s">
        <v>1184</v>
      </c>
      <c r="R50" s="5">
        <v>6000</v>
      </c>
      <c r="S50" s="5">
        <v>8000</v>
      </c>
      <c r="T50" s="5">
        <v>67.5</v>
      </c>
      <c r="U50" s="5">
        <v>29</v>
      </c>
      <c r="V50" s="5">
        <v>20.5</v>
      </c>
      <c r="W50" s="5">
        <v>1</v>
      </c>
      <c r="X50" s="5" t="s">
        <v>907</v>
      </c>
      <c r="Y50" s="5" t="s">
        <v>908</v>
      </c>
      <c r="Z50" s="5">
        <v>1</v>
      </c>
      <c r="AA50" s="5" t="s">
        <v>909</v>
      </c>
      <c r="AB50" s="5">
        <v>370</v>
      </c>
      <c r="AC50" s="5">
        <v>0.58</v>
      </c>
      <c r="AD50" s="5">
        <v>214.6</v>
      </c>
      <c r="AE50" s="5">
        <v>268.25</v>
      </c>
      <c r="AF50" s="5">
        <v>286.1333</v>
      </c>
      <c r="AG50" s="5">
        <v>330.1538</v>
      </c>
      <c r="AH50" s="5">
        <v>390.1818</v>
      </c>
      <c r="AI50" s="5"/>
    </row>
    <row r="51" hidden="1" spans="1:35">
      <c r="A51" s="5" t="s">
        <v>897</v>
      </c>
      <c r="B51" s="5" t="s">
        <v>469</v>
      </c>
      <c r="C51" s="5" t="s">
        <v>468</v>
      </c>
      <c r="D51" s="5" t="s">
        <v>1185</v>
      </c>
      <c r="E51" s="5" t="s">
        <v>899</v>
      </c>
      <c r="F51" s="5" t="s">
        <v>96</v>
      </c>
      <c r="G51" s="5" t="s">
        <v>115</v>
      </c>
      <c r="H51" s="5" t="s">
        <v>1101</v>
      </c>
      <c r="I51" s="5" t="s">
        <v>1186</v>
      </c>
      <c r="J51" s="5" t="s">
        <v>1186</v>
      </c>
      <c r="K51" s="5">
        <v>6</v>
      </c>
      <c r="L51" s="5"/>
      <c r="M51" s="5" t="s">
        <v>1037</v>
      </c>
      <c r="N51" s="5" t="s">
        <v>1103</v>
      </c>
      <c r="O51" s="5" t="s">
        <v>1101</v>
      </c>
      <c r="P51" s="5" t="s">
        <v>1187</v>
      </c>
      <c r="Q51" s="5" t="s">
        <v>1105</v>
      </c>
      <c r="R51" s="5">
        <v>4600</v>
      </c>
      <c r="S51" s="5">
        <v>5500</v>
      </c>
      <c r="T51" s="5">
        <v>16.5</v>
      </c>
      <c r="U51" s="5">
        <v>30</v>
      </c>
      <c r="V51" s="5">
        <v>22.2</v>
      </c>
      <c r="W51" s="5">
        <v>2</v>
      </c>
      <c r="X51" s="5" t="s">
        <v>1020</v>
      </c>
      <c r="Y51" s="5" t="s">
        <v>908</v>
      </c>
      <c r="Z51" s="5">
        <v>0</v>
      </c>
      <c r="AA51" s="5" t="s">
        <v>909</v>
      </c>
      <c r="AB51" s="5">
        <v>199.59</v>
      </c>
      <c r="AC51" s="5">
        <v>0.58</v>
      </c>
      <c r="AD51" s="5">
        <v>115.7622</v>
      </c>
      <c r="AE51" s="5">
        <v>144.7027</v>
      </c>
      <c r="AF51" s="5">
        <v>154.3496</v>
      </c>
      <c r="AG51" s="5">
        <v>178.0957</v>
      </c>
      <c r="AH51" s="5">
        <v>210.4767</v>
      </c>
      <c r="AI51" s="5"/>
    </row>
    <row r="52" hidden="1" spans="1:35">
      <c r="A52" s="5" t="s">
        <v>897</v>
      </c>
      <c r="B52" s="5" t="s">
        <v>569</v>
      </c>
      <c r="C52" s="5" t="s">
        <v>1188</v>
      </c>
      <c r="D52" s="5" t="s">
        <v>1189</v>
      </c>
      <c r="E52" s="5" t="s">
        <v>899</v>
      </c>
      <c r="F52" s="5" t="s">
        <v>96</v>
      </c>
      <c r="G52" s="5" t="s">
        <v>115</v>
      </c>
      <c r="H52" s="5" t="s">
        <v>1190</v>
      </c>
      <c r="I52" s="5" t="s">
        <v>1168</v>
      </c>
      <c r="J52" s="5" t="s">
        <v>1168</v>
      </c>
      <c r="K52" s="5">
        <v>6</v>
      </c>
      <c r="L52" s="5"/>
      <c r="M52" s="5" t="s">
        <v>919</v>
      </c>
      <c r="N52" s="5" t="s">
        <v>1191</v>
      </c>
      <c r="O52" s="5" t="s">
        <v>1192</v>
      </c>
      <c r="P52" s="5" t="s">
        <v>1193</v>
      </c>
      <c r="Q52" s="5" t="s">
        <v>1194</v>
      </c>
      <c r="R52" s="5">
        <v>3800</v>
      </c>
      <c r="S52" s="5">
        <v>5700</v>
      </c>
      <c r="T52" s="5">
        <v>18</v>
      </c>
      <c r="U52" s="5">
        <v>36</v>
      </c>
      <c r="V52" s="5">
        <v>30.5</v>
      </c>
      <c r="W52" s="5">
        <v>2</v>
      </c>
      <c r="X52" s="5" t="s">
        <v>1020</v>
      </c>
      <c r="Y52" s="5" t="s">
        <v>908</v>
      </c>
      <c r="Z52" s="5">
        <v>41</v>
      </c>
      <c r="AA52" s="5" t="s">
        <v>909</v>
      </c>
      <c r="AB52" s="5">
        <v>379.8</v>
      </c>
      <c r="AC52" s="5">
        <v>0.58</v>
      </c>
      <c r="AD52" s="5">
        <v>220.284</v>
      </c>
      <c r="AE52" s="5">
        <v>275.355</v>
      </c>
      <c r="AF52" s="5">
        <v>293.712</v>
      </c>
      <c r="AG52" s="5">
        <v>338.8985</v>
      </c>
      <c r="AH52" s="5">
        <v>400.5164</v>
      </c>
      <c r="AI52" s="5"/>
    </row>
    <row r="53" hidden="1" spans="1:35">
      <c r="A53" s="5" t="s">
        <v>897</v>
      </c>
      <c r="B53" s="5" t="s">
        <v>570</v>
      </c>
      <c r="C53" s="5" t="s">
        <v>1195</v>
      </c>
      <c r="D53" s="5" t="s">
        <v>1196</v>
      </c>
      <c r="E53" s="5" t="s">
        <v>899</v>
      </c>
      <c r="F53" s="5" t="s">
        <v>96</v>
      </c>
      <c r="G53" s="5" t="s">
        <v>115</v>
      </c>
      <c r="H53" s="5" t="s">
        <v>1101</v>
      </c>
      <c r="I53" s="5" t="s">
        <v>1168</v>
      </c>
      <c r="J53" s="5" t="s">
        <v>1168</v>
      </c>
      <c r="K53" s="5">
        <v>6</v>
      </c>
      <c r="L53" s="5"/>
      <c r="M53" s="5" t="s">
        <v>919</v>
      </c>
      <c r="N53" s="5" t="s">
        <v>1197</v>
      </c>
      <c r="O53" s="5" t="s">
        <v>1198</v>
      </c>
      <c r="P53" s="5" t="s">
        <v>1199</v>
      </c>
      <c r="Q53" s="5" t="s">
        <v>1200</v>
      </c>
      <c r="R53" s="5">
        <v>400</v>
      </c>
      <c r="S53" s="5">
        <v>720</v>
      </c>
      <c r="T53" s="5">
        <v>2.55</v>
      </c>
      <c r="U53" s="5">
        <v>43</v>
      </c>
      <c r="V53" s="5">
        <v>28</v>
      </c>
      <c r="W53" s="5">
        <v>20</v>
      </c>
      <c r="X53" s="5" t="s">
        <v>1020</v>
      </c>
      <c r="Y53" s="5" t="s">
        <v>908</v>
      </c>
      <c r="Z53" s="5">
        <v>0</v>
      </c>
      <c r="AA53" s="5" t="s">
        <v>909</v>
      </c>
      <c r="AB53" s="5">
        <v>115.68</v>
      </c>
      <c r="AC53" s="5">
        <v>0.58</v>
      </c>
      <c r="AD53" s="5">
        <v>67.0944</v>
      </c>
      <c r="AE53" s="5">
        <v>83.868</v>
      </c>
      <c r="AF53" s="5">
        <v>89.4592</v>
      </c>
      <c r="AG53" s="5">
        <v>103.2222</v>
      </c>
      <c r="AH53" s="5">
        <v>121.9898</v>
      </c>
      <c r="AI53" s="5"/>
    </row>
    <row r="54" hidden="1" spans="1:35">
      <c r="A54" s="5" t="s">
        <v>897</v>
      </c>
      <c r="B54" s="5" t="s">
        <v>571</v>
      </c>
      <c r="C54" s="5" t="s">
        <v>1201</v>
      </c>
      <c r="D54" s="5" t="s">
        <v>1202</v>
      </c>
      <c r="E54" s="5" t="s">
        <v>899</v>
      </c>
      <c r="F54" s="5" t="s">
        <v>96</v>
      </c>
      <c r="G54" s="5" t="s">
        <v>115</v>
      </c>
      <c r="H54" s="5" t="s">
        <v>1203</v>
      </c>
      <c r="I54" s="5" t="s">
        <v>1168</v>
      </c>
      <c r="J54" s="5" t="s">
        <v>1168</v>
      </c>
      <c r="K54" s="5">
        <v>6</v>
      </c>
      <c r="L54" s="5"/>
      <c r="M54" s="5" t="s">
        <v>1037</v>
      </c>
      <c r="N54" s="5" t="s">
        <v>1204</v>
      </c>
      <c r="O54" s="5" t="s">
        <v>1205</v>
      </c>
      <c r="P54" s="5" t="s">
        <v>1206</v>
      </c>
      <c r="Q54" s="5" t="s">
        <v>1207</v>
      </c>
      <c r="R54" s="5">
        <v>1100</v>
      </c>
      <c r="S54" s="5">
        <v>1700</v>
      </c>
      <c r="T54" s="5">
        <v>28</v>
      </c>
      <c r="U54" s="5">
        <v>26.8</v>
      </c>
      <c r="V54" s="5">
        <v>19</v>
      </c>
      <c r="W54" s="5">
        <v>1</v>
      </c>
      <c r="X54" s="5" t="s">
        <v>907</v>
      </c>
      <c r="Y54" s="5" t="s">
        <v>908</v>
      </c>
      <c r="Z54" s="5">
        <v>0</v>
      </c>
      <c r="AA54" s="5" t="s">
        <v>909</v>
      </c>
      <c r="AB54" s="5">
        <v>201.32</v>
      </c>
      <c r="AC54" s="5">
        <v>0.58</v>
      </c>
      <c r="AD54" s="5">
        <v>116.7656</v>
      </c>
      <c r="AE54" s="5">
        <v>145.957</v>
      </c>
      <c r="AF54" s="5">
        <v>155.6875</v>
      </c>
      <c r="AG54" s="5">
        <v>179.6394</v>
      </c>
      <c r="AH54" s="5">
        <v>212.3011</v>
      </c>
      <c r="AI54" s="5"/>
    </row>
    <row r="55" hidden="1" spans="1:35">
      <c r="A55" s="5" t="s">
        <v>897</v>
      </c>
      <c r="B55" s="5" t="s">
        <v>519</v>
      </c>
      <c r="C55" s="5" t="s">
        <v>518</v>
      </c>
      <c r="D55" s="5" t="s">
        <v>1208</v>
      </c>
      <c r="E55" s="5" t="s">
        <v>899</v>
      </c>
      <c r="F55" s="5" t="s">
        <v>96</v>
      </c>
      <c r="G55" s="5" t="s">
        <v>103</v>
      </c>
      <c r="H55" s="5" t="s">
        <v>1209</v>
      </c>
      <c r="I55" s="5" t="s">
        <v>1210</v>
      </c>
      <c r="J55" s="5" t="s">
        <v>1210</v>
      </c>
      <c r="K55" s="5">
        <v>6</v>
      </c>
      <c r="L55" s="5"/>
      <c r="M55" s="5" t="s">
        <v>1037</v>
      </c>
      <c r="N55" s="5" t="s">
        <v>1211</v>
      </c>
      <c r="O55" s="5" t="s">
        <v>1212</v>
      </c>
      <c r="P55" s="5" t="s">
        <v>1213</v>
      </c>
      <c r="Q55" s="5" t="s">
        <v>1214</v>
      </c>
      <c r="R55" s="5">
        <v>17100</v>
      </c>
      <c r="S55" s="5">
        <v>18600</v>
      </c>
      <c r="T55" s="5">
        <v>18.5</v>
      </c>
      <c r="U55" s="5">
        <v>36</v>
      </c>
      <c r="V55" s="5">
        <v>28.6</v>
      </c>
      <c r="W55" s="5">
        <v>2</v>
      </c>
      <c r="X55" s="5" t="s">
        <v>1020</v>
      </c>
      <c r="Y55" s="5" t="s">
        <v>908</v>
      </c>
      <c r="Z55" s="5">
        <v>0</v>
      </c>
      <c r="AA55" s="5" t="s">
        <v>909</v>
      </c>
      <c r="AB55" s="5">
        <v>1013.314</v>
      </c>
      <c r="AC55" s="5">
        <v>0.58</v>
      </c>
      <c r="AD55" s="5">
        <v>587.7221</v>
      </c>
      <c r="AE55" s="5">
        <v>734.6526</v>
      </c>
      <c r="AF55" s="5">
        <v>783.6295</v>
      </c>
      <c r="AG55" s="5">
        <v>904.1879</v>
      </c>
      <c r="AH55" s="5">
        <v>1068.5857</v>
      </c>
      <c r="AI55" s="5"/>
    </row>
    <row r="56" hidden="1" spans="1:35">
      <c r="A56" s="5" t="s">
        <v>897</v>
      </c>
      <c r="B56" s="5" t="s">
        <v>521</v>
      </c>
      <c r="C56" s="5" t="s">
        <v>520</v>
      </c>
      <c r="D56" s="5" t="s">
        <v>1215</v>
      </c>
      <c r="E56" s="5" t="s">
        <v>899</v>
      </c>
      <c r="F56" s="5" t="s">
        <v>96</v>
      </c>
      <c r="G56" s="5" t="s">
        <v>103</v>
      </c>
      <c r="H56" s="5" t="s">
        <v>1209</v>
      </c>
      <c r="I56" s="5" t="s">
        <v>1210</v>
      </c>
      <c r="J56" s="5" t="s">
        <v>1210</v>
      </c>
      <c r="K56" s="5">
        <v>6</v>
      </c>
      <c r="L56" s="5"/>
      <c r="M56" s="5" t="s">
        <v>1037</v>
      </c>
      <c r="N56" s="5" t="s">
        <v>1216</v>
      </c>
      <c r="O56" s="5" t="s">
        <v>1217</v>
      </c>
      <c r="P56" s="5" t="s">
        <v>1218</v>
      </c>
      <c r="Q56" s="5" t="s">
        <v>1219</v>
      </c>
      <c r="R56" s="5">
        <v>18100</v>
      </c>
      <c r="S56" s="5">
        <v>20110</v>
      </c>
      <c r="T56" s="5">
        <v>43</v>
      </c>
      <c r="U56" s="5">
        <v>36</v>
      </c>
      <c r="V56" s="5">
        <v>28.5</v>
      </c>
      <c r="W56" s="5">
        <v>1</v>
      </c>
      <c r="X56" s="5" t="s">
        <v>1020</v>
      </c>
      <c r="Y56" s="5" t="s">
        <v>908</v>
      </c>
      <c r="Z56" s="5">
        <v>0</v>
      </c>
      <c r="AA56" s="5" t="s">
        <v>909</v>
      </c>
      <c r="AB56" s="5">
        <v>2213.498</v>
      </c>
      <c r="AC56" s="5">
        <v>0.58</v>
      </c>
      <c r="AD56" s="5">
        <v>1283.8288</v>
      </c>
      <c r="AE56" s="5">
        <v>1604.7861</v>
      </c>
      <c r="AF56" s="5">
        <v>1711.7718</v>
      </c>
      <c r="AG56" s="5">
        <v>1975.1213</v>
      </c>
      <c r="AH56" s="5">
        <v>2334.2343</v>
      </c>
      <c r="AI56" s="5"/>
    </row>
    <row r="57" hidden="1" spans="1:35">
      <c r="A57" s="5" t="s">
        <v>897</v>
      </c>
      <c r="B57" s="5" t="s">
        <v>471</v>
      </c>
      <c r="C57" s="5" t="s">
        <v>470</v>
      </c>
      <c r="D57" s="5" t="s">
        <v>1220</v>
      </c>
      <c r="E57" s="5" t="s">
        <v>899</v>
      </c>
      <c r="F57" s="5" t="s">
        <v>96</v>
      </c>
      <c r="G57" s="5" t="s">
        <v>103</v>
      </c>
      <c r="H57" s="5" t="s">
        <v>1123</v>
      </c>
      <c r="I57" s="5" t="s">
        <v>1221</v>
      </c>
      <c r="J57" s="5" t="s">
        <v>1221</v>
      </c>
      <c r="K57" s="5">
        <v>6</v>
      </c>
      <c r="L57" s="5"/>
      <c r="M57" s="5" t="s">
        <v>1037</v>
      </c>
      <c r="N57" s="5" t="s">
        <v>1222</v>
      </c>
      <c r="O57" s="5" t="s">
        <v>1223</v>
      </c>
      <c r="P57" s="5" t="s">
        <v>1224</v>
      </c>
      <c r="Q57" s="5" t="s">
        <v>1225</v>
      </c>
      <c r="R57" s="5">
        <v>1003</v>
      </c>
      <c r="S57" s="5">
        <v>1235</v>
      </c>
      <c r="T57" s="5">
        <v>6.38</v>
      </c>
      <c r="U57" s="5">
        <v>46</v>
      </c>
      <c r="V57" s="5">
        <v>36</v>
      </c>
      <c r="W57" s="5">
        <v>8</v>
      </c>
      <c r="X57" s="5" t="s">
        <v>1020</v>
      </c>
      <c r="Y57" s="5" t="s">
        <v>908</v>
      </c>
      <c r="Z57" s="5">
        <v>0</v>
      </c>
      <c r="AA57" s="5" t="s">
        <v>909</v>
      </c>
      <c r="AB57" s="5">
        <v>149.4479</v>
      </c>
      <c r="AC57" s="5">
        <v>0.58</v>
      </c>
      <c r="AD57" s="5">
        <v>86.6798</v>
      </c>
      <c r="AE57" s="5">
        <v>108.3497</v>
      </c>
      <c r="AF57" s="5">
        <v>115.573</v>
      </c>
      <c r="AG57" s="5">
        <v>133.3535</v>
      </c>
      <c r="AH57" s="5">
        <v>157.5996</v>
      </c>
      <c r="AI57" s="5"/>
    </row>
    <row r="58" hidden="1" spans="1:35">
      <c r="A58" s="5" t="s">
        <v>897</v>
      </c>
      <c r="B58" s="5" t="s">
        <v>523</v>
      </c>
      <c r="C58" s="5" t="s">
        <v>522</v>
      </c>
      <c r="D58" s="5" t="s">
        <v>1226</v>
      </c>
      <c r="E58" s="5" t="s">
        <v>899</v>
      </c>
      <c r="F58" s="5" t="s">
        <v>96</v>
      </c>
      <c r="G58" s="5" t="s">
        <v>103</v>
      </c>
      <c r="H58" s="5" t="s">
        <v>1227</v>
      </c>
      <c r="I58" s="5" t="s">
        <v>1210</v>
      </c>
      <c r="J58" s="5" t="s">
        <v>1210</v>
      </c>
      <c r="K58" s="5">
        <v>6</v>
      </c>
      <c r="L58" s="5"/>
      <c r="M58" s="5" t="s">
        <v>1037</v>
      </c>
      <c r="N58" s="5" t="s">
        <v>1228</v>
      </c>
      <c r="O58" s="5" t="s">
        <v>1229</v>
      </c>
      <c r="P58" s="5" t="s">
        <v>1230</v>
      </c>
      <c r="Q58" s="5" t="s">
        <v>1231</v>
      </c>
      <c r="R58" s="5">
        <v>1460</v>
      </c>
      <c r="S58" s="5">
        <v>1575</v>
      </c>
      <c r="T58" s="5">
        <v>4.85</v>
      </c>
      <c r="U58" s="5">
        <v>39</v>
      </c>
      <c r="V58" s="5">
        <v>34.5</v>
      </c>
      <c r="W58" s="5">
        <v>10</v>
      </c>
      <c r="X58" s="5" t="s">
        <v>1020</v>
      </c>
      <c r="Y58" s="5" t="s">
        <v>908</v>
      </c>
      <c r="Z58" s="5">
        <v>0</v>
      </c>
      <c r="AA58" s="5" t="s">
        <v>909</v>
      </c>
      <c r="AB58" s="5">
        <v>287.367</v>
      </c>
      <c r="AC58" s="5">
        <v>0.58</v>
      </c>
      <c r="AD58" s="5">
        <v>166.6729</v>
      </c>
      <c r="AE58" s="5">
        <v>208.3411</v>
      </c>
      <c r="AF58" s="5">
        <v>222.2305</v>
      </c>
      <c r="AG58" s="5">
        <v>256.4198</v>
      </c>
      <c r="AH58" s="5">
        <v>303.0416</v>
      </c>
      <c r="AI58" s="5"/>
    </row>
    <row r="59" hidden="1" spans="1:35">
      <c r="A59" s="5" t="s">
        <v>897</v>
      </c>
      <c r="B59" s="5" t="s">
        <v>525</v>
      </c>
      <c r="C59" s="5" t="s">
        <v>524</v>
      </c>
      <c r="D59" s="5" t="s">
        <v>1232</v>
      </c>
      <c r="E59" s="5" t="s">
        <v>899</v>
      </c>
      <c r="F59" s="5" t="s">
        <v>96</v>
      </c>
      <c r="G59" s="5" t="s">
        <v>103</v>
      </c>
      <c r="H59" s="5" t="s">
        <v>1227</v>
      </c>
      <c r="I59" s="5" t="s">
        <v>1210</v>
      </c>
      <c r="J59" s="5" t="s">
        <v>1210</v>
      </c>
      <c r="K59" s="5">
        <v>6</v>
      </c>
      <c r="L59" s="5"/>
      <c r="M59" s="5" t="s">
        <v>1037</v>
      </c>
      <c r="N59" s="5" t="s">
        <v>1233</v>
      </c>
      <c r="O59" s="5" t="s">
        <v>1234</v>
      </c>
      <c r="P59" s="5" t="s">
        <v>1235</v>
      </c>
      <c r="Q59" s="5" t="s">
        <v>1236</v>
      </c>
      <c r="R59" s="5">
        <v>3450</v>
      </c>
      <c r="S59" s="5">
        <v>3825</v>
      </c>
      <c r="T59" s="5">
        <v>13.38</v>
      </c>
      <c r="U59" s="5">
        <v>40.5</v>
      </c>
      <c r="V59" s="5">
        <v>27.5</v>
      </c>
      <c r="W59" s="5">
        <v>4</v>
      </c>
      <c r="X59" s="5" t="s">
        <v>1020</v>
      </c>
      <c r="Y59" s="5" t="s">
        <v>908</v>
      </c>
      <c r="Z59" s="5">
        <v>0</v>
      </c>
      <c r="AA59" s="5" t="s">
        <v>909</v>
      </c>
      <c r="AB59" s="5">
        <v>591.5268</v>
      </c>
      <c r="AC59" s="5">
        <v>0.58</v>
      </c>
      <c r="AD59" s="5">
        <v>343.0855</v>
      </c>
      <c r="AE59" s="5">
        <v>428.8569</v>
      </c>
      <c r="AF59" s="5">
        <v>457.4474</v>
      </c>
      <c r="AG59" s="5">
        <v>527.8239</v>
      </c>
      <c r="AH59" s="5">
        <v>623.7919</v>
      </c>
      <c r="AI59" s="5"/>
    </row>
    <row r="60" hidden="1" spans="1:35">
      <c r="A60" s="5" t="s">
        <v>897</v>
      </c>
      <c r="B60" s="5" t="s">
        <v>527</v>
      </c>
      <c r="C60" s="5" t="s">
        <v>526</v>
      </c>
      <c r="D60" s="5" t="s">
        <v>1237</v>
      </c>
      <c r="E60" s="5" t="s">
        <v>899</v>
      </c>
      <c r="F60" s="5" t="s">
        <v>96</v>
      </c>
      <c r="G60" s="5" t="s">
        <v>103</v>
      </c>
      <c r="H60" s="5" t="s">
        <v>1227</v>
      </c>
      <c r="I60" s="5" t="s">
        <v>1210</v>
      </c>
      <c r="J60" s="5" t="s">
        <v>1210</v>
      </c>
      <c r="K60" s="5">
        <v>6</v>
      </c>
      <c r="L60" s="5"/>
      <c r="M60" s="5" t="s">
        <v>1037</v>
      </c>
      <c r="N60" s="5" t="s">
        <v>1238</v>
      </c>
      <c r="O60" s="5" t="s">
        <v>1239</v>
      </c>
      <c r="P60" s="5" t="s">
        <v>1240</v>
      </c>
      <c r="Q60" s="5" t="s">
        <v>1241</v>
      </c>
      <c r="R60" s="5">
        <v>3660</v>
      </c>
      <c r="S60" s="5">
        <v>3900</v>
      </c>
      <c r="T60" s="5">
        <v>12.88</v>
      </c>
      <c r="U60" s="5">
        <v>41.5</v>
      </c>
      <c r="V60" s="5">
        <v>33.5</v>
      </c>
      <c r="W60" s="5">
        <v>4</v>
      </c>
      <c r="X60" s="5" t="s">
        <v>1020</v>
      </c>
      <c r="Y60" s="5" t="s">
        <v>908</v>
      </c>
      <c r="Z60" s="5">
        <v>0</v>
      </c>
      <c r="AA60" s="5" t="s">
        <v>909</v>
      </c>
      <c r="AB60" s="5">
        <v>647.7198</v>
      </c>
      <c r="AC60" s="5">
        <v>0.58</v>
      </c>
      <c r="AD60" s="5">
        <v>375.6775</v>
      </c>
      <c r="AE60" s="5">
        <v>469.5969</v>
      </c>
      <c r="AF60" s="5">
        <v>500.9033</v>
      </c>
      <c r="AG60" s="5">
        <v>577.9654</v>
      </c>
      <c r="AH60" s="5">
        <v>683.05</v>
      </c>
      <c r="AI60" s="5"/>
    </row>
    <row r="61" hidden="1" spans="1:35">
      <c r="A61" s="5" t="s">
        <v>897</v>
      </c>
      <c r="B61" s="5" t="s">
        <v>529</v>
      </c>
      <c r="C61" s="5" t="s">
        <v>528</v>
      </c>
      <c r="D61" s="5" t="s">
        <v>1242</v>
      </c>
      <c r="E61" s="5" t="s">
        <v>899</v>
      </c>
      <c r="F61" s="5" t="s">
        <v>96</v>
      </c>
      <c r="G61" s="5" t="s">
        <v>103</v>
      </c>
      <c r="H61" s="5" t="s">
        <v>1227</v>
      </c>
      <c r="I61" s="5" t="s">
        <v>1210</v>
      </c>
      <c r="J61" s="5" t="s">
        <v>1210</v>
      </c>
      <c r="K61" s="5">
        <v>6</v>
      </c>
      <c r="L61" s="5"/>
      <c r="M61" s="5" t="s">
        <v>1037</v>
      </c>
      <c r="N61" s="5" t="s">
        <v>1243</v>
      </c>
      <c r="O61" s="5" t="s">
        <v>1244</v>
      </c>
      <c r="P61" s="5" t="s">
        <v>1245</v>
      </c>
      <c r="Q61" s="5" t="s">
        <v>1246</v>
      </c>
      <c r="R61" s="5">
        <v>3740</v>
      </c>
      <c r="S61" s="5">
        <v>4075</v>
      </c>
      <c r="T61" s="5">
        <v>10.13</v>
      </c>
      <c r="U61" s="5">
        <v>39.5</v>
      </c>
      <c r="V61" s="5">
        <v>33.2</v>
      </c>
      <c r="W61" s="5">
        <v>4</v>
      </c>
      <c r="X61" s="5" t="s">
        <v>1020</v>
      </c>
      <c r="Y61" s="5" t="s">
        <v>908</v>
      </c>
      <c r="Z61" s="5">
        <v>0</v>
      </c>
      <c r="AA61" s="5" t="s">
        <v>909</v>
      </c>
      <c r="AB61" s="5">
        <v>588.2968</v>
      </c>
      <c r="AC61" s="5">
        <v>0.58</v>
      </c>
      <c r="AD61" s="5">
        <v>341.2121</v>
      </c>
      <c r="AE61" s="5">
        <v>426.5152</v>
      </c>
      <c r="AF61" s="5">
        <v>454.9495</v>
      </c>
      <c r="AG61" s="5">
        <v>524.9418</v>
      </c>
      <c r="AH61" s="5">
        <v>620.3857</v>
      </c>
      <c r="AI61" s="5"/>
    </row>
    <row r="62" hidden="1" spans="1:35">
      <c r="A62" s="5" t="s">
        <v>897</v>
      </c>
      <c r="B62" s="5" t="s">
        <v>531</v>
      </c>
      <c r="C62" s="5" t="s">
        <v>530</v>
      </c>
      <c r="D62" s="5" t="s">
        <v>1247</v>
      </c>
      <c r="E62" s="5" t="s">
        <v>899</v>
      </c>
      <c r="F62" s="5" t="s">
        <v>96</v>
      </c>
      <c r="G62" s="5" t="s">
        <v>103</v>
      </c>
      <c r="H62" s="5" t="s">
        <v>1227</v>
      </c>
      <c r="I62" s="5" t="s">
        <v>1210</v>
      </c>
      <c r="J62" s="5" t="s">
        <v>1210</v>
      </c>
      <c r="K62" s="5">
        <v>6</v>
      </c>
      <c r="L62" s="5"/>
      <c r="M62" s="5" t="s">
        <v>1037</v>
      </c>
      <c r="N62" s="5" t="s">
        <v>1248</v>
      </c>
      <c r="O62" s="5" t="s">
        <v>1249</v>
      </c>
      <c r="P62" s="5" t="s">
        <v>1250</v>
      </c>
      <c r="Q62" s="5" t="s">
        <v>1251</v>
      </c>
      <c r="R62" s="5">
        <v>5410</v>
      </c>
      <c r="S62" s="5">
        <v>5925</v>
      </c>
      <c r="T62" s="5">
        <v>27.25</v>
      </c>
      <c r="U62" s="5">
        <v>40</v>
      </c>
      <c r="V62" s="5">
        <v>25.5</v>
      </c>
      <c r="W62" s="5">
        <v>2</v>
      </c>
      <c r="X62" s="5" t="s">
        <v>1020</v>
      </c>
      <c r="Y62" s="5" t="s">
        <v>908</v>
      </c>
      <c r="Z62" s="5">
        <v>0</v>
      </c>
      <c r="AA62" s="5" t="s">
        <v>909</v>
      </c>
      <c r="AB62" s="5">
        <v>955.9096</v>
      </c>
      <c r="AC62" s="5">
        <v>0.58</v>
      </c>
      <c r="AD62" s="5">
        <v>554.4276</v>
      </c>
      <c r="AE62" s="5">
        <v>693.0345</v>
      </c>
      <c r="AF62" s="5">
        <v>739.2368</v>
      </c>
      <c r="AG62" s="5">
        <v>852.9655</v>
      </c>
      <c r="AH62" s="5">
        <v>1008.0501</v>
      </c>
      <c r="AI62" s="5"/>
    </row>
    <row r="63" hidden="1" spans="1:35">
      <c r="A63" s="5" t="s">
        <v>897</v>
      </c>
      <c r="B63" s="5" t="s">
        <v>533</v>
      </c>
      <c r="C63" s="5" t="s">
        <v>532</v>
      </c>
      <c r="D63" s="5" t="s">
        <v>1252</v>
      </c>
      <c r="E63" s="5" t="s">
        <v>899</v>
      </c>
      <c r="F63" s="5" t="s">
        <v>96</v>
      </c>
      <c r="G63" s="5" t="s">
        <v>103</v>
      </c>
      <c r="H63" s="5" t="s">
        <v>1253</v>
      </c>
      <c r="I63" s="5" t="s">
        <v>1210</v>
      </c>
      <c r="J63" s="5" t="s">
        <v>1210</v>
      </c>
      <c r="K63" s="5">
        <v>6</v>
      </c>
      <c r="L63" s="5"/>
      <c r="M63" s="5" t="s">
        <v>1037</v>
      </c>
      <c r="N63" s="5" t="s">
        <v>1254</v>
      </c>
      <c r="O63" s="5" t="s">
        <v>1255</v>
      </c>
      <c r="P63" s="5" t="s">
        <v>1256</v>
      </c>
      <c r="Q63" s="5" t="s">
        <v>1257</v>
      </c>
      <c r="R63" s="5">
        <v>2600</v>
      </c>
      <c r="S63" s="5">
        <v>3220</v>
      </c>
      <c r="T63" s="5">
        <v>12.1</v>
      </c>
      <c r="U63" s="5">
        <v>43.5</v>
      </c>
      <c r="V63" s="5">
        <v>27.5</v>
      </c>
      <c r="W63" s="5">
        <v>5</v>
      </c>
      <c r="X63" s="5" t="s">
        <v>1020</v>
      </c>
      <c r="Y63" s="5" t="s">
        <v>908</v>
      </c>
      <c r="Z63" s="5">
        <v>0</v>
      </c>
      <c r="AA63" s="5" t="s">
        <v>909</v>
      </c>
      <c r="AB63" s="5">
        <v>206.8928</v>
      </c>
      <c r="AC63" s="5">
        <v>0.58</v>
      </c>
      <c r="AD63" s="5">
        <v>119.9978</v>
      </c>
      <c r="AE63" s="5">
        <v>149.9973</v>
      </c>
      <c r="AF63" s="5">
        <v>159.9971</v>
      </c>
      <c r="AG63" s="5">
        <v>184.612</v>
      </c>
      <c r="AH63" s="5">
        <v>218.1779</v>
      </c>
      <c r="AI63" s="5"/>
    </row>
    <row r="64" hidden="1" spans="1:35">
      <c r="A64" s="5" t="s">
        <v>897</v>
      </c>
      <c r="B64" s="5" t="s">
        <v>535</v>
      </c>
      <c r="C64" s="5" t="s">
        <v>534</v>
      </c>
      <c r="D64" s="5" t="s">
        <v>1258</v>
      </c>
      <c r="E64" s="5" t="s">
        <v>899</v>
      </c>
      <c r="F64" s="5" t="s">
        <v>96</v>
      </c>
      <c r="G64" s="5" t="s">
        <v>103</v>
      </c>
      <c r="H64" s="5" t="s">
        <v>1253</v>
      </c>
      <c r="I64" s="5" t="s">
        <v>1210</v>
      </c>
      <c r="J64" s="5" t="s">
        <v>1210</v>
      </c>
      <c r="K64" s="5">
        <v>6</v>
      </c>
      <c r="L64" s="5"/>
      <c r="M64" s="5" t="s">
        <v>1037</v>
      </c>
      <c r="N64" s="5" t="s">
        <v>1259</v>
      </c>
      <c r="O64" s="5" t="s">
        <v>1260</v>
      </c>
      <c r="P64" s="5" t="s">
        <v>1261</v>
      </c>
      <c r="Q64" s="5" t="s">
        <v>1262</v>
      </c>
      <c r="R64" s="5">
        <v>2500</v>
      </c>
      <c r="S64" s="5">
        <v>2963</v>
      </c>
      <c r="T64" s="5">
        <v>10.13</v>
      </c>
      <c r="U64" s="5">
        <v>37.5</v>
      </c>
      <c r="V64" s="5">
        <v>31</v>
      </c>
      <c r="W64" s="5">
        <v>4</v>
      </c>
      <c r="X64" s="5" t="s">
        <v>1020</v>
      </c>
      <c r="Y64" s="5" t="s">
        <v>908</v>
      </c>
      <c r="Z64" s="5">
        <v>0</v>
      </c>
      <c r="AA64" s="5" t="s">
        <v>909</v>
      </c>
      <c r="AB64" s="5">
        <v>249.6523</v>
      </c>
      <c r="AC64" s="5">
        <v>0.58</v>
      </c>
      <c r="AD64" s="5">
        <v>144.7983</v>
      </c>
      <c r="AE64" s="5">
        <v>180.9979</v>
      </c>
      <c r="AF64" s="5">
        <v>193.0644</v>
      </c>
      <c r="AG64" s="5">
        <v>222.7667</v>
      </c>
      <c r="AH64" s="5">
        <v>263.2697</v>
      </c>
      <c r="AI64" s="5"/>
    </row>
    <row r="65" hidden="1" spans="1:35">
      <c r="A65" s="5" t="s">
        <v>897</v>
      </c>
      <c r="B65" s="5" t="s">
        <v>537</v>
      </c>
      <c r="C65" s="5" t="s">
        <v>536</v>
      </c>
      <c r="D65" s="5" t="s">
        <v>1263</v>
      </c>
      <c r="E65" s="5" t="s">
        <v>899</v>
      </c>
      <c r="F65" s="5" t="s">
        <v>96</v>
      </c>
      <c r="G65" s="5" t="s">
        <v>103</v>
      </c>
      <c r="H65" s="5" t="s">
        <v>1264</v>
      </c>
      <c r="I65" s="5" t="s">
        <v>1210</v>
      </c>
      <c r="J65" s="5" t="s">
        <v>1210</v>
      </c>
      <c r="K65" s="5">
        <v>6</v>
      </c>
      <c r="L65" s="5"/>
      <c r="M65" s="5" t="s">
        <v>1037</v>
      </c>
      <c r="N65" s="5" t="s">
        <v>1265</v>
      </c>
      <c r="O65" s="5" t="s">
        <v>1266</v>
      </c>
      <c r="P65" s="5" t="s">
        <v>1267</v>
      </c>
      <c r="Q65" s="5" t="s">
        <v>1268</v>
      </c>
      <c r="R65" s="5">
        <v>1150</v>
      </c>
      <c r="S65" s="5">
        <v>1438</v>
      </c>
      <c r="T65" s="5">
        <v>5.69</v>
      </c>
      <c r="U65" s="5">
        <v>40.5</v>
      </c>
      <c r="V65" s="5">
        <v>33.5</v>
      </c>
      <c r="W65" s="5">
        <v>8</v>
      </c>
      <c r="X65" s="5" t="s">
        <v>1020</v>
      </c>
      <c r="Y65" s="5" t="s">
        <v>908</v>
      </c>
      <c r="Z65" s="5">
        <v>0</v>
      </c>
      <c r="AA65" s="5" t="s">
        <v>909</v>
      </c>
      <c r="AB65" s="5">
        <v>155.7261</v>
      </c>
      <c r="AC65" s="5">
        <v>0.58</v>
      </c>
      <c r="AD65" s="5">
        <v>90.3211</v>
      </c>
      <c r="AE65" s="5">
        <v>112.9014</v>
      </c>
      <c r="AF65" s="5">
        <v>120.4282</v>
      </c>
      <c r="AG65" s="5">
        <v>138.9556</v>
      </c>
      <c r="AH65" s="5">
        <v>164.2203</v>
      </c>
      <c r="AI65" s="5"/>
    </row>
    <row r="66" hidden="1" spans="1:35">
      <c r="A66" s="5" t="s">
        <v>897</v>
      </c>
      <c r="B66" s="5" t="s">
        <v>1269</v>
      </c>
      <c r="C66" s="5" t="s">
        <v>1270</v>
      </c>
      <c r="D66" s="5" t="s">
        <v>1271</v>
      </c>
      <c r="E66" s="5" t="s">
        <v>899</v>
      </c>
      <c r="F66" s="5" t="s">
        <v>108</v>
      </c>
      <c r="G66" s="5" t="s">
        <v>146</v>
      </c>
      <c r="H66" s="5" t="s">
        <v>1272</v>
      </c>
      <c r="I66" s="5" t="s">
        <v>1273</v>
      </c>
      <c r="J66" s="5" t="s">
        <v>1273</v>
      </c>
      <c r="K66" s="5">
        <v>6</v>
      </c>
      <c r="L66" s="5"/>
      <c r="M66" s="5" t="s">
        <v>1037</v>
      </c>
      <c r="N66" s="5" t="s">
        <v>1274</v>
      </c>
      <c r="O66" s="5" t="s">
        <v>1275</v>
      </c>
      <c r="P66" s="5" t="s">
        <v>1276</v>
      </c>
      <c r="Q66" s="5" t="s">
        <v>1277</v>
      </c>
      <c r="R66" s="5">
        <v>2250</v>
      </c>
      <c r="S66" s="5">
        <v>2666</v>
      </c>
      <c r="T66" s="5">
        <v>11.5</v>
      </c>
      <c r="U66" s="5">
        <v>49</v>
      </c>
      <c r="V66" s="5">
        <v>34</v>
      </c>
      <c r="W66" s="5">
        <v>6</v>
      </c>
      <c r="X66" s="5" t="s">
        <v>907</v>
      </c>
      <c r="Y66" s="5" t="s">
        <v>908</v>
      </c>
      <c r="Z66" s="5">
        <v>0</v>
      </c>
      <c r="AA66" s="5" t="s">
        <v>909</v>
      </c>
      <c r="AB66" s="5">
        <v>91.36</v>
      </c>
      <c r="AC66" s="5">
        <v>0.58</v>
      </c>
      <c r="AD66" s="5">
        <v>52.9888</v>
      </c>
      <c r="AE66" s="5">
        <v>66.236</v>
      </c>
      <c r="AF66" s="5">
        <v>70.6517</v>
      </c>
      <c r="AG66" s="5">
        <v>81.5212</v>
      </c>
      <c r="AH66" s="5">
        <v>96.3433</v>
      </c>
      <c r="AI66" s="5"/>
    </row>
    <row r="67" hidden="1" spans="1:35">
      <c r="A67" s="5" t="s">
        <v>897</v>
      </c>
      <c r="B67" s="5" t="s">
        <v>572</v>
      </c>
      <c r="C67" s="5" t="s">
        <v>1278</v>
      </c>
      <c r="D67" s="5" t="s">
        <v>1279</v>
      </c>
      <c r="E67" s="5" t="s">
        <v>899</v>
      </c>
      <c r="F67" s="5" t="s">
        <v>96</v>
      </c>
      <c r="G67" s="5" t="s">
        <v>103</v>
      </c>
      <c r="H67" s="5" t="s">
        <v>1123</v>
      </c>
      <c r="I67" s="5" t="s">
        <v>1210</v>
      </c>
      <c r="J67" s="5" t="s">
        <v>1210</v>
      </c>
      <c r="K67" s="5">
        <v>6</v>
      </c>
      <c r="L67" s="5"/>
      <c r="M67" s="5" t="s">
        <v>1037</v>
      </c>
      <c r="N67" s="5" t="s">
        <v>1125</v>
      </c>
      <c r="O67" s="5" t="s">
        <v>1126</v>
      </c>
      <c r="P67" s="5" t="s">
        <v>1280</v>
      </c>
      <c r="Q67" s="5" t="s">
        <v>1281</v>
      </c>
      <c r="R67" s="5">
        <v>1760</v>
      </c>
      <c r="S67" s="5">
        <v>2045</v>
      </c>
      <c r="T67" s="5">
        <v>7.25</v>
      </c>
      <c r="U67" s="5">
        <v>55</v>
      </c>
      <c r="V67" s="5">
        <v>34</v>
      </c>
      <c r="W67" s="5">
        <v>8</v>
      </c>
      <c r="X67" s="5" t="s">
        <v>907</v>
      </c>
      <c r="Y67" s="5" t="s">
        <v>908</v>
      </c>
      <c r="Z67" s="5">
        <v>0</v>
      </c>
      <c r="AA67" s="5" t="s">
        <v>909</v>
      </c>
      <c r="AB67" s="5">
        <v>247.0129</v>
      </c>
      <c r="AC67" s="5">
        <v>0.58</v>
      </c>
      <c r="AD67" s="5">
        <v>143.2675</v>
      </c>
      <c r="AE67" s="5">
        <v>179.0844</v>
      </c>
      <c r="AF67" s="5">
        <v>191.0233</v>
      </c>
      <c r="AG67" s="5">
        <v>220.4115</v>
      </c>
      <c r="AH67" s="5">
        <v>260.4863</v>
      </c>
      <c r="AI67" s="5"/>
    </row>
    <row r="68" hidden="1" spans="1:35">
      <c r="A68" s="5" t="s">
        <v>897</v>
      </c>
      <c r="B68" s="5" t="s">
        <v>301</v>
      </c>
      <c r="C68" s="5" t="s">
        <v>300</v>
      </c>
      <c r="D68" s="5" t="s">
        <v>1282</v>
      </c>
      <c r="E68" s="5" t="s">
        <v>899</v>
      </c>
      <c r="F68" s="5" t="s">
        <v>96</v>
      </c>
      <c r="G68" s="5" t="s">
        <v>115</v>
      </c>
      <c r="H68" s="5" t="s">
        <v>935</v>
      </c>
      <c r="I68" s="5" t="s">
        <v>1283</v>
      </c>
      <c r="J68" s="5" t="s">
        <v>1284</v>
      </c>
      <c r="K68" s="5">
        <v>18</v>
      </c>
      <c r="L68" s="5" t="s">
        <v>909</v>
      </c>
      <c r="M68" s="5" t="s">
        <v>919</v>
      </c>
      <c r="N68" s="5" t="s">
        <v>937</v>
      </c>
      <c r="O68" s="5" t="s">
        <v>938</v>
      </c>
      <c r="P68" s="5"/>
      <c r="Q68" s="5" t="s">
        <v>1285</v>
      </c>
      <c r="R68" s="5">
        <v>222</v>
      </c>
      <c r="S68" s="5">
        <v>350</v>
      </c>
      <c r="T68" s="5">
        <v>1.2</v>
      </c>
      <c r="U68" s="5">
        <v>35</v>
      </c>
      <c r="V68" s="5">
        <v>30</v>
      </c>
      <c r="W68" s="5">
        <v>50</v>
      </c>
      <c r="X68" s="5" t="s">
        <v>907</v>
      </c>
      <c r="Y68" s="5" t="s">
        <v>908</v>
      </c>
      <c r="Z68" s="5">
        <v>7</v>
      </c>
      <c r="AA68" s="5" t="s">
        <v>909</v>
      </c>
      <c r="AB68" s="5">
        <v>57.49</v>
      </c>
      <c r="AC68" s="5">
        <v>0.58</v>
      </c>
      <c r="AD68" s="5">
        <v>33.3442</v>
      </c>
      <c r="AE68" s="5">
        <v>41.6802</v>
      </c>
      <c r="AF68" s="5">
        <v>44.4589</v>
      </c>
      <c r="AG68" s="5">
        <v>51.2988</v>
      </c>
      <c r="AH68" s="5">
        <v>60.6258</v>
      </c>
      <c r="AI68" s="5"/>
    </row>
    <row r="69" hidden="1" spans="1:35">
      <c r="A69" s="5" t="s">
        <v>897</v>
      </c>
      <c r="B69" s="5" t="s">
        <v>480</v>
      </c>
      <c r="C69" s="5" t="s">
        <v>1286</v>
      </c>
      <c r="D69" s="5" t="s">
        <v>1287</v>
      </c>
      <c r="E69" s="5" t="s">
        <v>899</v>
      </c>
      <c r="F69" s="5" t="s">
        <v>108</v>
      </c>
      <c r="G69" s="5" t="s">
        <v>927</v>
      </c>
      <c r="H69" s="5" t="s">
        <v>1288</v>
      </c>
      <c r="I69" s="5" t="s">
        <v>1289</v>
      </c>
      <c r="J69" s="5" t="s">
        <v>1290</v>
      </c>
      <c r="K69" s="5">
        <v>30</v>
      </c>
      <c r="L69" s="5" t="s">
        <v>909</v>
      </c>
      <c r="M69" s="5" t="s">
        <v>919</v>
      </c>
      <c r="N69" s="5" t="s">
        <v>1291</v>
      </c>
      <c r="O69" s="5" t="s">
        <v>1292</v>
      </c>
      <c r="P69" s="5" t="s">
        <v>1293</v>
      </c>
      <c r="Q69" s="5" t="s">
        <v>1294</v>
      </c>
      <c r="R69" s="5">
        <v>1000</v>
      </c>
      <c r="S69" s="5">
        <v>1200</v>
      </c>
      <c r="T69" s="5">
        <v>6.4</v>
      </c>
      <c r="U69" s="5">
        <v>29</v>
      </c>
      <c r="V69" s="5">
        <v>60</v>
      </c>
      <c r="W69" s="5">
        <v>10</v>
      </c>
      <c r="X69" s="5" t="s">
        <v>907</v>
      </c>
      <c r="Y69" s="5" t="s">
        <v>908</v>
      </c>
      <c r="Z69" s="5">
        <v>279</v>
      </c>
      <c r="AA69" s="5" t="s">
        <v>909</v>
      </c>
      <c r="AB69" s="5">
        <v>40.43</v>
      </c>
      <c r="AC69" s="5">
        <v>0.58</v>
      </c>
      <c r="AD69" s="5">
        <v>23.4494</v>
      </c>
      <c r="AE69" s="5">
        <v>29.3117</v>
      </c>
      <c r="AF69" s="5">
        <v>31.2659</v>
      </c>
      <c r="AG69" s="5">
        <v>36.076</v>
      </c>
      <c r="AH69" s="5">
        <v>42.6353</v>
      </c>
      <c r="AI69" s="5"/>
    </row>
    <row r="70" hidden="1" spans="1:35">
      <c r="A70" s="5" t="s">
        <v>897</v>
      </c>
      <c r="B70" s="5" t="s">
        <v>839</v>
      </c>
      <c r="C70" s="5" t="s">
        <v>1295</v>
      </c>
      <c r="D70" s="5" t="s">
        <v>1296</v>
      </c>
      <c r="E70" s="5" t="s">
        <v>899</v>
      </c>
      <c r="F70" s="5" t="s">
        <v>108</v>
      </c>
      <c r="G70" s="5" t="s">
        <v>927</v>
      </c>
      <c r="H70" s="5" t="s">
        <v>1288</v>
      </c>
      <c r="I70" s="5" t="s">
        <v>1289</v>
      </c>
      <c r="J70" s="5" t="s">
        <v>1290</v>
      </c>
      <c r="K70" s="5">
        <v>30</v>
      </c>
      <c r="L70" s="5" t="s">
        <v>909</v>
      </c>
      <c r="M70" s="5" t="s">
        <v>902</v>
      </c>
      <c r="N70" s="5" t="s">
        <v>1297</v>
      </c>
      <c r="O70" s="5" t="s">
        <v>1292</v>
      </c>
      <c r="P70" s="5" t="s">
        <v>1298</v>
      </c>
      <c r="Q70" s="5" t="s">
        <v>1299</v>
      </c>
      <c r="R70" s="5">
        <v>666</v>
      </c>
      <c r="S70" s="5">
        <v>750</v>
      </c>
      <c r="T70" s="5">
        <v>1.3</v>
      </c>
      <c r="U70" s="5">
        <v>28</v>
      </c>
      <c r="V70" s="5">
        <v>23</v>
      </c>
      <c r="W70" s="5">
        <v>30</v>
      </c>
      <c r="X70" s="5" t="s">
        <v>907</v>
      </c>
      <c r="Y70" s="5" t="s">
        <v>908</v>
      </c>
      <c r="Z70" s="5">
        <v>218</v>
      </c>
      <c r="AA70" s="5" t="s">
        <v>909</v>
      </c>
      <c r="AB70" s="5">
        <v>4.0501</v>
      </c>
      <c r="AC70" s="5">
        <v>0.58</v>
      </c>
      <c r="AD70" s="5">
        <v>2.3491</v>
      </c>
      <c r="AE70" s="5">
        <v>2.9363</v>
      </c>
      <c r="AF70" s="5">
        <v>3.1321</v>
      </c>
      <c r="AG70" s="5">
        <v>3.6139</v>
      </c>
      <c r="AH70" s="5">
        <v>4.271</v>
      </c>
      <c r="AI70" s="5"/>
    </row>
    <row r="71" hidden="1" spans="1:35">
      <c r="A71" s="5" t="s">
        <v>897</v>
      </c>
      <c r="B71" s="5" t="s">
        <v>573</v>
      </c>
      <c r="C71" s="5" t="s">
        <v>1300</v>
      </c>
      <c r="D71" s="5" t="s">
        <v>1301</v>
      </c>
      <c r="E71" s="5" t="s">
        <v>899</v>
      </c>
      <c r="F71" s="5" t="s">
        <v>108</v>
      </c>
      <c r="G71" s="5" t="s">
        <v>927</v>
      </c>
      <c r="H71" s="5" t="s">
        <v>1302</v>
      </c>
      <c r="I71" s="5" t="s">
        <v>1303</v>
      </c>
      <c r="J71" s="5" t="s">
        <v>1290</v>
      </c>
      <c r="K71" s="5">
        <v>30</v>
      </c>
      <c r="L71" s="5" t="s">
        <v>909</v>
      </c>
      <c r="M71" s="5" t="s">
        <v>1037</v>
      </c>
      <c r="N71" s="5" t="s">
        <v>1297</v>
      </c>
      <c r="O71" s="5" t="s">
        <v>1304</v>
      </c>
      <c r="P71" s="5" t="s">
        <v>1304</v>
      </c>
      <c r="Q71" s="5"/>
      <c r="R71" s="5"/>
      <c r="S71" s="5"/>
      <c r="T71" s="5"/>
      <c r="U71" s="5"/>
      <c r="V71" s="5"/>
      <c r="W71" s="5"/>
      <c r="X71" s="5" t="s">
        <v>907</v>
      </c>
      <c r="Y71" s="5" t="s">
        <v>908</v>
      </c>
      <c r="Z71" s="5">
        <v>0</v>
      </c>
      <c r="AA71" s="5" t="s">
        <v>909</v>
      </c>
      <c r="AB71" s="5">
        <v>0.0001</v>
      </c>
      <c r="AC71" s="5">
        <v>0.58</v>
      </c>
      <c r="AD71" s="5">
        <v>0.0001</v>
      </c>
      <c r="AE71" s="5">
        <v>0.0001</v>
      </c>
      <c r="AF71" s="5">
        <v>0.0001</v>
      </c>
      <c r="AG71" s="5">
        <v>0.0001</v>
      </c>
      <c r="AH71" s="5">
        <v>0.0001</v>
      </c>
      <c r="AI71" s="5"/>
    </row>
    <row r="72" hidden="1" spans="1:35">
      <c r="A72" s="5" t="s">
        <v>897</v>
      </c>
      <c r="B72" s="5" t="s">
        <v>303</v>
      </c>
      <c r="C72" s="5" t="s">
        <v>1305</v>
      </c>
      <c r="D72" s="5" t="s">
        <v>1306</v>
      </c>
      <c r="E72" s="5" t="s">
        <v>899</v>
      </c>
      <c r="F72" s="5" t="s">
        <v>108</v>
      </c>
      <c r="G72" s="5" t="s">
        <v>927</v>
      </c>
      <c r="H72" s="5" t="s">
        <v>1307</v>
      </c>
      <c r="I72" s="5" t="s">
        <v>1308</v>
      </c>
      <c r="J72" s="5" t="s">
        <v>1308</v>
      </c>
      <c r="K72" s="5">
        <v>43</v>
      </c>
      <c r="L72" s="5" t="s">
        <v>909</v>
      </c>
      <c r="M72" s="5" t="s">
        <v>919</v>
      </c>
      <c r="N72" s="5" t="s">
        <v>1291</v>
      </c>
      <c r="O72" s="5" t="s">
        <v>1292</v>
      </c>
      <c r="P72" s="5" t="s">
        <v>1309</v>
      </c>
      <c r="Q72" s="5" t="s">
        <v>1310</v>
      </c>
      <c r="R72" s="5">
        <v>500</v>
      </c>
      <c r="S72" s="5">
        <v>567</v>
      </c>
      <c r="T72" s="5">
        <v>2.3</v>
      </c>
      <c r="U72" s="5">
        <v>41</v>
      </c>
      <c r="V72" s="5">
        <v>35</v>
      </c>
      <c r="W72" s="5">
        <v>30</v>
      </c>
      <c r="X72" s="5" t="s">
        <v>907</v>
      </c>
      <c r="Y72" s="5" t="s">
        <v>908</v>
      </c>
      <c r="Z72" s="5">
        <v>0</v>
      </c>
      <c r="AA72" s="5" t="s">
        <v>909</v>
      </c>
      <c r="AB72" s="5">
        <v>13.32</v>
      </c>
      <c r="AC72" s="5">
        <v>0.58</v>
      </c>
      <c r="AD72" s="5">
        <v>7.7256</v>
      </c>
      <c r="AE72" s="5">
        <v>9.657</v>
      </c>
      <c r="AF72" s="5">
        <v>10.3008</v>
      </c>
      <c r="AG72" s="5">
        <v>11.8855</v>
      </c>
      <c r="AH72" s="5">
        <v>14.0465</v>
      </c>
      <c r="AI72" s="5"/>
    </row>
    <row r="73" hidden="1" spans="1:35">
      <c r="A73" s="5" t="s">
        <v>897</v>
      </c>
      <c r="B73" s="5" t="s">
        <v>1311</v>
      </c>
      <c r="C73" s="5" t="s">
        <v>1312</v>
      </c>
      <c r="D73" s="5" t="s">
        <v>1301</v>
      </c>
      <c r="E73" s="5" t="s">
        <v>899</v>
      </c>
      <c r="F73" s="5" t="s">
        <v>108</v>
      </c>
      <c r="G73" s="5" t="s">
        <v>168</v>
      </c>
      <c r="H73" s="5" t="s">
        <v>1313</v>
      </c>
      <c r="I73" s="5" t="s">
        <v>1314</v>
      </c>
      <c r="J73" s="5" t="s">
        <v>1290</v>
      </c>
      <c r="K73" s="5">
        <v>30</v>
      </c>
      <c r="L73" s="5" t="s">
        <v>909</v>
      </c>
      <c r="M73" s="5" t="s">
        <v>919</v>
      </c>
      <c r="N73" s="5" t="s">
        <v>1315</v>
      </c>
      <c r="O73" s="5" t="s">
        <v>1316</v>
      </c>
      <c r="P73" s="5" t="s">
        <v>1317</v>
      </c>
      <c r="Q73" s="5" t="s">
        <v>1318</v>
      </c>
      <c r="R73" s="5">
        <v>350</v>
      </c>
      <c r="S73" s="5">
        <v>358</v>
      </c>
      <c r="T73" s="5">
        <v>0.7</v>
      </c>
      <c r="U73" s="5">
        <v>43</v>
      </c>
      <c r="V73" s="5">
        <v>18</v>
      </c>
      <c r="W73" s="5">
        <v>75</v>
      </c>
      <c r="X73" s="5" t="s">
        <v>907</v>
      </c>
      <c r="Y73" s="5" t="s">
        <v>908</v>
      </c>
      <c r="Z73" s="5">
        <v>11027</v>
      </c>
      <c r="AA73" s="5" t="s">
        <v>909</v>
      </c>
      <c r="AB73" s="5">
        <v>4.76</v>
      </c>
      <c r="AC73" s="5">
        <v>0.58</v>
      </c>
      <c r="AD73" s="5">
        <v>2.7608</v>
      </c>
      <c r="AE73" s="5">
        <v>3.451</v>
      </c>
      <c r="AF73" s="5">
        <v>3.6811</v>
      </c>
      <c r="AG73" s="5">
        <v>4.2474</v>
      </c>
      <c r="AH73" s="5">
        <v>5.0196</v>
      </c>
      <c r="AI73" s="5"/>
    </row>
    <row r="74" hidden="1" spans="1:35">
      <c r="A74" s="5" t="s">
        <v>897</v>
      </c>
      <c r="B74" s="5" t="s">
        <v>1319</v>
      </c>
      <c r="C74" s="5" t="s">
        <v>1320</v>
      </c>
      <c r="D74" s="5" t="s">
        <v>1301</v>
      </c>
      <c r="E74" s="5" t="s">
        <v>899</v>
      </c>
      <c r="F74" s="5" t="s">
        <v>108</v>
      </c>
      <c r="G74" s="5" t="s">
        <v>168</v>
      </c>
      <c r="H74" s="5" t="s">
        <v>1313</v>
      </c>
      <c r="I74" s="5" t="s">
        <v>1314</v>
      </c>
      <c r="J74" s="5" t="s">
        <v>1290</v>
      </c>
      <c r="K74" s="5">
        <v>30</v>
      </c>
      <c r="L74" s="5" t="s">
        <v>909</v>
      </c>
      <c r="M74" s="5" t="s">
        <v>919</v>
      </c>
      <c r="N74" s="5" t="s">
        <v>1315</v>
      </c>
      <c r="O74" s="5" t="s">
        <v>1316</v>
      </c>
      <c r="P74" s="5" t="s">
        <v>1321</v>
      </c>
      <c r="Q74" s="5" t="s">
        <v>1322</v>
      </c>
      <c r="R74" s="5">
        <v>400</v>
      </c>
      <c r="S74" s="5">
        <v>496</v>
      </c>
      <c r="T74" s="5">
        <v>1.1</v>
      </c>
      <c r="U74" s="5">
        <v>43</v>
      </c>
      <c r="V74" s="5">
        <v>18</v>
      </c>
      <c r="W74" s="5">
        <v>50</v>
      </c>
      <c r="X74" s="5" t="s">
        <v>907</v>
      </c>
      <c r="Y74" s="5" t="s">
        <v>908</v>
      </c>
      <c r="Z74" s="5">
        <v>8999</v>
      </c>
      <c r="AA74" s="5" t="s">
        <v>909</v>
      </c>
      <c r="AB74" s="5">
        <v>6.46</v>
      </c>
      <c r="AC74" s="5">
        <v>0.58</v>
      </c>
      <c r="AD74" s="5">
        <v>3.7468</v>
      </c>
      <c r="AE74" s="5">
        <v>4.6835</v>
      </c>
      <c r="AF74" s="5">
        <v>4.9957</v>
      </c>
      <c r="AG74" s="5">
        <v>5.7643</v>
      </c>
      <c r="AH74" s="5">
        <v>6.8124</v>
      </c>
      <c r="AI74" s="5"/>
    </row>
    <row r="75" hidden="1" spans="1:35">
      <c r="A75" s="5" t="s">
        <v>897</v>
      </c>
      <c r="B75" s="5" t="s">
        <v>1323</v>
      </c>
      <c r="C75" s="5" t="s">
        <v>1324</v>
      </c>
      <c r="D75" s="5" t="s">
        <v>1301</v>
      </c>
      <c r="E75" s="5" t="s">
        <v>899</v>
      </c>
      <c r="F75" s="5" t="s">
        <v>108</v>
      </c>
      <c r="G75" s="5" t="s">
        <v>168</v>
      </c>
      <c r="H75" s="5" t="s">
        <v>1313</v>
      </c>
      <c r="I75" s="5" t="s">
        <v>1325</v>
      </c>
      <c r="J75" s="5" t="s">
        <v>1290</v>
      </c>
      <c r="K75" s="5">
        <v>30</v>
      </c>
      <c r="L75" s="5" t="s">
        <v>909</v>
      </c>
      <c r="M75" s="5" t="s">
        <v>919</v>
      </c>
      <c r="N75" s="5" t="s">
        <v>1315</v>
      </c>
      <c r="O75" s="5" t="s">
        <v>1316</v>
      </c>
      <c r="P75" s="5" t="s">
        <v>1326</v>
      </c>
      <c r="Q75" s="5" t="s">
        <v>1327</v>
      </c>
      <c r="R75" s="5">
        <v>500</v>
      </c>
      <c r="S75" s="5">
        <v>540</v>
      </c>
      <c r="T75" s="5">
        <v>1.2</v>
      </c>
      <c r="U75" s="5">
        <v>43</v>
      </c>
      <c r="V75" s="5">
        <v>13</v>
      </c>
      <c r="W75" s="5">
        <v>50</v>
      </c>
      <c r="X75" s="5" t="s">
        <v>1020</v>
      </c>
      <c r="Y75" s="5" t="s">
        <v>908</v>
      </c>
      <c r="Z75" s="5">
        <v>1700</v>
      </c>
      <c r="AA75" s="5" t="s">
        <v>909</v>
      </c>
      <c r="AB75" s="5">
        <v>7.97</v>
      </c>
      <c r="AC75" s="5">
        <v>0.58</v>
      </c>
      <c r="AD75" s="5">
        <v>4.6226</v>
      </c>
      <c r="AE75" s="5">
        <v>5.7782</v>
      </c>
      <c r="AF75" s="5">
        <v>6.1635</v>
      </c>
      <c r="AG75" s="5">
        <v>7.1117</v>
      </c>
      <c r="AH75" s="5">
        <v>8.4047</v>
      </c>
      <c r="AI75" s="5"/>
    </row>
    <row r="76" hidden="1" spans="1:35">
      <c r="A76" s="5" t="s">
        <v>897</v>
      </c>
      <c r="B76" s="5" t="s">
        <v>653</v>
      </c>
      <c r="C76" s="5" t="s">
        <v>652</v>
      </c>
      <c r="D76" s="5" t="s">
        <v>1328</v>
      </c>
      <c r="E76" s="5" t="s">
        <v>899</v>
      </c>
      <c r="F76" s="5" t="s">
        <v>108</v>
      </c>
      <c r="G76" s="5" t="s">
        <v>168</v>
      </c>
      <c r="H76" s="5" t="s">
        <v>1329</v>
      </c>
      <c r="I76" s="5" t="s">
        <v>1330</v>
      </c>
      <c r="J76" s="5" t="s">
        <v>1331</v>
      </c>
      <c r="K76" s="5">
        <v>30</v>
      </c>
      <c r="L76" s="5" t="s">
        <v>909</v>
      </c>
      <c r="M76" s="5" t="s">
        <v>919</v>
      </c>
      <c r="N76" s="5" t="s">
        <v>930</v>
      </c>
      <c r="O76" s="5" t="s">
        <v>1332</v>
      </c>
      <c r="P76" s="5" t="s">
        <v>1333</v>
      </c>
      <c r="Q76" s="5" t="s">
        <v>1334</v>
      </c>
      <c r="R76" s="5">
        <v>5000</v>
      </c>
      <c r="S76" s="5">
        <v>5200</v>
      </c>
      <c r="T76" s="5">
        <v>13.4</v>
      </c>
      <c r="U76" s="5">
        <v>39</v>
      </c>
      <c r="V76" s="5">
        <v>24</v>
      </c>
      <c r="W76" s="5">
        <v>5</v>
      </c>
      <c r="X76" s="5" t="s">
        <v>1020</v>
      </c>
      <c r="Y76" s="5" t="s">
        <v>908</v>
      </c>
      <c r="Z76" s="5">
        <v>1134</v>
      </c>
      <c r="AA76" s="5" t="s">
        <v>909</v>
      </c>
      <c r="AB76" s="5">
        <v>55.05</v>
      </c>
      <c r="AC76" s="5">
        <v>0.58</v>
      </c>
      <c r="AD76" s="5">
        <v>31.929</v>
      </c>
      <c r="AE76" s="5">
        <v>39.9112</v>
      </c>
      <c r="AF76" s="5">
        <v>42.572</v>
      </c>
      <c r="AG76" s="5">
        <v>49.1215</v>
      </c>
      <c r="AH76" s="5">
        <v>58.0527</v>
      </c>
      <c r="AI76" s="5"/>
    </row>
    <row r="77" hidden="1" spans="1:35">
      <c r="A77" s="5" t="s">
        <v>897</v>
      </c>
      <c r="B77" s="5" t="s">
        <v>419</v>
      </c>
      <c r="C77" s="5" t="s">
        <v>418</v>
      </c>
      <c r="D77" s="5" t="s">
        <v>1335</v>
      </c>
      <c r="E77" s="5" t="s">
        <v>899</v>
      </c>
      <c r="F77" s="5" t="s">
        <v>108</v>
      </c>
      <c r="G77" s="5" t="s">
        <v>168</v>
      </c>
      <c r="H77" s="5" t="s">
        <v>1329</v>
      </c>
      <c r="I77" s="5" t="s">
        <v>1330</v>
      </c>
      <c r="J77" s="5" t="s">
        <v>1290</v>
      </c>
      <c r="K77" s="5">
        <v>30</v>
      </c>
      <c r="L77" s="5" t="s">
        <v>909</v>
      </c>
      <c r="M77" s="5" t="s">
        <v>919</v>
      </c>
      <c r="N77" s="5" t="s">
        <v>1336</v>
      </c>
      <c r="O77" s="5" t="s">
        <v>1332</v>
      </c>
      <c r="P77" s="5" t="s">
        <v>1337</v>
      </c>
      <c r="Q77" s="5" t="s">
        <v>1338</v>
      </c>
      <c r="R77" s="5">
        <v>1548</v>
      </c>
      <c r="S77" s="5">
        <v>1640</v>
      </c>
      <c r="T77" s="5">
        <v>4.2</v>
      </c>
      <c r="U77" s="5">
        <v>32</v>
      </c>
      <c r="V77" s="5">
        <v>24</v>
      </c>
      <c r="W77" s="5">
        <v>10</v>
      </c>
      <c r="X77" s="5" t="s">
        <v>1020</v>
      </c>
      <c r="Y77" s="5" t="s">
        <v>908</v>
      </c>
      <c r="Z77" s="5">
        <v>1102</v>
      </c>
      <c r="AA77" s="5" t="s">
        <v>909</v>
      </c>
      <c r="AB77" s="5">
        <v>18.45</v>
      </c>
      <c r="AC77" s="5">
        <v>0.58</v>
      </c>
      <c r="AD77" s="5">
        <v>10.701</v>
      </c>
      <c r="AE77" s="5">
        <v>13.3762</v>
      </c>
      <c r="AF77" s="5">
        <v>14.268</v>
      </c>
      <c r="AG77" s="5">
        <v>16.4631</v>
      </c>
      <c r="AH77" s="5">
        <v>19.4564</v>
      </c>
      <c r="AI77" s="5"/>
    </row>
    <row r="78" hidden="1" spans="1:35">
      <c r="A78" s="5" t="s">
        <v>897</v>
      </c>
      <c r="B78" s="5" t="s">
        <v>348</v>
      </c>
      <c r="C78" s="5" t="s">
        <v>347</v>
      </c>
      <c r="D78" s="5" t="s">
        <v>1339</v>
      </c>
      <c r="E78" s="5" t="s">
        <v>899</v>
      </c>
      <c r="F78" s="5" t="s">
        <v>108</v>
      </c>
      <c r="G78" s="5" t="s">
        <v>168</v>
      </c>
      <c r="H78" s="5" t="s">
        <v>1329</v>
      </c>
      <c r="I78" s="5" t="s">
        <v>1330</v>
      </c>
      <c r="J78" s="5" t="s">
        <v>1290</v>
      </c>
      <c r="K78" s="5">
        <v>30</v>
      </c>
      <c r="L78" s="5" t="s">
        <v>909</v>
      </c>
      <c r="M78" s="5" t="s">
        <v>919</v>
      </c>
      <c r="N78" s="5" t="s">
        <v>1336</v>
      </c>
      <c r="O78" s="5" t="s">
        <v>1332</v>
      </c>
      <c r="P78" s="5" t="s">
        <v>1340</v>
      </c>
      <c r="Q78" s="5" t="s">
        <v>1341</v>
      </c>
      <c r="R78" s="5">
        <v>350</v>
      </c>
      <c r="S78" s="5">
        <v>470</v>
      </c>
      <c r="T78" s="5">
        <v>2.65</v>
      </c>
      <c r="U78" s="5">
        <v>31</v>
      </c>
      <c r="V78" s="5">
        <v>21</v>
      </c>
      <c r="W78" s="5">
        <v>20</v>
      </c>
      <c r="X78" s="5" t="s">
        <v>1020</v>
      </c>
      <c r="Y78" s="5" t="s">
        <v>908</v>
      </c>
      <c r="Z78" s="5">
        <v>1231</v>
      </c>
      <c r="AA78" s="5" t="s">
        <v>909</v>
      </c>
      <c r="AB78" s="5">
        <v>7.5</v>
      </c>
      <c r="AC78" s="5">
        <v>0.58</v>
      </c>
      <c r="AD78" s="5">
        <v>4.35</v>
      </c>
      <c r="AE78" s="5">
        <v>5.4375</v>
      </c>
      <c r="AF78" s="5">
        <v>5.8</v>
      </c>
      <c r="AG78" s="5">
        <v>6.6923</v>
      </c>
      <c r="AH78" s="5">
        <v>7.9091</v>
      </c>
      <c r="AI78" s="5"/>
    </row>
    <row r="79" hidden="1" spans="1:35">
      <c r="A79" s="5" t="s">
        <v>897</v>
      </c>
      <c r="B79" s="5" t="s">
        <v>1342</v>
      </c>
      <c r="C79" s="5" t="s">
        <v>1343</v>
      </c>
      <c r="D79" s="5" t="s">
        <v>1344</v>
      </c>
      <c r="E79" s="5" t="s">
        <v>899</v>
      </c>
      <c r="F79" s="5" t="s">
        <v>108</v>
      </c>
      <c r="G79" s="5" t="s">
        <v>168</v>
      </c>
      <c r="H79" s="5" t="s">
        <v>1329</v>
      </c>
      <c r="I79" s="5" t="s">
        <v>1330</v>
      </c>
      <c r="J79" s="5" t="s">
        <v>1345</v>
      </c>
      <c r="K79" s="5">
        <v>6</v>
      </c>
      <c r="L79" s="5" t="s">
        <v>909</v>
      </c>
      <c r="M79" s="5" t="s">
        <v>919</v>
      </c>
      <c r="N79" s="5" t="s">
        <v>1336</v>
      </c>
      <c r="O79" s="5" t="s">
        <v>1332</v>
      </c>
      <c r="P79" s="5" t="s">
        <v>1346</v>
      </c>
      <c r="Q79" s="5" t="s">
        <v>1347</v>
      </c>
      <c r="R79" s="5">
        <v>4200</v>
      </c>
      <c r="S79" s="5">
        <v>4600</v>
      </c>
      <c r="T79" s="5">
        <v>11.4</v>
      </c>
      <c r="U79" s="5">
        <v>40</v>
      </c>
      <c r="V79" s="5">
        <v>24</v>
      </c>
      <c r="W79" s="5">
        <v>5</v>
      </c>
      <c r="X79" s="5" t="s">
        <v>907</v>
      </c>
      <c r="Y79" s="5" t="s">
        <v>908</v>
      </c>
      <c r="Z79" s="5">
        <v>0</v>
      </c>
      <c r="AA79" s="5" t="s">
        <v>909</v>
      </c>
      <c r="AB79" s="5">
        <v>56.61</v>
      </c>
      <c r="AC79" s="5">
        <v>0.58</v>
      </c>
      <c r="AD79" s="5">
        <v>32.8338</v>
      </c>
      <c r="AE79" s="5">
        <v>41.0422</v>
      </c>
      <c r="AF79" s="5">
        <v>43.7784</v>
      </c>
      <c r="AG79" s="5">
        <v>50.5135</v>
      </c>
      <c r="AH79" s="5">
        <v>59.6978</v>
      </c>
      <c r="AI79" s="5"/>
    </row>
    <row r="80" hidden="1" spans="1:35">
      <c r="A80" s="5" t="s">
        <v>897</v>
      </c>
      <c r="B80" s="5" t="s">
        <v>575</v>
      </c>
      <c r="C80" s="5" t="s">
        <v>574</v>
      </c>
      <c r="D80" s="5" t="s">
        <v>1348</v>
      </c>
      <c r="E80" s="5" t="s">
        <v>899</v>
      </c>
      <c r="F80" s="5" t="s">
        <v>96</v>
      </c>
      <c r="G80" s="5" t="s">
        <v>127</v>
      </c>
      <c r="H80" s="5" t="s">
        <v>1349</v>
      </c>
      <c r="I80" s="5" t="s">
        <v>1350</v>
      </c>
      <c r="J80" s="5" t="s">
        <v>1351</v>
      </c>
      <c r="K80" s="5">
        <v>31</v>
      </c>
      <c r="L80" s="5"/>
      <c r="M80" s="5" t="s">
        <v>919</v>
      </c>
      <c r="N80" s="5" t="s">
        <v>1352</v>
      </c>
      <c r="O80" s="5" t="s">
        <v>1353</v>
      </c>
      <c r="P80" s="5" t="s">
        <v>1354</v>
      </c>
      <c r="Q80" s="5" t="s">
        <v>1355</v>
      </c>
      <c r="R80" s="5">
        <v>2000</v>
      </c>
      <c r="S80" s="5">
        <v>2600</v>
      </c>
      <c r="T80" s="5">
        <v>27</v>
      </c>
      <c r="U80" s="5">
        <v>21.5</v>
      </c>
      <c r="V80" s="5">
        <v>21.5</v>
      </c>
      <c r="W80" s="5">
        <v>1</v>
      </c>
      <c r="X80" s="5" t="s">
        <v>907</v>
      </c>
      <c r="Y80" s="5" t="s">
        <v>908</v>
      </c>
      <c r="Z80" s="5">
        <v>0</v>
      </c>
      <c r="AA80" s="5" t="s">
        <v>909</v>
      </c>
      <c r="AB80" s="5">
        <v>67</v>
      </c>
      <c r="AC80" s="5">
        <v>0.58</v>
      </c>
      <c r="AD80" s="5">
        <v>38.86</v>
      </c>
      <c r="AE80" s="5">
        <v>48.575</v>
      </c>
      <c r="AF80" s="5">
        <v>51.8133</v>
      </c>
      <c r="AG80" s="5">
        <v>59.7846</v>
      </c>
      <c r="AH80" s="5">
        <v>70.6545</v>
      </c>
      <c r="AI80" s="5"/>
    </row>
    <row r="81" hidden="1" spans="1:35">
      <c r="A81" s="5" t="s">
        <v>897</v>
      </c>
      <c r="B81" s="5" t="s">
        <v>250</v>
      </c>
      <c r="C81" s="5" t="s">
        <v>249</v>
      </c>
      <c r="D81" s="5" t="s">
        <v>1356</v>
      </c>
      <c r="E81" s="5" t="s">
        <v>899</v>
      </c>
      <c r="F81" s="5" t="s">
        <v>96</v>
      </c>
      <c r="G81" s="5" t="s">
        <v>127</v>
      </c>
      <c r="H81" s="5" t="s">
        <v>1349</v>
      </c>
      <c r="I81" s="5" t="s">
        <v>1350</v>
      </c>
      <c r="J81" s="5" t="s">
        <v>1351</v>
      </c>
      <c r="K81" s="5">
        <v>31</v>
      </c>
      <c r="L81" s="5"/>
      <c r="M81" s="5" t="s">
        <v>919</v>
      </c>
      <c r="N81" s="5" t="s">
        <v>1352</v>
      </c>
      <c r="O81" s="5" t="s">
        <v>1353</v>
      </c>
      <c r="P81" s="5" t="s">
        <v>1357</v>
      </c>
      <c r="Q81" s="5" t="s">
        <v>1358</v>
      </c>
      <c r="R81" s="5">
        <v>6000</v>
      </c>
      <c r="S81" s="5">
        <v>6575</v>
      </c>
      <c r="T81" s="5">
        <v>38</v>
      </c>
      <c r="U81" s="5">
        <v>30</v>
      </c>
      <c r="V81" s="5">
        <v>31</v>
      </c>
      <c r="W81" s="5">
        <v>1</v>
      </c>
      <c r="X81" s="5" t="s">
        <v>907</v>
      </c>
      <c r="Y81" s="5" t="s">
        <v>908</v>
      </c>
      <c r="Z81" s="5">
        <v>0</v>
      </c>
      <c r="AA81" s="5" t="s">
        <v>909</v>
      </c>
      <c r="AB81" s="5">
        <v>148.03</v>
      </c>
      <c r="AC81" s="5">
        <v>0.58</v>
      </c>
      <c r="AD81" s="5">
        <v>85.8574</v>
      </c>
      <c r="AE81" s="5">
        <v>107.3217</v>
      </c>
      <c r="AF81" s="5">
        <v>114.4765</v>
      </c>
      <c r="AG81" s="5">
        <v>132.0883</v>
      </c>
      <c r="AH81" s="5">
        <v>156.1044</v>
      </c>
      <c r="AI81" s="5"/>
    </row>
    <row r="82" hidden="1" spans="1:35">
      <c r="A82" s="5" t="s">
        <v>897</v>
      </c>
      <c r="B82" s="5" t="s">
        <v>583</v>
      </c>
      <c r="C82" s="5" t="s">
        <v>581</v>
      </c>
      <c r="D82" s="5" t="s">
        <v>1359</v>
      </c>
      <c r="E82" s="5" t="s">
        <v>899</v>
      </c>
      <c r="F82" s="5" t="s">
        <v>96</v>
      </c>
      <c r="G82" s="5" t="s">
        <v>127</v>
      </c>
      <c r="H82" s="5" t="s">
        <v>1349</v>
      </c>
      <c r="I82" s="5" t="s">
        <v>1360</v>
      </c>
      <c r="J82" s="5" t="s">
        <v>1361</v>
      </c>
      <c r="K82" s="5">
        <v>30</v>
      </c>
      <c r="L82" s="5"/>
      <c r="M82" s="5" t="s">
        <v>919</v>
      </c>
      <c r="N82" s="5" t="s">
        <v>1352</v>
      </c>
      <c r="O82" s="5" t="s">
        <v>1353</v>
      </c>
      <c r="P82" s="5" t="s">
        <v>1362</v>
      </c>
      <c r="Q82" s="5" t="s">
        <v>1363</v>
      </c>
      <c r="R82" s="5">
        <v>4300</v>
      </c>
      <c r="S82" s="5">
        <v>4600</v>
      </c>
      <c r="T82" s="5">
        <v>34</v>
      </c>
      <c r="U82" s="5">
        <v>25</v>
      </c>
      <c r="V82" s="5">
        <v>24.5</v>
      </c>
      <c r="W82" s="5">
        <v>1</v>
      </c>
      <c r="X82" s="5" t="s">
        <v>907</v>
      </c>
      <c r="Y82" s="5" t="s">
        <v>908</v>
      </c>
      <c r="Z82" s="5">
        <v>1</v>
      </c>
      <c r="AA82" s="5" t="s">
        <v>909</v>
      </c>
      <c r="AB82" s="5">
        <v>100.06</v>
      </c>
      <c r="AC82" s="5">
        <v>0.58</v>
      </c>
      <c r="AD82" s="5">
        <v>58.0348</v>
      </c>
      <c r="AE82" s="5">
        <v>72.5435</v>
      </c>
      <c r="AF82" s="5">
        <v>77.3797</v>
      </c>
      <c r="AG82" s="5">
        <v>89.2843</v>
      </c>
      <c r="AH82" s="5">
        <v>105.5178</v>
      </c>
      <c r="AI82" s="5"/>
    </row>
    <row r="83" hidden="1" spans="1:35">
      <c r="A83" s="5" t="s">
        <v>897</v>
      </c>
      <c r="B83" s="5" t="s">
        <v>305</v>
      </c>
      <c r="C83" s="5" t="s">
        <v>304</v>
      </c>
      <c r="D83" s="5" t="s">
        <v>1364</v>
      </c>
      <c r="E83" s="5" t="s">
        <v>899</v>
      </c>
      <c r="F83" s="5" t="s">
        <v>96</v>
      </c>
      <c r="G83" s="5" t="s">
        <v>115</v>
      </c>
      <c r="H83" s="5" t="s">
        <v>1365</v>
      </c>
      <c r="I83" s="5" t="s">
        <v>1350</v>
      </c>
      <c r="J83" s="5" t="s">
        <v>1290</v>
      </c>
      <c r="K83" s="5">
        <v>30</v>
      </c>
      <c r="L83" s="5"/>
      <c r="M83" s="5" t="s">
        <v>902</v>
      </c>
      <c r="N83" s="5" t="s">
        <v>1366</v>
      </c>
      <c r="O83" s="5" t="s">
        <v>1367</v>
      </c>
      <c r="P83" s="5" t="s">
        <v>1368</v>
      </c>
      <c r="Q83" s="5" t="s">
        <v>1369</v>
      </c>
      <c r="R83" s="5">
        <v>1700</v>
      </c>
      <c r="S83" s="5">
        <v>1800</v>
      </c>
      <c r="T83" s="5">
        <v>5</v>
      </c>
      <c r="U83" s="5">
        <v>48</v>
      </c>
      <c r="V83" s="5">
        <v>32.3</v>
      </c>
      <c r="W83" s="5">
        <v>10</v>
      </c>
      <c r="X83" s="5" t="s">
        <v>907</v>
      </c>
      <c r="Y83" s="5" t="s">
        <v>908</v>
      </c>
      <c r="Z83" s="5">
        <v>0</v>
      </c>
      <c r="AA83" s="5" t="s">
        <v>909</v>
      </c>
      <c r="AB83" s="5">
        <v>45.22</v>
      </c>
      <c r="AC83" s="5">
        <v>0.58</v>
      </c>
      <c r="AD83" s="5">
        <v>26.2276</v>
      </c>
      <c r="AE83" s="5">
        <v>32.7845</v>
      </c>
      <c r="AF83" s="5">
        <v>34.9701</v>
      </c>
      <c r="AG83" s="5">
        <v>40.3502</v>
      </c>
      <c r="AH83" s="5">
        <v>47.6865</v>
      </c>
      <c r="AI83" s="5"/>
    </row>
    <row r="84" hidden="1" spans="1:35">
      <c r="A84" s="5" t="s">
        <v>897</v>
      </c>
      <c r="B84" s="5" t="s">
        <v>313</v>
      </c>
      <c r="C84" s="5" t="s">
        <v>312</v>
      </c>
      <c r="D84" s="5" t="s">
        <v>1370</v>
      </c>
      <c r="E84" s="5" t="s">
        <v>899</v>
      </c>
      <c r="F84" s="5" t="s">
        <v>108</v>
      </c>
      <c r="G84" s="5" t="s">
        <v>109</v>
      </c>
      <c r="H84" s="5" t="s">
        <v>1371</v>
      </c>
      <c r="I84" s="5" t="s">
        <v>1372</v>
      </c>
      <c r="J84" s="5" t="s">
        <v>1290</v>
      </c>
      <c r="K84" s="5">
        <v>30</v>
      </c>
      <c r="L84" s="5" t="s">
        <v>909</v>
      </c>
      <c r="M84" s="5" t="s">
        <v>919</v>
      </c>
      <c r="N84" s="5" t="s">
        <v>1373</v>
      </c>
      <c r="O84" s="5" t="s">
        <v>1374</v>
      </c>
      <c r="P84" s="5" t="s">
        <v>1375</v>
      </c>
      <c r="Q84" s="5" t="s">
        <v>1376</v>
      </c>
      <c r="R84" s="5">
        <v>1811</v>
      </c>
      <c r="S84" s="5">
        <v>2038</v>
      </c>
      <c r="T84" s="5">
        <v>5.63</v>
      </c>
      <c r="U84" s="5">
        <v>28</v>
      </c>
      <c r="V84" s="5">
        <v>30</v>
      </c>
      <c r="W84" s="5">
        <v>8</v>
      </c>
      <c r="X84" s="5" t="s">
        <v>907</v>
      </c>
      <c r="Y84" s="5" t="s">
        <v>908</v>
      </c>
      <c r="Z84" s="5">
        <v>2</v>
      </c>
      <c r="AA84" s="5" t="s">
        <v>909</v>
      </c>
      <c r="AB84" s="5">
        <v>41.94</v>
      </c>
      <c r="AC84" s="5">
        <v>0.58</v>
      </c>
      <c r="AD84" s="5">
        <v>24.3252</v>
      </c>
      <c r="AE84" s="5">
        <v>30.4065</v>
      </c>
      <c r="AF84" s="5">
        <v>32.4336</v>
      </c>
      <c r="AG84" s="5">
        <v>37.4234</v>
      </c>
      <c r="AH84" s="5">
        <v>44.2276</v>
      </c>
      <c r="AI84" s="5"/>
    </row>
    <row r="85" hidden="1" spans="1:35">
      <c r="A85" s="5" t="s">
        <v>897</v>
      </c>
      <c r="B85" s="5" t="s">
        <v>350</v>
      </c>
      <c r="C85" s="5" t="s">
        <v>349</v>
      </c>
      <c r="D85" s="5" t="s">
        <v>1377</v>
      </c>
      <c r="E85" s="5" t="s">
        <v>899</v>
      </c>
      <c r="F85" s="5" t="s">
        <v>108</v>
      </c>
      <c r="G85" s="5" t="s">
        <v>109</v>
      </c>
      <c r="H85" s="5" t="s">
        <v>1371</v>
      </c>
      <c r="I85" s="5" t="s">
        <v>1372</v>
      </c>
      <c r="J85" s="5" t="s">
        <v>1290</v>
      </c>
      <c r="K85" s="5">
        <v>30</v>
      </c>
      <c r="L85" s="5" t="s">
        <v>909</v>
      </c>
      <c r="M85" s="5" t="s">
        <v>919</v>
      </c>
      <c r="N85" s="5" t="s">
        <v>1378</v>
      </c>
      <c r="O85" s="5" t="s">
        <v>1379</v>
      </c>
      <c r="P85" s="5" t="s">
        <v>1380</v>
      </c>
      <c r="Q85" s="5" t="s">
        <v>1381</v>
      </c>
      <c r="R85" s="5">
        <v>2539</v>
      </c>
      <c r="S85" s="5">
        <v>2772</v>
      </c>
      <c r="T85" s="5">
        <v>7.67</v>
      </c>
      <c r="U85" s="5">
        <v>23</v>
      </c>
      <c r="V85" s="5">
        <v>33</v>
      </c>
      <c r="W85" s="5">
        <v>6</v>
      </c>
      <c r="X85" s="5" t="s">
        <v>907</v>
      </c>
      <c r="Y85" s="5" t="s">
        <v>908</v>
      </c>
      <c r="Z85" s="5">
        <v>2</v>
      </c>
      <c r="AA85" s="5" t="s">
        <v>909</v>
      </c>
      <c r="AB85" s="5">
        <v>51.51</v>
      </c>
      <c r="AC85" s="5">
        <v>0.58</v>
      </c>
      <c r="AD85" s="5">
        <v>29.8758</v>
      </c>
      <c r="AE85" s="5">
        <v>37.3447</v>
      </c>
      <c r="AF85" s="5">
        <v>39.8344</v>
      </c>
      <c r="AG85" s="5">
        <v>45.9628</v>
      </c>
      <c r="AH85" s="5">
        <v>54.3196</v>
      </c>
      <c r="AI85" s="5"/>
    </row>
    <row r="86" hidden="1" spans="1:35">
      <c r="A86" s="5" t="s">
        <v>897</v>
      </c>
      <c r="B86" s="5" t="s">
        <v>167</v>
      </c>
      <c r="C86" s="5" t="s">
        <v>166</v>
      </c>
      <c r="D86" s="5" t="s">
        <v>1382</v>
      </c>
      <c r="E86" s="5" t="s">
        <v>899</v>
      </c>
      <c r="F86" s="5" t="s">
        <v>108</v>
      </c>
      <c r="G86" s="5" t="s">
        <v>109</v>
      </c>
      <c r="H86" s="5" t="s">
        <v>1371</v>
      </c>
      <c r="I86" s="5" t="s">
        <v>1372</v>
      </c>
      <c r="J86" s="5" t="s">
        <v>1290</v>
      </c>
      <c r="K86" s="5">
        <v>30</v>
      </c>
      <c r="L86" s="5" t="s">
        <v>909</v>
      </c>
      <c r="M86" s="5" t="s">
        <v>919</v>
      </c>
      <c r="N86" s="5" t="s">
        <v>1378</v>
      </c>
      <c r="O86" s="5" t="s">
        <v>1379</v>
      </c>
      <c r="P86" s="5" t="s">
        <v>1383</v>
      </c>
      <c r="Q86" s="5" t="s">
        <v>1384</v>
      </c>
      <c r="R86" s="5">
        <v>3900</v>
      </c>
      <c r="S86" s="5">
        <v>4000</v>
      </c>
      <c r="T86" s="5">
        <v>10.4</v>
      </c>
      <c r="U86" s="5">
        <v>34</v>
      </c>
      <c r="V86" s="5">
        <v>34</v>
      </c>
      <c r="W86" s="5">
        <v>4</v>
      </c>
      <c r="X86" s="5" t="s">
        <v>1020</v>
      </c>
      <c r="Y86" s="5" t="s">
        <v>908</v>
      </c>
      <c r="Z86" s="5">
        <v>285</v>
      </c>
      <c r="AA86" s="5" t="s">
        <v>909</v>
      </c>
      <c r="AB86" s="5">
        <v>72.34</v>
      </c>
      <c r="AC86" s="5">
        <v>0.58</v>
      </c>
      <c r="AD86" s="5">
        <v>41.9572</v>
      </c>
      <c r="AE86" s="5">
        <v>52.4465</v>
      </c>
      <c r="AF86" s="5">
        <v>55.9429</v>
      </c>
      <c r="AG86" s="5">
        <v>64.5495</v>
      </c>
      <c r="AH86" s="5">
        <v>76.2858</v>
      </c>
      <c r="AI86" s="5"/>
    </row>
    <row r="87" hidden="1" spans="1:35">
      <c r="A87" s="5" t="s">
        <v>897</v>
      </c>
      <c r="B87" s="5" t="s">
        <v>357</v>
      </c>
      <c r="C87" s="5" t="s">
        <v>356</v>
      </c>
      <c r="D87" s="5" t="s">
        <v>1385</v>
      </c>
      <c r="E87" s="5" t="s">
        <v>899</v>
      </c>
      <c r="F87" s="5" t="s">
        <v>108</v>
      </c>
      <c r="G87" s="5" t="s">
        <v>109</v>
      </c>
      <c r="H87" s="5" t="s">
        <v>1371</v>
      </c>
      <c r="I87" s="5" t="s">
        <v>1386</v>
      </c>
      <c r="J87" s="5" t="s">
        <v>1290</v>
      </c>
      <c r="K87" s="5">
        <v>30</v>
      </c>
      <c r="L87" s="5" t="s">
        <v>909</v>
      </c>
      <c r="M87" s="5" t="s">
        <v>919</v>
      </c>
      <c r="N87" s="5" t="s">
        <v>1387</v>
      </c>
      <c r="O87" s="5" t="s">
        <v>1388</v>
      </c>
      <c r="P87" s="5" t="s">
        <v>1389</v>
      </c>
      <c r="Q87" s="5" t="s">
        <v>1390</v>
      </c>
      <c r="R87" s="5">
        <v>850</v>
      </c>
      <c r="S87" s="5">
        <v>900</v>
      </c>
      <c r="T87" s="5">
        <v>3.22</v>
      </c>
      <c r="U87" s="5">
        <v>41</v>
      </c>
      <c r="V87" s="5">
        <v>27</v>
      </c>
      <c r="W87" s="5">
        <v>14</v>
      </c>
      <c r="X87" s="5" t="s">
        <v>907</v>
      </c>
      <c r="Y87" s="5" t="s">
        <v>908</v>
      </c>
      <c r="Z87" s="5">
        <v>121</v>
      </c>
      <c r="AA87" s="5" t="s">
        <v>909</v>
      </c>
      <c r="AB87" s="5">
        <v>18.96</v>
      </c>
      <c r="AC87" s="5">
        <v>0.58</v>
      </c>
      <c r="AD87" s="5">
        <v>10.9968</v>
      </c>
      <c r="AE87" s="5">
        <v>13.746</v>
      </c>
      <c r="AF87" s="5">
        <v>14.6624</v>
      </c>
      <c r="AG87" s="5">
        <v>16.9182</v>
      </c>
      <c r="AH87" s="5">
        <v>19.9942</v>
      </c>
      <c r="AI87" s="5"/>
    </row>
    <row r="88" hidden="1" spans="1:35">
      <c r="A88" s="5" t="s">
        <v>897</v>
      </c>
      <c r="B88" s="5" t="s">
        <v>364</v>
      </c>
      <c r="C88" s="5" t="s">
        <v>363</v>
      </c>
      <c r="D88" s="5" t="s">
        <v>1391</v>
      </c>
      <c r="E88" s="5" t="s">
        <v>899</v>
      </c>
      <c r="F88" s="5" t="s">
        <v>108</v>
      </c>
      <c r="G88" s="5" t="s">
        <v>109</v>
      </c>
      <c r="H88" s="5" t="s">
        <v>1371</v>
      </c>
      <c r="I88" s="5" t="s">
        <v>1386</v>
      </c>
      <c r="J88" s="5" t="s">
        <v>1290</v>
      </c>
      <c r="K88" s="5">
        <v>30</v>
      </c>
      <c r="L88" s="5" t="s">
        <v>909</v>
      </c>
      <c r="M88" s="5" t="s">
        <v>919</v>
      </c>
      <c r="N88" s="5" t="s">
        <v>1387</v>
      </c>
      <c r="O88" s="5" t="s">
        <v>1388</v>
      </c>
      <c r="P88" s="5" t="s">
        <v>1392</v>
      </c>
      <c r="Q88" s="5" t="s">
        <v>1393</v>
      </c>
      <c r="R88" s="5">
        <v>980</v>
      </c>
      <c r="S88" s="5">
        <v>1194</v>
      </c>
      <c r="T88" s="5">
        <v>4.1</v>
      </c>
      <c r="U88" s="5">
        <v>36.5</v>
      </c>
      <c r="V88" s="5">
        <v>27.5</v>
      </c>
      <c r="W88" s="5">
        <v>10</v>
      </c>
      <c r="X88" s="5" t="s">
        <v>907</v>
      </c>
      <c r="Y88" s="5" t="s">
        <v>908</v>
      </c>
      <c r="Z88" s="5">
        <v>36</v>
      </c>
      <c r="AA88" s="5" t="s">
        <v>909</v>
      </c>
      <c r="AB88" s="5">
        <v>26.64</v>
      </c>
      <c r="AC88" s="5">
        <v>0.58</v>
      </c>
      <c r="AD88" s="5">
        <v>15.4512</v>
      </c>
      <c r="AE88" s="5">
        <v>19.314</v>
      </c>
      <c r="AF88" s="5">
        <v>20.6016</v>
      </c>
      <c r="AG88" s="5">
        <v>23.7711</v>
      </c>
      <c r="AH88" s="5">
        <v>28.0931</v>
      </c>
      <c r="AI88" s="5"/>
    </row>
    <row r="89" hidden="1" spans="1:35">
      <c r="A89" s="5" t="s">
        <v>897</v>
      </c>
      <c r="B89" s="5" t="s">
        <v>1394</v>
      </c>
      <c r="C89" s="5" t="s">
        <v>1395</v>
      </c>
      <c r="D89" s="5" t="s">
        <v>1301</v>
      </c>
      <c r="E89" s="5" t="s">
        <v>899</v>
      </c>
      <c r="F89" s="5" t="s">
        <v>108</v>
      </c>
      <c r="G89" s="5" t="s">
        <v>927</v>
      </c>
      <c r="H89" s="5" t="s">
        <v>1396</v>
      </c>
      <c r="I89" s="5" t="s">
        <v>1397</v>
      </c>
      <c r="J89" s="5" t="s">
        <v>1290</v>
      </c>
      <c r="K89" s="5">
        <v>30</v>
      </c>
      <c r="L89" s="5" t="s">
        <v>909</v>
      </c>
      <c r="M89" s="5" t="s">
        <v>902</v>
      </c>
      <c r="N89" s="5" t="s">
        <v>1297</v>
      </c>
      <c r="O89" s="5" t="s">
        <v>1292</v>
      </c>
      <c r="P89" s="5" t="s">
        <v>1398</v>
      </c>
      <c r="Q89" s="5"/>
      <c r="R89" s="5"/>
      <c r="S89" s="5">
        <v>1200</v>
      </c>
      <c r="T89" s="5">
        <v>0.4</v>
      </c>
      <c r="U89" s="5">
        <v>59</v>
      </c>
      <c r="V89" s="5">
        <v>29</v>
      </c>
      <c r="W89" s="5">
        <v>170</v>
      </c>
      <c r="X89" s="5" t="s">
        <v>907</v>
      </c>
      <c r="Y89" s="5" t="s">
        <v>908</v>
      </c>
      <c r="Z89" s="5">
        <v>606</v>
      </c>
      <c r="AA89" s="5" t="s">
        <v>909</v>
      </c>
      <c r="AB89" s="5">
        <v>4.3601</v>
      </c>
      <c r="AC89" s="5">
        <v>0.58</v>
      </c>
      <c r="AD89" s="5">
        <v>2.5289</v>
      </c>
      <c r="AE89" s="5">
        <v>3.1611</v>
      </c>
      <c r="AF89" s="5">
        <v>3.3718</v>
      </c>
      <c r="AG89" s="5">
        <v>3.8906</v>
      </c>
      <c r="AH89" s="5">
        <v>4.5979</v>
      </c>
      <c r="AI89" s="5"/>
    </row>
    <row r="90" hidden="1" spans="1:35">
      <c r="A90" s="5" t="s">
        <v>897</v>
      </c>
      <c r="B90" s="5" t="s">
        <v>1399</v>
      </c>
      <c r="C90" s="5" t="s">
        <v>1400</v>
      </c>
      <c r="D90" s="5" t="s">
        <v>1301</v>
      </c>
      <c r="E90" s="5" t="s">
        <v>899</v>
      </c>
      <c r="F90" s="5" t="s">
        <v>108</v>
      </c>
      <c r="G90" s="5" t="s">
        <v>168</v>
      </c>
      <c r="H90" s="5" t="s">
        <v>1401</v>
      </c>
      <c r="I90" s="5" t="s">
        <v>911</v>
      </c>
      <c r="J90" s="5" t="s">
        <v>1290</v>
      </c>
      <c r="K90" s="5">
        <v>30</v>
      </c>
      <c r="L90" s="5" t="s">
        <v>909</v>
      </c>
      <c r="M90" s="5" t="s">
        <v>902</v>
      </c>
      <c r="N90" s="5" t="s">
        <v>1297</v>
      </c>
      <c r="O90" s="5" t="s">
        <v>1402</v>
      </c>
      <c r="P90" s="5" t="s">
        <v>1403</v>
      </c>
      <c r="Q90" s="5"/>
      <c r="R90" s="5"/>
      <c r="S90" s="5"/>
      <c r="T90" s="5"/>
      <c r="U90" s="5"/>
      <c r="V90" s="5"/>
      <c r="W90" s="5"/>
      <c r="X90" s="5" t="s">
        <v>907</v>
      </c>
      <c r="Y90" s="5" t="s">
        <v>908</v>
      </c>
      <c r="Z90" s="5">
        <v>37</v>
      </c>
      <c r="AA90" s="5" t="s">
        <v>909</v>
      </c>
      <c r="AB90" s="5">
        <v>0.0001</v>
      </c>
      <c r="AC90" s="5">
        <v>0.58</v>
      </c>
      <c r="AD90" s="5">
        <v>0.0001</v>
      </c>
      <c r="AE90" s="5">
        <v>0.0001</v>
      </c>
      <c r="AF90" s="5">
        <v>0.0001</v>
      </c>
      <c r="AG90" s="5">
        <v>0.0001</v>
      </c>
      <c r="AH90" s="5">
        <v>0.0001</v>
      </c>
      <c r="AI90" s="5"/>
    </row>
    <row r="91" hidden="1" spans="1:35">
      <c r="A91" s="5" t="s">
        <v>897</v>
      </c>
      <c r="B91" s="5" t="s">
        <v>1404</v>
      </c>
      <c r="C91" s="5" t="s">
        <v>1405</v>
      </c>
      <c r="D91" s="5" t="s">
        <v>1301</v>
      </c>
      <c r="E91" s="5" t="s">
        <v>899</v>
      </c>
      <c r="F91" s="5" t="s">
        <v>108</v>
      </c>
      <c r="G91" s="5" t="s">
        <v>168</v>
      </c>
      <c r="H91" s="5" t="s">
        <v>1401</v>
      </c>
      <c r="I91" s="5" t="s">
        <v>911</v>
      </c>
      <c r="J91" s="5" t="s">
        <v>1290</v>
      </c>
      <c r="K91" s="5">
        <v>30</v>
      </c>
      <c r="L91" s="5" t="s">
        <v>909</v>
      </c>
      <c r="M91" s="5" t="s">
        <v>902</v>
      </c>
      <c r="N91" s="5" t="s">
        <v>1297</v>
      </c>
      <c r="O91" s="5" t="s">
        <v>1402</v>
      </c>
      <c r="P91" s="5" t="s">
        <v>1406</v>
      </c>
      <c r="Q91" s="5"/>
      <c r="R91" s="5"/>
      <c r="S91" s="5"/>
      <c r="T91" s="5"/>
      <c r="U91" s="5"/>
      <c r="V91" s="5"/>
      <c r="W91" s="5"/>
      <c r="X91" s="5" t="s">
        <v>1020</v>
      </c>
      <c r="Y91" s="5" t="s">
        <v>908</v>
      </c>
      <c r="Z91" s="5">
        <v>17</v>
      </c>
      <c r="AA91" s="5" t="s">
        <v>909</v>
      </c>
      <c r="AB91" s="5">
        <v>0.0001</v>
      </c>
      <c r="AC91" s="5">
        <v>0.58</v>
      </c>
      <c r="AD91" s="5">
        <v>0.0001</v>
      </c>
      <c r="AE91" s="5">
        <v>0.0001</v>
      </c>
      <c r="AF91" s="5">
        <v>0.0001</v>
      </c>
      <c r="AG91" s="5">
        <v>0.0001</v>
      </c>
      <c r="AH91" s="5">
        <v>0.0001</v>
      </c>
      <c r="AI91" s="5"/>
    </row>
    <row r="92" hidden="1" spans="1:35">
      <c r="A92" s="5" t="s">
        <v>897</v>
      </c>
      <c r="B92" s="5" t="s">
        <v>438</v>
      </c>
      <c r="C92" s="5" t="s">
        <v>341</v>
      </c>
      <c r="D92" s="5" t="s">
        <v>1407</v>
      </c>
      <c r="E92" s="5" t="s">
        <v>899</v>
      </c>
      <c r="F92" s="5" t="s">
        <v>96</v>
      </c>
      <c r="G92" s="5" t="s">
        <v>115</v>
      </c>
      <c r="H92" s="5" t="s">
        <v>1365</v>
      </c>
      <c r="I92" s="5" t="s">
        <v>1408</v>
      </c>
      <c r="J92" s="5" t="s">
        <v>1408</v>
      </c>
      <c r="K92" s="5">
        <v>30</v>
      </c>
      <c r="L92" s="5"/>
      <c r="M92" s="5" t="s">
        <v>919</v>
      </c>
      <c r="N92" s="5" t="s">
        <v>1409</v>
      </c>
      <c r="O92" s="5" t="s">
        <v>1410</v>
      </c>
      <c r="P92" s="5" t="s">
        <v>1411</v>
      </c>
      <c r="Q92" s="5" t="s">
        <v>1412</v>
      </c>
      <c r="R92" s="5">
        <v>3300</v>
      </c>
      <c r="S92" s="5">
        <v>3600</v>
      </c>
      <c r="T92" s="5">
        <v>41.5</v>
      </c>
      <c r="U92" s="5">
        <v>39.5</v>
      </c>
      <c r="V92" s="5">
        <v>14</v>
      </c>
      <c r="W92" s="5">
        <v>1</v>
      </c>
      <c r="X92" s="5" t="s">
        <v>907</v>
      </c>
      <c r="Y92" s="5" t="s">
        <v>908</v>
      </c>
      <c r="Z92" s="5">
        <v>0</v>
      </c>
      <c r="AA92" s="5" t="s">
        <v>909</v>
      </c>
      <c r="AB92" s="5">
        <v>97.88</v>
      </c>
      <c r="AC92" s="5">
        <v>0.58</v>
      </c>
      <c r="AD92" s="5">
        <v>56.7704</v>
      </c>
      <c r="AE92" s="5">
        <v>70.963</v>
      </c>
      <c r="AF92" s="5">
        <v>75.6939</v>
      </c>
      <c r="AG92" s="5">
        <v>87.3391</v>
      </c>
      <c r="AH92" s="5">
        <v>103.2189</v>
      </c>
      <c r="AI92" s="5"/>
    </row>
    <row r="93" hidden="1" spans="1:35">
      <c r="A93" s="5" t="s">
        <v>897</v>
      </c>
      <c r="B93" s="5" t="s">
        <v>439</v>
      </c>
      <c r="C93" s="5" t="s">
        <v>343</v>
      </c>
      <c r="D93" s="5" t="s">
        <v>1413</v>
      </c>
      <c r="E93" s="5" t="s">
        <v>899</v>
      </c>
      <c r="F93" s="5" t="s">
        <v>96</v>
      </c>
      <c r="G93" s="5" t="s">
        <v>115</v>
      </c>
      <c r="H93" s="5" t="s">
        <v>1365</v>
      </c>
      <c r="I93" s="5" t="s">
        <v>1408</v>
      </c>
      <c r="J93" s="5" t="s">
        <v>1408</v>
      </c>
      <c r="K93" s="5">
        <v>30</v>
      </c>
      <c r="L93" s="5"/>
      <c r="M93" s="5" t="s">
        <v>919</v>
      </c>
      <c r="N93" s="5" t="s">
        <v>1409</v>
      </c>
      <c r="O93" s="5" t="s">
        <v>1410</v>
      </c>
      <c r="P93" s="5" t="s">
        <v>1414</v>
      </c>
      <c r="Q93" s="5" t="s">
        <v>1415</v>
      </c>
      <c r="R93" s="5">
        <v>4500</v>
      </c>
      <c r="S93" s="5">
        <v>5000</v>
      </c>
      <c r="T93" s="5">
        <v>48.5</v>
      </c>
      <c r="U93" s="5">
        <v>46.5</v>
      </c>
      <c r="V93" s="5">
        <v>14.5</v>
      </c>
      <c r="W93" s="5">
        <v>1</v>
      </c>
      <c r="X93" s="5" t="s">
        <v>1020</v>
      </c>
      <c r="Y93" s="5" t="s">
        <v>908</v>
      </c>
      <c r="Z93" s="5">
        <v>476</v>
      </c>
      <c r="AA93" s="5" t="s">
        <v>909</v>
      </c>
      <c r="AB93" s="5">
        <v>95.44</v>
      </c>
      <c r="AC93" s="5">
        <v>0.58</v>
      </c>
      <c r="AD93" s="5">
        <v>55.3552</v>
      </c>
      <c r="AE93" s="5">
        <v>69.194</v>
      </c>
      <c r="AF93" s="5">
        <v>73.8069</v>
      </c>
      <c r="AG93" s="5">
        <v>85.1618</v>
      </c>
      <c r="AH93" s="5">
        <v>100.6458</v>
      </c>
      <c r="AI93" s="5"/>
    </row>
    <row r="94" hidden="1" spans="1:35">
      <c r="A94" s="5" t="s">
        <v>897</v>
      </c>
      <c r="B94" s="5" t="s">
        <v>1416</v>
      </c>
      <c r="C94" s="5" t="s">
        <v>1417</v>
      </c>
      <c r="D94" s="5" t="s">
        <v>1418</v>
      </c>
      <c r="E94" s="5" t="s">
        <v>899</v>
      </c>
      <c r="F94" s="5" t="s">
        <v>96</v>
      </c>
      <c r="G94" s="5" t="s">
        <v>103</v>
      </c>
      <c r="H94" s="5" t="s">
        <v>942</v>
      </c>
      <c r="I94" s="5" t="s">
        <v>1419</v>
      </c>
      <c r="J94" s="5" t="s">
        <v>1419</v>
      </c>
      <c r="K94" s="5">
        <v>30</v>
      </c>
      <c r="L94" s="5" t="s">
        <v>909</v>
      </c>
      <c r="M94" s="5" t="s">
        <v>902</v>
      </c>
      <c r="N94" s="5" t="s">
        <v>944</v>
      </c>
      <c r="O94" s="5" t="s">
        <v>1420</v>
      </c>
      <c r="P94" s="5" t="s">
        <v>1421</v>
      </c>
      <c r="Q94" s="5" t="s">
        <v>1422</v>
      </c>
      <c r="R94" s="5">
        <v>191</v>
      </c>
      <c r="S94" s="5">
        <v>224</v>
      </c>
      <c r="T94" s="5">
        <v>0.5</v>
      </c>
      <c r="U94" s="5">
        <v>27.1</v>
      </c>
      <c r="V94" s="5">
        <v>31.5</v>
      </c>
      <c r="W94" s="5">
        <v>72</v>
      </c>
      <c r="X94" s="5" t="s">
        <v>948</v>
      </c>
      <c r="Y94" s="5" t="s">
        <v>908</v>
      </c>
      <c r="Z94" s="5">
        <v>0</v>
      </c>
      <c r="AA94" s="5" t="s">
        <v>909</v>
      </c>
      <c r="AB94" s="5">
        <v>40.27</v>
      </c>
      <c r="AC94" s="5">
        <v>0.58</v>
      </c>
      <c r="AD94" s="5">
        <v>23.3566</v>
      </c>
      <c r="AE94" s="5">
        <v>29.1957</v>
      </c>
      <c r="AF94" s="5">
        <v>31.1421</v>
      </c>
      <c r="AG94" s="5">
        <v>35.9332</v>
      </c>
      <c r="AH94" s="5">
        <v>42.4665</v>
      </c>
      <c r="AI94" s="5"/>
    </row>
    <row r="95" hidden="1" spans="1:35">
      <c r="A95" s="5" t="s">
        <v>897</v>
      </c>
      <c r="B95" s="5" t="s">
        <v>858</v>
      </c>
      <c r="C95" s="5" t="s">
        <v>857</v>
      </c>
      <c r="D95" s="5" t="s">
        <v>1423</v>
      </c>
      <c r="E95" s="5" t="s">
        <v>899</v>
      </c>
      <c r="F95" s="5" t="s">
        <v>96</v>
      </c>
      <c r="G95" s="5" t="s">
        <v>103</v>
      </c>
      <c r="H95" s="5" t="s">
        <v>942</v>
      </c>
      <c r="I95" s="5" t="s">
        <v>943</v>
      </c>
      <c r="J95" s="5" t="s">
        <v>943</v>
      </c>
      <c r="K95" s="5">
        <v>30</v>
      </c>
      <c r="L95" s="5" t="s">
        <v>909</v>
      </c>
      <c r="M95" s="5" t="s">
        <v>902</v>
      </c>
      <c r="N95" s="5" t="s">
        <v>944</v>
      </c>
      <c r="O95" s="5" t="s">
        <v>1424</v>
      </c>
      <c r="P95" s="5" t="s">
        <v>1425</v>
      </c>
      <c r="Q95" s="5" t="s">
        <v>1426</v>
      </c>
      <c r="R95" s="5">
        <v>123</v>
      </c>
      <c r="S95" s="5">
        <v>130</v>
      </c>
      <c r="T95" s="5">
        <v>0.5</v>
      </c>
      <c r="U95" s="5">
        <v>32.5</v>
      </c>
      <c r="V95" s="5">
        <v>23.5</v>
      </c>
      <c r="W95" s="5">
        <v>100</v>
      </c>
      <c r="X95" s="5" t="s">
        <v>948</v>
      </c>
      <c r="Y95" s="5" t="s">
        <v>908</v>
      </c>
      <c r="Z95" s="5">
        <v>4</v>
      </c>
      <c r="AA95" s="5" t="s">
        <v>909</v>
      </c>
      <c r="AB95" s="5">
        <v>19.6</v>
      </c>
      <c r="AC95" s="5">
        <v>0.58</v>
      </c>
      <c r="AD95" s="5">
        <v>11.368</v>
      </c>
      <c r="AE95" s="5">
        <v>14.21</v>
      </c>
      <c r="AF95" s="5">
        <v>15.1573</v>
      </c>
      <c r="AG95" s="5">
        <v>17.4892</v>
      </c>
      <c r="AH95" s="5">
        <v>20.6691</v>
      </c>
      <c r="AI95" s="5"/>
    </row>
    <row r="96" hidden="1" spans="1:35">
      <c r="A96" s="5" t="s">
        <v>897</v>
      </c>
      <c r="B96" s="5" t="s">
        <v>1427</v>
      </c>
      <c r="C96" s="5" t="s">
        <v>1428</v>
      </c>
      <c r="D96" s="5" t="s">
        <v>1301</v>
      </c>
      <c r="E96" s="5" t="s">
        <v>899</v>
      </c>
      <c r="F96" s="5" t="s">
        <v>108</v>
      </c>
      <c r="G96" s="5" t="s">
        <v>168</v>
      </c>
      <c r="H96" s="5" t="s">
        <v>1313</v>
      </c>
      <c r="I96" s="5" t="s">
        <v>1429</v>
      </c>
      <c r="J96" s="5" t="s">
        <v>1430</v>
      </c>
      <c r="K96" s="5">
        <v>43</v>
      </c>
      <c r="L96" s="5" t="s">
        <v>909</v>
      </c>
      <c r="M96" s="5" t="s">
        <v>902</v>
      </c>
      <c r="N96" s="5" t="s">
        <v>1315</v>
      </c>
      <c r="O96" s="5" t="s">
        <v>1316</v>
      </c>
      <c r="P96" s="5" t="s">
        <v>1431</v>
      </c>
      <c r="Q96" s="5" t="s">
        <v>1432</v>
      </c>
      <c r="R96" s="5">
        <v>240</v>
      </c>
      <c r="S96" s="5">
        <v>245</v>
      </c>
      <c r="T96" s="5">
        <v>1.1</v>
      </c>
      <c r="U96" s="5">
        <v>41</v>
      </c>
      <c r="V96" s="5">
        <v>17</v>
      </c>
      <c r="W96" s="5">
        <v>50</v>
      </c>
      <c r="X96" s="5" t="s">
        <v>1020</v>
      </c>
      <c r="Y96" s="5" t="s">
        <v>908</v>
      </c>
      <c r="Z96" s="5">
        <v>896</v>
      </c>
      <c r="AA96" s="5" t="s">
        <v>909</v>
      </c>
      <c r="AB96" s="5">
        <v>8.37</v>
      </c>
      <c r="AC96" s="5">
        <v>0.58</v>
      </c>
      <c r="AD96" s="5">
        <v>4.8546</v>
      </c>
      <c r="AE96" s="5">
        <v>6.0682</v>
      </c>
      <c r="AF96" s="5">
        <v>6.4728</v>
      </c>
      <c r="AG96" s="5">
        <v>7.4686</v>
      </c>
      <c r="AH96" s="5">
        <v>8.8265</v>
      </c>
      <c r="AI96" s="5"/>
    </row>
    <row r="97" hidden="1" spans="1:35">
      <c r="A97" s="5" t="s">
        <v>897</v>
      </c>
      <c r="B97" s="5" t="s">
        <v>1433</v>
      </c>
      <c r="C97" s="5" t="s">
        <v>1434</v>
      </c>
      <c r="D97" s="5" t="s">
        <v>1301</v>
      </c>
      <c r="E97" s="5" t="s">
        <v>899</v>
      </c>
      <c r="F97" s="5" t="s">
        <v>108</v>
      </c>
      <c r="G97" s="5" t="s">
        <v>168</v>
      </c>
      <c r="H97" s="5" t="s">
        <v>1313</v>
      </c>
      <c r="I97" s="5" t="s">
        <v>1435</v>
      </c>
      <c r="J97" s="5" t="s">
        <v>1435</v>
      </c>
      <c r="K97" s="5">
        <v>30</v>
      </c>
      <c r="L97" s="5" t="s">
        <v>909</v>
      </c>
      <c r="M97" s="5" t="s">
        <v>919</v>
      </c>
      <c r="N97" s="5" t="s">
        <v>1436</v>
      </c>
      <c r="O97" s="5" t="s">
        <v>1437</v>
      </c>
      <c r="P97" s="5" t="s">
        <v>1438</v>
      </c>
      <c r="Q97" s="5" t="s">
        <v>1439</v>
      </c>
      <c r="R97" s="5">
        <v>17300</v>
      </c>
      <c r="S97" s="5">
        <v>19600</v>
      </c>
      <c r="T97" s="5">
        <v>100</v>
      </c>
      <c r="U97" s="5">
        <v>20</v>
      </c>
      <c r="V97" s="5">
        <v>20</v>
      </c>
      <c r="W97" s="5">
        <v>1</v>
      </c>
      <c r="X97" s="5" t="s">
        <v>1020</v>
      </c>
      <c r="Y97" s="5" t="s">
        <v>908</v>
      </c>
      <c r="Z97" s="5">
        <v>986</v>
      </c>
      <c r="AA97" s="5" t="s">
        <v>909</v>
      </c>
      <c r="AB97" s="5">
        <v>292.4</v>
      </c>
      <c r="AC97" s="5">
        <v>0.58</v>
      </c>
      <c r="AD97" s="5">
        <v>169.592</v>
      </c>
      <c r="AE97" s="5">
        <v>211.99</v>
      </c>
      <c r="AF97" s="5">
        <v>226.1227</v>
      </c>
      <c r="AG97" s="5">
        <v>260.9108</v>
      </c>
      <c r="AH97" s="5">
        <v>308.3491</v>
      </c>
      <c r="AI97" s="5"/>
    </row>
    <row r="98" hidden="1" spans="1:35">
      <c r="A98" s="5" t="s">
        <v>897</v>
      </c>
      <c r="B98" s="5" t="s">
        <v>651</v>
      </c>
      <c r="C98" s="5" t="s">
        <v>650</v>
      </c>
      <c r="D98" s="5" t="s">
        <v>1440</v>
      </c>
      <c r="E98" s="5" t="s">
        <v>899</v>
      </c>
      <c r="F98" s="5" t="s">
        <v>108</v>
      </c>
      <c r="G98" s="5" t="s">
        <v>168</v>
      </c>
      <c r="H98" s="5" t="s">
        <v>1329</v>
      </c>
      <c r="I98" s="5" t="s">
        <v>1408</v>
      </c>
      <c r="J98" s="5" t="s">
        <v>1441</v>
      </c>
      <c r="K98" s="5">
        <v>30</v>
      </c>
      <c r="L98" s="5" t="s">
        <v>909</v>
      </c>
      <c r="M98" s="5" t="s">
        <v>919</v>
      </c>
      <c r="N98" s="5" t="s">
        <v>1336</v>
      </c>
      <c r="O98" s="5" t="s">
        <v>1332</v>
      </c>
      <c r="P98" s="5" t="s">
        <v>1442</v>
      </c>
      <c r="Q98" s="5" t="s">
        <v>1443</v>
      </c>
      <c r="R98" s="5">
        <v>520</v>
      </c>
      <c r="S98" s="5">
        <v>650</v>
      </c>
      <c r="T98" s="5">
        <v>2.7</v>
      </c>
      <c r="U98" s="5">
        <v>50</v>
      </c>
      <c r="V98" s="5">
        <v>20.5</v>
      </c>
      <c r="W98" s="5">
        <v>20</v>
      </c>
      <c r="X98" s="5" t="s">
        <v>1020</v>
      </c>
      <c r="Y98" s="5" t="s">
        <v>908</v>
      </c>
      <c r="Z98" s="5">
        <v>60</v>
      </c>
      <c r="AA98" s="5" t="s">
        <v>909</v>
      </c>
      <c r="AB98" s="5">
        <v>11.74</v>
      </c>
      <c r="AC98" s="5">
        <v>0.58</v>
      </c>
      <c r="AD98" s="5">
        <v>6.8092</v>
      </c>
      <c r="AE98" s="5">
        <v>8.5115</v>
      </c>
      <c r="AF98" s="5">
        <v>9.0789</v>
      </c>
      <c r="AG98" s="5">
        <v>10.4757</v>
      </c>
      <c r="AH98" s="5">
        <v>12.3804</v>
      </c>
      <c r="AI98" s="5"/>
    </row>
    <row r="99" hidden="1" spans="1:35">
      <c r="A99" s="5" t="s">
        <v>897</v>
      </c>
      <c r="B99" s="5" t="s">
        <v>627</v>
      </c>
      <c r="C99" s="5" t="s">
        <v>626</v>
      </c>
      <c r="D99" s="5" t="s">
        <v>1444</v>
      </c>
      <c r="E99" s="5" t="s">
        <v>899</v>
      </c>
      <c r="F99" s="5" t="s">
        <v>108</v>
      </c>
      <c r="G99" s="5" t="s">
        <v>168</v>
      </c>
      <c r="H99" s="5" t="s">
        <v>1445</v>
      </c>
      <c r="I99" s="5" t="s">
        <v>1308</v>
      </c>
      <c r="J99" s="5" t="s">
        <v>1290</v>
      </c>
      <c r="K99" s="5">
        <v>30</v>
      </c>
      <c r="L99" s="5" t="s">
        <v>909</v>
      </c>
      <c r="M99" s="5" t="s">
        <v>919</v>
      </c>
      <c r="N99" s="5" t="s">
        <v>1446</v>
      </c>
      <c r="O99" s="5" t="s">
        <v>1447</v>
      </c>
      <c r="P99" s="5" t="s">
        <v>1448</v>
      </c>
      <c r="Q99" s="5" t="s">
        <v>1449</v>
      </c>
      <c r="R99" s="5">
        <v>1250</v>
      </c>
      <c r="S99" s="5">
        <v>1400</v>
      </c>
      <c r="T99" s="5">
        <v>3.34</v>
      </c>
      <c r="U99" s="5">
        <v>31.5</v>
      </c>
      <c r="V99" s="5">
        <v>30.5</v>
      </c>
      <c r="W99" s="5">
        <v>15</v>
      </c>
      <c r="X99" s="5" t="s">
        <v>1020</v>
      </c>
      <c r="Y99" s="5" t="s">
        <v>908</v>
      </c>
      <c r="Z99" s="5">
        <v>355</v>
      </c>
      <c r="AA99" s="5" t="s">
        <v>909</v>
      </c>
      <c r="AB99" s="5">
        <v>14.19</v>
      </c>
      <c r="AC99" s="5">
        <v>0.58</v>
      </c>
      <c r="AD99" s="5">
        <v>8.2302</v>
      </c>
      <c r="AE99" s="5">
        <v>10.2877</v>
      </c>
      <c r="AF99" s="5">
        <v>10.9736</v>
      </c>
      <c r="AG99" s="5">
        <v>12.6618</v>
      </c>
      <c r="AH99" s="5">
        <v>14.964</v>
      </c>
      <c r="AI99" s="5"/>
    </row>
    <row r="100" hidden="1" spans="1:35">
      <c r="A100" s="5" t="s">
        <v>897</v>
      </c>
      <c r="B100" s="5" t="s">
        <v>52</v>
      </c>
      <c r="C100" s="5" t="s">
        <v>294</v>
      </c>
      <c r="D100" s="5" t="s">
        <v>1450</v>
      </c>
      <c r="E100" s="5" t="s">
        <v>899</v>
      </c>
      <c r="F100" s="5" t="s">
        <v>108</v>
      </c>
      <c r="G100" s="5" t="s">
        <v>168</v>
      </c>
      <c r="H100" s="5" t="s">
        <v>1329</v>
      </c>
      <c r="I100" s="5" t="s">
        <v>1308</v>
      </c>
      <c r="J100" s="5" t="s">
        <v>1290</v>
      </c>
      <c r="K100" s="5">
        <v>30</v>
      </c>
      <c r="L100" s="5" t="s">
        <v>909</v>
      </c>
      <c r="M100" s="5" t="s">
        <v>919</v>
      </c>
      <c r="N100" s="5" t="s">
        <v>1446</v>
      </c>
      <c r="O100" s="5" t="s">
        <v>1447</v>
      </c>
      <c r="P100" s="5" t="s">
        <v>1451</v>
      </c>
      <c r="Q100" s="5" t="s">
        <v>1452</v>
      </c>
      <c r="R100" s="5">
        <v>8050</v>
      </c>
      <c r="S100" s="5">
        <v>9300</v>
      </c>
      <c r="T100" s="5">
        <v>142.5</v>
      </c>
      <c r="U100" s="5">
        <v>34.6</v>
      </c>
      <c r="V100" s="5">
        <v>7.1</v>
      </c>
      <c r="W100" s="5">
        <v>1</v>
      </c>
      <c r="X100" s="5" t="s">
        <v>1020</v>
      </c>
      <c r="Y100" s="5" t="s">
        <v>908</v>
      </c>
      <c r="Z100" s="5">
        <v>376</v>
      </c>
      <c r="AA100" s="5" t="s">
        <v>909</v>
      </c>
      <c r="AB100" s="5">
        <v>99.81</v>
      </c>
      <c r="AC100" s="5">
        <v>0.58</v>
      </c>
      <c r="AD100" s="5">
        <v>57.8898</v>
      </c>
      <c r="AE100" s="5">
        <v>72.3622</v>
      </c>
      <c r="AF100" s="5">
        <v>77.1864</v>
      </c>
      <c r="AG100" s="5">
        <v>89.0612</v>
      </c>
      <c r="AH100" s="5">
        <v>105.2542</v>
      </c>
      <c r="AI100" s="5"/>
    </row>
    <row r="101" hidden="1" spans="1:35">
      <c r="A101" s="5" t="s">
        <v>897</v>
      </c>
      <c r="B101" s="5" t="s">
        <v>19</v>
      </c>
      <c r="C101" s="5" t="s">
        <v>18</v>
      </c>
      <c r="D101" s="5" t="s">
        <v>1453</v>
      </c>
      <c r="E101" s="5" t="s">
        <v>899</v>
      </c>
      <c r="F101" s="5" t="s">
        <v>96</v>
      </c>
      <c r="G101" s="5" t="s">
        <v>115</v>
      </c>
      <c r="H101" s="5" t="s">
        <v>1454</v>
      </c>
      <c r="I101" s="5" t="s">
        <v>974</v>
      </c>
      <c r="J101" s="5" t="s">
        <v>974</v>
      </c>
      <c r="K101" s="5">
        <v>30</v>
      </c>
      <c r="L101" s="5" t="s">
        <v>909</v>
      </c>
      <c r="M101" s="5" t="s">
        <v>902</v>
      </c>
      <c r="N101" s="5" t="s">
        <v>1455</v>
      </c>
      <c r="O101" s="5" t="s">
        <v>1456</v>
      </c>
      <c r="P101" s="5" t="s">
        <v>1457</v>
      </c>
      <c r="Q101" s="5" t="s">
        <v>1458</v>
      </c>
      <c r="R101" s="5">
        <v>760</v>
      </c>
      <c r="S101" s="5">
        <v>800</v>
      </c>
      <c r="T101" s="5">
        <v>3.25</v>
      </c>
      <c r="U101" s="5">
        <v>29.5</v>
      </c>
      <c r="V101" s="5">
        <v>25.5</v>
      </c>
      <c r="W101" s="5">
        <v>10</v>
      </c>
      <c r="X101" s="5" t="s">
        <v>907</v>
      </c>
      <c r="Y101" s="5" t="s">
        <v>908</v>
      </c>
      <c r="Z101" s="5">
        <v>1255</v>
      </c>
      <c r="AA101" s="5" t="s">
        <v>909</v>
      </c>
      <c r="AB101" s="5">
        <v>18.83</v>
      </c>
      <c r="AC101" s="5">
        <v>0.58</v>
      </c>
      <c r="AD101" s="5">
        <v>10.9214</v>
      </c>
      <c r="AE101" s="5">
        <v>13.6517</v>
      </c>
      <c r="AF101" s="5">
        <v>14.5619</v>
      </c>
      <c r="AG101" s="5">
        <v>16.8022</v>
      </c>
      <c r="AH101" s="5">
        <v>19.8571</v>
      </c>
      <c r="AI101" s="5"/>
    </row>
    <row r="102" hidden="1" spans="1:35">
      <c r="A102" s="5" t="s">
        <v>897</v>
      </c>
      <c r="B102" s="5" t="s">
        <v>23</v>
      </c>
      <c r="C102" s="5" t="s">
        <v>22</v>
      </c>
      <c r="D102" s="5" t="s">
        <v>1459</v>
      </c>
      <c r="E102" s="5" t="s">
        <v>899</v>
      </c>
      <c r="F102" s="5" t="s">
        <v>96</v>
      </c>
      <c r="G102" s="5" t="s">
        <v>115</v>
      </c>
      <c r="H102" s="5" t="s">
        <v>1454</v>
      </c>
      <c r="I102" s="5" t="s">
        <v>974</v>
      </c>
      <c r="J102" s="5" t="s">
        <v>974</v>
      </c>
      <c r="K102" s="5">
        <v>30</v>
      </c>
      <c r="L102" s="5" t="s">
        <v>909</v>
      </c>
      <c r="M102" s="5" t="s">
        <v>902</v>
      </c>
      <c r="N102" s="5" t="s">
        <v>1455</v>
      </c>
      <c r="O102" s="5" t="s">
        <v>1456</v>
      </c>
      <c r="P102" s="5" t="s">
        <v>1460</v>
      </c>
      <c r="Q102" s="5" t="s">
        <v>1458</v>
      </c>
      <c r="R102" s="5">
        <v>760</v>
      </c>
      <c r="S102" s="5">
        <v>800</v>
      </c>
      <c r="T102" s="5">
        <v>3.25</v>
      </c>
      <c r="U102" s="5">
        <v>29.5</v>
      </c>
      <c r="V102" s="5">
        <v>25.5</v>
      </c>
      <c r="W102" s="5">
        <v>10</v>
      </c>
      <c r="X102" s="5" t="s">
        <v>907</v>
      </c>
      <c r="Y102" s="5" t="s">
        <v>908</v>
      </c>
      <c r="Z102" s="5">
        <v>1009</v>
      </c>
      <c r="AA102" s="5" t="s">
        <v>909</v>
      </c>
      <c r="AB102" s="5">
        <v>19.78</v>
      </c>
      <c r="AC102" s="5">
        <v>0.58</v>
      </c>
      <c r="AD102" s="5">
        <v>11.4724</v>
      </c>
      <c r="AE102" s="5">
        <v>14.3405</v>
      </c>
      <c r="AF102" s="5">
        <v>15.2965</v>
      </c>
      <c r="AG102" s="5">
        <v>17.6498</v>
      </c>
      <c r="AH102" s="5">
        <v>20.8589</v>
      </c>
      <c r="AI102" s="5"/>
    </row>
    <row r="103" hidden="1" spans="1:35">
      <c r="A103" s="5" t="s">
        <v>897</v>
      </c>
      <c r="B103" s="5" t="s">
        <v>309</v>
      </c>
      <c r="C103" s="5" t="s">
        <v>308</v>
      </c>
      <c r="D103" s="5" t="s">
        <v>1461</v>
      </c>
      <c r="E103" s="5" t="s">
        <v>899</v>
      </c>
      <c r="F103" s="5" t="s">
        <v>108</v>
      </c>
      <c r="G103" s="5" t="s">
        <v>109</v>
      </c>
      <c r="H103" s="5" t="s">
        <v>1371</v>
      </c>
      <c r="I103" s="5" t="s">
        <v>1462</v>
      </c>
      <c r="J103" s="5" t="s">
        <v>1462</v>
      </c>
      <c r="K103" s="5">
        <v>32</v>
      </c>
      <c r="L103" s="5"/>
      <c r="M103" s="5" t="s">
        <v>919</v>
      </c>
      <c r="N103" s="5" t="s">
        <v>1463</v>
      </c>
      <c r="O103" s="5" t="s">
        <v>1464</v>
      </c>
      <c r="P103" s="5" t="s">
        <v>1465</v>
      </c>
      <c r="Q103" s="5" t="s">
        <v>1466</v>
      </c>
      <c r="R103" s="5">
        <v>3119</v>
      </c>
      <c r="S103" s="5">
        <v>3802</v>
      </c>
      <c r="T103" s="5">
        <v>10.4</v>
      </c>
      <c r="U103" s="5">
        <v>41.5</v>
      </c>
      <c r="V103" s="5">
        <v>27</v>
      </c>
      <c r="W103" s="5">
        <v>5</v>
      </c>
      <c r="X103" s="5" t="s">
        <v>1020</v>
      </c>
      <c r="Y103" s="5" t="s">
        <v>908</v>
      </c>
      <c r="Z103" s="5">
        <v>353</v>
      </c>
      <c r="AA103" s="5" t="s">
        <v>909</v>
      </c>
      <c r="AB103" s="5">
        <v>95.46</v>
      </c>
      <c r="AC103" s="5">
        <v>0.58</v>
      </c>
      <c r="AD103" s="5">
        <v>55.3668</v>
      </c>
      <c r="AE103" s="5">
        <v>69.2085</v>
      </c>
      <c r="AF103" s="5">
        <v>73.8224</v>
      </c>
      <c r="AG103" s="5">
        <v>85.1797</v>
      </c>
      <c r="AH103" s="5">
        <v>100.6669</v>
      </c>
      <c r="AI103" s="5"/>
    </row>
    <row r="104" hidden="1" spans="1:35">
      <c r="A104" s="5" t="s">
        <v>897</v>
      </c>
      <c r="B104" s="5" t="s">
        <v>163</v>
      </c>
      <c r="C104" s="5" t="s">
        <v>162</v>
      </c>
      <c r="D104" s="5" t="s">
        <v>1467</v>
      </c>
      <c r="E104" s="5" t="s">
        <v>899</v>
      </c>
      <c r="F104" s="5" t="s">
        <v>108</v>
      </c>
      <c r="G104" s="5" t="s">
        <v>109</v>
      </c>
      <c r="H104" s="5" t="s">
        <v>1371</v>
      </c>
      <c r="I104" s="5" t="s">
        <v>1462</v>
      </c>
      <c r="J104" s="5" t="s">
        <v>1462</v>
      </c>
      <c r="K104" s="5">
        <v>32</v>
      </c>
      <c r="L104" s="5" t="s">
        <v>909</v>
      </c>
      <c r="M104" s="5" t="s">
        <v>919</v>
      </c>
      <c r="N104" s="5" t="s">
        <v>1468</v>
      </c>
      <c r="O104" s="5" t="s">
        <v>1469</v>
      </c>
      <c r="P104" s="5" t="s">
        <v>1470</v>
      </c>
      <c r="Q104" s="5" t="s">
        <v>1471</v>
      </c>
      <c r="R104" s="5">
        <v>1941</v>
      </c>
      <c r="S104" s="5">
        <v>2331</v>
      </c>
      <c r="T104" s="5">
        <v>5.13</v>
      </c>
      <c r="U104" s="5">
        <v>40</v>
      </c>
      <c r="V104" s="5">
        <v>39</v>
      </c>
      <c r="W104" s="5">
        <v>8</v>
      </c>
      <c r="X104" s="5" t="s">
        <v>1020</v>
      </c>
      <c r="Y104" s="5" t="s">
        <v>908</v>
      </c>
      <c r="Z104" s="5">
        <v>1611</v>
      </c>
      <c r="AA104" s="5" t="s">
        <v>909</v>
      </c>
      <c r="AB104" s="5">
        <v>52.98</v>
      </c>
      <c r="AC104" s="5">
        <v>0.58</v>
      </c>
      <c r="AD104" s="5">
        <v>30.7284</v>
      </c>
      <c r="AE104" s="5">
        <v>38.4105</v>
      </c>
      <c r="AF104" s="5">
        <v>40.9712</v>
      </c>
      <c r="AG104" s="5">
        <v>47.2745</v>
      </c>
      <c r="AH104" s="5">
        <v>55.8698</v>
      </c>
      <c r="AI104" s="5"/>
    </row>
    <row r="105" hidden="1" spans="1:35">
      <c r="A105" s="5" t="s">
        <v>897</v>
      </c>
      <c r="B105" s="5" t="s">
        <v>161</v>
      </c>
      <c r="C105" s="5" t="s">
        <v>160</v>
      </c>
      <c r="D105" s="5" t="s">
        <v>1472</v>
      </c>
      <c r="E105" s="5" t="s">
        <v>899</v>
      </c>
      <c r="F105" s="5" t="s">
        <v>108</v>
      </c>
      <c r="G105" s="5" t="s">
        <v>109</v>
      </c>
      <c r="H105" s="5" t="s">
        <v>1371</v>
      </c>
      <c r="I105" s="5" t="s">
        <v>1473</v>
      </c>
      <c r="J105" s="5" t="s">
        <v>1473</v>
      </c>
      <c r="K105" s="5">
        <v>31</v>
      </c>
      <c r="L105" s="5"/>
      <c r="M105" s="5" t="s">
        <v>919</v>
      </c>
      <c r="N105" s="5" t="s">
        <v>1474</v>
      </c>
      <c r="O105" s="5" t="s">
        <v>1475</v>
      </c>
      <c r="P105" s="5" t="s">
        <v>1476</v>
      </c>
      <c r="Q105" s="5" t="s">
        <v>1477</v>
      </c>
      <c r="R105" s="5">
        <v>4800</v>
      </c>
      <c r="S105" s="5">
        <v>5500</v>
      </c>
      <c r="T105" s="5">
        <v>43.5</v>
      </c>
      <c r="U105" s="5">
        <v>26</v>
      </c>
      <c r="V105" s="5">
        <v>13.5</v>
      </c>
      <c r="W105" s="5">
        <v>1</v>
      </c>
      <c r="X105" s="5" t="s">
        <v>907</v>
      </c>
      <c r="Y105" s="5" t="s">
        <v>908</v>
      </c>
      <c r="Z105" s="5">
        <v>0</v>
      </c>
      <c r="AA105" s="5" t="s">
        <v>909</v>
      </c>
      <c r="AB105" s="5">
        <v>107.02</v>
      </c>
      <c r="AC105" s="5">
        <v>0.58</v>
      </c>
      <c r="AD105" s="5">
        <v>62.0716</v>
      </c>
      <c r="AE105" s="5">
        <v>77.5895</v>
      </c>
      <c r="AF105" s="5">
        <v>82.7621</v>
      </c>
      <c r="AG105" s="5">
        <v>95.4948</v>
      </c>
      <c r="AH105" s="5">
        <v>112.8575</v>
      </c>
      <c r="AI105" s="5"/>
    </row>
    <row r="106" hidden="1" spans="1:35">
      <c r="A106" s="5" t="s">
        <v>897</v>
      </c>
      <c r="B106" s="5" t="s">
        <v>144</v>
      </c>
      <c r="C106" s="5" t="s">
        <v>143</v>
      </c>
      <c r="D106" s="5" t="s">
        <v>1478</v>
      </c>
      <c r="E106" s="5" t="s">
        <v>899</v>
      </c>
      <c r="F106" s="5" t="s">
        <v>108</v>
      </c>
      <c r="G106" s="5" t="s">
        <v>109</v>
      </c>
      <c r="H106" s="5" t="s">
        <v>1371</v>
      </c>
      <c r="I106" s="5" t="s">
        <v>1473</v>
      </c>
      <c r="J106" s="5" t="s">
        <v>1473</v>
      </c>
      <c r="K106" s="5">
        <v>31</v>
      </c>
      <c r="L106" s="5"/>
      <c r="M106" s="5" t="s">
        <v>919</v>
      </c>
      <c r="N106" s="5" t="s">
        <v>1479</v>
      </c>
      <c r="O106" s="5" t="s">
        <v>1480</v>
      </c>
      <c r="P106" s="5" t="s">
        <v>1481</v>
      </c>
      <c r="Q106" s="5" t="s">
        <v>1482</v>
      </c>
      <c r="R106" s="5">
        <v>4540</v>
      </c>
      <c r="S106" s="5">
        <v>4674</v>
      </c>
      <c r="T106" s="5">
        <v>11.5</v>
      </c>
      <c r="U106" s="5">
        <v>32</v>
      </c>
      <c r="V106" s="5">
        <v>30</v>
      </c>
      <c r="W106" s="5">
        <v>4</v>
      </c>
      <c r="X106" s="5" t="s">
        <v>1020</v>
      </c>
      <c r="Y106" s="5" t="s">
        <v>908</v>
      </c>
      <c r="Z106" s="5">
        <v>37</v>
      </c>
      <c r="AA106" s="5" t="s">
        <v>909</v>
      </c>
      <c r="AB106" s="5">
        <v>47.82</v>
      </c>
      <c r="AC106" s="5">
        <v>0.58</v>
      </c>
      <c r="AD106" s="5">
        <v>27.7356</v>
      </c>
      <c r="AE106" s="5">
        <v>34.6695</v>
      </c>
      <c r="AF106" s="5">
        <v>36.9808</v>
      </c>
      <c r="AG106" s="5">
        <v>42.6702</v>
      </c>
      <c r="AH106" s="5">
        <v>50.4284</v>
      </c>
      <c r="AI106" s="5"/>
    </row>
    <row r="107" hidden="1" spans="1:35">
      <c r="A107" s="5" t="s">
        <v>897</v>
      </c>
      <c r="B107" s="5" t="s">
        <v>745</v>
      </c>
      <c r="C107" s="5" t="s">
        <v>744</v>
      </c>
      <c r="D107" s="5" t="s">
        <v>1483</v>
      </c>
      <c r="E107" s="5" t="s">
        <v>899</v>
      </c>
      <c r="F107" s="5" t="s">
        <v>108</v>
      </c>
      <c r="G107" s="5" t="s">
        <v>146</v>
      </c>
      <c r="H107" s="5" t="s">
        <v>1484</v>
      </c>
      <c r="I107" s="5" t="s">
        <v>1419</v>
      </c>
      <c r="J107" s="5" t="s">
        <v>1419</v>
      </c>
      <c r="K107" s="5">
        <v>30</v>
      </c>
      <c r="L107" s="5"/>
      <c r="M107" s="5" t="s">
        <v>919</v>
      </c>
      <c r="N107" s="5" t="s">
        <v>1485</v>
      </c>
      <c r="O107" s="5" t="s">
        <v>1486</v>
      </c>
      <c r="P107" s="5" t="s">
        <v>1487</v>
      </c>
      <c r="Q107" s="5" t="s">
        <v>1488</v>
      </c>
      <c r="R107" s="5">
        <v>1350</v>
      </c>
      <c r="S107" s="5">
        <v>1700</v>
      </c>
      <c r="T107" s="5">
        <v>9.8</v>
      </c>
      <c r="U107" s="5">
        <v>54</v>
      </c>
      <c r="V107" s="5">
        <v>52</v>
      </c>
      <c r="W107" s="5">
        <v>10</v>
      </c>
      <c r="X107" s="5" t="s">
        <v>1020</v>
      </c>
      <c r="Y107" s="5" t="s">
        <v>908</v>
      </c>
      <c r="Z107" s="5">
        <v>6</v>
      </c>
      <c r="AA107" s="5" t="s">
        <v>909</v>
      </c>
      <c r="AB107" s="5">
        <v>71.51</v>
      </c>
      <c r="AC107" s="5">
        <v>0.58</v>
      </c>
      <c r="AD107" s="5">
        <v>41.4758</v>
      </c>
      <c r="AE107" s="5">
        <v>51.8447</v>
      </c>
      <c r="AF107" s="5">
        <v>55.3011</v>
      </c>
      <c r="AG107" s="5">
        <v>63.8089</v>
      </c>
      <c r="AH107" s="5">
        <v>75.4105</v>
      </c>
      <c r="AI107" s="5"/>
    </row>
    <row r="108" hidden="1" spans="1:35">
      <c r="A108" s="5" t="s">
        <v>897</v>
      </c>
      <c r="B108" s="5" t="s">
        <v>753</v>
      </c>
      <c r="C108" s="5" t="s">
        <v>752</v>
      </c>
      <c r="D108" s="5" t="s">
        <v>1489</v>
      </c>
      <c r="E108" s="5" t="s">
        <v>899</v>
      </c>
      <c r="F108" s="5" t="s">
        <v>108</v>
      </c>
      <c r="G108" s="5" t="s">
        <v>146</v>
      </c>
      <c r="H108" s="5" t="s">
        <v>1484</v>
      </c>
      <c r="I108" s="5" t="s">
        <v>979</v>
      </c>
      <c r="J108" s="5" t="s">
        <v>979</v>
      </c>
      <c r="K108" s="5">
        <v>30</v>
      </c>
      <c r="L108" s="5"/>
      <c r="M108" s="5" t="s">
        <v>919</v>
      </c>
      <c r="N108" s="5" t="s">
        <v>1485</v>
      </c>
      <c r="O108" s="5" t="s">
        <v>1486</v>
      </c>
      <c r="P108" s="5" t="s">
        <v>1490</v>
      </c>
      <c r="Q108" s="5" t="s">
        <v>1488</v>
      </c>
      <c r="R108" s="5">
        <v>1050</v>
      </c>
      <c r="S108" s="5">
        <v>1450</v>
      </c>
      <c r="T108" s="5">
        <v>9.8</v>
      </c>
      <c r="U108" s="5">
        <v>54</v>
      </c>
      <c r="V108" s="5">
        <v>52</v>
      </c>
      <c r="W108" s="5">
        <v>10</v>
      </c>
      <c r="X108" s="5" t="s">
        <v>1020</v>
      </c>
      <c r="Y108" s="5" t="s">
        <v>908</v>
      </c>
      <c r="Z108" s="5">
        <v>0</v>
      </c>
      <c r="AA108" s="5" t="s">
        <v>909</v>
      </c>
      <c r="AB108" s="5">
        <v>71.51</v>
      </c>
      <c r="AC108" s="5">
        <v>0.58</v>
      </c>
      <c r="AD108" s="5">
        <v>41.4758</v>
      </c>
      <c r="AE108" s="5">
        <v>51.8447</v>
      </c>
      <c r="AF108" s="5">
        <v>55.3011</v>
      </c>
      <c r="AG108" s="5">
        <v>63.8089</v>
      </c>
      <c r="AH108" s="5">
        <v>75.4105</v>
      </c>
      <c r="AI108" s="5"/>
    </row>
    <row r="109" hidden="1" spans="1:35">
      <c r="A109" s="5" t="s">
        <v>897</v>
      </c>
      <c r="B109" s="5" t="s">
        <v>757</v>
      </c>
      <c r="C109" s="5" t="s">
        <v>756</v>
      </c>
      <c r="D109" s="5" t="s">
        <v>1491</v>
      </c>
      <c r="E109" s="5" t="s">
        <v>899</v>
      </c>
      <c r="F109" s="5" t="s">
        <v>108</v>
      </c>
      <c r="G109" s="5" t="s">
        <v>146</v>
      </c>
      <c r="H109" s="5" t="s">
        <v>1484</v>
      </c>
      <c r="I109" s="5" t="s">
        <v>1492</v>
      </c>
      <c r="J109" s="5" t="s">
        <v>1492</v>
      </c>
      <c r="K109" s="5">
        <v>30</v>
      </c>
      <c r="L109" s="5"/>
      <c r="M109" s="5" t="s">
        <v>919</v>
      </c>
      <c r="N109" s="5" t="s">
        <v>1485</v>
      </c>
      <c r="O109" s="5" t="s">
        <v>1486</v>
      </c>
      <c r="P109" s="5" t="s">
        <v>1493</v>
      </c>
      <c r="Q109" s="5" t="s">
        <v>1488</v>
      </c>
      <c r="R109" s="5">
        <v>1600</v>
      </c>
      <c r="S109" s="5">
        <v>2000</v>
      </c>
      <c r="T109" s="5">
        <v>10.1</v>
      </c>
      <c r="U109" s="5">
        <v>54</v>
      </c>
      <c r="V109" s="5">
        <v>52.5</v>
      </c>
      <c r="W109" s="5">
        <v>10</v>
      </c>
      <c r="X109" s="5" t="s">
        <v>1020</v>
      </c>
      <c r="Y109" s="5" t="s">
        <v>908</v>
      </c>
      <c r="Z109" s="5">
        <v>300</v>
      </c>
      <c r="AA109" s="5" t="s">
        <v>909</v>
      </c>
      <c r="AB109" s="5">
        <v>83.02</v>
      </c>
      <c r="AC109" s="5">
        <v>0.58</v>
      </c>
      <c r="AD109" s="5">
        <v>48.1516</v>
      </c>
      <c r="AE109" s="5">
        <v>60.1895</v>
      </c>
      <c r="AF109" s="5">
        <v>64.2021</v>
      </c>
      <c r="AG109" s="5">
        <v>74.0794</v>
      </c>
      <c r="AH109" s="5">
        <v>87.5484</v>
      </c>
      <c r="AI109" s="5"/>
    </row>
    <row r="110" hidden="1" spans="1:35">
      <c r="A110" s="5" t="s">
        <v>897</v>
      </c>
      <c r="B110" s="5" t="s">
        <v>761</v>
      </c>
      <c r="C110" s="5" t="s">
        <v>760</v>
      </c>
      <c r="D110" s="5" t="s">
        <v>1494</v>
      </c>
      <c r="E110" s="5" t="s">
        <v>899</v>
      </c>
      <c r="F110" s="5" t="s">
        <v>108</v>
      </c>
      <c r="G110" s="5" t="s">
        <v>146</v>
      </c>
      <c r="H110" s="5" t="s">
        <v>1484</v>
      </c>
      <c r="I110" s="5" t="s">
        <v>1473</v>
      </c>
      <c r="J110" s="5" t="s">
        <v>1473</v>
      </c>
      <c r="K110" s="5">
        <v>31</v>
      </c>
      <c r="L110" s="5"/>
      <c r="M110" s="5" t="s">
        <v>902</v>
      </c>
      <c r="N110" s="5" t="s">
        <v>1485</v>
      </c>
      <c r="O110" s="5" t="s">
        <v>1486</v>
      </c>
      <c r="P110" s="5" t="s">
        <v>1495</v>
      </c>
      <c r="Q110" s="5" t="s">
        <v>1488</v>
      </c>
      <c r="R110" s="5">
        <v>1800</v>
      </c>
      <c r="S110" s="5">
        <v>2000</v>
      </c>
      <c r="T110" s="5">
        <v>9.8</v>
      </c>
      <c r="U110" s="5">
        <v>54</v>
      </c>
      <c r="V110" s="5">
        <v>52</v>
      </c>
      <c r="W110" s="5">
        <v>10</v>
      </c>
      <c r="X110" s="5" t="s">
        <v>1020</v>
      </c>
      <c r="Y110" s="5" t="s">
        <v>908</v>
      </c>
      <c r="Z110" s="5">
        <v>0</v>
      </c>
      <c r="AA110" s="5" t="s">
        <v>909</v>
      </c>
      <c r="AB110" s="5">
        <v>86.07</v>
      </c>
      <c r="AC110" s="5">
        <v>0.58</v>
      </c>
      <c r="AD110" s="5">
        <v>49.9206</v>
      </c>
      <c r="AE110" s="5">
        <v>62.4007</v>
      </c>
      <c r="AF110" s="5">
        <v>66.5608</v>
      </c>
      <c r="AG110" s="5">
        <v>76.8009</v>
      </c>
      <c r="AH110" s="5">
        <v>90.7647</v>
      </c>
      <c r="AI110" s="5"/>
    </row>
    <row r="111" hidden="1" spans="1:35">
      <c r="A111" s="5" t="s">
        <v>897</v>
      </c>
      <c r="B111" s="5" t="s">
        <v>763</v>
      </c>
      <c r="C111" s="5" t="s">
        <v>762</v>
      </c>
      <c r="D111" s="5" t="s">
        <v>1496</v>
      </c>
      <c r="E111" s="5" t="s">
        <v>899</v>
      </c>
      <c r="F111" s="5" t="s">
        <v>108</v>
      </c>
      <c r="G111" s="5" t="s">
        <v>146</v>
      </c>
      <c r="H111" s="5" t="s">
        <v>1484</v>
      </c>
      <c r="I111" s="5" t="s">
        <v>1473</v>
      </c>
      <c r="J111" s="5" t="s">
        <v>1473</v>
      </c>
      <c r="K111" s="5">
        <v>31</v>
      </c>
      <c r="L111" s="5"/>
      <c r="M111" s="5" t="s">
        <v>919</v>
      </c>
      <c r="N111" s="5" t="s">
        <v>1485</v>
      </c>
      <c r="O111" s="5" t="s">
        <v>1486</v>
      </c>
      <c r="P111" s="5" t="s">
        <v>1497</v>
      </c>
      <c r="Q111" s="5" t="s">
        <v>1488</v>
      </c>
      <c r="R111" s="5">
        <v>1800</v>
      </c>
      <c r="S111" s="5">
        <v>2000</v>
      </c>
      <c r="T111" s="5">
        <v>9.8</v>
      </c>
      <c r="U111" s="5">
        <v>54</v>
      </c>
      <c r="V111" s="5">
        <v>52</v>
      </c>
      <c r="W111" s="5">
        <v>10</v>
      </c>
      <c r="X111" s="5" t="s">
        <v>1020</v>
      </c>
      <c r="Y111" s="5" t="s">
        <v>908</v>
      </c>
      <c r="Z111" s="5">
        <v>4</v>
      </c>
      <c r="AA111" s="5" t="s">
        <v>909</v>
      </c>
      <c r="AB111" s="5">
        <v>86.07</v>
      </c>
      <c r="AC111" s="5">
        <v>0.58</v>
      </c>
      <c r="AD111" s="5">
        <v>49.9206</v>
      </c>
      <c r="AE111" s="5">
        <v>62.4007</v>
      </c>
      <c r="AF111" s="5">
        <v>66.5608</v>
      </c>
      <c r="AG111" s="5">
        <v>76.8009</v>
      </c>
      <c r="AH111" s="5">
        <v>90.7647</v>
      </c>
      <c r="AI111" s="5"/>
    </row>
    <row r="112" hidden="1" spans="1:35">
      <c r="A112" s="5" t="s">
        <v>897</v>
      </c>
      <c r="B112" s="5" t="s">
        <v>749</v>
      </c>
      <c r="C112" s="5" t="s">
        <v>748</v>
      </c>
      <c r="D112" s="5" t="s">
        <v>1498</v>
      </c>
      <c r="E112" s="5" t="s">
        <v>899</v>
      </c>
      <c r="F112" s="5" t="s">
        <v>108</v>
      </c>
      <c r="G112" s="5" t="s">
        <v>146</v>
      </c>
      <c r="H112" s="5" t="s">
        <v>1484</v>
      </c>
      <c r="I112" s="5" t="s">
        <v>1419</v>
      </c>
      <c r="J112" s="5" t="s">
        <v>1419</v>
      </c>
      <c r="K112" s="5">
        <v>30</v>
      </c>
      <c r="L112" s="5"/>
      <c r="M112" s="5" t="s">
        <v>919</v>
      </c>
      <c r="N112" s="5" t="s">
        <v>1485</v>
      </c>
      <c r="O112" s="5" t="s">
        <v>1486</v>
      </c>
      <c r="P112" s="5" t="s">
        <v>1493</v>
      </c>
      <c r="Q112" s="5" t="s">
        <v>1488</v>
      </c>
      <c r="R112" s="5">
        <v>1600</v>
      </c>
      <c r="S112" s="5">
        <v>2000</v>
      </c>
      <c r="T112" s="5">
        <v>10.1</v>
      </c>
      <c r="U112" s="5">
        <v>54</v>
      </c>
      <c r="V112" s="5">
        <v>52.5</v>
      </c>
      <c r="W112" s="5">
        <v>10</v>
      </c>
      <c r="X112" s="5" t="s">
        <v>1020</v>
      </c>
      <c r="Y112" s="5" t="s">
        <v>908</v>
      </c>
      <c r="Z112" s="5">
        <v>325</v>
      </c>
      <c r="AA112" s="5" t="s">
        <v>909</v>
      </c>
      <c r="AB112" s="5">
        <v>83.02</v>
      </c>
      <c r="AC112" s="5">
        <v>0.58</v>
      </c>
      <c r="AD112" s="5">
        <v>48.1516</v>
      </c>
      <c r="AE112" s="5">
        <v>60.1895</v>
      </c>
      <c r="AF112" s="5">
        <v>64.2021</v>
      </c>
      <c r="AG112" s="5">
        <v>74.0794</v>
      </c>
      <c r="AH112" s="5">
        <v>87.5484</v>
      </c>
      <c r="AI112" s="5"/>
    </row>
    <row r="113" hidden="1" spans="1:35">
      <c r="A113" s="5" t="s">
        <v>897</v>
      </c>
      <c r="B113" s="5" t="s">
        <v>785</v>
      </c>
      <c r="C113" s="5" t="s">
        <v>784</v>
      </c>
      <c r="D113" s="5" t="s">
        <v>1499</v>
      </c>
      <c r="E113" s="5" t="s">
        <v>899</v>
      </c>
      <c r="F113" s="5" t="s">
        <v>108</v>
      </c>
      <c r="G113" s="5" t="s">
        <v>146</v>
      </c>
      <c r="H113" s="5" t="s">
        <v>1484</v>
      </c>
      <c r="I113" s="5" t="s">
        <v>1419</v>
      </c>
      <c r="J113" s="5" t="s">
        <v>1419</v>
      </c>
      <c r="K113" s="5">
        <v>30</v>
      </c>
      <c r="L113" s="5"/>
      <c r="M113" s="5" t="s">
        <v>919</v>
      </c>
      <c r="N113" s="5" t="s">
        <v>1485</v>
      </c>
      <c r="O113" s="5" t="s">
        <v>1486</v>
      </c>
      <c r="P113" s="5" t="s">
        <v>1500</v>
      </c>
      <c r="Q113" s="5" t="s">
        <v>1501</v>
      </c>
      <c r="R113" s="5">
        <v>400</v>
      </c>
      <c r="S113" s="5">
        <v>500</v>
      </c>
      <c r="T113" s="5">
        <v>2.9</v>
      </c>
      <c r="U113" s="5">
        <v>56</v>
      </c>
      <c r="V113" s="5">
        <v>35</v>
      </c>
      <c r="W113" s="5">
        <v>20</v>
      </c>
      <c r="X113" s="5" t="s">
        <v>1020</v>
      </c>
      <c r="Y113" s="5" t="s">
        <v>908</v>
      </c>
      <c r="Z113" s="5">
        <v>640</v>
      </c>
      <c r="AA113" s="5" t="s">
        <v>909</v>
      </c>
      <c r="AB113" s="5">
        <v>27.46</v>
      </c>
      <c r="AC113" s="5">
        <v>0.58</v>
      </c>
      <c r="AD113" s="5">
        <v>15.9268</v>
      </c>
      <c r="AE113" s="5">
        <v>19.9085</v>
      </c>
      <c r="AF113" s="5">
        <v>21.2357</v>
      </c>
      <c r="AG113" s="5">
        <v>24.5028</v>
      </c>
      <c r="AH113" s="5">
        <v>28.9578</v>
      </c>
      <c r="AI113" s="5"/>
    </row>
    <row r="114" hidden="1" spans="1:35">
      <c r="A114" s="5" t="s">
        <v>897</v>
      </c>
      <c r="B114" s="5" t="s">
        <v>822</v>
      </c>
      <c r="C114" s="5" t="s">
        <v>821</v>
      </c>
      <c r="D114" s="5" t="s">
        <v>1502</v>
      </c>
      <c r="E114" s="5" t="s">
        <v>899</v>
      </c>
      <c r="F114" s="5" t="s">
        <v>108</v>
      </c>
      <c r="G114" s="5" t="s">
        <v>278</v>
      </c>
      <c r="H114" s="5" t="s">
        <v>1503</v>
      </c>
      <c r="I114" s="5" t="s">
        <v>1504</v>
      </c>
      <c r="J114" s="5" t="s">
        <v>1504</v>
      </c>
      <c r="K114" s="5">
        <v>44</v>
      </c>
      <c r="L114" s="5" t="s">
        <v>909</v>
      </c>
      <c r="M114" s="5" t="s">
        <v>919</v>
      </c>
      <c r="N114" s="5" t="s">
        <v>1505</v>
      </c>
      <c r="O114" s="5" t="s">
        <v>1506</v>
      </c>
      <c r="P114" s="5" t="s">
        <v>1507</v>
      </c>
      <c r="Q114" s="5" t="s">
        <v>1508</v>
      </c>
      <c r="R114" s="5">
        <v>250</v>
      </c>
      <c r="S114" s="5">
        <v>300</v>
      </c>
      <c r="T114" s="5">
        <v>1.1</v>
      </c>
      <c r="U114" s="5">
        <v>35</v>
      </c>
      <c r="V114" s="5">
        <v>33</v>
      </c>
      <c r="W114" s="5">
        <v>50</v>
      </c>
      <c r="X114" s="5" t="s">
        <v>907</v>
      </c>
      <c r="Y114" s="5" t="s">
        <v>908</v>
      </c>
      <c r="Z114" s="5">
        <v>367</v>
      </c>
      <c r="AA114" s="5" t="s">
        <v>909</v>
      </c>
      <c r="AB114" s="5">
        <v>18.56</v>
      </c>
      <c r="AC114" s="5">
        <v>0.58</v>
      </c>
      <c r="AD114" s="5">
        <v>10.7648</v>
      </c>
      <c r="AE114" s="5">
        <v>13.456</v>
      </c>
      <c r="AF114" s="5">
        <v>14.3531</v>
      </c>
      <c r="AG114" s="5">
        <v>16.5612</v>
      </c>
      <c r="AH114" s="5">
        <v>19.5724</v>
      </c>
      <c r="AI114" s="5"/>
    </row>
    <row r="115" hidden="1" spans="1:35">
      <c r="A115" s="5" t="s">
        <v>897</v>
      </c>
      <c r="B115" s="5" t="s">
        <v>820</v>
      </c>
      <c r="C115" s="5" t="s">
        <v>819</v>
      </c>
      <c r="D115" s="5" t="s">
        <v>1509</v>
      </c>
      <c r="E115" s="5" t="s">
        <v>899</v>
      </c>
      <c r="F115" s="5" t="s">
        <v>108</v>
      </c>
      <c r="G115" s="5" t="s">
        <v>278</v>
      </c>
      <c r="H115" s="5" t="s">
        <v>1503</v>
      </c>
      <c r="I115" s="5" t="s">
        <v>951</v>
      </c>
      <c r="J115" s="5" t="s">
        <v>1510</v>
      </c>
      <c r="K115" s="5">
        <v>30</v>
      </c>
      <c r="L115" s="5" t="s">
        <v>909</v>
      </c>
      <c r="M115" s="5" t="s">
        <v>919</v>
      </c>
      <c r="N115" s="5" t="s">
        <v>1505</v>
      </c>
      <c r="O115" s="5" t="s">
        <v>1506</v>
      </c>
      <c r="P115" s="5" t="s">
        <v>1507</v>
      </c>
      <c r="Q115" s="5" t="s">
        <v>1508</v>
      </c>
      <c r="R115" s="5">
        <v>250</v>
      </c>
      <c r="S115" s="5">
        <v>285</v>
      </c>
      <c r="T115" s="5">
        <v>1.1</v>
      </c>
      <c r="U115" s="5">
        <v>35</v>
      </c>
      <c r="V115" s="5">
        <v>33</v>
      </c>
      <c r="W115" s="5">
        <v>50</v>
      </c>
      <c r="X115" s="5" t="s">
        <v>907</v>
      </c>
      <c r="Y115" s="5" t="s">
        <v>908</v>
      </c>
      <c r="Z115" s="5">
        <v>219</v>
      </c>
      <c r="AA115" s="5" t="s">
        <v>909</v>
      </c>
      <c r="AB115" s="5">
        <v>19.06</v>
      </c>
      <c r="AC115" s="5">
        <v>0.58</v>
      </c>
      <c r="AD115" s="5">
        <v>11.0548</v>
      </c>
      <c r="AE115" s="5">
        <v>13.8185</v>
      </c>
      <c r="AF115" s="5">
        <v>14.7397</v>
      </c>
      <c r="AG115" s="5">
        <v>17.0074</v>
      </c>
      <c r="AH115" s="5">
        <v>20.0996</v>
      </c>
      <c r="AI115" s="5"/>
    </row>
    <row r="116" hidden="1" spans="1:35">
      <c r="A116" s="5" t="s">
        <v>897</v>
      </c>
      <c r="B116" s="5" t="s">
        <v>1511</v>
      </c>
      <c r="C116" s="5" t="s">
        <v>1512</v>
      </c>
      <c r="D116" s="5" t="s">
        <v>1513</v>
      </c>
      <c r="E116" s="5" t="s">
        <v>899</v>
      </c>
      <c r="F116" s="5" t="s">
        <v>108</v>
      </c>
      <c r="G116" s="5" t="s">
        <v>278</v>
      </c>
      <c r="H116" s="5" t="s">
        <v>1514</v>
      </c>
      <c r="I116" s="5" t="s">
        <v>1515</v>
      </c>
      <c r="J116" s="5" t="s">
        <v>1516</v>
      </c>
      <c r="K116" s="5">
        <v>30</v>
      </c>
      <c r="L116" s="5" t="s">
        <v>909</v>
      </c>
      <c r="M116" s="5" t="s">
        <v>902</v>
      </c>
      <c r="N116" s="5" t="s">
        <v>1517</v>
      </c>
      <c r="O116" s="5" t="s">
        <v>1514</v>
      </c>
      <c r="P116" s="5" t="s">
        <v>1518</v>
      </c>
      <c r="Q116" s="5" t="s">
        <v>1519</v>
      </c>
      <c r="R116" s="5">
        <v>2</v>
      </c>
      <c r="S116" s="5">
        <v>3</v>
      </c>
      <c r="T116" s="5">
        <v>0.01</v>
      </c>
      <c r="U116" s="5">
        <v>40</v>
      </c>
      <c r="V116" s="5">
        <v>32</v>
      </c>
      <c r="W116" s="5">
        <v>5000</v>
      </c>
      <c r="X116" s="5" t="s">
        <v>907</v>
      </c>
      <c r="Y116" s="5" t="s">
        <v>908</v>
      </c>
      <c r="Z116" s="5">
        <v>763</v>
      </c>
      <c r="AA116" s="5" t="s">
        <v>909</v>
      </c>
      <c r="AB116" s="5">
        <v>2.346</v>
      </c>
      <c r="AC116" s="5">
        <v>0.58</v>
      </c>
      <c r="AD116" s="5">
        <v>1.3607</v>
      </c>
      <c r="AE116" s="5">
        <v>1.7008</v>
      </c>
      <c r="AF116" s="5">
        <v>1.8142</v>
      </c>
      <c r="AG116" s="5">
        <v>2.0934</v>
      </c>
      <c r="AH116" s="5">
        <v>2.474</v>
      </c>
      <c r="AI116" s="5"/>
    </row>
    <row r="117" hidden="1" spans="1:35">
      <c r="A117" s="5" t="s">
        <v>897</v>
      </c>
      <c r="B117" s="5" t="s">
        <v>280</v>
      </c>
      <c r="C117" s="5" t="s">
        <v>279</v>
      </c>
      <c r="D117" s="5" t="s">
        <v>1520</v>
      </c>
      <c r="E117" s="5" t="s">
        <v>899</v>
      </c>
      <c r="F117" s="5" t="s">
        <v>108</v>
      </c>
      <c r="G117" s="5" t="s">
        <v>278</v>
      </c>
      <c r="H117" s="5" t="s">
        <v>1503</v>
      </c>
      <c r="I117" s="5" t="s">
        <v>1515</v>
      </c>
      <c r="J117" s="5" t="s">
        <v>1516</v>
      </c>
      <c r="K117" s="5">
        <v>30</v>
      </c>
      <c r="L117" s="5" t="s">
        <v>909</v>
      </c>
      <c r="M117" s="5" t="s">
        <v>919</v>
      </c>
      <c r="N117" s="5" t="s">
        <v>1521</v>
      </c>
      <c r="O117" s="5" t="s">
        <v>1522</v>
      </c>
      <c r="P117" s="5" t="s">
        <v>1523</v>
      </c>
      <c r="Q117" s="5" t="s">
        <v>1524</v>
      </c>
      <c r="R117" s="5">
        <v>220</v>
      </c>
      <c r="S117" s="5">
        <v>250</v>
      </c>
      <c r="T117" s="5">
        <v>1.2</v>
      </c>
      <c r="U117" s="5">
        <v>35.5</v>
      </c>
      <c r="V117" s="5">
        <v>35</v>
      </c>
      <c r="W117" s="5">
        <v>50</v>
      </c>
      <c r="X117" s="5" t="s">
        <v>907</v>
      </c>
      <c r="Y117" s="5" t="s">
        <v>908</v>
      </c>
      <c r="Z117" s="5">
        <v>1000</v>
      </c>
      <c r="AA117" s="5" t="s">
        <v>909</v>
      </c>
      <c r="AB117" s="5">
        <v>24.94</v>
      </c>
      <c r="AC117" s="5">
        <v>0.58</v>
      </c>
      <c r="AD117" s="5">
        <v>14.4652</v>
      </c>
      <c r="AE117" s="5">
        <v>18.0815</v>
      </c>
      <c r="AF117" s="5">
        <v>19.2869</v>
      </c>
      <c r="AG117" s="5">
        <v>22.2542</v>
      </c>
      <c r="AH117" s="5">
        <v>26.3004</v>
      </c>
      <c r="AI117" s="5"/>
    </row>
    <row r="118" hidden="1" spans="1:35">
      <c r="A118" s="5" t="s">
        <v>897</v>
      </c>
      <c r="B118" s="5" t="s">
        <v>315</v>
      </c>
      <c r="C118" s="5" t="s">
        <v>1305</v>
      </c>
      <c r="D118" s="5" t="s">
        <v>1306</v>
      </c>
      <c r="E118" s="5" t="s">
        <v>899</v>
      </c>
      <c r="F118" s="5" t="s">
        <v>108</v>
      </c>
      <c r="G118" s="5" t="s">
        <v>927</v>
      </c>
      <c r="H118" s="5" t="s">
        <v>1307</v>
      </c>
      <c r="I118" s="5" t="s">
        <v>1525</v>
      </c>
      <c r="J118" s="5" t="s">
        <v>1130</v>
      </c>
      <c r="K118" s="5">
        <v>18</v>
      </c>
      <c r="L118" s="5" t="s">
        <v>909</v>
      </c>
      <c r="M118" s="5" t="s">
        <v>902</v>
      </c>
      <c r="N118" s="5" t="s">
        <v>930</v>
      </c>
      <c r="O118" s="5" t="s">
        <v>1292</v>
      </c>
      <c r="P118" s="5" t="s">
        <v>1309</v>
      </c>
      <c r="Q118" s="5" t="s">
        <v>1310</v>
      </c>
      <c r="R118" s="5">
        <v>380</v>
      </c>
      <c r="S118" s="5">
        <v>500</v>
      </c>
      <c r="T118" s="5">
        <v>2.3</v>
      </c>
      <c r="U118" s="5">
        <v>42</v>
      </c>
      <c r="V118" s="5">
        <v>35</v>
      </c>
      <c r="W118" s="5">
        <v>30</v>
      </c>
      <c r="X118" s="5" t="s">
        <v>907</v>
      </c>
      <c r="Y118" s="5" t="s">
        <v>908</v>
      </c>
      <c r="Z118" s="5">
        <v>12</v>
      </c>
      <c r="AA118" s="5" t="s">
        <v>909</v>
      </c>
      <c r="AB118" s="5">
        <v>13.42</v>
      </c>
      <c r="AC118" s="5">
        <v>0.58</v>
      </c>
      <c r="AD118" s="5">
        <v>7.7836</v>
      </c>
      <c r="AE118" s="5">
        <v>9.7295</v>
      </c>
      <c r="AF118" s="5">
        <v>10.3781</v>
      </c>
      <c r="AG118" s="5">
        <v>11.9748</v>
      </c>
      <c r="AH118" s="5">
        <v>14.152</v>
      </c>
      <c r="AI118" s="5"/>
    </row>
    <row r="119" hidden="1" spans="1:35">
      <c r="A119" s="5" t="s">
        <v>897</v>
      </c>
      <c r="B119" s="5" t="s">
        <v>316</v>
      </c>
      <c r="C119" s="5" t="s">
        <v>1526</v>
      </c>
      <c r="D119" s="5" t="s">
        <v>1527</v>
      </c>
      <c r="E119" s="5" t="s">
        <v>899</v>
      </c>
      <c r="F119" s="5" t="s">
        <v>108</v>
      </c>
      <c r="G119" s="5" t="s">
        <v>927</v>
      </c>
      <c r="H119" s="5" t="s">
        <v>1396</v>
      </c>
      <c r="I119" s="5" t="s">
        <v>1528</v>
      </c>
      <c r="J119" s="5" t="s">
        <v>1290</v>
      </c>
      <c r="K119" s="5">
        <v>30</v>
      </c>
      <c r="L119" s="5" t="s">
        <v>909</v>
      </c>
      <c r="M119" s="5" t="s">
        <v>919</v>
      </c>
      <c r="N119" s="5" t="s">
        <v>1291</v>
      </c>
      <c r="O119" s="5" t="s">
        <v>1292</v>
      </c>
      <c r="P119" s="5" t="s">
        <v>1529</v>
      </c>
      <c r="Q119" s="5" t="s">
        <v>1530</v>
      </c>
      <c r="R119" s="5">
        <v>740</v>
      </c>
      <c r="S119" s="5">
        <v>860</v>
      </c>
      <c r="T119" s="5">
        <v>2.7</v>
      </c>
      <c r="U119" s="5">
        <v>35</v>
      </c>
      <c r="V119" s="5">
        <v>26.3</v>
      </c>
      <c r="W119" s="5">
        <v>20</v>
      </c>
      <c r="X119" s="5" t="s">
        <v>907</v>
      </c>
      <c r="Y119" s="5" t="s">
        <v>908</v>
      </c>
      <c r="Z119" s="5">
        <v>9</v>
      </c>
      <c r="AA119" s="5" t="s">
        <v>909</v>
      </c>
      <c r="AB119" s="5">
        <v>12.24</v>
      </c>
      <c r="AC119" s="5">
        <v>0.58</v>
      </c>
      <c r="AD119" s="5">
        <v>7.0992</v>
      </c>
      <c r="AE119" s="5">
        <v>8.874</v>
      </c>
      <c r="AF119" s="5">
        <v>9.4656</v>
      </c>
      <c r="AG119" s="5">
        <v>10.9218</v>
      </c>
      <c r="AH119" s="5">
        <v>12.9076</v>
      </c>
      <c r="AI119" s="5"/>
    </row>
    <row r="120" hidden="1" spans="1:35">
      <c r="A120" s="5" t="s">
        <v>897</v>
      </c>
      <c r="B120" s="5" t="s">
        <v>302</v>
      </c>
      <c r="C120" s="5" t="s">
        <v>1531</v>
      </c>
      <c r="D120" s="5" t="s">
        <v>1532</v>
      </c>
      <c r="E120" s="5" t="s">
        <v>899</v>
      </c>
      <c r="F120" s="5" t="s">
        <v>108</v>
      </c>
      <c r="G120" s="5" t="s">
        <v>927</v>
      </c>
      <c r="H120" s="5" t="s">
        <v>1396</v>
      </c>
      <c r="I120" s="5" t="s">
        <v>1533</v>
      </c>
      <c r="J120" s="5" t="s">
        <v>1533</v>
      </c>
      <c r="K120" s="5">
        <v>30</v>
      </c>
      <c r="L120" s="5" t="s">
        <v>909</v>
      </c>
      <c r="M120" s="5" t="s">
        <v>919</v>
      </c>
      <c r="N120" s="5" t="s">
        <v>1291</v>
      </c>
      <c r="O120" s="5" t="s">
        <v>1292</v>
      </c>
      <c r="P120" s="5" t="s">
        <v>1534</v>
      </c>
      <c r="Q120" s="5" t="s">
        <v>1535</v>
      </c>
      <c r="R120" s="5">
        <v>530</v>
      </c>
      <c r="S120" s="5">
        <v>670</v>
      </c>
      <c r="T120" s="5">
        <v>7.6</v>
      </c>
      <c r="U120" s="5">
        <v>39</v>
      </c>
      <c r="V120" s="5">
        <v>17.8</v>
      </c>
      <c r="W120" s="5">
        <v>10</v>
      </c>
      <c r="X120" s="5" t="s">
        <v>907</v>
      </c>
      <c r="Y120" s="5" t="s">
        <v>908</v>
      </c>
      <c r="Z120" s="5">
        <v>326</v>
      </c>
      <c r="AA120" s="5" t="s">
        <v>909</v>
      </c>
      <c r="AB120" s="5">
        <v>17.57</v>
      </c>
      <c r="AC120" s="5">
        <v>0.58</v>
      </c>
      <c r="AD120" s="5">
        <v>10.1906</v>
      </c>
      <c r="AE120" s="5">
        <v>12.7382</v>
      </c>
      <c r="AF120" s="5">
        <v>13.5875</v>
      </c>
      <c r="AG120" s="5">
        <v>15.6778</v>
      </c>
      <c r="AH120" s="5">
        <v>18.5284</v>
      </c>
      <c r="AI120" s="5"/>
    </row>
    <row r="121" hidden="1" spans="1:35">
      <c r="A121" s="5" t="s">
        <v>897</v>
      </c>
      <c r="B121" s="5" t="s">
        <v>120</v>
      </c>
      <c r="C121" s="5" t="s">
        <v>119</v>
      </c>
      <c r="D121" s="5" t="s">
        <v>1536</v>
      </c>
      <c r="E121" s="5" t="s">
        <v>899</v>
      </c>
      <c r="F121" s="5" t="s">
        <v>108</v>
      </c>
      <c r="G121" s="5" t="s">
        <v>109</v>
      </c>
      <c r="H121" s="5" t="s">
        <v>1537</v>
      </c>
      <c r="I121" s="5" t="s">
        <v>1538</v>
      </c>
      <c r="J121" s="5" t="s">
        <v>1538</v>
      </c>
      <c r="K121" s="5">
        <v>30</v>
      </c>
      <c r="L121" s="5"/>
      <c r="M121" s="5" t="s">
        <v>919</v>
      </c>
      <c r="N121" s="5" t="s">
        <v>1539</v>
      </c>
      <c r="O121" s="5" t="s">
        <v>1540</v>
      </c>
      <c r="P121" s="5" t="s">
        <v>1541</v>
      </c>
      <c r="Q121" s="5" t="s">
        <v>1542</v>
      </c>
      <c r="R121" s="5">
        <v>929</v>
      </c>
      <c r="S121" s="5">
        <v>1480</v>
      </c>
      <c r="T121" s="5">
        <v>5.5</v>
      </c>
      <c r="U121" s="5">
        <v>42</v>
      </c>
      <c r="V121" s="5">
        <v>29</v>
      </c>
      <c r="W121" s="5">
        <v>10</v>
      </c>
      <c r="X121" s="5" t="s">
        <v>907</v>
      </c>
      <c r="Y121" s="5" t="s">
        <v>908</v>
      </c>
      <c r="Z121" s="5">
        <v>0</v>
      </c>
      <c r="AA121" s="5" t="s">
        <v>909</v>
      </c>
      <c r="AB121" s="5">
        <v>346.53</v>
      </c>
      <c r="AC121" s="5">
        <v>0.58</v>
      </c>
      <c r="AD121" s="5">
        <v>200.9874</v>
      </c>
      <c r="AE121" s="5">
        <v>251.2342</v>
      </c>
      <c r="AF121" s="5">
        <v>267.9832</v>
      </c>
      <c r="AG121" s="5">
        <v>309.2114</v>
      </c>
      <c r="AH121" s="5">
        <v>365.4316</v>
      </c>
      <c r="AI121" s="5"/>
    </row>
    <row r="122" hidden="1" spans="1:35">
      <c r="A122" s="5" t="s">
        <v>897</v>
      </c>
      <c r="B122" s="5" t="s">
        <v>111</v>
      </c>
      <c r="C122" s="5" t="s">
        <v>110</v>
      </c>
      <c r="D122" s="5" t="s">
        <v>1543</v>
      </c>
      <c r="E122" s="5" t="s">
        <v>899</v>
      </c>
      <c r="F122" s="5" t="s">
        <v>108</v>
      </c>
      <c r="G122" s="5" t="s">
        <v>109</v>
      </c>
      <c r="H122" s="5" t="s">
        <v>1537</v>
      </c>
      <c r="I122" s="5" t="s">
        <v>1538</v>
      </c>
      <c r="J122" s="5" t="s">
        <v>1331</v>
      </c>
      <c r="K122" s="5">
        <v>30</v>
      </c>
      <c r="L122" s="5"/>
      <c r="M122" s="5" t="s">
        <v>919</v>
      </c>
      <c r="N122" s="5" t="s">
        <v>1544</v>
      </c>
      <c r="O122" s="5" t="s">
        <v>1545</v>
      </c>
      <c r="P122" s="5" t="s">
        <v>1546</v>
      </c>
      <c r="Q122" s="5" t="s">
        <v>1542</v>
      </c>
      <c r="R122" s="5">
        <v>830</v>
      </c>
      <c r="S122" s="5">
        <v>1378</v>
      </c>
      <c r="T122" s="5">
        <v>5.5</v>
      </c>
      <c r="U122" s="5">
        <v>42</v>
      </c>
      <c r="V122" s="5">
        <v>29</v>
      </c>
      <c r="W122" s="5">
        <v>10</v>
      </c>
      <c r="X122" s="5" t="s">
        <v>907</v>
      </c>
      <c r="Y122" s="5" t="s">
        <v>908</v>
      </c>
      <c r="Z122" s="5">
        <v>1</v>
      </c>
      <c r="AA122" s="5" t="s">
        <v>909</v>
      </c>
      <c r="AB122" s="5">
        <v>248.3</v>
      </c>
      <c r="AC122" s="5">
        <v>0.58</v>
      </c>
      <c r="AD122" s="5">
        <v>144.014</v>
      </c>
      <c r="AE122" s="5">
        <v>180.0175</v>
      </c>
      <c r="AF122" s="5">
        <v>192.0187</v>
      </c>
      <c r="AG122" s="5">
        <v>221.56</v>
      </c>
      <c r="AH122" s="5">
        <v>261.8436</v>
      </c>
      <c r="AI122" s="5"/>
    </row>
    <row r="123" hidden="1" spans="1:35">
      <c r="A123" s="5" t="s">
        <v>897</v>
      </c>
      <c r="B123" s="5" t="s">
        <v>131</v>
      </c>
      <c r="C123" s="5" t="s">
        <v>130</v>
      </c>
      <c r="D123" s="5" t="s">
        <v>1547</v>
      </c>
      <c r="E123" s="5" t="s">
        <v>899</v>
      </c>
      <c r="F123" s="5" t="s">
        <v>108</v>
      </c>
      <c r="G123" s="5" t="s">
        <v>109</v>
      </c>
      <c r="H123" s="5" t="s">
        <v>1537</v>
      </c>
      <c r="I123" s="5" t="s">
        <v>1548</v>
      </c>
      <c r="J123" s="5" t="s">
        <v>1548</v>
      </c>
      <c r="K123" s="5">
        <v>30</v>
      </c>
      <c r="L123" s="5"/>
      <c r="M123" s="5" t="s">
        <v>919</v>
      </c>
      <c r="N123" s="5" t="s">
        <v>1549</v>
      </c>
      <c r="O123" s="5" t="s">
        <v>1550</v>
      </c>
      <c r="P123" s="5" t="s">
        <v>1551</v>
      </c>
      <c r="Q123" s="5" t="s">
        <v>1552</v>
      </c>
      <c r="R123" s="5">
        <v>722</v>
      </c>
      <c r="S123" s="5">
        <v>940</v>
      </c>
      <c r="T123" s="5">
        <v>2.45</v>
      </c>
      <c r="U123" s="5">
        <v>44</v>
      </c>
      <c r="V123" s="5">
        <v>36</v>
      </c>
      <c r="W123" s="5">
        <v>20</v>
      </c>
      <c r="X123" s="5" t="s">
        <v>907</v>
      </c>
      <c r="Y123" s="5" t="s">
        <v>908</v>
      </c>
      <c r="Z123" s="5">
        <v>417</v>
      </c>
      <c r="AA123" s="5" t="s">
        <v>909</v>
      </c>
      <c r="AB123" s="5">
        <v>155.04</v>
      </c>
      <c r="AC123" s="5">
        <v>0.58</v>
      </c>
      <c r="AD123" s="5">
        <v>89.9232</v>
      </c>
      <c r="AE123" s="5">
        <v>112.404</v>
      </c>
      <c r="AF123" s="5">
        <v>119.8976</v>
      </c>
      <c r="AG123" s="5">
        <v>138.3434</v>
      </c>
      <c r="AH123" s="5">
        <v>163.4967</v>
      </c>
      <c r="AI123" s="5"/>
    </row>
    <row r="124" hidden="1" spans="1:35">
      <c r="A124" s="5" t="s">
        <v>897</v>
      </c>
      <c r="B124" s="5" t="s">
        <v>789</v>
      </c>
      <c r="C124" s="5" t="s">
        <v>788</v>
      </c>
      <c r="D124" s="5" t="s">
        <v>1553</v>
      </c>
      <c r="E124" s="5" t="s">
        <v>899</v>
      </c>
      <c r="F124" s="5" t="s">
        <v>108</v>
      </c>
      <c r="G124" s="5" t="s">
        <v>146</v>
      </c>
      <c r="H124" s="5" t="s">
        <v>1053</v>
      </c>
      <c r="I124" s="5" t="s">
        <v>1538</v>
      </c>
      <c r="J124" s="5" t="s">
        <v>1538</v>
      </c>
      <c r="K124" s="5">
        <v>30</v>
      </c>
      <c r="L124" s="5"/>
      <c r="M124" s="5" t="s">
        <v>919</v>
      </c>
      <c r="N124" s="5" t="s">
        <v>1554</v>
      </c>
      <c r="O124" s="5" t="s">
        <v>1053</v>
      </c>
      <c r="P124" s="5" t="s">
        <v>1555</v>
      </c>
      <c r="Q124" s="5" t="s">
        <v>1556</v>
      </c>
      <c r="R124" s="5">
        <v>253</v>
      </c>
      <c r="S124" s="5">
        <v>303</v>
      </c>
      <c r="T124" s="5">
        <v>1.21</v>
      </c>
      <c r="U124" s="5">
        <v>55</v>
      </c>
      <c r="V124" s="5">
        <v>36.5</v>
      </c>
      <c r="W124" s="5">
        <v>48</v>
      </c>
      <c r="X124" s="5" t="s">
        <v>907</v>
      </c>
      <c r="Y124" s="5" t="s">
        <v>908</v>
      </c>
      <c r="Z124" s="5">
        <v>366</v>
      </c>
      <c r="AA124" s="5" t="s">
        <v>909</v>
      </c>
      <c r="AB124" s="5">
        <v>19.64</v>
      </c>
      <c r="AC124" s="5">
        <v>0.58</v>
      </c>
      <c r="AD124" s="5">
        <v>11.3912</v>
      </c>
      <c r="AE124" s="5">
        <v>14.239</v>
      </c>
      <c r="AF124" s="5">
        <v>15.1883</v>
      </c>
      <c r="AG124" s="5">
        <v>17.5249</v>
      </c>
      <c r="AH124" s="5">
        <v>20.7113</v>
      </c>
      <c r="AI124" s="5"/>
    </row>
    <row r="125" hidden="1" spans="1:35">
      <c r="A125" s="5" t="s">
        <v>897</v>
      </c>
      <c r="B125" s="5" t="s">
        <v>184</v>
      </c>
      <c r="C125" s="5" t="s">
        <v>183</v>
      </c>
      <c r="D125" s="5" t="s">
        <v>1557</v>
      </c>
      <c r="E125" s="5" t="s">
        <v>899</v>
      </c>
      <c r="F125" s="5" t="s">
        <v>108</v>
      </c>
      <c r="G125" s="5" t="s">
        <v>146</v>
      </c>
      <c r="H125" s="5" t="s">
        <v>1053</v>
      </c>
      <c r="I125" s="5" t="s">
        <v>1538</v>
      </c>
      <c r="J125" s="5" t="s">
        <v>1538</v>
      </c>
      <c r="K125" s="5">
        <v>30</v>
      </c>
      <c r="L125" s="5"/>
      <c r="M125" s="5" t="s">
        <v>919</v>
      </c>
      <c r="N125" s="5" t="s">
        <v>1554</v>
      </c>
      <c r="O125" s="5" t="s">
        <v>1053</v>
      </c>
      <c r="P125" s="5" t="s">
        <v>1558</v>
      </c>
      <c r="Q125" s="5" t="s">
        <v>1559</v>
      </c>
      <c r="R125" s="5">
        <v>657</v>
      </c>
      <c r="S125" s="5">
        <v>707</v>
      </c>
      <c r="T125" s="5">
        <v>2.9</v>
      </c>
      <c r="U125" s="5">
        <v>55</v>
      </c>
      <c r="V125" s="5">
        <v>36.5</v>
      </c>
      <c r="W125" s="5">
        <v>20</v>
      </c>
      <c r="X125" s="5" t="s">
        <v>907</v>
      </c>
      <c r="Y125" s="5" t="s">
        <v>908</v>
      </c>
      <c r="Z125" s="5">
        <v>800</v>
      </c>
      <c r="AA125" s="5" t="s">
        <v>909</v>
      </c>
      <c r="AB125" s="5">
        <v>39.98</v>
      </c>
      <c r="AC125" s="5">
        <v>0.58</v>
      </c>
      <c r="AD125" s="5">
        <v>23.1884</v>
      </c>
      <c r="AE125" s="5">
        <v>28.9855</v>
      </c>
      <c r="AF125" s="5">
        <v>30.9179</v>
      </c>
      <c r="AG125" s="5">
        <v>35.6745</v>
      </c>
      <c r="AH125" s="5">
        <v>42.1607</v>
      </c>
      <c r="AI125" s="5"/>
    </row>
    <row r="126" hidden="1" spans="1:35">
      <c r="A126" s="5" t="s">
        <v>897</v>
      </c>
      <c r="B126" s="5" t="s">
        <v>153</v>
      </c>
      <c r="C126" s="5" t="s">
        <v>152</v>
      </c>
      <c r="D126" s="5" t="s">
        <v>1560</v>
      </c>
      <c r="E126" s="5" t="s">
        <v>899</v>
      </c>
      <c r="F126" s="5" t="s">
        <v>96</v>
      </c>
      <c r="G126" s="5" t="s">
        <v>97</v>
      </c>
      <c r="H126" s="5" t="s">
        <v>961</v>
      </c>
      <c r="I126" s="5" t="s">
        <v>967</v>
      </c>
      <c r="J126" s="5" t="s">
        <v>967</v>
      </c>
      <c r="K126" s="5">
        <v>30</v>
      </c>
      <c r="L126" s="5" t="s">
        <v>909</v>
      </c>
      <c r="M126" s="5" t="s">
        <v>902</v>
      </c>
      <c r="N126" s="5" t="s">
        <v>1561</v>
      </c>
      <c r="O126" s="5" t="s">
        <v>1562</v>
      </c>
      <c r="P126" s="5" t="s">
        <v>1563</v>
      </c>
      <c r="Q126" s="5" t="s">
        <v>1564</v>
      </c>
      <c r="R126" s="5">
        <v>650</v>
      </c>
      <c r="S126" s="5">
        <v>1400</v>
      </c>
      <c r="T126" s="5">
        <v>3.5</v>
      </c>
      <c r="U126" s="5">
        <v>57</v>
      </c>
      <c r="V126" s="5">
        <v>54</v>
      </c>
      <c r="W126" s="5">
        <v>18</v>
      </c>
      <c r="X126" s="5" t="s">
        <v>907</v>
      </c>
      <c r="Y126" s="5" t="s">
        <v>908</v>
      </c>
      <c r="Z126" s="5">
        <v>17</v>
      </c>
      <c r="AA126" s="5" t="s">
        <v>909</v>
      </c>
      <c r="AB126" s="5">
        <v>120.46</v>
      </c>
      <c r="AC126" s="5">
        <v>0.58</v>
      </c>
      <c r="AD126" s="5">
        <v>69.8668</v>
      </c>
      <c r="AE126" s="5">
        <v>87.3335</v>
      </c>
      <c r="AF126" s="5">
        <v>93.1557</v>
      </c>
      <c r="AG126" s="5">
        <v>107.4874</v>
      </c>
      <c r="AH126" s="5">
        <v>127.0305</v>
      </c>
      <c r="AI126" s="5"/>
    </row>
    <row r="127" hidden="1" spans="1:35">
      <c r="A127" s="5" t="s">
        <v>897</v>
      </c>
      <c r="B127" s="5" t="s">
        <v>191</v>
      </c>
      <c r="C127" s="5" t="s">
        <v>190</v>
      </c>
      <c r="D127" s="5" t="s">
        <v>1565</v>
      </c>
      <c r="E127" s="5" t="s">
        <v>899</v>
      </c>
      <c r="F127" s="5" t="s">
        <v>96</v>
      </c>
      <c r="G127" s="5" t="s">
        <v>97</v>
      </c>
      <c r="H127" s="5" t="s">
        <v>961</v>
      </c>
      <c r="I127" s="5" t="s">
        <v>967</v>
      </c>
      <c r="J127" s="5" t="s">
        <v>967</v>
      </c>
      <c r="K127" s="5">
        <v>30</v>
      </c>
      <c r="L127" s="5" t="s">
        <v>909</v>
      </c>
      <c r="M127" s="5" t="s">
        <v>902</v>
      </c>
      <c r="N127" s="5" t="s">
        <v>944</v>
      </c>
      <c r="O127" s="5" t="s">
        <v>1566</v>
      </c>
      <c r="P127" s="5" t="s">
        <v>1567</v>
      </c>
      <c r="Q127" s="5" t="s">
        <v>1568</v>
      </c>
      <c r="R127" s="5">
        <v>200</v>
      </c>
      <c r="S127" s="5">
        <v>250</v>
      </c>
      <c r="T127" s="5">
        <v>1.1</v>
      </c>
      <c r="U127" s="5">
        <v>40</v>
      </c>
      <c r="V127" s="5">
        <v>36</v>
      </c>
      <c r="W127" s="5">
        <v>40</v>
      </c>
      <c r="X127" s="5" t="s">
        <v>907</v>
      </c>
      <c r="Y127" s="5" t="s">
        <v>908</v>
      </c>
      <c r="Z127" s="5">
        <v>3</v>
      </c>
      <c r="AA127" s="5" t="s">
        <v>909</v>
      </c>
      <c r="AB127" s="5">
        <v>49.18</v>
      </c>
      <c r="AC127" s="5">
        <v>0.58</v>
      </c>
      <c r="AD127" s="5">
        <v>28.5244</v>
      </c>
      <c r="AE127" s="5">
        <v>35.6555</v>
      </c>
      <c r="AF127" s="5">
        <v>38.0325</v>
      </c>
      <c r="AG127" s="5">
        <v>43.8837</v>
      </c>
      <c r="AH127" s="5">
        <v>51.8625</v>
      </c>
      <c r="AI127" s="5"/>
    </row>
    <row r="128" hidden="1" spans="1:35">
      <c r="A128" s="5" t="s">
        <v>897</v>
      </c>
      <c r="B128" s="5" t="s">
        <v>645</v>
      </c>
      <c r="C128" s="5" t="s">
        <v>644</v>
      </c>
      <c r="D128" s="5" t="s">
        <v>1569</v>
      </c>
      <c r="E128" s="5" t="s">
        <v>899</v>
      </c>
      <c r="F128" s="5" t="s">
        <v>108</v>
      </c>
      <c r="G128" s="5" t="s">
        <v>168</v>
      </c>
      <c r="H128" s="5" t="s">
        <v>973</v>
      </c>
      <c r="I128" s="5" t="s">
        <v>974</v>
      </c>
      <c r="J128" s="5" t="s">
        <v>1510</v>
      </c>
      <c r="K128" s="5">
        <v>30</v>
      </c>
      <c r="L128" s="5"/>
      <c r="M128" s="5" t="s">
        <v>919</v>
      </c>
      <c r="N128" s="5" t="s">
        <v>975</v>
      </c>
      <c r="O128" s="5" t="s">
        <v>973</v>
      </c>
      <c r="P128" s="5" t="s">
        <v>1570</v>
      </c>
      <c r="Q128" s="5" t="s">
        <v>1571</v>
      </c>
      <c r="R128" s="5">
        <v>155</v>
      </c>
      <c r="S128" s="5">
        <v>163</v>
      </c>
      <c r="T128" s="5">
        <v>0.46</v>
      </c>
      <c r="U128" s="5">
        <v>42.5</v>
      </c>
      <c r="V128" s="5">
        <v>32.5</v>
      </c>
      <c r="W128" s="5">
        <v>100</v>
      </c>
      <c r="X128" s="5" t="s">
        <v>907</v>
      </c>
      <c r="Y128" s="5" t="s">
        <v>908</v>
      </c>
      <c r="Z128" s="5">
        <v>3141</v>
      </c>
      <c r="AA128" s="5" t="s">
        <v>909</v>
      </c>
      <c r="AB128" s="5">
        <v>80.78</v>
      </c>
      <c r="AC128" s="5">
        <v>0.58</v>
      </c>
      <c r="AD128" s="5">
        <v>46.8524</v>
      </c>
      <c r="AE128" s="5">
        <v>58.5655</v>
      </c>
      <c r="AF128" s="5">
        <v>62.4699</v>
      </c>
      <c r="AG128" s="5">
        <v>72.0806</v>
      </c>
      <c r="AH128" s="5">
        <v>85.1862</v>
      </c>
      <c r="AI128" s="5"/>
    </row>
    <row r="129" hidden="1" spans="1:35">
      <c r="A129" s="5" t="s">
        <v>897</v>
      </c>
      <c r="B129" s="5" t="s">
        <v>1572</v>
      </c>
      <c r="C129" s="5" t="s">
        <v>773</v>
      </c>
      <c r="D129" s="5" t="s">
        <v>1573</v>
      </c>
      <c r="E129" s="5" t="s">
        <v>899</v>
      </c>
      <c r="F129" s="5" t="s">
        <v>96</v>
      </c>
      <c r="G129" s="5" t="s">
        <v>186</v>
      </c>
      <c r="H129" s="5" t="s">
        <v>1574</v>
      </c>
      <c r="I129" s="5" t="s">
        <v>1575</v>
      </c>
      <c r="J129" s="5" t="s">
        <v>1575</v>
      </c>
      <c r="K129" s="5">
        <v>30</v>
      </c>
      <c r="L129" s="5"/>
      <c r="M129" s="5" t="s">
        <v>902</v>
      </c>
      <c r="N129" s="5" t="s">
        <v>1576</v>
      </c>
      <c r="O129" s="5" t="s">
        <v>1577</v>
      </c>
      <c r="P129" s="5" t="s">
        <v>1578</v>
      </c>
      <c r="Q129" s="5" t="s">
        <v>1579</v>
      </c>
      <c r="R129" s="5">
        <v>500</v>
      </c>
      <c r="S129" s="5">
        <v>800</v>
      </c>
      <c r="T129" s="5">
        <v>55</v>
      </c>
      <c r="U129" s="5">
        <v>32.5</v>
      </c>
      <c r="V129" s="5">
        <v>3.5</v>
      </c>
      <c r="W129" s="5">
        <v>1</v>
      </c>
      <c r="X129" s="5" t="s">
        <v>1020</v>
      </c>
      <c r="Y129" s="5" t="s">
        <v>908</v>
      </c>
      <c r="Z129" s="5">
        <v>1</v>
      </c>
      <c r="AA129" s="5" t="s">
        <v>909</v>
      </c>
      <c r="AB129" s="5">
        <v>15.01</v>
      </c>
      <c r="AC129" s="5">
        <v>0.58</v>
      </c>
      <c r="AD129" s="5">
        <v>8.7058</v>
      </c>
      <c r="AE129" s="5">
        <v>10.8822</v>
      </c>
      <c r="AF129" s="5">
        <v>11.6077</v>
      </c>
      <c r="AG129" s="5">
        <v>13.3935</v>
      </c>
      <c r="AH129" s="5">
        <v>15.8287</v>
      </c>
      <c r="AI129" s="5"/>
    </row>
    <row r="130" hidden="1" spans="1:35">
      <c r="A130" s="5" t="s">
        <v>897</v>
      </c>
      <c r="B130" s="5" t="s">
        <v>1580</v>
      </c>
      <c r="C130" s="5" t="s">
        <v>396</v>
      </c>
      <c r="D130" s="5" t="s">
        <v>1581</v>
      </c>
      <c r="E130" s="5" t="s">
        <v>899</v>
      </c>
      <c r="F130" s="5" t="s">
        <v>96</v>
      </c>
      <c r="G130" s="5" t="s">
        <v>186</v>
      </c>
      <c r="H130" s="5" t="s">
        <v>1582</v>
      </c>
      <c r="I130" s="5" t="s">
        <v>1575</v>
      </c>
      <c r="J130" s="5" t="s">
        <v>1575</v>
      </c>
      <c r="K130" s="5">
        <v>30</v>
      </c>
      <c r="L130" s="5" t="s">
        <v>909</v>
      </c>
      <c r="M130" s="5" t="s">
        <v>902</v>
      </c>
      <c r="N130" s="5" t="s">
        <v>1583</v>
      </c>
      <c r="O130" s="5" t="s">
        <v>1584</v>
      </c>
      <c r="P130" s="5" t="s">
        <v>1585</v>
      </c>
      <c r="Q130" s="5" t="s">
        <v>1586</v>
      </c>
      <c r="R130" s="5">
        <v>1400</v>
      </c>
      <c r="S130" s="5">
        <v>1600</v>
      </c>
      <c r="T130" s="5">
        <v>11.56</v>
      </c>
      <c r="U130" s="5">
        <v>27</v>
      </c>
      <c r="V130" s="5">
        <v>25</v>
      </c>
      <c r="W130" s="5">
        <v>9</v>
      </c>
      <c r="X130" s="5" t="s">
        <v>1020</v>
      </c>
      <c r="Y130" s="5" t="s">
        <v>908</v>
      </c>
      <c r="Z130" s="5">
        <v>20</v>
      </c>
      <c r="AA130" s="5" t="s">
        <v>909</v>
      </c>
      <c r="AB130" s="5">
        <v>23.44</v>
      </c>
      <c r="AC130" s="5">
        <v>0.58</v>
      </c>
      <c r="AD130" s="5">
        <v>13.5952</v>
      </c>
      <c r="AE130" s="5">
        <v>16.994</v>
      </c>
      <c r="AF130" s="5">
        <v>18.1269</v>
      </c>
      <c r="AG130" s="5">
        <v>20.9157</v>
      </c>
      <c r="AH130" s="5">
        <v>24.7185</v>
      </c>
      <c r="AI130" s="5"/>
    </row>
    <row r="131" hidden="1" spans="1:35">
      <c r="A131" s="5" t="s">
        <v>897</v>
      </c>
      <c r="B131" s="5" t="s">
        <v>481</v>
      </c>
      <c r="C131" s="5" t="s">
        <v>1587</v>
      </c>
      <c r="D131" s="5" t="s">
        <v>1588</v>
      </c>
      <c r="E131" s="5" t="s">
        <v>899</v>
      </c>
      <c r="F131" s="5" t="s">
        <v>108</v>
      </c>
      <c r="G131" s="5" t="s">
        <v>927</v>
      </c>
      <c r="H131" s="5" t="s">
        <v>1589</v>
      </c>
      <c r="I131" s="5" t="s">
        <v>1419</v>
      </c>
      <c r="J131" s="5" t="s">
        <v>1419</v>
      </c>
      <c r="K131" s="5">
        <v>30</v>
      </c>
      <c r="L131" s="5"/>
      <c r="M131" s="5" t="s">
        <v>902</v>
      </c>
      <c r="N131" s="5" t="s">
        <v>930</v>
      </c>
      <c r="O131" s="5" t="s">
        <v>1589</v>
      </c>
      <c r="P131" s="5" t="s">
        <v>1590</v>
      </c>
      <c r="Q131" s="5" t="s">
        <v>1591</v>
      </c>
      <c r="R131" s="5">
        <v>90</v>
      </c>
      <c r="S131" s="5">
        <v>180</v>
      </c>
      <c r="T131" s="5">
        <v>1.1</v>
      </c>
      <c r="U131" s="5">
        <v>37</v>
      </c>
      <c r="V131" s="5">
        <v>22</v>
      </c>
      <c r="W131" s="5">
        <v>50</v>
      </c>
      <c r="X131" s="5" t="s">
        <v>907</v>
      </c>
      <c r="Y131" s="5" t="s">
        <v>908</v>
      </c>
      <c r="Z131" s="5">
        <v>47</v>
      </c>
      <c r="AA131" s="5" t="s">
        <v>909</v>
      </c>
      <c r="AB131" s="5">
        <v>102.36</v>
      </c>
      <c r="AC131" s="5">
        <v>0.58</v>
      </c>
      <c r="AD131" s="5">
        <v>59.3688</v>
      </c>
      <c r="AE131" s="5">
        <v>74.211</v>
      </c>
      <c r="AF131" s="5">
        <v>79.1584</v>
      </c>
      <c r="AG131" s="5">
        <v>91.3366</v>
      </c>
      <c r="AH131" s="5">
        <v>107.9433</v>
      </c>
      <c r="AI131" s="5"/>
    </row>
    <row r="132" hidden="1" spans="1:35">
      <c r="A132" s="5" t="s">
        <v>897</v>
      </c>
      <c r="B132" s="5" t="s">
        <v>320</v>
      </c>
      <c r="C132" s="5" t="s">
        <v>319</v>
      </c>
      <c r="D132" s="5" t="s">
        <v>1592</v>
      </c>
      <c r="E132" s="5" t="s">
        <v>899</v>
      </c>
      <c r="F132" s="5" t="s">
        <v>108</v>
      </c>
      <c r="G132" s="5" t="s">
        <v>206</v>
      </c>
      <c r="H132" s="5" t="s">
        <v>1593</v>
      </c>
      <c r="I132" s="5" t="s">
        <v>1594</v>
      </c>
      <c r="J132" s="5" t="s">
        <v>1594</v>
      </c>
      <c r="K132" s="5">
        <v>30</v>
      </c>
      <c r="L132" s="5"/>
      <c r="M132" s="5" t="s">
        <v>919</v>
      </c>
      <c r="N132" s="5" t="s">
        <v>1595</v>
      </c>
      <c r="O132" s="5" t="s">
        <v>1596</v>
      </c>
      <c r="P132" s="5" t="s">
        <v>1597</v>
      </c>
      <c r="Q132" s="5" t="s">
        <v>1598</v>
      </c>
      <c r="R132" s="5">
        <v>410</v>
      </c>
      <c r="S132" s="5">
        <v>470</v>
      </c>
      <c r="T132" s="5">
        <v>2.9</v>
      </c>
      <c r="U132" s="5">
        <v>46</v>
      </c>
      <c r="V132" s="5">
        <v>27</v>
      </c>
      <c r="W132" s="5">
        <v>16</v>
      </c>
      <c r="X132" s="5" t="s">
        <v>907</v>
      </c>
      <c r="Y132" s="5" t="s">
        <v>908</v>
      </c>
      <c r="Z132" s="5">
        <v>301</v>
      </c>
      <c r="AA132" s="5" t="s">
        <v>909</v>
      </c>
      <c r="AB132" s="5">
        <v>25.61</v>
      </c>
      <c r="AC132" s="5">
        <v>0.58</v>
      </c>
      <c r="AD132" s="5">
        <v>14.8538</v>
      </c>
      <c r="AE132" s="5">
        <v>18.5672</v>
      </c>
      <c r="AF132" s="5">
        <v>19.8051</v>
      </c>
      <c r="AG132" s="5">
        <v>22.852</v>
      </c>
      <c r="AH132" s="5">
        <v>27.0069</v>
      </c>
      <c r="AI132" s="5"/>
    </row>
    <row r="133" hidden="1" spans="1:35">
      <c r="A133" s="5" t="s">
        <v>897</v>
      </c>
      <c r="B133" s="5" t="s">
        <v>687</v>
      </c>
      <c r="C133" s="5" t="s">
        <v>686</v>
      </c>
      <c r="D133" s="5" t="s">
        <v>1599</v>
      </c>
      <c r="E133" s="5" t="s">
        <v>899</v>
      </c>
      <c r="F133" s="5" t="s">
        <v>108</v>
      </c>
      <c r="G133" s="5" t="s">
        <v>206</v>
      </c>
      <c r="H133" s="5" t="s">
        <v>1593</v>
      </c>
      <c r="I133" s="5" t="s">
        <v>1594</v>
      </c>
      <c r="J133" s="5" t="s">
        <v>1594</v>
      </c>
      <c r="K133" s="5">
        <v>30</v>
      </c>
      <c r="L133" s="5"/>
      <c r="M133" s="5" t="s">
        <v>919</v>
      </c>
      <c r="N133" s="5" t="s">
        <v>1595</v>
      </c>
      <c r="O133" s="5" t="s">
        <v>1596</v>
      </c>
      <c r="P133" s="5" t="s">
        <v>1600</v>
      </c>
      <c r="Q133" s="5" t="s">
        <v>1601</v>
      </c>
      <c r="R133" s="5">
        <v>240</v>
      </c>
      <c r="S133" s="5">
        <v>250</v>
      </c>
      <c r="T133" s="5">
        <v>2</v>
      </c>
      <c r="U133" s="5">
        <v>32.5</v>
      </c>
      <c r="V133" s="5">
        <v>23.5</v>
      </c>
      <c r="W133" s="5">
        <v>24</v>
      </c>
      <c r="X133" s="5" t="s">
        <v>907</v>
      </c>
      <c r="Y133" s="5" t="s">
        <v>908</v>
      </c>
      <c r="Z133" s="5">
        <v>417</v>
      </c>
      <c r="AA133" s="5" t="s">
        <v>909</v>
      </c>
      <c r="AB133" s="5">
        <v>16.54</v>
      </c>
      <c r="AC133" s="5">
        <v>0.58</v>
      </c>
      <c r="AD133" s="5">
        <v>9.5932</v>
      </c>
      <c r="AE133" s="5">
        <v>11.9915</v>
      </c>
      <c r="AF133" s="5">
        <v>12.7909</v>
      </c>
      <c r="AG133" s="5">
        <v>14.7588</v>
      </c>
      <c r="AH133" s="5">
        <v>17.4422</v>
      </c>
      <c r="AI133" s="5"/>
    </row>
    <row r="134" hidden="1" spans="1:35">
      <c r="A134" s="5" t="s">
        <v>897</v>
      </c>
      <c r="B134" s="5" t="s">
        <v>324</v>
      </c>
      <c r="C134" s="5" t="s">
        <v>323</v>
      </c>
      <c r="D134" s="5" t="s">
        <v>1602</v>
      </c>
      <c r="E134" s="5" t="s">
        <v>899</v>
      </c>
      <c r="F134" s="5" t="s">
        <v>108</v>
      </c>
      <c r="G134" s="5" t="s">
        <v>206</v>
      </c>
      <c r="H134" s="5" t="s">
        <v>1593</v>
      </c>
      <c r="I134" s="5" t="s">
        <v>1594</v>
      </c>
      <c r="J134" s="5" t="s">
        <v>1594</v>
      </c>
      <c r="K134" s="5">
        <v>30</v>
      </c>
      <c r="L134" s="5"/>
      <c r="M134" s="5" t="s">
        <v>919</v>
      </c>
      <c r="N134" s="5" t="s">
        <v>1595</v>
      </c>
      <c r="O134" s="5" t="s">
        <v>1596</v>
      </c>
      <c r="P134" s="5" t="s">
        <v>1597</v>
      </c>
      <c r="Q134" s="5" t="s">
        <v>1598</v>
      </c>
      <c r="R134" s="5">
        <v>410</v>
      </c>
      <c r="S134" s="5">
        <v>470</v>
      </c>
      <c r="T134" s="5">
        <v>2.9</v>
      </c>
      <c r="U134" s="5">
        <v>46</v>
      </c>
      <c r="V134" s="5">
        <v>27</v>
      </c>
      <c r="W134" s="5">
        <v>16</v>
      </c>
      <c r="X134" s="5" t="s">
        <v>907</v>
      </c>
      <c r="Y134" s="5" t="s">
        <v>908</v>
      </c>
      <c r="Z134" s="5">
        <v>4</v>
      </c>
      <c r="AA134" s="5" t="s">
        <v>909</v>
      </c>
      <c r="AB134" s="5">
        <v>25.61</v>
      </c>
      <c r="AC134" s="5">
        <v>0.58</v>
      </c>
      <c r="AD134" s="5">
        <v>14.8538</v>
      </c>
      <c r="AE134" s="5">
        <v>18.5672</v>
      </c>
      <c r="AF134" s="5">
        <v>19.8051</v>
      </c>
      <c r="AG134" s="5">
        <v>22.852</v>
      </c>
      <c r="AH134" s="5">
        <v>27.0069</v>
      </c>
      <c r="AI134" s="5"/>
    </row>
    <row r="135" hidden="1" spans="1:35">
      <c r="A135" s="5" t="s">
        <v>897</v>
      </c>
      <c r="B135" s="5" t="s">
        <v>326</v>
      </c>
      <c r="C135" s="5" t="s">
        <v>325</v>
      </c>
      <c r="D135" s="5" t="s">
        <v>1603</v>
      </c>
      <c r="E135" s="5" t="s">
        <v>899</v>
      </c>
      <c r="F135" s="5" t="s">
        <v>108</v>
      </c>
      <c r="G135" s="5" t="s">
        <v>206</v>
      </c>
      <c r="H135" s="5" t="s">
        <v>1593</v>
      </c>
      <c r="I135" s="5" t="s">
        <v>1604</v>
      </c>
      <c r="J135" s="5" t="s">
        <v>1604</v>
      </c>
      <c r="K135" s="5">
        <v>30</v>
      </c>
      <c r="L135" s="5"/>
      <c r="M135" s="5" t="s">
        <v>919</v>
      </c>
      <c r="N135" s="5" t="s">
        <v>1595</v>
      </c>
      <c r="O135" s="5" t="s">
        <v>1596</v>
      </c>
      <c r="P135" s="5" t="s">
        <v>1600</v>
      </c>
      <c r="Q135" s="5" t="s">
        <v>1601</v>
      </c>
      <c r="R135" s="5">
        <v>240</v>
      </c>
      <c r="S135" s="5">
        <v>250</v>
      </c>
      <c r="T135" s="5">
        <v>1.98</v>
      </c>
      <c r="U135" s="5">
        <v>32.5</v>
      </c>
      <c r="V135" s="5">
        <v>23.5</v>
      </c>
      <c r="W135" s="5">
        <v>24</v>
      </c>
      <c r="X135" s="5" t="s">
        <v>907</v>
      </c>
      <c r="Y135" s="5" t="s">
        <v>908</v>
      </c>
      <c r="Z135" s="5">
        <v>229</v>
      </c>
      <c r="AA135" s="5" t="s">
        <v>909</v>
      </c>
      <c r="AB135" s="5">
        <v>16.53</v>
      </c>
      <c r="AC135" s="5">
        <v>0.58</v>
      </c>
      <c r="AD135" s="5">
        <v>9.5874</v>
      </c>
      <c r="AE135" s="5">
        <v>11.9842</v>
      </c>
      <c r="AF135" s="5">
        <v>12.7832</v>
      </c>
      <c r="AG135" s="5">
        <v>14.7498</v>
      </c>
      <c r="AH135" s="5">
        <v>17.4316</v>
      </c>
      <c r="AI135" s="5"/>
    </row>
    <row r="136" hidden="1" spans="1:35">
      <c r="A136" s="5" t="s">
        <v>897</v>
      </c>
      <c r="B136" s="5" t="s">
        <v>849</v>
      </c>
      <c r="C136" s="5" t="s">
        <v>848</v>
      </c>
      <c r="D136" s="5" t="s">
        <v>1605</v>
      </c>
      <c r="E136" s="5" t="s">
        <v>899</v>
      </c>
      <c r="F136" s="5" t="s">
        <v>96</v>
      </c>
      <c r="G136" s="5" t="s">
        <v>115</v>
      </c>
      <c r="H136" s="5" t="s">
        <v>1606</v>
      </c>
      <c r="I136" s="5" t="s">
        <v>943</v>
      </c>
      <c r="J136" s="5" t="s">
        <v>943</v>
      </c>
      <c r="K136" s="5">
        <v>30</v>
      </c>
      <c r="L136" s="5"/>
      <c r="M136" s="5" t="s">
        <v>902</v>
      </c>
      <c r="N136" s="5" t="s">
        <v>1607</v>
      </c>
      <c r="O136" s="5" t="s">
        <v>1608</v>
      </c>
      <c r="P136" s="5" t="s">
        <v>1609</v>
      </c>
      <c r="Q136" s="5" t="s">
        <v>1610</v>
      </c>
      <c r="R136" s="5">
        <v>210</v>
      </c>
      <c r="S136" s="5">
        <v>220</v>
      </c>
      <c r="T136" s="5">
        <v>1</v>
      </c>
      <c r="U136" s="5">
        <v>40</v>
      </c>
      <c r="V136" s="5">
        <v>40</v>
      </c>
      <c r="W136" s="5">
        <v>50</v>
      </c>
      <c r="X136" s="5" t="s">
        <v>907</v>
      </c>
      <c r="Y136" s="5" t="s">
        <v>908</v>
      </c>
      <c r="Z136" s="5">
        <v>1</v>
      </c>
      <c r="AA136" s="5" t="s">
        <v>909</v>
      </c>
      <c r="AB136" s="5">
        <v>35.76</v>
      </c>
      <c r="AC136" s="5">
        <v>0.58</v>
      </c>
      <c r="AD136" s="5">
        <v>20.7408</v>
      </c>
      <c r="AE136" s="5">
        <v>25.926</v>
      </c>
      <c r="AF136" s="5">
        <v>27.6544</v>
      </c>
      <c r="AG136" s="5">
        <v>31.9089</v>
      </c>
      <c r="AH136" s="5">
        <v>37.7105</v>
      </c>
      <c r="AI136" s="5"/>
    </row>
    <row r="137" hidden="1" spans="1:35">
      <c r="A137" s="5" t="s">
        <v>897</v>
      </c>
      <c r="B137" s="5" t="s">
        <v>193</v>
      </c>
      <c r="C137" s="5" t="s">
        <v>192</v>
      </c>
      <c r="D137" s="5" t="s">
        <v>1611</v>
      </c>
      <c r="E137" s="5" t="s">
        <v>899</v>
      </c>
      <c r="F137" s="5" t="s">
        <v>96</v>
      </c>
      <c r="G137" s="5" t="s">
        <v>115</v>
      </c>
      <c r="H137" s="5" t="s">
        <v>1606</v>
      </c>
      <c r="I137" s="5" t="s">
        <v>943</v>
      </c>
      <c r="J137" s="5" t="s">
        <v>943</v>
      </c>
      <c r="K137" s="5">
        <v>30</v>
      </c>
      <c r="L137" s="5"/>
      <c r="M137" s="5" t="s">
        <v>902</v>
      </c>
      <c r="N137" s="5" t="s">
        <v>1607</v>
      </c>
      <c r="O137" s="5" t="s">
        <v>1608</v>
      </c>
      <c r="P137" s="5" t="s">
        <v>1612</v>
      </c>
      <c r="Q137" s="5" t="s">
        <v>1610</v>
      </c>
      <c r="R137" s="5">
        <v>250</v>
      </c>
      <c r="S137" s="5">
        <v>260</v>
      </c>
      <c r="T137" s="5">
        <v>1</v>
      </c>
      <c r="U137" s="5">
        <v>40</v>
      </c>
      <c r="V137" s="5">
        <v>40</v>
      </c>
      <c r="W137" s="5">
        <v>50</v>
      </c>
      <c r="X137" s="5" t="s">
        <v>907</v>
      </c>
      <c r="Y137" s="5" t="s">
        <v>908</v>
      </c>
      <c r="Z137" s="5">
        <v>45</v>
      </c>
      <c r="AA137" s="5" t="s">
        <v>909</v>
      </c>
      <c r="AB137" s="5">
        <v>57.89</v>
      </c>
      <c r="AC137" s="5">
        <v>0.58</v>
      </c>
      <c r="AD137" s="5">
        <v>33.5762</v>
      </c>
      <c r="AE137" s="5">
        <v>41.9702</v>
      </c>
      <c r="AF137" s="5">
        <v>44.7683</v>
      </c>
      <c r="AG137" s="5">
        <v>51.6557</v>
      </c>
      <c r="AH137" s="5">
        <v>61.0476</v>
      </c>
      <c r="AI137" s="5"/>
    </row>
    <row r="138" hidden="1" spans="1:35">
      <c r="A138" s="5" t="s">
        <v>897</v>
      </c>
      <c r="B138" s="5" t="s">
        <v>329</v>
      </c>
      <c r="C138" s="5" t="s">
        <v>328</v>
      </c>
      <c r="D138" s="5" t="s">
        <v>1613</v>
      </c>
      <c r="E138" s="5" t="s">
        <v>899</v>
      </c>
      <c r="F138" s="5" t="s">
        <v>96</v>
      </c>
      <c r="G138" s="5" t="s">
        <v>115</v>
      </c>
      <c r="H138" s="5" t="s">
        <v>1606</v>
      </c>
      <c r="I138" s="5" t="s">
        <v>943</v>
      </c>
      <c r="J138" s="5" t="s">
        <v>943</v>
      </c>
      <c r="K138" s="5">
        <v>30</v>
      </c>
      <c r="L138" s="5"/>
      <c r="M138" s="5" t="s">
        <v>902</v>
      </c>
      <c r="N138" s="5" t="s">
        <v>1614</v>
      </c>
      <c r="O138" s="5" t="s">
        <v>1615</v>
      </c>
      <c r="P138" s="5" t="s">
        <v>1616</v>
      </c>
      <c r="Q138" s="5" t="s">
        <v>1610</v>
      </c>
      <c r="R138" s="5">
        <v>250</v>
      </c>
      <c r="S138" s="5">
        <v>260</v>
      </c>
      <c r="T138" s="5">
        <v>1</v>
      </c>
      <c r="U138" s="5">
        <v>40</v>
      </c>
      <c r="V138" s="5">
        <v>40</v>
      </c>
      <c r="W138" s="5">
        <v>50</v>
      </c>
      <c r="X138" s="5" t="s">
        <v>907</v>
      </c>
      <c r="Y138" s="5" t="s">
        <v>908</v>
      </c>
      <c r="Z138" s="5">
        <v>0</v>
      </c>
      <c r="AA138" s="5" t="s">
        <v>909</v>
      </c>
      <c r="AB138" s="5">
        <v>42.4</v>
      </c>
      <c r="AC138" s="5">
        <v>0.58</v>
      </c>
      <c r="AD138" s="5">
        <v>24.592</v>
      </c>
      <c r="AE138" s="5">
        <v>30.74</v>
      </c>
      <c r="AF138" s="5">
        <v>32.7893</v>
      </c>
      <c r="AG138" s="5">
        <v>37.8338</v>
      </c>
      <c r="AH138" s="5">
        <v>44.7127</v>
      </c>
      <c r="AI138" s="5"/>
    </row>
    <row r="139" hidden="1" spans="1:35">
      <c r="A139" s="5" t="s">
        <v>897</v>
      </c>
      <c r="B139" s="5" t="s">
        <v>331</v>
      </c>
      <c r="C139" s="5" t="s">
        <v>330</v>
      </c>
      <c r="D139" s="5" t="s">
        <v>1617</v>
      </c>
      <c r="E139" s="5" t="s">
        <v>899</v>
      </c>
      <c r="F139" s="5" t="s">
        <v>96</v>
      </c>
      <c r="G139" s="5" t="s">
        <v>115</v>
      </c>
      <c r="H139" s="5" t="s">
        <v>1606</v>
      </c>
      <c r="I139" s="5" t="s">
        <v>943</v>
      </c>
      <c r="J139" s="5" t="s">
        <v>943</v>
      </c>
      <c r="K139" s="5">
        <v>30</v>
      </c>
      <c r="L139" s="5"/>
      <c r="M139" s="5" t="s">
        <v>902</v>
      </c>
      <c r="N139" s="5" t="s">
        <v>1614</v>
      </c>
      <c r="O139" s="5" t="s">
        <v>1615</v>
      </c>
      <c r="P139" s="5" t="s">
        <v>1618</v>
      </c>
      <c r="Q139" s="5" t="s">
        <v>1610</v>
      </c>
      <c r="R139" s="5">
        <v>210</v>
      </c>
      <c r="S139" s="5">
        <v>220</v>
      </c>
      <c r="T139" s="5">
        <v>1</v>
      </c>
      <c r="U139" s="5">
        <v>40</v>
      </c>
      <c r="V139" s="5">
        <v>40</v>
      </c>
      <c r="W139" s="5">
        <v>50</v>
      </c>
      <c r="X139" s="5" t="s">
        <v>907</v>
      </c>
      <c r="Y139" s="5" t="s">
        <v>908</v>
      </c>
      <c r="Z139" s="5">
        <v>0</v>
      </c>
      <c r="AA139" s="5" t="s">
        <v>909</v>
      </c>
      <c r="AB139" s="5">
        <v>66.74</v>
      </c>
      <c r="AC139" s="5">
        <v>0.58</v>
      </c>
      <c r="AD139" s="5">
        <v>38.7092</v>
      </c>
      <c r="AE139" s="5">
        <v>48.3865</v>
      </c>
      <c r="AF139" s="5">
        <v>51.6123</v>
      </c>
      <c r="AG139" s="5">
        <v>59.5526</v>
      </c>
      <c r="AH139" s="5">
        <v>70.3804</v>
      </c>
      <c r="AI139" s="5"/>
    </row>
    <row r="140" hidden="1" spans="1:35">
      <c r="A140" s="5" t="s">
        <v>897</v>
      </c>
      <c r="B140" s="5" t="s">
        <v>333</v>
      </c>
      <c r="C140" s="5" t="s">
        <v>332</v>
      </c>
      <c r="D140" s="5" t="s">
        <v>1619</v>
      </c>
      <c r="E140" s="5" t="s">
        <v>899</v>
      </c>
      <c r="F140" s="5" t="s">
        <v>96</v>
      </c>
      <c r="G140" s="5" t="s">
        <v>115</v>
      </c>
      <c r="H140" s="5" t="s">
        <v>1606</v>
      </c>
      <c r="I140" s="5" t="s">
        <v>943</v>
      </c>
      <c r="J140" s="5" t="s">
        <v>943</v>
      </c>
      <c r="K140" s="5">
        <v>30</v>
      </c>
      <c r="L140" s="5"/>
      <c r="M140" s="5" t="s">
        <v>919</v>
      </c>
      <c r="N140" s="5" t="s">
        <v>1614</v>
      </c>
      <c r="O140" s="5" t="s">
        <v>1615</v>
      </c>
      <c r="P140" s="5" t="s">
        <v>1618</v>
      </c>
      <c r="Q140" s="5" t="s">
        <v>1610</v>
      </c>
      <c r="R140" s="5">
        <v>250</v>
      </c>
      <c r="S140" s="5">
        <v>260</v>
      </c>
      <c r="T140" s="5">
        <v>1</v>
      </c>
      <c r="U140" s="5">
        <v>40</v>
      </c>
      <c r="V140" s="5">
        <v>40</v>
      </c>
      <c r="W140" s="5">
        <v>50</v>
      </c>
      <c r="X140" s="5" t="s">
        <v>907</v>
      </c>
      <c r="Y140" s="5" t="s">
        <v>908</v>
      </c>
      <c r="Z140" s="5">
        <v>0</v>
      </c>
      <c r="AA140" s="5" t="s">
        <v>909</v>
      </c>
      <c r="AB140" s="5">
        <v>73.37</v>
      </c>
      <c r="AC140" s="5">
        <v>0.58</v>
      </c>
      <c r="AD140" s="5">
        <v>42.5546</v>
      </c>
      <c r="AE140" s="5">
        <v>53.1932</v>
      </c>
      <c r="AF140" s="5">
        <v>56.7395</v>
      </c>
      <c r="AG140" s="5">
        <v>65.4686</v>
      </c>
      <c r="AH140" s="5">
        <v>77.372</v>
      </c>
      <c r="AI140" s="5"/>
    </row>
    <row r="141" hidden="1" spans="1:35">
      <c r="A141" s="5" t="s">
        <v>897</v>
      </c>
      <c r="B141" s="5" t="s">
        <v>219</v>
      </c>
      <c r="C141" s="5" t="s">
        <v>218</v>
      </c>
      <c r="D141" s="5" t="s">
        <v>1620</v>
      </c>
      <c r="E141" s="5" t="s">
        <v>899</v>
      </c>
      <c r="F141" s="5" t="s">
        <v>108</v>
      </c>
      <c r="G141" s="5" t="s">
        <v>146</v>
      </c>
      <c r="H141" s="5" t="s">
        <v>1070</v>
      </c>
      <c r="I141" s="5" t="s">
        <v>979</v>
      </c>
      <c r="J141" s="5" t="s">
        <v>979</v>
      </c>
      <c r="K141" s="5">
        <v>30</v>
      </c>
      <c r="L141" s="5"/>
      <c r="M141" s="5" t="s">
        <v>902</v>
      </c>
      <c r="N141" s="5" t="s">
        <v>1621</v>
      </c>
      <c r="O141" s="5" t="s">
        <v>1622</v>
      </c>
      <c r="P141" s="5" t="s">
        <v>1623</v>
      </c>
      <c r="Q141" s="5" t="s">
        <v>1624</v>
      </c>
      <c r="R141" s="5">
        <v>942</v>
      </c>
      <c r="S141" s="5">
        <v>1000</v>
      </c>
      <c r="T141" s="5">
        <v>3.71</v>
      </c>
      <c r="U141" s="5">
        <v>44</v>
      </c>
      <c r="V141" s="5">
        <v>32</v>
      </c>
      <c r="W141" s="5">
        <v>12</v>
      </c>
      <c r="X141" s="5" t="s">
        <v>1020</v>
      </c>
      <c r="Y141" s="5" t="s">
        <v>908</v>
      </c>
      <c r="Z141" s="5">
        <v>0</v>
      </c>
      <c r="AA141" s="5" t="s">
        <v>909</v>
      </c>
      <c r="AB141" s="5">
        <v>94.21</v>
      </c>
      <c r="AC141" s="5">
        <v>0.58</v>
      </c>
      <c r="AD141" s="5">
        <v>54.6418</v>
      </c>
      <c r="AE141" s="5">
        <v>68.3022</v>
      </c>
      <c r="AF141" s="5">
        <v>72.8557</v>
      </c>
      <c r="AG141" s="5">
        <v>84.0643</v>
      </c>
      <c r="AH141" s="5">
        <v>99.3487</v>
      </c>
      <c r="AI141" s="5"/>
    </row>
    <row r="142" hidden="1" spans="1:35">
      <c r="A142" s="5" t="s">
        <v>897</v>
      </c>
      <c r="B142" s="5" t="s">
        <v>856</v>
      </c>
      <c r="C142" s="5" t="s">
        <v>855</v>
      </c>
      <c r="D142" s="5" t="s">
        <v>1625</v>
      </c>
      <c r="E142" s="5" t="s">
        <v>899</v>
      </c>
      <c r="F142" s="5" t="s">
        <v>108</v>
      </c>
      <c r="G142" s="5" t="s">
        <v>109</v>
      </c>
      <c r="H142" s="5" t="s">
        <v>1626</v>
      </c>
      <c r="I142" s="5" t="s">
        <v>1627</v>
      </c>
      <c r="J142" s="5" t="s">
        <v>1627</v>
      </c>
      <c r="K142" s="5">
        <v>32</v>
      </c>
      <c r="L142" s="5" t="s">
        <v>909</v>
      </c>
      <c r="M142" s="5" t="s">
        <v>902</v>
      </c>
      <c r="N142" s="5" t="s">
        <v>930</v>
      </c>
      <c r="O142" s="5" t="s">
        <v>1628</v>
      </c>
      <c r="P142" s="5" t="s">
        <v>1629</v>
      </c>
      <c r="Q142" s="5" t="s">
        <v>1630</v>
      </c>
      <c r="R142" s="5">
        <v>115</v>
      </c>
      <c r="S142" s="5">
        <v>122</v>
      </c>
      <c r="T142" s="5">
        <v>0.43</v>
      </c>
      <c r="U142" s="5">
        <v>35</v>
      </c>
      <c r="V142" s="5">
        <v>30</v>
      </c>
      <c r="W142" s="5">
        <v>100</v>
      </c>
      <c r="X142" s="5" t="s">
        <v>907</v>
      </c>
      <c r="Y142" s="5" t="s">
        <v>908</v>
      </c>
      <c r="Z142" s="5">
        <v>7</v>
      </c>
      <c r="AA142" s="5" t="s">
        <v>909</v>
      </c>
      <c r="AB142" s="5">
        <v>24.93</v>
      </c>
      <c r="AC142" s="5">
        <v>0.58</v>
      </c>
      <c r="AD142" s="5">
        <v>14.4594</v>
      </c>
      <c r="AE142" s="5">
        <v>18.0742</v>
      </c>
      <c r="AF142" s="5">
        <v>19.2792</v>
      </c>
      <c r="AG142" s="5">
        <v>22.2452</v>
      </c>
      <c r="AH142" s="5">
        <v>26.2898</v>
      </c>
      <c r="AI142" s="5"/>
    </row>
    <row r="143" hidden="1" spans="1:35">
      <c r="A143" s="5" t="s">
        <v>897</v>
      </c>
      <c r="B143" s="5" t="s">
        <v>248</v>
      </c>
      <c r="C143" s="5" t="s">
        <v>247</v>
      </c>
      <c r="D143" s="5" t="s">
        <v>1631</v>
      </c>
      <c r="E143" s="5" t="s">
        <v>899</v>
      </c>
      <c r="F143" s="5" t="s">
        <v>108</v>
      </c>
      <c r="G143" s="5" t="s">
        <v>109</v>
      </c>
      <c r="H143" s="5" t="s">
        <v>1626</v>
      </c>
      <c r="I143" s="5" t="s">
        <v>1627</v>
      </c>
      <c r="J143" s="5" t="s">
        <v>1627</v>
      </c>
      <c r="K143" s="5">
        <v>32</v>
      </c>
      <c r="L143" s="5" t="s">
        <v>909</v>
      </c>
      <c r="M143" s="5" t="s">
        <v>902</v>
      </c>
      <c r="N143" s="5" t="s">
        <v>930</v>
      </c>
      <c r="O143" s="5" t="s">
        <v>1628</v>
      </c>
      <c r="P143" s="5" t="s">
        <v>1629</v>
      </c>
      <c r="Q143" s="5" t="s">
        <v>1630</v>
      </c>
      <c r="R143" s="5">
        <v>115</v>
      </c>
      <c r="S143" s="5">
        <v>122</v>
      </c>
      <c r="T143" s="5">
        <v>0.43</v>
      </c>
      <c r="U143" s="5">
        <v>35</v>
      </c>
      <c r="V143" s="5">
        <v>30</v>
      </c>
      <c r="W143" s="5">
        <v>100</v>
      </c>
      <c r="X143" s="5" t="s">
        <v>907</v>
      </c>
      <c r="Y143" s="5" t="s">
        <v>908</v>
      </c>
      <c r="Z143" s="5">
        <v>0</v>
      </c>
      <c r="AA143" s="5" t="s">
        <v>909</v>
      </c>
      <c r="AB143" s="5">
        <v>24.93</v>
      </c>
      <c r="AC143" s="5">
        <v>0.58</v>
      </c>
      <c r="AD143" s="5">
        <v>14.4594</v>
      </c>
      <c r="AE143" s="5">
        <v>18.0742</v>
      </c>
      <c r="AF143" s="5">
        <v>19.2792</v>
      </c>
      <c r="AG143" s="5">
        <v>22.2452</v>
      </c>
      <c r="AH143" s="5">
        <v>26.2898</v>
      </c>
      <c r="AI143" s="5"/>
    </row>
    <row r="144" hidden="1" spans="1:35">
      <c r="A144" s="5" t="s">
        <v>897</v>
      </c>
      <c r="B144" s="5" t="s">
        <v>197</v>
      </c>
      <c r="C144" s="5" t="s">
        <v>196</v>
      </c>
      <c r="D144" s="5" t="s">
        <v>1632</v>
      </c>
      <c r="E144" s="5" t="s">
        <v>899</v>
      </c>
      <c r="F144" s="5" t="s">
        <v>96</v>
      </c>
      <c r="G144" s="5" t="s">
        <v>97</v>
      </c>
      <c r="H144" s="5" t="s">
        <v>1633</v>
      </c>
      <c r="I144" s="5" t="s">
        <v>1627</v>
      </c>
      <c r="J144" s="5" t="s">
        <v>1627</v>
      </c>
      <c r="K144" s="5">
        <v>32</v>
      </c>
      <c r="L144" s="5" t="s">
        <v>909</v>
      </c>
      <c r="M144" s="5" t="s">
        <v>902</v>
      </c>
      <c r="N144" s="5" t="s">
        <v>1634</v>
      </c>
      <c r="O144" s="5" t="s">
        <v>1633</v>
      </c>
      <c r="P144" s="5" t="s">
        <v>1635</v>
      </c>
      <c r="Q144" s="5" t="s">
        <v>1636</v>
      </c>
      <c r="R144" s="5">
        <v>140</v>
      </c>
      <c r="S144" s="5">
        <v>153</v>
      </c>
      <c r="T144" s="5">
        <v>0.88</v>
      </c>
      <c r="U144" s="5">
        <v>27</v>
      </c>
      <c r="V144" s="5">
        <v>27</v>
      </c>
      <c r="W144" s="5">
        <v>50</v>
      </c>
      <c r="X144" s="5" t="s">
        <v>907</v>
      </c>
      <c r="Y144" s="5" t="s">
        <v>908</v>
      </c>
      <c r="Z144" s="5">
        <v>136</v>
      </c>
      <c r="AA144" s="5" t="s">
        <v>909</v>
      </c>
      <c r="AB144" s="5">
        <v>9.52</v>
      </c>
      <c r="AC144" s="5">
        <v>0.58</v>
      </c>
      <c r="AD144" s="5">
        <v>5.5216</v>
      </c>
      <c r="AE144" s="5">
        <v>6.902</v>
      </c>
      <c r="AF144" s="5">
        <v>7.3621</v>
      </c>
      <c r="AG144" s="5">
        <v>8.4948</v>
      </c>
      <c r="AH144" s="5">
        <v>10.0393</v>
      </c>
      <c r="AI144" s="5"/>
    </row>
    <row r="145" hidden="1" spans="1:35">
      <c r="A145" s="5" t="s">
        <v>897</v>
      </c>
      <c r="B145" s="5" t="s">
        <v>717</v>
      </c>
      <c r="C145" s="5" t="s">
        <v>716</v>
      </c>
      <c r="D145" s="5" t="s">
        <v>1637</v>
      </c>
      <c r="E145" s="5" t="s">
        <v>899</v>
      </c>
      <c r="F145" s="5" t="s">
        <v>96</v>
      </c>
      <c r="G145" s="5" t="s">
        <v>97</v>
      </c>
      <c r="H145" s="5" t="s">
        <v>1633</v>
      </c>
      <c r="I145" s="5" t="s">
        <v>1627</v>
      </c>
      <c r="J145" s="5" t="s">
        <v>1627</v>
      </c>
      <c r="K145" s="5">
        <v>32</v>
      </c>
      <c r="L145" s="5" t="s">
        <v>909</v>
      </c>
      <c r="M145" s="5" t="s">
        <v>902</v>
      </c>
      <c r="N145" s="5" t="s">
        <v>1634</v>
      </c>
      <c r="O145" s="5" t="s">
        <v>1633</v>
      </c>
      <c r="P145" s="5" t="s">
        <v>1638</v>
      </c>
      <c r="Q145" s="5" t="s">
        <v>1639</v>
      </c>
      <c r="R145" s="5">
        <v>293</v>
      </c>
      <c r="S145" s="5">
        <v>305</v>
      </c>
      <c r="T145" s="5">
        <v>1.04</v>
      </c>
      <c r="U145" s="5">
        <v>27</v>
      </c>
      <c r="V145" s="5">
        <v>27</v>
      </c>
      <c r="W145" s="5">
        <v>50</v>
      </c>
      <c r="X145" s="5" t="s">
        <v>907</v>
      </c>
      <c r="Y145" s="5" t="s">
        <v>908</v>
      </c>
      <c r="Z145" s="5">
        <v>164</v>
      </c>
      <c r="AA145" s="5" t="s">
        <v>909</v>
      </c>
      <c r="AB145" s="5">
        <v>20.33</v>
      </c>
      <c r="AC145" s="5">
        <v>0.58</v>
      </c>
      <c r="AD145" s="5">
        <v>11.7914</v>
      </c>
      <c r="AE145" s="5">
        <v>14.7392</v>
      </c>
      <c r="AF145" s="5">
        <v>15.7219</v>
      </c>
      <c r="AG145" s="5">
        <v>18.1406</v>
      </c>
      <c r="AH145" s="5">
        <v>21.4389</v>
      </c>
      <c r="AI145" s="5"/>
    </row>
    <row r="146" hidden="1" spans="1:35">
      <c r="A146" s="5" t="s">
        <v>897</v>
      </c>
      <c r="B146" s="5" t="s">
        <v>649</v>
      </c>
      <c r="C146" s="5" t="s">
        <v>648</v>
      </c>
      <c r="D146" s="5" t="s">
        <v>1640</v>
      </c>
      <c r="E146" s="5" t="s">
        <v>899</v>
      </c>
      <c r="F146" s="5" t="s">
        <v>108</v>
      </c>
      <c r="G146" s="5" t="s">
        <v>109</v>
      </c>
      <c r="H146" s="5" t="s">
        <v>1641</v>
      </c>
      <c r="I146" s="5" t="s">
        <v>1627</v>
      </c>
      <c r="J146" s="5" t="s">
        <v>1627</v>
      </c>
      <c r="K146" s="5">
        <v>32</v>
      </c>
      <c r="L146" s="5" t="s">
        <v>909</v>
      </c>
      <c r="M146" s="5" t="s">
        <v>902</v>
      </c>
      <c r="N146" s="5" t="s">
        <v>1642</v>
      </c>
      <c r="O146" s="5" t="s">
        <v>1643</v>
      </c>
      <c r="P146" s="5" t="s">
        <v>1644</v>
      </c>
      <c r="Q146" s="5" t="s">
        <v>1645</v>
      </c>
      <c r="R146" s="5">
        <v>250</v>
      </c>
      <c r="S146" s="5">
        <v>270</v>
      </c>
      <c r="T146" s="5">
        <v>0.57</v>
      </c>
      <c r="U146" s="5">
        <v>26.5</v>
      </c>
      <c r="V146" s="5">
        <v>25.5</v>
      </c>
      <c r="W146" s="5">
        <v>50</v>
      </c>
      <c r="X146" s="5" t="s">
        <v>907</v>
      </c>
      <c r="Y146" s="5" t="s">
        <v>908</v>
      </c>
      <c r="Z146" s="5">
        <v>124</v>
      </c>
      <c r="AA146" s="5" t="s">
        <v>909</v>
      </c>
      <c r="AB146" s="5">
        <v>17.3</v>
      </c>
      <c r="AC146" s="5">
        <v>0.58</v>
      </c>
      <c r="AD146" s="5">
        <v>10.034</v>
      </c>
      <c r="AE146" s="5">
        <v>12.5425</v>
      </c>
      <c r="AF146" s="5">
        <v>13.3787</v>
      </c>
      <c r="AG146" s="5">
        <v>15.4369</v>
      </c>
      <c r="AH146" s="5">
        <v>18.2436</v>
      </c>
      <c r="AI146" s="5"/>
    </row>
    <row r="147" hidden="1" spans="1:35">
      <c r="A147" s="5" t="s">
        <v>897</v>
      </c>
      <c r="B147" s="5" t="s">
        <v>795</v>
      </c>
      <c r="C147" s="5" t="s">
        <v>794</v>
      </c>
      <c r="D147" s="5" t="s">
        <v>1646</v>
      </c>
      <c r="E147" s="5" t="s">
        <v>899</v>
      </c>
      <c r="F147" s="5" t="s">
        <v>108</v>
      </c>
      <c r="G147" s="5" t="s">
        <v>109</v>
      </c>
      <c r="H147" s="5" t="s">
        <v>1647</v>
      </c>
      <c r="I147" s="5" t="s">
        <v>1627</v>
      </c>
      <c r="J147" s="5" t="s">
        <v>1627</v>
      </c>
      <c r="K147" s="5">
        <v>32</v>
      </c>
      <c r="L147" s="5" t="s">
        <v>909</v>
      </c>
      <c r="M147" s="5" t="s">
        <v>919</v>
      </c>
      <c r="N147" s="5" t="s">
        <v>1648</v>
      </c>
      <c r="O147" s="5" t="s">
        <v>1649</v>
      </c>
      <c r="P147" s="5" t="s">
        <v>1650</v>
      </c>
      <c r="Q147" s="5" t="s">
        <v>1651</v>
      </c>
      <c r="R147" s="5">
        <v>400</v>
      </c>
      <c r="S147" s="5">
        <v>420</v>
      </c>
      <c r="T147" s="5">
        <v>1.48</v>
      </c>
      <c r="U147" s="5">
        <v>52.5</v>
      </c>
      <c r="V147" s="5">
        <v>34.5</v>
      </c>
      <c r="W147" s="5">
        <v>40</v>
      </c>
      <c r="X147" s="5" t="s">
        <v>907</v>
      </c>
      <c r="Y147" s="5" t="s">
        <v>908</v>
      </c>
      <c r="Z147" s="5">
        <v>101</v>
      </c>
      <c r="AA147" s="5" t="s">
        <v>909</v>
      </c>
      <c r="AB147" s="5">
        <v>14.46</v>
      </c>
      <c r="AC147" s="5">
        <v>0.58</v>
      </c>
      <c r="AD147" s="5">
        <v>8.3868</v>
      </c>
      <c r="AE147" s="5">
        <v>10.4835</v>
      </c>
      <c r="AF147" s="5">
        <v>11.1824</v>
      </c>
      <c r="AG147" s="5">
        <v>12.9028</v>
      </c>
      <c r="AH147" s="5">
        <v>15.2487</v>
      </c>
      <c r="AI147" s="5"/>
    </row>
    <row r="148" hidden="1" spans="1:35">
      <c r="A148" s="5" t="s">
        <v>897</v>
      </c>
      <c r="B148" s="5" t="s">
        <v>713</v>
      </c>
      <c r="C148" s="5" t="s">
        <v>712</v>
      </c>
      <c r="D148" s="5" t="s">
        <v>1652</v>
      </c>
      <c r="E148" s="5" t="s">
        <v>899</v>
      </c>
      <c r="F148" s="5" t="s">
        <v>108</v>
      </c>
      <c r="G148" s="5" t="s">
        <v>109</v>
      </c>
      <c r="H148" s="5" t="s">
        <v>1647</v>
      </c>
      <c r="I148" s="5" t="s">
        <v>1627</v>
      </c>
      <c r="J148" s="5" t="s">
        <v>1627</v>
      </c>
      <c r="K148" s="5">
        <v>32</v>
      </c>
      <c r="L148" s="5" t="s">
        <v>909</v>
      </c>
      <c r="M148" s="5" t="s">
        <v>919</v>
      </c>
      <c r="N148" s="5" t="s">
        <v>1653</v>
      </c>
      <c r="O148" s="5" t="s">
        <v>1654</v>
      </c>
      <c r="P148" s="5" t="s">
        <v>1655</v>
      </c>
      <c r="Q148" s="5" t="s">
        <v>1656</v>
      </c>
      <c r="R148" s="5">
        <v>880</v>
      </c>
      <c r="S148" s="5">
        <v>920</v>
      </c>
      <c r="T148" s="5">
        <v>3.7</v>
      </c>
      <c r="U148" s="5">
        <v>38.2</v>
      </c>
      <c r="V148" s="5">
        <v>28.5</v>
      </c>
      <c r="W148" s="5">
        <v>20</v>
      </c>
      <c r="X148" s="5" t="s">
        <v>907</v>
      </c>
      <c r="Y148" s="5" t="s">
        <v>908</v>
      </c>
      <c r="Z148" s="5">
        <v>140</v>
      </c>
      <c r="AA148" s="5" t="s">
        <v>909</v>
      </c>
      <c r="AB148" s="5">
        <v>27.04</v>
      </c>
      <c r="AC148" s="5">
        <v>0.58</v>
      </c>
      <c r="AD148" s="5">
        <v>15.6832</v>
      </c>
      <c r="AE148" s="5">
        <v>19.604</v>
      </c>
      <c r="AF148" s="5">
        <v>20.9109</v>
      </c>
      <c r="AG148" s="5">
        <v>24.128</v>
      </c>
      <c r="AH148" s="5">
        <v>28.5149</v>
      </c>
      <c r="AI148" s="5"/>
    </row>
    <row r="149" hidden="1" spans="1:35">
      <c r="A149" s="5" t="s">
        <v>897</v>
      </c>
      <c r="B149" s="5" t="s">
        <v>477</v>
      </c>
      <c r="C149" s="5" t="s">
        <v>476</v>
      </c>
      <c r="D149" s="5" t="s">
        <v>1657</v>
      </c>
      <c r="E149" s="5" t="s">
        <v>899</v>
      </c>
      <c r="F149" s="5" t="s">
        <v>108</v>
      </c>
      <c r="G149" s="5" t="s">
        <v>109</v>
      </c>
      <c r="H149" s="5" t="s">
        <v>1641</v>
      </c>
      <c r="I149" s="5" t="s">
        <v>1658</v>
      </c>
      <c r="J149" s="5" t="s">
        <v>1658</v>
      </c>
      <c r="K149" s="5">
        <v>31</v>
      </c>
      <c r="L149" s="5" t="s">
        <v>909</v>
      </c>
      <c r="M149" s="5" t="s">
        <v>902</v>
      </c>
      <c r="N149" s="5" t="s">
        <v>1642</v>
      </c>
      <c r="O149" s="5" t="s">
        <v>1643</v>
      </c>
      <c r="P149" s="5" t="s">
        <v>1659</v>
      </c>
      <c r="Q149" s="5" t="s">
        <v>1660</v>
      </c>
      <c r="R149" s="5">
        <v>442</v>
      </c>
      <c r="S149" s="5">
        <v>447</v>
      </c>
      <c r="T149" s="5">
        <v>0.73</v>
      </c>
      <c r="U149" s="5">
        <v>35.5</v>
      </c>
      <c r="V149" s="5">
        <v>33</v>
      </c>
      <c r="W149" s="5">
        <v>60</v>
      </c>
      <c r="X149" s="5" t="s">
        <v>907</v>
      </c>
      <c r="Y149" s="5" t="s">
        <v>908</v>
      </c>
      <c r="Z149" s="5">
        <v>220</v>
      </c>
      <c r="AA149" s="5" t="s">
        <v>909</v>
      </c>
      <c r="AB149" s="5">
        <v>16.07</v>
      </c>
      <c r="AC149" s="5">
        <v>0.58</v>
      </c>
      <c r="AD149" s="5">
        <v>9.3206</v>
      </c>
      <c r="AE149" s="5">
        <v>11.6507</v>
      </c>
      <c r="AF149" s="5">
        <v>12.4275</v>
      </c>
      <c r="AG149" s="5">
        <v>14.3394</v>
      </c>
      <c r="AH149" s="5">
        <v>16.9465</v>
      </c>
      <c r="AI149" s="5"/>
    </row>
    <row r="150" hidden="1" spans="1:35">
      <c r="A150" s="5" t="s">
        <v>897</v>
      </c>
      <c r="B150" s="5" t="s">
        <v>266</v>
      </c>
      <c r="C150" s="5" t="s">
        <v>265</v>
      </c>
      <c r="D150" s="5" t="s">
        <v>1661</v>
      </c>
      <c r="E150" s="5" t="s">
        <v>899</v>
      </c>
      <c r="F150" s="5" t="s">
        <v>96</v>
      </c>
      <c r="G150" s="5" t="s">
        <v>97</v>
      </c>
      <c r="H150" s="5" t="s">
        <v>1662</v>
      </c>
      <c r="I150" s="5" t="s">
        <v>1473</v>
      </c>
      <c r="J150" s="5" t="s">
        <v>1473</v>
      </c>
      <c r="K150" s="5">
        <v>31</v>
      </c>
      <c r="L150" s="5" t="s">
        <v>909</v>
      </c>
      <c r="M150" s="5" t="s">
        <v>919</v>
      </c>
      <c r="N150" s="5" t="s">
        <v>1663</v>
      </c>
      <c r="O150" s="5" t="s">
        <v>1664</v>
      </c>
      <c r="P150" s="5" t="s">
        <v>1665</v>
      </c>
      <c r="Q150" s="5" t="s">
        <v>1666</v>
      </c>
      <c r="R150" s="5">
        <v>1000</v>
      </c>
      <c r="S150" s="5">
        <v>1134</v>
      </c>
      <c r="T150" s="5">
        <v>2.34</v>
      </c>
      <c r="U150" s="5">
        <v>46.5</v>
      </c>
      <c r="V150" s="5">
        <v>43</v>
      </c>
      <c r="W150" s="5">
        <v>24</v>
      </c>
      <c r="X150" s="5" t="s">
        <v>1020</v>
      </c>
      <c r="Y150" s="5" t="s">
        <v>908</v>
      </c>
      <c r="Z150" s="5">
        <v>322</v>
      </c>
      <c r="AA150" s="5" t="s">
        <v>909</v>
      </c>
      <c r="AB150" s="5">
        <v>74.74</v>
      </c>
      <c r="AC150" s="5">
        <v>0.58</v>
      </c>
      <c r="AD150" s="5">
        <v>43.3492</v>
      </c>
      <c r="AE150" s="5">
        <v>54.1865</v>
      </c>
      <c r="AF150" s="5">
        <v>57.7989</v>
      </c>
      <c r="AG150" s="5">
        <v>66.6911</v>
      </c>
      <c r="AH150" s="5">
        <v>78.8167</v>
      </c>
      <c r="AI150" s="5"/>
    </row>
    <row r="151" hidden="1" spans="1:35">
      <c r="A151" s="5" t="s">
        <v>897</v>
      </c>
      <c r="B151" s="5" t="s">
        <v>205</v>
      </c>
      <c r="C151" s="5" t="s">
        <v>204</v>
      </c>
      <c r="D151" s="5" t="s">
        <v>1667</v>
      </c>
      <c r="E151" s="5" t="s">
        <v>899</v>
      </c>
      <c r="F151" s="5" t="s">
        <v>96</v>
      </c>
      <c r="G151" s="5" t="s">
        <v>97</v>
      </c>
      <c r="H151" s="5" t="s">
        <v>1662</v>
      </c>
      <c r="I151" s="5" t="s">
        <v>1473</v>
      </c>
      <c r="J151" s="5" t="s">
        <v>1473</v>
      </c>
      <c r="K151" s="5">
        <v>31</v>
      </c>
      <c r="L151" s="5" t="s">
        <v>909</v>
      </c>
      <c r="M151" s="5" t="s">
        <v>919</v>
      </c>
      <c r="N151" s="5" t="s">
        <v>1663</v>
      </c>
      <c r="O151" s="5" t="s">
        <v>1664</v>
      </c>
      <c r="P151" s="5" t="s">
        <v>1668</v>
      </c>
      <c r="Q151" s="5" t="s">
        <v>1669</v>
      </c>
      <c r="R151" s="5">
        <v>800</v>
      </c>
      <c r="S151" s="5">
        <v>837</v>
      </c>
      <c r="T151" s="5">
        <v>1.67</v>
      </c>
      <c r="U151" s="5">
        <v>46</v>
      </c>
      <c r="V151" s="5">
        <v>46</v>
      </c>
      <c r="W151" s="5">
        <v>30</v>
      </c>
      <c r="X151" s="5" t="s">
        <v>1020</v>
      </c>
      <c r="Y151" s="5" t="s">
        <v>908</v>
      </c>
      <c r="Z151" s="5">
        <v>705</v>
      </c>
      <c r="AA151" s="5" t="s">
        <v>909</v>
      </c>
      <c r="AB151" s="5">
        <v>93.94</v>
      </c>
      <c r="AC151" s="5">
        <v>0.58</v>
      </c>
      <c r="AD151" s="5">
        <v>54.4852</v>
      </c>
      <c r="AE151" s="5">
        <v>68.1065</v>
      </c>
      <c r="AF151" s="5">
        <v>72.6469</v>
      </c>
      <c r="AG151" s="5">
        <v>83.8234</v>
      </c>
      <c r="AH151" s="5">
        <v>99.064</v>
      </c>
      <c r="AI151" s="5"/>
    </row>
    <row r="152" hidden="1" spans="1:35">
      <c r="A152" s="5" t="s">
        <v>897</v>
      </c>
      <c r="B152" s="5" t="s">
        <v>598</v>
      </c>
      <c r="C152" s="5" t="s">
        <v>597</v>
      </c>
      <c r="D152" s="5" t="s">
        <v>1670</v>
      </c>
      <c r="E152" s="5" t="s">
        <v>899</v>
      </c>
      <c r="F152" s="5" t="s">
        <v>96</v>
      </c>
      <c r="G152" s="5" t="s">
        <v>97</v>
      </c>
      <c r="H152" s="5" t="s">
        <v>1671</v>
      </c>
      <c r="I152" s="5" t="s">
        <v>1658</v>
      </c>
      <c r="J152" s="5" t="s">
        <v>1658</v>
      </c>
      <c r="K152" s="5">
        <v>31</v>
      </c>
      <c r="L152" s="5" t="s">
        <v>909</v>
      </c>
      <c r="M152" s="5" t="s">
        <v>902</v>
      </c>
      <c r="N152" s="5" t="s">
        <v>944</v>
      </c>
      <c r="O152" s="5" t="s">
        <v>1672</v>
      </c>
      <c r="P152" s="5" t="s">
        <v>1673</v>
      </c>
      <c r="Q152" s="5" t="s">
        <v>1674</v>
      </c>
      <c r="R152" s="5">
        <v>1300</v>
      </c>
      <c r="S152" s="5">
        <v>1400</v>
      </c>
      <c r="T152" s="5">
        <v>5.7</v>
      </c>
      <c r="U152" s="5">
        <v>42</v>
      </c>
      <c r="V152" s="5">
        <v>27</v>
      </c>
      <c r="W152" s="5">
        <v>10</v>
      </c>
      <c r="X152" s="5" t="s">
        <v>907</v>
      </c>
      <c r="Y152" s="5" t="s">
        <v>908</v>
      </c>
      <c r="Z152" s="5">
        <v>37</v>
      </c>
      <c r="AA152" s="5" t="s">
        <v>909</v>
      </c>
      <c r="AB152" s="5">
        <v>49.37</v>
      </c>
      <c r="AC152" s="5">
        <v>0.58</v>
      </c>
      <c r="AD152" s="5">
        <v>28.6346</v>
      </c>
      <c r="AE152" s="5">
        <v>35.7932</v>
      </c>
      <c r="AF152" s="5">
        <v>38.1795</v>
      </c>
      <c r="AG152" s="5">
        <v>44.0532</v>
      </c>
      <c r="AH152" s="5">
        <v>52.0629</v>
      </c>
      <c r="AI152" s="5"/>
    </row>
    <row r="153" hidden="1" spans="1:35">
      <c r="A153" s="5" t="s">
        <v>897</v>
      </c>
      <c r="B153" s="5" t="s">
        <v>342</v>
      </c>
      <c r="C153" s="5" t="s">
        <v>341</v>
      </c>
      <c r="D153" s="5" t="s">
        <v>1407</v>
      </c>
      <c r="E153" s="5" t="s">
        <v>899</v>
      </c>
      <c r="F153" s="5" t="s">
        <v>96</v>
      </c>
      <c r="G153" s="5" t="s">
        <v>115</v>
      </c>
      <c r="H153" s="5" t="s">
        <v>1365</v>
      </c>
      <c r="I153" s="5" t="s">
        <v>1675</v>
      </c>
      <c r="J153" s="5" t="s">
        <v>1675</v>
      </c>
      <c r="K153" s="5">
        <v>31</v>
      </c>
      <c r="L153" s="5"/>
      <c r="M153" s="5" t="s">
        <v>919</v>
      </c>
      <c r="N153" s="5" t="s">
        <v>1409</v>
      </c>
      <c r="O153" s="5" t="s">
        <v>1410</v>
      </c>
      <c r="P153" s="5" t="s">
        <v>1676</v>
      </c>
      <c r="Q153" s="5" t="s">
        <v>1677</v>
      </c>
      <c r="R153" s="5">
        <v>3500</v>
      </c>
      <c r="S153" s="5">
        <v>4000</v>
      </c>
      <c r="T153" s="5">
        <v>42.9</v>
      </c>
      <c r="U153" s="5">
        <v>38.7</v>
      </c>
      <c r="V153" s="5">
        <v>13.3</v>
      </c>
      <c r="W153" s="5">
        <v>1</v>
      </c>
      <c r="X153" s="5" t="s">
        <v>1020</v>
      </c>
      <c r="Y153" s="5" t="s">
        <v>908</v>
      </c>
      <c r="Z153" s="5">
        <v>528</v>
      </c>
      <c r="AA153" s="5" t="s">
        <v>909</v>
      </c>
      <c r="AB153" s="5">
        <v>78.76</v>
      </c>
      <c r="AC153" s="5">
        <v>0.58</v>
      </c>
      <c r="AD153" s="5">
        <v>45.6808</v>
      </c>
      <c r="AE153" s="5">
        <v>57.101</v>
      </c>
      <c r="AF153" s="5">
        <v>60.9077</v>
      </c>
      <c r="AG153" s="5">
        <v>70.2782</v>
      </c>
      <c r="AH153" s="5">
        <v>83.056</v>
      </c>
      <c r="AI153" s="5"/>
    </row>
    <row r="154" hidden="1" spans="1:35">
      <c r="A154" s="5" t="s">
        <v>897</v>
      </c>
      <c r="B154" s="5" t="s">
        <v>344</v>
      </c>
      <c r="C154" s="5" t="s">
        <v>343</v>
      </c>
      <c r="D154" s="5" t="s">
        <v>1413</v>
      </c>
      <c r="E154" s="5" t="s">
        <v>899</v>
      </c>
      <c r="F154" s="5" t="s">
        <v>96</v>
      </c>
      <c r="G154" s="5" t="s">
        <v>115</v>
      </c>
      <c r="H154" s="5" t="s">
        <v>1365</v>
      </c>
      <c r="I154" s="5" t="s">
        <v>1675</v>
      </c>
      <c r="J154" s="5" t="s">
        <v>1675</v>
      </c>
      <c r="K154" s="5">
        <v>31</v>
      </c>
      <c r="L154" s="5"/>
      <c r="M154" s="5" t="s">
        <v>919</v>
      </c>
      <c r="N154" s="5" t="s">
        <v>1409</v>
      </c>
      <c r="O154" s="5" t="s">
        <v>1410</v>
      </c>
      <c r="P154" s="5" t="s">
        <v>1678</v>
      </c>
      <c r="Q154" s="5" t="s">
        <v>1679</v>
      </c>
      <c r="R154" s="5">
        <v>4500</v>
      </c>
      <c r="S154" s="5">
        <v>5100</v>
      </c>
      <c r="T154" s="5">
        <v>47.5</v>
      </c>
      <c r="U154" s="5">
        <v>46</v>
      </c>
      <c r="V154" s="5">
        <v>14.3</v>
      </c>
      <c r="W154" s="5">
        <v>1</v>
      </c>
      <c r="X154" s="5" t="s">
        <v>907</v>
      </c>
      <c r="Y154" s="5" t="s">
        <v>908</v>
      </c>
      <c r="Z154" s="5">
        <v>429</v>
      </c>
      <c r="AA154" s="5" t="s">
        <v>909</v>
      </c>
      <c r="AB154" s="5">
        <v>113.32</v>
      </c>
      <c r="AC154" s="5">
        <v>0.58</v>
      </c>
      <c r="AD154" s="5">
        <v>65.7256</v>
      </c>
      <c r="AE154" s="5">
        <v>82.157</v>
      </c>
      <c r="AF154" s="5">
        <v>87.6341</v>
      </c>
      <c r="AG154" s="5">
        <v>101.1163</v>
      </c>
      <c r="AH154" s="5">
        <v>119.5011</v>
      </c>
      <c r="AI154" s="5"/>
    </row>
    <row r="155" hidden="1" spans="1:35">
      <c r="A155" s="5" t="s">
        <v>897</v>
      </c>
      <c r="B155" s="5" t="s">
        <v>576</v>
      </c>
      <c r="C155" s="5" t="s">
        <v>574</v>
      </c>
      <c r="D155" s="5" t="s">
        <v>1348</v>
      </c>
      <c r="E155" s="5" t="s">
        <v>899</v>
      </c>
      <c r="F155" s="5" t="s">
        <v>96</v>
      </c>
      <c r="G155" s="5" t="s">
        <v>127</v>
      </c>
      <c r="H155" s="5" t="s">
        <v>1349</v>
      </c>
      <c r="I155" s="5" t="s">
        <v>1675</v>
      </c>
      <c r="J155" s="5" t="s">
        <v>1675</v>
      </c>
      <c r="K155" s="5">
        <v>31</v>
      </c>
      <c r="L155" s="5"/>
      <c r="M155" s="5" t="s">
        <v>919</v>
      </c>
      <c r="N155" s="5" t="s">
        <v>1352</v>
      </c>
      <c r="O155" s="5" t="s">
        <v>1353</v>
      </c>
      <c r="P155" s="5" t="s">
        <v>1680</v>
      </c>
      <c r="Q155" s="5" t="s">
        <v>1355</v>
      </c>
      <c r="R155" s="5">
        <v>2300</v>
      </c>
      <c r="S155" s="5">
        <v>2800</v>
      </c>
      <c r="T155" s="5">
        <v>27</v>
      </c>
      <c r="U155" s="5">
        <v>21</v>
      </c>
      <c r="V155" s="5">
        <v>21</v>
      </c>
      <c r="W155" s="5">
        <v>1</v>
      </c>
      <c r="X155" s="5" t="s">
        <v>1020</v>
      </c>
      <c r="Y155" s="5" t="s">
        <v>908</v>
      </c>
      <c r="Z155" s="5">
        <v>0</v>
      </c>
      <c r="AA155" s="5" t="s">
        <v>909</v>
      </c>
      <c r="AB155" s="5">
        <v>59.69</v>
      </c>
      <c r="AC155" s="5">
        <v>0.58</v>
      </c>
      <c r="AD155" s="5">
        <v>34.6202</v>
      </c>
      <c r="AE155" s="5">
        <v>43.2752</v>
      </c>
      <c r="AF155" s="5">
        <v>46.1603</v>
      </c>
      <c r="AG155" s="5">
        <v>53.2618</v>
      </c>
      <c r="AH155" s="5">
        <v>62.9458</v>
      </c>
      <c r="AI155" s="5"/>
    </row>
    <row r="156" hidden="1" spans="1:35">
      <c r="A156" s="5" t="s">
        <v>897</v>
      </c>
      <c r="B156" s="5" t="s">
        <v>135</v>
      </c>
      <c r="C156" s="5" t="s">
        <v>128</v>
      </c>
      <c r="D156" s="5" t="s">
        <v>1681</v>
      </c>
      <c r="E156" s="5" t="s">
        <v>899</v>
      </c>
      <c r="F156" s="5" t="s">
        <v>96</v>
      </c>
      <c r="G156" s="5" t="s">
        <v>127</v>
      </c>
      <c r="H156" s="5" t="s">
        <v>1349</v>
      </c>
      <c r="I156" s="5" t="s">
        <v>1675</v>
      </c>
      <c r="J156" s="5" t="s">
        <v>1675</v>
      </c>
      <c r="K156" s="5">
        <v>31</v>
      </c>
      <c r="L156" s="5"/>
      <c r="M156" s="5" t="s">
        <v>919</v>
      </c>
      <c r="N156" s="5" t="s">
        <v>1682</v>
      </c>
      <c r="O156" s="5" t="s">
        <v>1683</v>
      </c>
      <c r="P156" s="5" t="s">
        <v>1684</v>
      </c>
      <c r="Q156" s="5" t="s">
        <v>1685</v>
      </c>
      <c r="R156" s="5">
        <v>12000</v>
      </c>
      <c r="S156" s="5">
        <v>12500</v>
      </c>
      <c r="T156" s="5">
        <v>55</v>
      </c>
      <c r="U156" s="5">
        <v>40</v>
      </c>
      <c r="V156" s="5">
        <v>35</v>
      </c>
      <c r="W156" s="5">
        <v>1</v>
      </c>
      <c r="X156" s="5" t="s">
        <v>1020</v>
      </c>
      <c r="Y156" s="5" t="s">
        <v>908</v>
      </c>
      <c r="Z156" s="5">
        <v>5</v>
      </c>
      <c r="AA156" s="5" t="s">
        <v>909</v>
      </c>
      <c r="AB156" s="5">
        <v>217.77</v>
      </c>
      <c r="AC156" s="5">
        <v>0.58</v>
      </c>
      <c r="AD156" s="5">
        <v>126.3066</v>
      </c>
      <c r="AE156" s="5">
        <v>157.8832</v>
      </c>
      <c r="AF156" s="5">
        <v>168.4088</v>
      </c>
      <c r="AG156" s="5">
        <v>194.3178</v>
      </c>
      <c r="AH156" s="5">
        <v>229.6484</v>
      </c>
      <c r="AI156" s="5"/>
    </row>
    <row r="157" hidden="1" spans="1:35">
      <c r="A157" s="5" t="s">
        <v>897</v>
      </c>
      <c r="B157" s="5" t="s">
        <v>251</v>
      </c>
      <c r="C157" s="5" t="s">
        <v>249</v>
      </c>
      <c r="D157" s="5" t="s">
        <v>1356</v>
      </c>
      <c r="E157" s="5" t="s">
        <v>899</v>
      </c>
      <c r="F157" s="5" t="s">
        <v>96</v>
      </c>
      <c r="G157" s="5" t="s">
        <v>127</v>
      </c>
      <c r="H157" s="5" t="s">
        <v>1349</v>
      </c>
      <c r="I157" s="5" t="s">
        <v>1675</v>
      </c>
      <c r="J157" s="5" t="s">
        <v>1675</v>
      </c>
      <c r="K157" s="5">
        <v>31</v>
      </c>
      <c r="L157" s="5"/>
      <c r="M157" s="5" t="s">
        <v>919</v>
      </c>
      <c r="N157" s="5" t="s">
        <v>1352</v>
      </c>
      <c r="O157" s="5" t="s">
        <v>1353</v>
      </c>
      <c r="P157" s="5" t="s">
        <v>1686</v>
      </c>
      <c r="Q157" s="5" t="s">
        <v>1358</v>
      </c>
      <c r="R157" s="5">
        <v>6250</v>
      </c>
      <c r="S157" s="5">
        <v>6700</v>
      </c>
      <c r="T157" s="5">
        <v>40</v>
      </c>
      <c r="U157" s="5">
        <v>30</v>
      </c>
      <c r="V157" s="5">
        <v>30</v>
      </c>
      <c r="W157" s="5">
        <v>1</v>
      </c>
      <c r="X157" s="5" t="s">
        <v>1020</v>
      </c>
      <c r="Y157" s="5" t="s">
        <v>908</v>
      </c>
      <c r="Z157" s="5">
        <v>357</v>
      </c>
      <c r="AA157" s="5" t="s">
        <v>909</v>
      </c>
      <c r="AB157" s="5">
        <v>124.73</v>
      </c>
      <c r="AC157" s="5">
        <v>0.58</v>
      </c>
      <c r="AD157" s="5">
        <v>72.3434</v>
      </c>
      <c r="AE157" s="5">
        <v>90.4292</v>
      </c>
      <c r="AF157" s="5">
        <v>96.4579</v>
      </c>
      <c r="AG157" s="5">
        <v>111.2975</v>
      </c>
      <c r="AH157" s="5">
        <v>131.5335</v>
      </c>
      <c r="AI157" s="5"/>
    </row>
    <row r="158" hidden="1" spans="1:35">
      <c r="A158" s="5" t="s">
        <v>897</v>
      </c>
      <c r="B158" s="5" t="s">
        <v>582</v>
      </c>
      <c r="C158" s="5" t="s">
        <v>581</v>
      </c>
      <c r="D158" s="5" t="s">
        <v>1359</v>
      </c>
      <c r="E158" s="5" t="s">
        <v>899</v>
      </c>
      <c r="F158" s="5" t="s">
        <v>96</v>
      </c>
      <c r="G158" s="5" t="s">
        <v>127</v>
      </c>
      <c r="H158" s="5" t="s">
        <v>1349</v>
      </c>
      <c r="I158" s="5" t="s">
        <v>1675</v>
      </c>
      <c r="J158" s="5" t="s">
        <v>1675</v>
      </c>
      <c r="K158" s="5">
        <v>31</v>
      </c>
      <c r="L158" s="5"/>
      <c r="M158" s="5" t="s">
        <v>919</v>
      </c>
      <c r="N158" s="5" t="s">
        <v>1352</v>
      </c>
      <c r="O158" s="5" t="s">
        <v>1353</v>
      </c>
      <c r="P158" s="5" t="s">
        <v>1687</v>
      </c>
      <c r="Q158" s="5" t="s">
        <v>1363</v>
      </c>
      <c r="R158" s="5">
        <v>4250</v>
      </c>
      <c r="S158" s="5">
        <v>4600</v>
      </c>
      <c r="T158" s="5">
        <v>36</v>
      </c>
      <c r="U158" s="5">
        <v>25</v>
      </c>
      <c r="V158" s="5">
        <v>25</v>
      </c>
      <c r="W158" s="5">
        <v>1</v>
      </c>
      <c r="X158" s="5" t="s">
        <v>907</v>
      </c>
      <c r="Y158" s="5" t="s">
        <v>908</v>
      </c>
      <c r="Z158" s="5">
        <v>250</v>
      </c>
      <c r="AA158" s="5" t="s">
        <v>909</v>
      </c>
      <c r="AB158" s="5">
        <v>95.98</v>
      </c>
      <c r="AC158" s="5">
        <v>0.58</v>
      </c>
      <c r="AD158" s="5">
        <v>55.6684</v>
      </c>
      <c r="AE158" s="5">
        <v>69.5855</v>
      </c>
      <c r="AF158" s="5">
        <v>74.2245</v>
      </c>
      <c r="AG158" s="5">
        <v>85.6437</v>
      </c>
      <c r="AH158" s="5">
        <v>101.2153</v>
      </c>
      <c r="AI158" s="5"/>
    </row>
    <row r="159" hidden="1" spans="1:35">
      <c r="A159" s="5" t="s">
        <v>897</v>
      </c>
      <c r="B159" s="5" t="s">
        <v>450</v>
      </c>
      <c r="C159" s="5" t="s">
        <v>449</v>
      </c>
      <c r="D159" s="5" t="s">
        <v>1688</v>
      </c>
      <c r="E159" s="5" t="s">
        <v>899</v>
      </c>
      <c r="F159" s="5" t="s">
        <v>108</v>
      </c>
      <c r="G159" s="5" t="s">
        <v>109</v>
      </c>
      <c r="H159" s="5" t="s">
        <v>1689</v>
      </c>
      <c r="I159" s="5" t="s">
        <v>1658</v>
      </c>
      <c r="J159" s="5" t="s">
        <v>1658</v>
      </c>
      <c r="K159" s="5">
        <v>31</v>
      </c>
      <c r="L159" s="5" t="s">
        <v>909</v>
      </c>
      <c r="M159" s="5" t="s">
        <v>902</v>
      </c>
      <c r="N159" s="5" t="s">
        <v>1690</v>
      </c>
      <c r="O159" s="5" t="s">
        <v>1689</v>
      </c>
      <c r="P159" s="5" t="s">
        <v>1691</v>
      </c>
      <c r="Q159" s="5" t="s">
        <v>1692</v>
      </c>
      <c r="R159" s="5">
        <v>55</v>
      </c>
      <c r="S159" s="5">
        <v>60</v>
      </c>
      <c r="T159" s="5">
        <v>0.35</v>
      </c>
      <c r="U159" s="5">
        <v>33</v>
      </c>
      <c r="V159" s="5">
        <v>26</v>
      </c>
      <c r="W159" s="5">
        <v>100</v>
      </c>
      <c r="X159" s="5" t="s">
        <v>907</v>
      </c>
      <c r="Y159" s="5" t="s">
        <v>908</v>
      </c>
      <c r="Z159" s="5">
        <v>282</v>
      </c>
      <c r="AA159" s="5" t="s">
        <v>909</v>
      </c>
      <c r="AB159" s="5">
        <v>19.49</v>
      </c>
      <c r="AC159" s="5">
        <v>0.58</v>
      </c>
      <c r="AD159" s="5">
        <v>11.3042</v>
      </c>
      <c r="AE159" s="5">
        <v>14.1302</v>
      </c>
      <c r="AF159" s="5">
        <v>15.0723</v>
      </c>
      <c r="AG159" s="5">
        <v>17.3911</v>
      </c>
      <c r="AH159" s="5">
        <v>20.5531</v>
      </c>
      <c r="AI159" s="5"/>
    </row>
    <row r="160" hidden="1" spans="1:35">
      <c r="A160" s="5" t="s">
        <v>897</v>
      </c>
      <c r="B160" s="5" t="s">
        <v>1693</v>
      </c>
      <c r="C160" s="5" t="s">
        <v>1694</v>
      </c>
      <c r="D160" s="5" t="s">
        <v>1301</v>
      </c>
      <c r="E160" s="5" t="s">
        <v>899</v>
      </c>
      <c r="F160" s="5" t="s">
        <v>108</v>
      </c>
      <c r="G160" s="5" t="s">
        <v>927</v>
      </c>
      <c r="H160" s="5" t="s">
        <v>1401</v>
      </c>
      <c r="I160" s="5" t="s">
        <v>974</v>
      </c>
      <c r="J160" s="5" t="s">
        <v>974</v>
      </c>
      <c r="K160" s="5">
        <v>30</v>
      </c>
      <c r="L160" s="5" t="s">
        <v>909</v>
      </c>
      <c r="M160" s="5" t="s">
        <v>902</v>
      </c>
      <c r="N160" s="5" t="s">
        <v>930</v>
      </c>
      <c r="O160" s="5" t="s">
        <v>1695</v>
      </c>
      <c r="P160" s="5" t="s">
        <v>1696</v>
      </c>
      <c r="Q160" s="5"/>
      <c r="R160" s="5"/>
      <c r="S160" s="5"/>
      <c r="T160" s="5"/>
      <c r="U160" s="5"/>
      <c r="V160" s="5"/>
      <c r="W160" s="5"/>
      <c r="X160" s="5" t="s">
        <v>907</v>
      </c>
      <c r="Y160" s="5" t="s">
        <v>908</v>
      </c>
      <c r="Z160" s="5">
        <v>88</v>
      </c>
      <c r="AA160" s="5" t="s">
        <v>909</v>
      </c>
      <c r="AB160" s="5">
        <v>0.0001</v>
      </c>
      <c r="AC160" s="5">
        <v>0.58</v>
      </c>
      <c r="AD160" s="5">
        <v>0.0001</v>
      </c>
      <c r="AE160" s="5">
        <v>0.0001</v>
      </c>
      <c r="AF160" s="5">
        <v>0.0001</v>
      </c>
      <c r="AG160" s="5">
        <v>0.0001</v>
      </c>
      <c r="AH160" s="5">
        <v>0.0001</v>
      </c>
      <c r="AI160" s="5"/>
    </row>
    <row r="161" hidden="1" spans="1:35">
      <c r="A161" s="5" t="s">
        <v>897</v>
      </c>
      <c r="B161" s="5" t="s">
        <v>1697</v>
      </c>
      <c r="C161" s="5" t="s">
        <v>1698</v>
      </c>
      <c r="D161" s="5" t="s">
        <v>1301</v>
      </c>
      <c r="E161" s="5" t="s">
        <v>899</v>
      </c>
      <c r="F161" s="5" t="s">
        <v>108</v>
      </c>
      <c r="G161" s="5" t="s">
        <v>927</v>
      </c>
      <c r="H161" s="5" t="s">
        <v>1401</v>
      </c>
      <c r="I161" s="5" t="s">
        <v>1699</v>
      </c>
      <c r="J161" s="5" t="s">
        <v>1699</v>
      </c>
      <c r="K161" s="5">
        <v>30</v>
      </c>
      <c r="L161" s="5" t="s">
        <v>909</v>
      </c>
      <c r="M161" s="5" t="s">
        <v>902</v>
      </c>
      <c r="N161" s="5" t="s">
        <v>1297</v>
      </c>
      <c r="O161" s="5" t="s">
        <v>1695</v>
      </c>
      <c r="P161" s="5" t="s">
        <v>1700</v>
      </c>
      <c r="Q161" s="5"/>
      <c r="R161" s="5"/>
      <c r="S161" s="5"/>
      <c r="T161" s="5"/>
      <c r="U161" s="5"/>
      <c r="V161" s="5"/>
      <c r="W161" s="5"/>
      <c r="X161" s="5" t="s">
        <v>907</v>
      </c>
      <c r="Y161" s="5" t="s">
        <v>908</v>
      </c>
      <c r="Z161" s="5">
        <v>143</v>
      </c>
      <c r="AA161" s="5" t="s">
        <v>909</v>
      </c>
      <c r="AB161" s="5">
        <v>0.0001</v>
      </c>
      <c r="AC161" s="5">
        <v>0.58</v>
      </c>
      <c r="AD161" s="5">
        <v>0.0001</v>
      </c>
      <c r="AE161" s="5">
        <v>0.0001</v>
      </c>
      <c r="AF161" s="5">
        <v>0.0001</v>
      </c>
      <c r="AG161" s="5">
        <v>0.0001</v>
      </c>
      <c r="AH161" s="5">
        <v>0.0001</v>
      </c>
      <c r="AI161" s="5"/>
    </row>
    <row r="162" hidden="1" spans="1:35">
      <c r="A162" s="5" t="s">
        <v>897</v>
      </c>
      <c r="B162" s="5" t="s">
        <v>1701</v>
      </c>
      <c r="C162" s="5" t="s">
        <v>1405</v>
      </c>
      <c r="D162" s="5" t="s">
        <v>1301</v>
      </c>
      <c r="E162" s="5" t="s">
        <v>899</v>
      </c>
      <c r="F162" s="5" t="s">
        <v>108</v>
      </c>
      <c r="G162" s="5" t="s">
        <v>168</v>
      </c>
      <c r="H162" s="5" t="s">
        <v>1401</v>
      </c>
      <c r="I162" s="5" t="s">
        <v>974</v>
      </c>
      <c r="J162" s="5" t="s">
        <v>974</v>
      </c>
      <c r="K162" s="5">
        <v>30</v>
      </c>
      <c r="L162" s="5" t="s">
        <v>909</v>
      </c>
      <c r="M162" s="5" t="s">
        <v>902</v>
      </c>
      <c r="N162" s="5" t="s">
        <v>1297</v>
      </c>
      <c r="O162" s="5" t="s">
        <v>1402</v>
      </c>
      <c r="P162" s="5" t="s">
        <v>1406</v>
      </c>
      <c r="Q162" s="5"/>
      <c r="R162" s="5"/>
      <c r="S162" s="5"/>
      <c r="T162" s="5"/>
      <c r="U162" s="5"/>
      <c r="V162" s="5"/>
      <c r="W162" s="5"/>
      <c r="X162" s="5" t="s">
        <v>1020</v>
      </c>
      <c r="Y162" s="5" t="s">
        <v>908</v>
      </c>
      <c r="Z162" s="5">
        <v>384</v>
      </c>
      <c r="AA162" s="5" t="s">
        <v>909</v>
      </c>
      <c r="AB162" s="5">
        <v>0.0001</v>
      </c>
      <c r="AC162" s="5">
        <v>0.58</v>
      </c>
      <c r="AD162" s="5">
        <v>0.0001</v>
      </c>
      <c r="AE162" s="5">
        <v>0.0001</v>
      </c>
      <c r="AF162" s="5">
        <v>0.0001</v>
      </c>
      <c r="AG162" s="5">
        <v>0.0001</v>
      </c>
      <c r="AH162" s="5">
        <v>0.0001</v>
      </c>
      <c r="AI162" s="5"/>
    </row>
    <row r="163" hidden="1" spans="1:35">
      <c r="A163" s="5" t="s">
        <v>897</v>
      </c>
      <c r="B163" s="5" t="s">
        <v>1702</v>
      </c>
      <c r="C163" s="5" t="s">
        <v>1703</v>
      </c>
      <c r="D163" s="5" t="s">
        <v>1301</v>
      </c>
      <c r="E163" s="5" t="s">
        <v>899</v>
      </c>
      <c r="F163" s="5" t="s">
        <v>108</v>
      </c>
      <c r="G163" s="5" t="s">
        <v>168</v>
      </c>
      <c r="H163" s="5" t="s">
        <v>1401</v>
      </c>
      <c r="I163" s="5" t="s">
        <v>1704</v>
      </c>
      <c r="J163" s="5" t="s">
        <v>1704</v>
      </c>
      <c r="K163" s="5">
        <v>30</v>
      </c>
      <c r="L163" s="5" t="s">
        <v>909</v>
      </c>
      <c r="M163" s="5" t="s">
        <v>919</v>
      </c>
      <c r="N163" s="5" t="s">
        <v>1297</v>
      </c>
      <c r="O163" s="5" t="s">
        <v>1705</v>
      </c>
      <c r="P163" s="5" t="s">
        <v>1706</v>
      </c>
      <c r="Q163" s="5"/>
      <c r="R163" s="5"/>
      <c r="S163" s="5"/>
      <c r="T163" s="5"/>
      <c r="U163" s="5"/>
      <c r="V163" s="5"/>
      <c r="W163" s="5"/>
      <c r="X163" s="5" t="s">
        <v>907</v>
      </c>
      <c r="Y163" s="5" t="s">
        <v>908</v>
      </c>
      <c r="Z163" s="5">
        <v>2</v>
      </c>
      <c r="AA163" s="5" t="s">
        <v>909</v>
      </c>
      <c r="AB163" s="5">
        <v>0.0001</v>
      </c>
      <c r="AC163" s="5">
        <v>0.58</v>
      </c>
      <c r="AD163" s="5">
        <v>0.0001</v>
      </c>
      <c r="AE163" s="5">
        <v>0.0001</v>
      </c>
      <c r="AF163" s="5">
        <v>0.0001</v>
      </c>
      <c r="AG163" s="5">
        <v>0.0001</v>
      </c>
      <c r="AH163" s="5">
        <v>0.0001</v>
      </c>
      <c r="AI163" s="5"/>
    </row>
    <row r="164" hidden="1" spans="1:35">
      <c r="A164" s="5" t="s">
        <v>897</v>
      </c>
      <c r="B164" s="5" t="s">
        <v>602</v>
      </c>
      <c r="C164" s="5" t="s">
        <v>601</v>
      </c>
      <c r="D164" s="5" t="s">
        <v>1707</v>
      </c>
      <c r="E164" s="5" t="s">
        <v>899</v>
      </c>
      <c r="F164" s="5" t="s">
        <v>96</v>
      </c>
      <c r="G164" s="5" t="s">
        <v>115</v>
      </c>
      <c r="H164" s="5" t="s">
        <v>1708</v>
      </c>
      <c r="I164" s="5" t="s">
        <v>1709</v>
      </c>
      <c r="J164" s="5" t="s">
        <v>1709</v>
      </c>
      <c r="K164" s="5">
        <v>18</v>
      </c>
      <c r="L164" s="5" t="s">
        <v>909</v>
      </c>
      <c r="M164" s="5" t="s">
        <v>919</v>
      </c>
      <c r="N164" s="5" t="s">
        <v>1710</v>
      </c>
      <c r="O164" s="5" t="s">
        <v>1711</v>
      </c>
      <c r="P164" s="5" t="s">
        <v>1712</v>
      </c>
      <c r="Q164" s="5" t="s">
        <v>1713</v>
      </c>
      <c r="R164" s="5">
        <v>105</v>
      </c>
      <c r="S164" s="5">
        <v>108</v>
      </c>
      <c r="T164" s="5">
        <v>0.34</v>
      </c>
      <c r="U164" s="5">
        <v>26.5</v>
      </c>
      <c r="V164" s="5">
        <v>23.6</v>
      </c>
      <c r="W164" s="5">
        <v>80</v>
      </c>
      <c r="X164" s="5" t="s">
        <v>907</v>
      </c>
      <c r="Y164" s="5" t="s">
        <v>908</v>
      </c>
      <c r="Z164" s="5">
        <v>462</v>
      </c>
      <c r="AA164" s="5" t="s">
        <v>909</v>
      </c>
      <c r="AB164" s="5">
        <v>6.7274</v>
      </c>
      <c r="AC164" s="5">
        <v>0.58</v>
      </c>
      <c r="AD164" s="5">
        <v>3.9019</v>
      </c>
      <c r="AE164" s="5">
        <v>4.8774</v>
      </c>
      <c r="AF164" s="5">
        <v>5.2025</v>
      </c>
      <c r="AG164" s="5">
        <v>6.0029</v>
      </c>
      <c r="AH164" s="5">
        <v>7.0943</v>
      </c>
      <c r="AI164" s="5"/>
    </row>
    <row r="165" hidden="1" spans="1:35">
      <c r="A165" s="5" t="s">
        <v>897</v>
      </c>
      <c r="B165" s="5" t="s">
        <v>125</v>
      </c>
      <c r="C165" s="5" t="s">
        <v>124</v>
      </c>
      <c r="D165" s="5" t="s">
        <v>1714</v>
      </c>
      <c r="E165" s="5" t="s">
        <v>899</v>
      </c>
      <c r="F165" s="5" t="s">
        <v>96</v>
      </c>
      <c r="G165" s="5" t="s">
        <v>115</v>
      </c>
      <c r="H165" s="5" t="s">
        <v>1708</v>
      </c>
      <c r="I165" s="5" t="s">
        <v>1709</v>
      </c>
      <c r="J165" s="5" t="s">
        <v>1709</v>
      </c>
      <c r="K165" s="5">
        <v>18</v>
      </c>
      <c r="L165" s="5" t="s">
        <v>909</v>
      </c>
      <c r="M165" s="5" t="s">
        <v>919</v>
      </c>
      <c r="N165" s="5" t="s">
        <v>1715</v>
      </c>
      <c r="O165" s="5" t="s">
        <v>1716</v>
      </c>
      <c r="P165" s="5" t="s">
        <v>1717</v>
      </c>
      <c r="Q165" s="5" t="s">
        <v>1718</v>
      </c>
      <c r="R165" s="5">
        <v>85</v>
      </c>
      <c r="S165" s="5">
        <v>88</v>
      </c>
      <c r="T165" s="5">
        <v>0.34</v>
      </c>
      <c r="U165" s="5">
        <v>26.5</v>
      </c>
      <c r="V165" s="5">
        <v>23.6</v>
      </c>
      <c r="W165" s="5">
        <v>80</v>
      </c>
      <c r="X165" s="5" t="s">
        <v>907</v>
      </c>
      <c r="Y165" s="5" t="s">
        <v>908</v>
      </c>
      <c r="Z165" s="5">
        <v>4748</v>
      </c>
      <c r="AA165" s="5" t="s">
        <v>909</v>
      </c>
      <c r="AB165" s="5">
        <v>4.2301</v>
      </c>
      <c r="AC165" s="5">
        <v>0.58</v>
      </c>
      <c r="AD165" s="5">
        <v>2.4535</v>
      </c>
      <c r="AE165" s="5">
        <v>3.0668</v>
      </c>
      <c r="AF165" s="5">
        <v>3.2713</v>
      </c>
      <c r="AG165" s="5">
        <v>3.7746</v>
      </c>
      <c r="AH165" s="5">
        <v>4.4608</v>
      </c>
      <c r="AI165" s="5"/>
    </row>
    <row r="166" hidden="1" spans="1:35">
      <c r="A166" s="5" t="s">
        <v>897</v>
      </c>
      <c r="B166" s="5" t="s">
        <v>512</v>
      </c>
      <c r="C166" s="5" t="s">
        <v>511</v>
      </c>
      <c r="D166" s="5" t="s">
        <v>1719</v>
      </c>
      <c r="E166" s="5" t="s">
        <v>899</v>
      </c>
      <c r="F166" s="5" t="s">
        <v>96</v>
      </c>
      <c r="G166" s="5" t="s">
        <v>115</v>
      </c>
      <c r="H166" s="5" t="s">
        <v>1708</v>
      </c>
      <c r="I166" s="5" t="s">
        <v>1720</v>
      </c>
      <c r="J166" s="5" t="s">
        <v>1720</v>
      </c>
      <c r="K166" s="5">
        <v>18</v>
      </c>
      <c r="L166" s="5" t="s">
        <v>909</v>
      </c>
      <c r="M166" s="5" t="s">
        <v>919</v>
      </c>
      <c r="N166" s="5" t="s">
        <v>1710</v>
      </c>
      <c r="O166" s="5" t="s">
        <v>1711</v>
      </c>
      <c r="P166" s="5" t="s">
        <v>1721</v>
      </c>
      <c r="Q166" s="5" t="s">
        <v>1722</v>
      </c>
      <c r="R166" s="5">
        <v>980</v>
      </c>
      <c r="S166" s="5">
        <v>1000</v>
      </c>
      <c r="T166" s="5">
        <v>1.98</v>
      </c>
      <c r="U166" s="5">
        <v>36</v>
      </c>
      <c r="V166" s="5">
        <v>23</v>
      </c>
      <c r="W166" s="5">
        <v>24</v>
      </c>
      <c r="X166" s="5" t="s">
        <v>907</v>
      </c>
      <c r="Y166" s="5" t="s">
        <v>908</v>
      </c>
      <c r="Z166" s="5">
        <v>232</v>
      </c>
      <c r="AA166" s="5" t="s">
        <v>909</v>
      </c>
      <c r="AB166" s="5">
        <v>22.8009</v>
      </c>
      <c r="AC166" s="5">
        <v>0.58</v>
      </c>
      <c r="AD166" s="5">
        <v>13.2245</v>
      </c>
      <c r="AE166" s="5">
        <v>16.5307</v>
      </c>
      <c r="AF166" s="5">
        <v>17.6327</v>
      </c>
      <c r="AG166" s="5">
        <v>20.3454</v>
      </c>
      <c r="AH166" s="5">
        <v>24.0446</v>
      </c>
      <c r="AI166" s="5"/>
    </row>
    <row r="167" hidden="1" spans="1:35">
      <c r="A167" s="5" t="s">
        <v>897</v>
      </c>
      <c r="B167" s="5" t="s">
        <v>346</v>
      </c>
      <c r="C167" s="5" t="s">
        <v>1526</v>
      </c>
      <c r="D167" s="5" t="s">
        <v>1527</v>
      </c>
      <c r="E167" s="5" t="s">
        <v>899</v>
      </c>
      <c r="F167" s="5" t="s">
        <v>108</v>
      </c>
      <c r="G167" s="5" t="s">
        <v>927</v>
      </c>
      <c r="H167" s="5" t="s">
        <v>1396</v>
      </c>
      <c r="I167" s="5" t="s">
        <v>1723</v>
      </c>
      <c r="J167" s="5" t="s">
        <v>1723</v>
      </c>
      <c r="K167" s="5">
        <v>18</v>
      </c>
      <c r="L167" s="5" t="s">
        <v>909</v>
      </c>
      <c r="M167" s="5" t="s">
        <v>919</v>
      </c>
      <c r="N167" s="5" t="s">
        <v>1291</v>
      </c>
      <c r="O167" s="5" t="s">
        <v>1292</v>
      </c>
      <c r="P167" s="5" t="s">
        <v>1724</v>
      </c>
      <c r="Q167" s="5" t="s">
        <v>1530</v>
      </c>
      <c r="R167" s="5">
        <v>550</v>
      </c>
      <c r="S167" s="5">
        <v>600</v>
      </c>
      <c r="T167" s="5">
        <v>1.36</v>
      </c>
      <c r="U167" s="5">
        <v>27</v>
      </c>
      <c r="V167" s="5">
        <v>24</v>
      </c>
      <c r="W167" s="5">
        <v>25</v>
      </c>
      <c r="X167" s="5" t="s">
        <v>907</v>
      </c>
      <c r="Y167" s="5" t="s">
        <v>908</v>
      </c>
      <c r="Z167" s="5">
        <v>0</v>
      </c>
      <c r="AA167" s="5" t="s">
        <v>909</v>
      </c>
      <c r="AB167" s="5">
        <v>12.95</v>
      </c>
      <c r="AC167" s="5">
        <v>0.58</v>
      </c>
      <c r="AD167" s="5">
        <v>7.511</v>
      </c>
      <c r="AE167" s="5">
        <v>9.3887</v>
      </c>
      <c r="AF167" s="5">
        <v>10.0147</v>
      </c>
      <c r="AG167" s="5">
        <v>11.5554</v>
      </c>
      <c r="AH167" s="5">
        <v>13.6564</v>
      </c>
      <c r="AI167" s="5"/>
    </row>
    <row r="168" hidden="1" spans="1:35">
      <c r="A168" s="5" t="s">
        <v>897</v>
      </c>
      <c r="B168" s="5" t="s">
        <v>307</v>
      </c>
      <c r="C168" s="5" t="s">
        <v>1531</v>
      </c>
      <c r="D168" s="5" t="s">
        <v>1532</v>
      </c>
      <c r="E168" s="5" t="s">
        <v>899</v>
      </c>
      <c r="F168" s="5" t="s">
        <v>108</v>
      </c>
      <c r="G168" s="5" t="s">
        <v>927</v>
      </c>
      <c r="H168" s="5" t="s">
        <v>1396</v>
      </c>
      <c r="I168" s="5" t="s">
        <v>1723</v>
      </c>
      <c r="J168" s="5" t="s">
        <v>1723</v>
      </c>
      <c r="K168" s="5">
        <v>18</v>
      </c>
      <c r="L168" s="5"/>
      <c r="M168" s="5" t="s">
        <v>919</v>
      </c>
      <c r="N168" s="5" t="s">
        <v>1291</v>
      </c>
      <c r="O168" s="5" t="s">
        <v>1292</v>
      </c>
      <c r="P168" s="5" t="s">
        <v>1534</v>
      </c>
      <c r="Q168" s="5" t="s">
        <v>1725</v>
      </c>
      <c r="R168" s="5">
        <v>680</v>
      </c>
      <c r="S168" s="5">
        <v>700</v>
      </c>
      <c r="T168" s="5">
        <v>2.45</v>
      </c>
      <c r="U168" s="5">
        <v>45</v>
      </c>
      <c r="V168" s="5">
        <v>36</v>
      </c>
      <c r="W168" s="5">
        <v>20</v>
      </c>
      <c r="X168" s="5" t="s">
        <v>907</v>
      </c>
      <c r="Y168" s="5" t="s">
        <v>908</v>
      </c>
      <c r="Z168" s="5">
        <v>113</v>
      </c>
      <c r="AA168" s="5" t="s">
        <v>909</v>
      </c>
      <c r="AB168" s="5">
        <v>18.58</v>
      </c>
      <c r="AC168" s="5">
        <v>0.58</v>
      </c>
      <c r="AD168" s="5">
        <v>10.7764</v>
      </c>
      <c r="AE168" s="5">
        <v>13.4705</v>
      </c>
      <c r="AF168" s="5">
        <v>14.3685</v>
      </c>
      <c r="AG168" s="5">
        <v>16.5791</v>
      </c>
      <c r="AH168" s="5">
        <v>19.5935</v>
      </c>
      <c r="AI168" s="5"/>
    </row>
    <row r="169" hidden="1" spans="1:35">
      <c r="A169" s="5" t="s">
        <v>897</v>
      </c>
      <c r="B169" s="5" t="s">
        <v>441</v>
      </c>
      <c r="C169" s="5" t="s">
        <v>1726</v>
      </c>
      <c r="D169" s="5" t="s">
        <v>1727</v>
      </c>
      <c r="E169" s="5" t="s">
        <v>899</v>
      </c>
      <c r="F169" s="5" t="s">
        <v>108</v>
      </c>
      <c r="G169" s="5" t="s">
        <v>927</v>
      </c>
      <c r="H169" s="5" t="s">
        <v>1288</v>
      </c>
      <c r="I169" s="5" t="s">
        <v>1083</v>
      </c>
      <c r="J169" s="5" t="s">
        <v>1083</v>
      </c>
      <c r="K169" s="5">
        <v>19</v>
      </c>
      <c r="L169" s="5" t="s">
        <v>909</v>
      </c>
      <c r="M169" s="5" t="s">
        <v>1037</v>
      </c>
      <c r="N169" s="5" t="s">
        <v>1728</v>
      </c>
      <c r="O169" s="5" t="s">
        <v>1729</v>
      </c>
      <c r="P169" s="5" t="s">
        <v>1298</v>
      </c>
      <c r="Q169" s="5" t="s">
        <v>1299</v>
      </c>
      <c r="R169" s="5">
        <v>666</v>
      </c>
      <c r="S169" s="5">
        <v>750</v>
      </c>
      <c r="T169" s="5">
        <v>1.3</v>
      </c>
      <c r="U169" s="5">
        <v>28</v>
      </c>
      <c r="V169" s="5">
        <v>23</v>
      </c>
      <c r="W169" s="5">
        <v>30</v>
      </c>
      <c r="X169" s="5" t="s">
        <v>907</v>
      </c>
      <c r="Y169" s="5" t="s">
        <v>908</v>
      </c>
      <c r="Z169" s="5">
        <v>0</v>
      </c>
      <c r="AA169" s="5" t="s">
        <v>909</v>
      </c>
      <c r="AB169" s="5">
        <v>12.46</v>
      </c>
      <c r="AC169" s="5">
        <v>0.58</v>
      </c>
      <c r="AD169" s="5">
        <v>7.2268</v>
      </c>
      <c r="AE169" s="5">
        <v>9.0335</v>
      </c>
      <c r="AF169" s="5">
        <v>9.6357</v>
      </c>
      <c r="AG169" s="5">
        <v>11.1182</v>
      </c>
      <c r="AH169" s="5">
        <v>13.1396</v>
      </c>
      <c r="AI169" s="5"/>
    </row>
    <row r="170" hidden="1" spans="1:35">
      <c r="A170" s="5" t="s">
        <v>897</v>
      </c>
      <c r="B170" s="5" t="s">
        <v>314</v>
      </c>
      <c r="C170" s="5" t="s">
        <v>312</v>
      </c>
      <c r="D170" s="5" t="s">
        <v>1370</v>
      </c>
      <c r="E170" s="5" t="s">
        <v>899</v>
      </c>
      <c r="F170" s="5" t="s">
        <v>108</v>
      </c>
      <c r="G170" s="5" t="s">
        <v>109</v>
      </c>
      <c r="H170" s="5" t="s">
        <v>1371</v>
      </c>
      <c r="I170" s="5" t="s">
        <v>1730</v>
      </c>
      <c r="J170" s="5" t="s">
        <v>1731</v>
      </c>
      <c r="K170" s="5">
        <v>18</v>
      </c>
      <c r="L170" s="5"/>
      <c r="M170" s="5" t="s">
        <v>919</v>
      </c>
      <c r="N170" s="5" t="s">
        <v>1373</v>
      </c>
      <c r="O170" s="5" t="s">
        <v>1374</v>
      </c>
      <c r="P170" s="5" t="s">
        <v>1375</v>
      </c>
      <c r="Q170" s="5" t="s">
        <v>1376</v>
      </c>
      <c r="R170" s="5">
        <v>2000</v>
      </c>
      <c r="S170" s="5">
        <v>2300</v>
      </c>
      <c r="T170" s="5">
        <v>11.25</v>
      </c>
      <c r="U170" s="5">
        <v>26.5</v>
      </c>
      <c r="V170" s="5">
        <v>24</v>
      </c>
      <c r="W170" s="5">
        <v>4</v>
      </c>
      <c r="X170" s="5" t="s">
        <v>907</v>
      </c>
      <c r="Y170" s="5" t="s">
        <v>908</v>
      </c>
      <c r="Z170" s="5">
        <v>0</v>
      </c>
      <c r="AA170" s="5" t="s">
        <v>909</v>
      </c>
      <c r="AB170" s="5">
        <v>45.21</v>
      </c>
      <c r="AC170" s="5">
        <v>0.58</v>
      </c>
      <c r="AD170" s="5">
        <v>26.2218</v>
      </c>
      <c r="AE170" s="5">
        <v>32.7772</v>
      </c>
      <c r="AF170" s="5">
        <v>34.9624</v>
      </c>
      <c r="AG170" s="5">
        <v>40.3412</v>
      </c>
      <c r="AH170" s="5">
        <v>47.676</v>
      </c>
      <c r="AI170" s="5"/>
    </row>
    <row r="171" hidden="1" spans="1:35">
      <c r="A171" s="5" t="s">
        <v>897</v>
      </c>
      <c r="B171" s="5" t="s">
        <v>351</v>
      </c>
      <c r="C171" s="5" t="s">
        <v>349</v>
      </c>
      <c r="D171" s="5" t="s">
        <v>1377</v>
      </c>
      <c r="E171" s="5" t="s">
        <v>899</v>
      </c>
      <c r="F171" s="5" t="s">
        <v>108</v>
      </c>
      <c r="G171" s="5" t="s">
        <v>109</v>
      </c>
      <c r="H171" s="5" t="s">
        <v>1371</v>
      </c>
      <c r="I171" s="5" t="s">
        <v>1730</v>
      </c>
      <c r="J171" s="5" t="s">
        <v>1732</v>
      </c>
      <c r="K171" s="5">
        <v>18</v>
      </c>
      <c r="L171" s="5"/>
      <c r="M171" s="5" t="s">
        <v>919</v>
      </c>
      <c r="N171" s="5" t="s">
        <v>1378</v>
      </c>
      <c r="O171" s="5" t="s">
        <v>1379</v>
      </c>
      <c r="P171" s="5" t="s">
        <v>1380</v>
      </c>
      <c r="Q171" s="5" t="s">
        <v>1733</v>
      </c>
      <c r="R171" s="5">
        <v>2650</v>
      </c>
      <c r="S171" s="5">
        <v>3025</v>
      </c>
      <c r="T171" s="5">
        <v>11.5</v>
      </c>
      <c r="U171" s="5">
        <v>29.5</v>
      </c>
      <c r="V171" s="5">
        <v>24</v>
      </c>
      <c r="W171" s="5">
        <v>4</v>
      </c>
      <c r="X171" s="5" t="s">
        <v>1020</v>
      </c>
      <c r="Y171" s="5" t="s">
        <v>908</v>
      </c>
      <c r="Z171" s="5">
        <v>0</v>
      </c>
      <c r="AA171" s="5" t="s">
        <v>909</v>
      </c>
      <c r="AB171" s="5">
        <v>52.21</v>
      </c>
      <c r="AC171" s="5">
        <v>0.58</v>
      </c>
      <c r="AD171" s="5">
        <v>30.2818</v>
      </c>
      <c r="AE171" s="5">
        <v>37.8523</v>
      </c>
      <c r="AF171" s="5">
        <v>40.3757</v>
      </c>
      <c r="AG171" s="5">
        <v>46.5874</v>
      </c>
      <c r="AH171" s="5">
        <v>55.0578</v>
      </c>
      <c r="AI171" s="5"/>
    </row>
    <row r="172" hidden="1" spans="1:35">
      <c r="A172" s="5" t="s">
        <v>897</v>
      </c>
      <c r="B172" s="5" t="s">
        <v>306</v>
      </c>
      <c r="C172" s="5" t="s">
        <v>166</v>
      </c>
      <c r="D172" s="5" t="s">
        <v>1382</v>
      </c>
      <c r="E172" s="5" t="s">
        <v>899</v>
      </c>
      <c r="F172" s="5" t="s">
        <v>108</v>
      </c>
      <c r="G172" s="5" t="s">
        <v>109</v>
      </c>
      <c r="H172" s="5" t="s">
        <v>1371</v>
      </c>
      <c r="I172" s="5" t="s">
        <v>1730</v>
      </c>
      <c r="J172" s="5" t="s">
        <v>1734</v>
      </c>
      <c r="K172" s="5">
        <v>18</v>
      </c>
      <c r="L172" s="5"/>
      <c r="M172" s="5" t="s">
        <v>919</v>
      </c>
      <c r="N172" s="5" t="s">
        <v>1378</v>
      </c>
      <c r="O172" s="5" t="s">
        <v>1379</v>
      </c>
      <c r="P172" s="5" t="s">
        <v>1383</v>
      </c>
      <c r="Q172" s="5" t="s">
        <v>1735</v>
      </c>
      <c r="R172" s="5">
        <v>3880</v>
      </c>
      <c r="S172" s="5">
        <v>4560</v>
      </c>
      <c r="T172" s="5">
        <v>16</v>
      </c>
      <c r="U172" s="5">
        <v>35.5</v>
      </c>
      <c r="V172" s="5">
        <v>33</v>
      </c>
      <c r="W172" s="5">
        <v>3</v>
      </c>
      <c r="X172" s="5" t="s">
        <v>1020</v>
      </c>
      <c r="Y172" s="5" t="s">
        <v>908</v>
      </c>
      <c r="Z172" s="5">
        <v>0</v>
      </c>
      <c r="AA172" s="5" t="s">
        <v>909</v>
      </c>
      <c r="AB172" s="5">
        <v>79.27</v>
      </c>
      <c r="AC172" s="5">
        <v>0.58</v>
      </c>
      <c r="AD172" s="5">
        <v>45.9766</v>
      </c>
      <c r="AE172" s="5">
        <v>57.4707</v>
      </c>
      <c r="AF172" s="5">
        <v>61.3021</v>
      </c>
      <c r="AG172" s="5">
        <v>70.7332</v>
      </c>
      <c r="AH172" s="5">
        <v>83.5938</v>
      </c>
      <c r="AI172" s="5"/>
    </row>
    <row r="173" hidden="1" spans="1:35">
      <c r="A173" s="5" t="s">
        <v>897</v>
      </c>
      <c r="B173" s="5" t="s">
        <v>145</v>
      </c>
      <c r="C173" s="5" t="s">
        <v>143</v>
      </c>
      <c r="D173" s="5" t="s">
        <v>1478</v>
      </c>
      <c r="E173" s="5" t="s">
        <v>899</v>
      </c>
      <c r="F173" s="5" t="s">
        <v>108</v>
      </c>
      <c r="G173" s="5" t="s">
        <v>109</v>
      </c>
      <c r="H173" s="5" t="s">
        <v>1371</v>
      </c>
      <c r="I173" s="5" t="s">
        <v>1730</v>
      </c>
      <c r="J173" s="5" t="s">
        <v>1732</v>
      </c>
      <c r="K173" s="5">
        <v>18</v>
      </c>
      <c r="L173" s="5"/>
      <c r="M173" s="5" t="s">
        <v>919</v>
      </c>
      <c r="N173" s="5" t="s">
        <v>1479</v>
      </c>
      <c r="O173" s="5" t="s">
        <v>1480</v>
      </c>
      <c r="P173" s="5" t="s">
        <v>1481</v>
      </c>
      <c r="Q173" s="5" t="s">
        <v>1482</v>
      </c>
      <c r="R173" s="5">
        <v>4540</v>
      </c>
      <c r="S173" s="5">
        <v>4674</v>
      </c>
      <c r="T173" s="5">
        <v>9.9</v>
      </c>
      <c r="U173" s="5">
        <v>43.5</v>
      </c>
      <c r="V173" s="5">
        <v>31</v>
      </c>
      <c r="W173" s="5">
        <v>5</v>
      </c>
      <c r="X173" s="5" t="s">
        <v>1020</v>
      </c>
      <c r="Y173" s="5" t="s">
        <v>908</v>
      </c>
      <c r="Z173" s="5">
        <v>79</v>
      </c>
      <c r="AA173" s="5" t="s">
        <v>909</v>
      </c>
      <c r="AB173" s="5">
        <v>47.358</v>
      </c>
      <c r="AC173" s="5">
        <v>0.58</v>
      </c>
      <c r="AD173" s="5">
        <v>27.4676</v>
      </c>
      <c r="AE173" s="5">
        <v>34.3345</v>
      </c>
      <c r="AF173" s="5">
        <v>36.6235</v>
      </c>
      <c r="AG173" s="5">
        <v>42.2579</v>
      </c>
      <c r="AH173" s="5">
        <v>49.9412</v>
      </c>
      <c r="AI173" s="5"/>
    </row>
    <row r="174" hidden="1" spans="1:35">
      <c r="A174" s="5" t="s">
        <v>897</v>
      </c>
      <c r="B174" s="5" t="s">
        <v>362</v>
      </c>
      <c r="C174" s="5" t="s">
        <v>356</v>
      </c>
      <c r="D174" s="5" t="s">
        <v>1385</v>
      </c>
      <c r="E174" s="5" t="s">
        <v>899</v>
      </c>
      <c r="F174" s="5" t="s">
        <v>108</v>
      </c>
      <c r="G174" s="5" t="s">
        <v>109</v>
      </c>
      <c r="H174" s="5" t="s">
        <v>1371</v>
      </c>
      <c r="I174" s="5" t="s">
        <v>1730</v>
      </c>
      <c r="J174" s="5" t="s">
        <v>1734</v>
      </c>
      <c r="K174" s="5">
        <v>18</v>
      </c>
      <c r="L174" s="5"/>
      <c r="M174" s="5" t="s">
        <v>1037</v>
      </c>
      <c r="N174" s="5" t="s">
        <v>1387</v>
      </c>
      <c r="O174" s="5" t="s">
        <v>1388</v>
      </c>
      <c r="P174" s="5" t="s">
        <v>1389</v>
      </c>
      <c r="Q174" s="5" t="s">
        <v>1736</v>
      </c>
      <c r="R174" s="5">
        <v>660</v>
      </c>
      <c r="S174" s="5">
        <v>840</v>
      </c>
      <c r="T174" s="5">
        <v>3.24</v>
      </c>
      <c r="U174" s="5">
        <v>42.5</v>
      </c>
      <c r="V174" s="5">
        <v>27</v>
      </c>
      <c r="W174" s="5">
        <v>15</v>
      </c>
      <c r="X174" s="5" t="s">
        <v>907</v>
      </c>
      <c r="Y174" s="5" t="s">
        <v>908</v>
      </c>
      <c r="Z174" s="5">
        <v>0</v>
      </c>
      <c r="AA174" s="5" t="s">
        <v>909</v>
      </c>
      <c r="AB174" s="5">
        <v>19.09</v>
      </c>
      <c r="AC174" s="5">
        <v>0.58</v>
      </c>
      <c r="AD174" s="5">
        <v>11.0722</v>
      </c>
      <c r="AE174" s="5">
        <v>13.8402</v>
      </c>
      <c r="AF174" s="5">
        <v>14.7629</v>
      </c>
      <c r="AG174" s="5">
        <v>17.0342</v>
      </c>
      <c r="AH174" s="5">
        <v>20.1313</v>
      </c>
      <c r="AI174" s="5"/>
    </row>
    <row r="175" hidden="1" spans="1:35">
      <c r="A175" s="5" t="s">
        <v>897</v>
      </c>
      <c r="B175" s="5" t="s">
        <v>366</v>
      </c>
      <c r="C175" s="5" t="s">
        <v>363</v>
      </c>
      <c r="D175" s="5" t="s">
        <v>1391</v>
      </c>
      <c r="E175" s="5" t="s">
        <v>899</v>
      </c>
      <c r="F175" s="5" t="s">
        <v>108</v>
      </c>
      <c r="G175" s="5" t="s">
        <v>109</v>
      </c>
      <c r="H175" s="5" t="s">
        <v>1371</v>
      </c>
      <c r="I175" s="5" t="s">
        <v>1730</v>
      </c>
      <c r="J175" s="5" t="s">
        <v>1731</v>
      </c>
      <c r="K175" s="5">
        <v>18</v>
      </c>
      <c r="L175" s="5"/>
      <c r="M175" s="5" t="s">
        <v>1037</v>
      </c>
      <c r="N175" s="5" t="s">
        <v>1387</v>
      </c>
      <c r="O175" s="5" t="s">
        <v>1388</v>
      </c>
      <c r="P175" s="5" t="s">
        <v>1392</v>
      </c>
      <c r="Q175" s="5" t="s">
        <v>1737</v>
      </c>
      <c r="R175" s="5">
        <v>885</v>
      </c>
      <c r="S175" s="5">
        <v>1100</v>
      </c>
      <c r="T175" s="5">
        <v>4.85</v>
      </c>
      <c r="U175" s="5">
        <v>42.5</v>
      </c>
      <c r="V175" s="5">
        <v>27</v>
      </c>
      <c r="W175" s="5">
        <v>10</v>
      </c>
      <c r="X175" s="5" t="s">
        <v>1020</v>
      </c>
      <c r="Y175" s="5" t="s">
        <v>908</v>
      </c>
      <c r="Z175" s="5">
        <v>0</v>
      </c>
      <c r="AA175" s="5" t="s">
        <v>909</v>
      </c>
      <c r="AB175" s="5">
        <v>25.54</v>
      </c>
      <c r="AC175" s="5">
        <v>0.58</v>
      </c>
      <c r="AD175" s="5">
        <v>14.8132</v>
      </c>
      <c r="AE175" s="5">
        <v>18.5165</v>
      </c>
      <c r="AF175" s="5">
        <v>19.7509</v>
      </c>
      <c r="AG175" s="5">
        <v>22.7895</v>
      </c>
      <c r="AH175" s="5">
        <v>26.9331</v>
      </c>
      <c r="AI175" s="5"/>
    </row>
    <row r="176" hidden="1" spans="1:35">
      <c r="A176" s="5" t="s">
        <v>897</v>
      </c>
      <c r="B176" s="5" t="s">
        <v>359</v>
      </c>
      <c r="C176" s="5" t="s">
        <v>358</v>
      </c>
      <c r="D176" s="5" t="s">
        <v>1738</v>
      </c>
      <c r="E176" s="5" t="s">
        <v>899</v>
      </c>
      <c r="F176" s="5" t="s">
        <v>96</v>
      </c>
      <c r="G176" s="5" t="s">
        <v>115</v>
      </c>
      <c r="H176" s="5" t="s">
        <v>1739</v>
      </c>
      <c r="I176" s="5" t="s">
        <v>1740</v>
      </c>
      <c r="J176" s="5" t="s">
        <v>1740</v>
      </c>
      <c r="K176" s="5">
        <v>18</v>
      </c>
      <c r="L176" s="5"/>
      <c r="M176" s="5" t="s">
        <v>919</v>
      </c>
      <c r="N176" s="5" t="s">
        <v>1741</v>
      </c>
      <c r="O176" s="5" t="s">
        <v>1742</v>
      </c>
      <c r="P176" s="5" t="s">
        <v>1743</v>
      </c>
      <c r="Q176" s="5" t="s">
        <v>1744</v>
      </c>
      <c r="R176" s="5">
        <v>1350</v>
      </c>
      <c r="S176" s="5">
        <v>1500</v>
      </c>
      <c r="T176" s="5">
        <v>8.59</v>
      </c>
      <c r="U176" s="5">
        <v>29</v>
      </c>
      <c r="V176" s="5">
        <v>27</v>
      </c>
      <c r="W176" s="5">
        <v>12</v>
      </c>
      <c r="X176" s="5" t="s">
        <v>1020</v>
      </c>
      <c r="Y176" s="5" t="s">
        <v>908</v>
      </c>
      <c r="Z176" s="5">
        <v>4</v>
      </c>
      <c r="AA176" s="5" t="s">
        <v>909</v>
      </c>
      <c r="AB176" s="5">
        <v>27.21</v>
      </c>
      <c r="AC176" s="5">
        <v>0.58</v>
      </c>
      <c r="AD176" s="5">
        <v>15.7818</v>
      </c>
      <c r="AE176" s="5">
        <v>19.7272</v>
      </c>
      <c r="AF176" s="5">
        <v>21.0424</v>
      </c>
      <c r="AG176" s="5">
        <v>24.2797</v>
      </c>
      <c r="AH176" s="5">
        <v>28.6942</v>
      </c>
      <c r="AI176" s="5"/>
    </row>
    <row r="177" hidden="1" spans="1:35">
      <c r="A177" s="5" t="s">
        <v>897</v>
      </c>
      <c r="B177" s="5" t="s">
        <v>515</v>
      </c>
      <c r="C177" s="5" t="s">
        <v>514</v>
      </c>
      <c r="D177" s="5" t="s">
        <v>1745</v>
      </c>
      <c r="E177" s="5" t="s">
        <v>899</v>
      </c>
      <c r="F177" s="5" t="s">
        <v>96</v>
      </c>
      <c r="G177" s="5" t="s">
        <v>115</v>
      </c>
      <c r="H177" s="5" t="s">
        <v>1739</v>
      </c>
      <c r="I177" s="5" t="s">
        <v>1740</v>
      </c>
      <c r="J177" s="5" t="s">
        <v>1740</v>
      </c>
      <c r="K177" s="5">
        <v>18</v>
      </c>
      <c r="L177" s="5"/>
      <c r="M177" s="5" t="s">
        <v>919</v>
      </c>
      <c r="N177" s="5" t="s">
        <v>1741</v>
      </c>
      <c r="O177" s="5" t="s">
        <v>1742</v>
      </c>
      <c r="P177" s="5" t="s">
        <v>1746</v>
      </c>
      <c r="Q177" s="5" t="s">
        <v>1390</v>
      </c>
      <c r="R177" s="5">
        <v>1930</v>
      </c>
      <c r="S177" s="5">
        <v>2200</v>
      </c>
      <c r="T177" s="5">
        <v>8.59</v>
      </c>
      <c r="U177" s="5">
        <v>29</v>
      </c>
      <c r="V177" s="5">
        <v>27</v>
      </c>
      <c r="W177" s="5">
        <v>12</v>
      </c>
      <c r="X177" s="5" t="s">
        <v>1020</v>
      </c>
      <c r="Y177" s="5" t="s">
        <v>908</v>
      </c>
      <c r="Z177" s="5">
        <v>280</v>
      </c>
      <c r="AA177" s="5" t="s">
        <v>909</v>
      </c>
      <c r="AB177" s="5">
        <v>41.37</v>
      </c>
      <c r="AC177" s="5">
        <v>0.58</v>
      </c>
      <c r="AD177" s="5">
        <v>23.9946</v>
      </c>
      <c r="AE177" s="5">
        <v>29.9933</v>
      </c>
      <c r="AF177" s="5">
        <v>31.9928</v>
      </c>
      <c r="AG177" s="5">
        <v>36.9148</v>
      </c>
      <c r="AH177" s="5">
        <v>43.6265</v>
      </c>
      <c r="AI177" s="5"/>
    </row>
    <row r="178" hidden="1" spans="1:35">
      <c r="A178" s="5" t="s">
        <v>897</v>
      </c>
      <c r="B178" s="5" t="s">
        <v>15</v>
      </c>
      <c r="C178" s="5" t="s">
        <v>14</v>
      </c>
      <c r="D178" s="5" t="s">
        <v>1747</v>
      </c>
      <c r="E178" s="5" t="s">
        <v>899</v>
      </c>
      <c r="F178" s="5" t="s">
        <v>108</v>
      </c>
      <c r="G178" s="5" t="s">
        <v>168</v>
      </c>
      <c r="H178" s="5" t="s">
        <v>1329</v>
      </c>
      <c r="I178" s="5" t="s">
        <v>1748</v>
      </c>
      <c r="J178" s="5" t="s">
        <v>1748</v>
      </c>
      <c r="K178" s="5">
        <v>18</v>
      </c>
      <c r="L178" s="5"/>
      <c r="M178" s="5" t="s">
        <v>919</v>
      </c>
      <c r="N178" s="5" t="s">
        <v>1446</v>
      </c>
      <c r="O178" s="5" t="s">
        <v>1447</v>
      </c>
      <c r="P178" s="5" t="s">
        <v>1749</v>
      </c>
      <c r="Q178" s="5" t="s">
        <v>1750</v>
      </c>
      <c r="R178" s="5">
        <v>9000</v>
      </c>
      <c r="S178" s="5">
        <v>9400</v>
      </c>
      <c r="T178" s="5">
        <v>143</v>
      </c>
      <c r="U178" s="5">
        <v>51.5</v>
      </c>
      <c r="V178" s="5">
        <v>6</v>
      </c>
      <c r="W178" s="5">
        <v>1</v>
      </c>
      <c r="X178" s="5" t="s">
        <v>907</v>
      </c>
      <c r="Y178" s="5" t="s">
        <v>908</v>
      </c>
      <c r="Z178" s="5">
        <v>457</v>
      </c>
      <c r="AA178" s="5" t="s">
        <v>909</v>
      </c>
      <c r="AB178" s="5">
        <v>123.29</v>
      </c>
      <c r="AC178" s="5">
        <v>0.58</v>
      </c>
      <c r="AD178" s="5">
        <v>71.5082</v>
      </c>
      <c r="AE178" s="5">
        <v>89.3852</v>
      </c>
      <c r="AF178" s="5">
        <v>95.3443</v>
      </c>
      <c r="AG178" s="5">
        <v>110.0126</v>
      </c>
      <c r="AH178" s="5">
        <v>130.0149</v>
      </c>
      <c r="AI178" s="5"/>
    </row>
    <row r="179" hidden="1" spans="1:35">
      <c r="A179" s="5" t="s">
        <v>897</v>
      </c>
      <c r="B179" s="5" t="s">
        <v>657</v>
      </c>
      <c r="C179" s="5" t="s">
        <v>656</v>
      </c>
      <c r="D179" s="5" t="s">
        <v>1751</v>
      </c>
      <c r="E179" s="5" t="s">
        <v>899</v>
      </c>
      <c r="F179" s="5" t="s">
        <v>108</v>
      </c>
      <c r="G179" s="5" t="s">
        <v>168</v>
      </c>
      <c r="H179" s="5" t="s">
        <v>1329</v>
      </c>
      <c r="I179" s="5" t="s">
        <v>1752</v>
      </c>
      <c r="J179" s="5" t="s">
        <v>1752</v>
      </c>
      <c r="K179" s="5">
        <v>18</v>
      </c>
      <c r="L179" s="5"/>
      <c r="M179" s="5" t="s">
        <v>919</v>
      </c>
      <c r="N179" s="5" t="s">
        <v>1336</v>
      </c>
      <c r="O179" s="5" t="s">
        <v>1332</v>
      </c>
      <c r="P179" s="5" t="s">
        <v>1753</v>
      </c>
      <c r="Q179" s="5" t="s">
        <v>1754</v>
      </c>
      <c r="R179" s="5">
        <v>5800</v>
      </c>
      <c r="S179" s="5">
        <v>6100</v>
      </c>
      <c r="T179" s="5">
        <v>76.5</v>
      </c>
      <c r="U179" s="5">
        <v>32.5</v>
      </c>
      <c r="V179" s="5">
        <v>7.3</v>
      </c>
      <c r="W179" s="5">
        <v>1</v>
      </c>
      <c r="X179" s="5" t="s">
        <v>1020</v>
      </c>
      <c r="Y179" s="5" t="s">
        <v>908</v>
      </c>
      <c r="Z179" s="5">
        <v>12</v>
      </c>
      <c r="AA179" s="5" t="s">
        <v>909</v>
      </c>
      <c r="AB179" s="5">
        <v>108.34</v>
      </c>
      <c r="AC179" s="5">
        <v>0.58</v>
      </c>
      <c r="AD179" s="5">
        <v>62.8372</v>
      </c>
      <c r="AE179" s="5">
        <v>78.5465</v>
      </c>
      <c r="AF179" s="5">
        <v>83.7829</v>
      </c>
      <c r="AG179" s="5">
        <v>96.6726</v>
      </c>
      <c r="AH179" s="5">
        <v>114.2495</v>
      </c>
      <c r="AI179" s="5"/>
    </row>
    <row r="180" hidden="1" spans="1:35">
      <c r="A180" s="5" t="s">
        <v>897</v>
      </c>
      <c r="B180" s="5" t="s">
        <v>723</v>
      </c>
      <c r="C180" s="5" t="s">
        <v>722</v>
      </c>
      <c r="D180" s="5" t="s">
        <v>1755</v>
      </c>
      <c r="E180" s="5" t="s">
        <v>899</v>
      </c>
      <c r="F180" s="5" t="s">
        <v>108</v>
      </c>
      <c r="G180" s="5" t="s">
        <v>168</v>
      </c>
      <c r="H180" s="5" t="s">
        <v>1329</v>
      </c>
      <c r="I180" s="5" t="s">
        <v>1130</v>
      </c>
      <c r="J180" s="5" t="s">
        <v>1130</v>
      </c>
      <c r="K180" s="5">
        <v>18</v>
      </c>
      <c r="L180" s="5"/>
      <c r="M180" s="5" t="s">
        <v>919</v>
      </c>
      <c r="N180" s="5" t="s">
        <v>1756</v>
      </c>
      <c r="O180" s="5" t="s">
        <v>1757</v>
      </c>
      <c r="P180" s="5" t="s">
        <v>1758</v>
      </c>
      <c r="Q180" s="5" t="s">
        <v>1759</v>
      </c>
      <c r="R180" s="5">
        <v>234</v>
      </c>
      <c r="S180" s="5">
        <v>308</v>
      </c>
      <c r="T180" s="5">
        <v>1.79</v>
      </c>
      <c r="U180" s="5">
        <v>36</v>
      </c>
      <c r="V180" s="5">
        <v>36.5</v>
      </c>
      <c r="W180" s="5">
        <v>40</v>
      </c>
      <c r="X180" s="5" t="s">
        <v>1020</v>
      </c>
      <c r="Y180" s="5" t="s">
        <v>908</v>
      </c>
      <c r="Z180" s="5">
        <v>90</v>
      </c>
      <c r="AA180" s="5" t="s">
        <v>909</v>
      </c>
      <c r="AB180" s="5">
        <v>9.83</v>
      </c>
      <c r="AC180" s="5">
        <v>0.58</v>
      </c>
      <c r="AD180" s="5">
        <v>5.7014</v>
      </c>
      <c r="AE180" s="5">
        <v>7.1267</v>
      </c>
      <c r="AF180" s="5">
        <v>7.6019</v>
      </c>
      <c r="AG180" s="5">
        <v>8.7714</v>
      </c>
      <c r="AH180" s="5">
        <v>10.3662</v>
      </c>
      <c r="AI180" s="5"/>
    </row>
    <row r="181" hidden="1" spans="1:35">
      <c r="A181" s="5" t="s">
        <v>897</v>
      </c>
      <c r="B181" s="5" t="s">
        <v>243</v>
      </c>
      <c r="C181" s="5" t="s">
        <v>242</v>
      </c>
      <c r="D181" s="5" t="s">
        <v>1760</v>
      </c>
      <c r="E181" s="5" t="s">
        <v>899</v>
      </c>
      <c r="F181" s="5" t="s">
        <v>108</v>
      </c>
      <c r="G181" s="5" t="s">
        <v>109</v>
      </c>
      <c r="H181" s="5" t="s">
        <v>1371</v>
      </c>
      <c r="I181" s="5" t="s">
        <v>1130</v>
      </c>
      <c r="J181" s="5" t="s">
        <v>1130</v>
      </c>
      <c r="K181" s="5">
        <v>18</v>
      </c>
      <c r="L181" s="5"/>
      <c r="M181" s="5" t="s">
        <v>919</v>
      </c>
      <c r="N181" s="5" t="s">
        <v>1761</v>
      </c>
      <c r="O181" s="5" t="s">
        <v>1762</v>
      </c>
      <c r="P181" s="5" t="s">
        <v>1763</v>
      </c>
      <c r="Q181" s="5" t="s">
        <v>1764</v>
      </c>
      <c r="R181" s="5">
        <v>4690</v>
      </c>
      <c r="S181" s="5">
        <v>5300</v>
      </c>
      <c r="T181" s="5">
        <v>16.17</v>
      </c>
      <c r="U181" s="5">
        <v>35</v>
      </c>
      <c r="V181" s="5">
        <v>33</v>
      </c>
      <c r="W181" s="5">
        <v>3</v>
      </c>
      <c r="X181" s="5" t="s">
        <v>907</v>
      </c>
      <c r="Y181" s="5" t="s">
        <v>908</v>
      </c>
      <c r="Z181" s="5">
        <v>143</v>
      </c>
      <c r="AA181" s="5" t="s">
        <v>909</v>
      </c>
      <c r="AB181" s="5">
        <v>89.55</v>
      </c>
      <c r="AC181" s="5">
        <v>0.58</v>
      </c>
      <c r="AD181" s="5">
        <v>51.939</v>
      </c>
      <c r="AE181" s="5">
        <v>64.9237</v>
      </c>
      <c r="AF181" s="5">
        <v>69.252</v>
      </c>
      <c r="AG181" s="5">
        <v>79.9062</v>
      </c>
      <c r="AH181" s="5">
        <v>94.4345</v>
      </c>
      <c r="AI181" s="5"/>
    </row>
    <row r="182" hidden="1" spans="1:35">
      <c r="A182" s="5" t="s">
        <v>897</v>
      </c>
      <c r="B182" s="5" t="s">
        <v>368</v>
      </c>
      <c r="C182" s="5" t="s">
        <v>367</v>
      </c>
      <c r="D182" s="5" t="s">
        <v>1765</v>
      </c>
      <c r="E182" s="5" t="s">
        <v>899</v>
      </c>
      <c r="F182" s="5" t="s">
        <v>108</v>
      </c>
      <c r="G182" s="5" t="s">
        <v>109</v>
      </c>
      <c r="H182" s="5" t="s">
        <v>1371</v>
      </c>
      <c r="I182" s="5" t="s">
        <v>1130</v>
      </c>
      <c r="J182" s="5" t="s">
        <v>1130</v>
      </c>
      <c r="K182" s="5">
        <v>18</v>
      </c>
      <c r="L182" s="5"/>
      <c r="M182" s="5" t="s">
        <v>919</v>
      </c>
      <c r="N182" s="5" t="s">
        <v>1761</v>
      </c>
      <c r="O182" s="5" t="s">
        <v>1762</v>
      </c>
      <c r="P182" s="5" t="s">
        <v>1766</v>
      </c>
      <c r="Q182" s="5" t="s">
        <v>1767</v>
      </c>
      <c r="R182" s="5">
        <v>3580</v>
      </c>
      <c r="S182" s="5">
        <v>4060</v>
      </c>
      <c r="T182" s="5">
        <v>15.34</v>
      </c>
      <c r="U182" s="5">
        <v>32</v>
      </c>
      <c r="V182" s="5">
        <v>30</v>
      </c>
      <c r="W182" s="5">
        <v>3</v>
      </c>
      <c r="X182" s="5" t="s">
        <v>1020</v>
      </c>
      <c r="Y182" s="5" t="s">
        <v>908</v>
      </c>
      <c r="Z182" s="5">
        <v>0</v>
      </c>
      <c r="AA182" s="5" t="s">
        <v>909</v>
      </c>
      <c r="AB182" s="5">
        <v>66.82</v>
      </c>
      <c r="AC182" s="5">
        <v>0.58</v>
      </c>
      <c r="AD182" s="5">
        <v>38.7556</v>
      </c>
      <c r="AE182" s="5">
        <v>48.4445</v>
      </c>
      <c r="AF182" s="5">
        <v>51.6741</v>
      </c>
      <c r="AG182" s="5">
        <v>59.624</v>
      </c>
      <c r="AH182" s="5">
        <v>70.4647</v>
      </c>
      <c r="AI182" s="5"/>
    </row>
    <row r="183" hidden="1" spans="1:35">
      <c r="A183" s="5" t="s">
        <v>897</v>
      </c>
      <c r="B183" s="5" t="s">
        <v>370</v>
      </c>
      <c r="C183" s="5" t="s">
        <v>369</v>
      </c>
      <c r="D183" s="5" t="s">
        <v>1768</v>
      </c>
      <c r="E183" s="5" t="s">
        <v>899</v>
      </c>
      <c r="F183" s="5" t="s">
        <v>108</v>
      </c>
      <c r="G183" s="5" t="s">
        <v>109</v>
      </c>
      <c r="H183" s="5" t="s">
        <v>1371</v>
      </c>
      <c r="I183" s="5" t="s">
        <v>1130</v>
      </c>
      <c r="J183" s="5" t="s">
        <v>1130</v>
      </c>
      <c r="K183" s="5">
        <v>18</v>
      </c>
      <c r="L183" s="5"/>
      <c r="M183" s="5" t="s">
        <v>919</v>
      </c>
      <c r="N183" s="5" t="s">
        <v>1769</v>
      </c>
      <c r="O183" s="5" t="s">
        <v>1770</v>
      </c>
      <c r="P183" s="5" t="s">
        <v>1771</v>
      </c>
      <c r="Q183" s="5" t="s">
        <v>1772</v>
      </c>
      <c r="R183" s="5">
        <v>3500</v>
      </c>
      <c r="S183" s="5">
        <v>3770</v>
      </c>
      <c r="T183" s="5">
        <v>11.25</v>
      </c>
      <c r="U183" s="5">
        <v>36</v>
      </c>
      <c r="V183" s="5">
        <v>20</v>
      </c>
      <c r="W183" s="5">
        <v>4</v>
      </c>
      <c r="X183" s="5" t="s">
        <v>1020</v>
      </c>
      <c r="Y183" s="5" t="s">
        <v>908</v>
      </c>
      <c r="Z183" s="5">
        <v>1</v>
      </c>
      <c r="AA183" s="5" t="s">
        <v>909</v>
      </c>
      <c r="AB183" s="5">
        <v>60.69</v>
      </c>
      <c r="AC183" s="5">
        <v>0.58</v>
      </c>
      <c r="AD183" s="5">
        <v>35.2002</v>
      </c>
      <c r="AE183" s="5">
        <v>44.0003</v>
      </c>
      <c r="AF183" s="5">
        <v>46.9336</v>
      </c>
      <c r="AG183" s="5">
        <v>54.1542</v>
      </c>
      <c r="AH183" s="5">
        <v>64.0004</v>
      </c>
      <c r="AI183" s="5"/>
    </row>
    <row r="184" hidden="1" spans="1:35">
      <c r="A184" s="5" t="s">
        <v>897</v>
      </c>
      <c r="B184" s="5" t="s">
        <v>282</v>
      </c>
      <c r="C184" s="5" t="s">
        <v>281</v>
      </c>
      <c r="D184" s="5" t="s">
        <v>1773</v>
      </c>
      <c r="E184" s="5" t="s">
        <v>899</v>
      </c>
      <c r="F184" s="5" t="s">
        <v>108</v>
      </c>
      <c r="G184" s="5" t="s">
        <v>168</v>
      </c>
      <c r="H184" s="5" t="s">
        <v>1329</v>
      </c>
      <c r="I184" s="5" t="s">
        <v>1740</v>
      </c>
      <c r="J184" s="5" t="s">
        <v>1740</v>
      </c>
      <c r="K184" s="5">
        <v>18</v>
      </c>
      <c r="L184" s="5"/>
      <c r="M184" s="5" t="s">
        <v>919</v>
      </c>
      <c r="N184" s="5" t="s">
        <v>1761</v>
      </c>
      <c r="O184" s="5" t="s">
        <v>1762</v>
      </c>
      <c r="P184" s="5" t="s">
        <v>1774</v>
      </c>
      <c r="Q184" s="5" t="s">
        <v>1775</v>
      </c>
      <c r="R184" s="5">
        <v>6350</v>
      </c>
      <c r="S184" s="5">
        <v>6890</v>
      </c>
      <c r="T184" s="5">
        <v>22.5</v>
      </c>
      <c r="U184" s="5">
        <v>36</v>
      </c>
      <c r="V184" s="5">
        <v>25</v>
      </c>
      <c r="W184" s="5">
        <v>2</v>
      </c>
      <c r="X184" s="5" t="s">
        <v>1020</v>
      </c>
      <c r="Y184" s="5" t="s">
        <v>908</v>
      </c>
      <c r="Z184" s="5">
        <v>56</v>
      </c>
      <c r="AA184" s="5" t="s">
        <v>909</v>
      </c>
      <c r="AB184" s="5">
        <v>125.34</v>
      </c>
      <c r="AC184" s="5">
        <v>0.58</v>
      </c>
      <c r="AD184" s="5">
        <v>72.6972</v>
      </c>
      <c r="AE184" s="5">
        <v>90.8715</v>
      </c>
      <c r="AF184" s="5">
        <v>96.9296</v>
      </c>
      <c r="AG184" s="5">
        <v>111.8418</v>
      </c>
      <c r="AH184" s="5">
        <v>132.1767</v>
      </c>
      <c r="AI184" s="5"/>
    </row>
    <row r="185" hidden="1" spans="1:35">
      <c r="A185" s="5" t="s">
        <v>897</v>
      </c>
      <c r="B185" s="5" t="s">
        <v>488</v>
      </c>
      <c r="C185" s="5" t="s">
        <v>487</v>
      </c>
      <c r="D185" s="5" t="s">
        <v>1776</v>
      </c>
      <c r="E185" s="5" t="s">
        <v>899</v>
      </c>
      <c r="F185" s="5" t="s">
        <v>96</v>
      </c>
      <c r="G185" s="5" t="s">
        <v>115</v>
      </c>
      <c r="H185" s="5" t="s">
        <v>1777</v>
      </c>
      <c r="I185" s="5" t="s">
        <v>1054</v>
      </c>
      <c r="J185" s="5" t="s">
        <v>1054</v>
      </c>
      <c r="K185" s="5">
        <v>20</v>
      </c>
      <c r="L185" s="5"/>
      <c r="M185" s="5" t="s">
        <v>919</v>
      </c>
      <c r="N185" s="5" t="s">
        <v>1778</v>
      </c>
      <c r="O185" s="5" t="s">
        <v>1779</v>
      </c>
      <c r="P185" s="5" t="s">
        <v>1780</v>
      </c>
      <c r="Q185" s="5" t="s">
        <v>1781</v>
      </c>
      <c r="R185" s="5">
        <v>2350</v>
      </c>
      <c r="S185" s="5">
        <v>2500</v>
      </c>
      <c r="T185" s="5">
        <v>7</v>
      </c>
      <c r="U185" s="5">
        <v>67</v>
      </c>
      <c r="V185" s="5">
        <v>30</v>
      </c>
      <c r="W185" s="5">
        <v>10</v>
      </c>
      <c r="X185" s="5" t="s">
        <v>907</v>
      </c>
      <c r="Y185" s="5" t="s">
        <v>908</v>
      </c>
      <c r="Z185" s="5">
        <v>47</v>
      </c>
      <c r="AA185" s="5" t="s">
        <v>909</v>
      </c>
      <c r="AB185" s="5">
        <v>42.85</v>
      </c>
      <c r="AC185" s="5">
        <v>0.58</v>
      </c>
      <c r="AD185" s="5">
        <v>24.853</v>
      </c>
      <c r="AE185" s="5">
        <v>31.0662</v>
      </c>
      <c r="AF185" s="5">
        <v>33.1373</v>
      </c>
      <c r="AG185" s="5">
        <v>38.2354</v>
      </c>
      <c r="AH185" s="5">
        <v>45.1873</v>
      </c>
      <c r="AI185" s="5"/>
    </row>
    <row r="186" hidden="1" spans="1:35">
      <c r="A186" s="5" t="s">
        <v>897</v>
      </c>
      <c r="B186" s="5" t="s">
        <v>692</v>
      </c>
      <c r="C186" s="5" t="s">
        <v>691</v>
      </c>
      <c r="D186" s="5" t="s">
        <v>1782</v>
      </c>
      <c r="E186" s="5" t="s">
        <v>899</v>
      </c>
      <c r="F186" s="5" t="s">
        <v>96</v>
      </c>
      <c r="G186" s="5" t="s">
        <v>115</v>
      </c>
      <c r="H186" s="5" t="s">
        <v>1777</v>
      </c>
      <c r="I186" s="5" t="s">
        <v>1054</v>
      </c>
      <c r="J186" s="5" t="s">
        <v>1054</v>
      </c>
      <c r="K186" s="5">
        <v>20</v>
      </c>
      <c r="L186" s="5"/>
      <c r="M186" s="5" t="s">
        <v>919</v>
      </c>
      <c r="N186" s="5" t="s">
        <v>1783</v>
      </c>
      <c r="O186" s="5" t="s">
        <v>1784</v>
      </c>
      <c r="P186" s="5" t="s">
        <v>1785</v>
      </c>
      <c r="Q186" s="5" t="s">
        <v>1786</v>
      </c>
      <c r="R186" s="5">
        <v>3700</v>
      </c>
      <c r="S186" s="5">
        <v>4000</v>
      </c>
      <c r="T186" s="5">
        <v>23.2</v>
      </c>
      <c r="U186" s="5">
        <v>31</v>
      </c>
      <c r="V186" s="5">
        <v>26</v>
      </c>
      <c r="W186" s="5">
        <v>5</v>
      </c>
      <c r="X186" s="5" t="s">
        <v>907</v>
      </c>
      <c r="Y186" s="5" t="s">
        <v>908</v>
      </c>
      <c r="Z186" s="5">
        <v>33</v>
      </c>
      <c r="AA186" s="5" t="s">
        <v>909</v>
      </c>
      <c r="AB186" s="5">
        <v>43.14</v>
      </c>
      <c r="AC186" s="5">
        <v>0.58</v>
      </c>
      <c r="AD186" s="5">
        <v>25.0212</v>
      </c>
      <c r="AE186" s="5">
        <v>31.2765</v>
      </c>
      <c r="AF186" s="5">
        <v>33.3616</v>
      </c>
      <c r="AG186" s="5">
        <v>38.4942</v>
      </c>
      <c r="AH186" s="5">
        <v>45.4931</v>
      </c>
      <c r="AI186" s="5"/>
    </row>
    <row r="187" hidden="1" spans="1:35">
      <c r="A187" s="5" t="s">
        <v>897</v>
      </c>
      <c r="B187" s="5" t="s">
        <v>454</v>
      </c>
      <c r="C187" s="5" t="s">
        <v>453</v>
      </c>
      <c r="D187" s="5" t="s">
        <v>1787</v>
      </c>
      <c r="E187" s="5" t="s">
        <v>899</v>
      </c>
      <c r="F187" s="5" t="s">
        <v>96</v>
      </c>
      <c r="G187" s="5" t="s">
        <v>115</v>
      </c>
      <c r="H187" s="5" t="s">
        <v>1777</v>
      </c>
      <c r="I187" s="5" t="s">
        <v>1054</v>
      </c>
      <c r="J187" s="5" t="s">
        <v>1054</v>
      </c>
      <c r="K187" s="5">
        <v>20</v>
      </c>
      <c r="L187" s="5"/>
      <c r="M187" s="5" t="s">
        <v>919</v>
      </c>
      <c r="N187" s="5" t="s">
        <v>1783</v>
      </c>
      <c r="O187" s="5" t="s">
        <v>1784</v>
      </c>
      <c r="P187" s="5" t="s">
        <v>1785</v>
      </c>
      <c r="Q187" s="5" t="s">
        <v>1786</v>
      </c>
      <c r="R187" s="5">
        <v>1300</v>
      </c>
      <c r="S187" s="5">
        <v>1500</v>
      </c>
      <c r="T187" s="5">
        <v>23.2</v>
      </c>
      <c r="U187" s="5">
        <v>31</v>
      </c>
      <c r="V187" s="5">
        <v>26</v>
      </c>
      <c r="W187" s="5">
        <v>5</v>
      </c>
      <c r="X187" s="5" t="s">
        <v>907</v>
      </c>
      <c r="Y187" s="5" t="s">
        <v>908</v>
      </c>
      <c r="Z187" s="5">
        <v>59</v>
      </c>
      <c r="AA187" s="5" t="s">
        <v>909</v>
      </c>
      <c r="AB187" s="5">
        <v>46.18</v>
      </c>
      <c r="AC187" s="5">
        <v>0.58</v>
      </c>
      <c r="AD187" s="5">
        <v>26.7844</v>
      </c>
      <c r="AE187" s="5">
        <v>33.4805</v>
      </c>
      <c r="AF187" s="5">
        <v>35.7125</v>
      </c>
      <c r="AG187" s="5">
        <v>41.2068</v>
      </c>
      <c r="AH187" s="5">
        <v>48.6989</v>
      </c>
      <c r="AI187" s="5"/>
    </row>
    <row r="188" hidden="1" spans="1:35">
      <c r="A188" s="5" t="s">
        <v>897</v>
      </c>
      <c r="B188" s="5" t="s">
        <v>271</v>
      </c>
      <c r="C188" s="5" t="s">
        <v>270</v>
      </c>
      <c r="D188" s="5" t="s">
        <v>1788</v>
      </c>
      <c r="E188" s="5" t="s">
        <v>899</v>
      </c>
      <c r="F188" s="5" t="s">
        <v>96</v>
      </c>
      <c r="G188" s="5" t="s">
        <v>115</v>
      </c>
      <c r="H188" s="5" t="s">
        <v>1777</v>
      </c>
      <c r="I188" s="5" t="s">
        <v>1054</v>
      </c>
      <c r="J188" s="5" t="s">
        <v>1054</v>
      </c>
      <c r="K188" s="5">
        <v>20</v>
      </c>
      <c r="L188" s="5"/>
      <c r="M188" s="5" t="s">
        <v>919</v>
      </c>
      <c r="N188" s="5" t="s">
        <v>1783</v>
      </c>
      <c r="O188" s="5" t="s">
        <v>1784</v>
      </c>
      <c r="P188" s="5" t="s">
        <v>1789</v>
      </c>
      <c r="Q188" s="5" t="s">
        <v>1790</v>
      </c>
      <c r="R188" s="5">
        <v>3700</v>
      </c>
      <c r="S188" s="5">
        <v>4000</v>
      </c>
      <c r="T188" s="5">
        <v>22.8</v>
      </c>
      <c r="U188" s="5">
        <v>28</v>
      </c>
      <c r="V188" s="5">
        <v>26</v>
      </c>
      <c r="W188" s="5">
        <v>5</v>
      </c>
      <c r="X188" s="5" t="s">
        <v>907</v>
      </c>
      <c r="Y188" s="5" t="s">
        <v>908</v>
      </c>
      <c r="Z188" s="5">
        <v>2</v>
      </c>
      <c r="AA188" s="5" t="s">
        <v>909</v>
      </c>
      <c r="AB188" s="5">
        <v>38.57</v>
      </c>
      <c r="AC188" s="5">
        <v>0.58</v>
      </c>
      <c r="AD188" s="5">
        <v>22.3706</v>
      </c>
      <c r="AE188" s="5">
        <v>27.9632</v>
      </c>
      <c r="AF188" s="5">
        <v>29.8275</v>
      </c>
      <c r="AG188" s="5">
        <v>34.4163</v>
      </c>
      <c r="AH188" s="5">
        <v>40.6738</v>
      </c>
      <c r="AI188" s="5"/>
    </row>
    <row r="189" hidden="1" spans="1:35">
      <c r="A189" s="5" t="s">
        <v>897</v>
      </c>
      <c r="B189" s="5" t="s">
        <v>246</v>
      </c>
      <c r="C189" s="5" t="s">
        <v>245</v>
      </c>
      <c r="D189" s="5" t="s">
        <v>1791</v>
      </c>
      <c r="E189" s="5" t="s">
        <v>899</v>
      </c>
      <c r="F189" s="5" t="s">
        <v>96</v>
      </c>
      <c r="G189" s="5" t="s">
        <v>115</v>
      </c>
      <c r="H189" s="5" t="s">
        <v>1777</v>
      </c>
      <c r="I189" s="5" t="s">
        <v>1054</v>
      </c>
      <c r="J189" s="5" t="s">
        <v>1054</v>
      </c>
      <c r="K189" s="5">
        <v>20</v>
      </c>
      <c r="L189" s="5"/>
      <c r="M189" s="5" t="s">
        <v>919</v>
      </c>
      <c r="N189" s="5" t="s">
        <v>1783</v>
      </c>
      <c r="O189" s="5" t="s">
        <v>1784</v>
      </c>
      <c r="P189" s="5" t="s">
        <v>1789</v>
      </c>
      <c r="Q189" s="5" t="s">
        <v>1792</v>
      </c>
      <c r="R189" s="5">
        <v>1300</v>
      </c>
      <c r="S189" s="5">
        <v>1500</v>
      </c>
      <c r="T189" s="5">
        <v>21</v>
      </c>
      <c r="U189" s="5">
        <v>36</v>
      </c>
      <c r="V189" s="5">
        <v>31</v>
      </c>
      <c r="W189" s="5">
        <v>5</v>
      </c>
      <c r="X189" s="5" t="s">
        <v>907</v>
      </c>
      <c r="Y189" s="5" t="s">
        <v>908</v>
      </c>
      <c r="Z189" s="5">
        <v>209</v>
      </c>
      <c r="AA189" s="5" t="s">
        <v>909</v>
      </c>
      <c r="AB189" s="5">
        <v>49.17</v>
      </c>
      <c r="AC189" s="5">
        <v>0.58</v>
      </c>
      <c r="AD189" s="5">
        <v>28.5186</v>
      </c>
      <c r="AE189" s="5">
        <v>35.6482</v>
      </c>
      <c r="AF189" s="5">
        <v>38.0248</v>
      </c>
      <c r="AG189" s="5">
        <v>43.8748</v>
      </c>
      <c r="AH189" s="5">
        <v>51.852</v>
      </c>
      <c r="AI189" s="5"/>
    </row>
    <row r="190" hidden="1" spans="1:35">
      <c r="A190" s="5" t="s">
        <v>897</v>
      </c>
      <c r="B190" s="5" t="s">
        <v>129</v>
      </c>
      <c r="C190" s="5" t="s">
        <v>128</v>
      </c>
      <c r="D190" s="5" t="s">
        <v>1681</v>
      </c>
      <c r="E190" s="5" t="s">
        <v>899</v>
      </c>
      <c r="F190" s="5" t="s">
        <v>96</v>
      </c>
      <c r="G190" s="5" t="s">
        <v>127</v>
      </c>
      <c r="H190" s="5" t="s">
        <v>1349</v>
      </c>
      <c r="I190" s="5" t="s">
        <v>1793</v>
      </c>
      <c r="J190" s="5" t="s">
        <v>1793</v>
      </c>
      <c r="K190" s="5">
        <v>18</v>
      </c>
      <c r="L190" s="5"/>
      <c r="M190" s="5" t="s">
        <v>919</v>
      </c>
      <c r="N190" s="5" t="s">
        <v>1682</v>
      </c>
      <c r="O190" s="5" t="s">
        <v>1683</v>
      </c>
      <c r="P190" s="5" t="s">
        <v>1684</v>
      </c>
      <c r="Q190" s="5" t="s">
        <v>1685</v>
      </c>
      <c r="R190" s="5">
        <v>12000</v>
      </c>
      <c r="S190" s="5">
        <v>12500</v>
      </c>
      <c r="T190" s="5">
        <v>55</v>
      </c>
      <c r="U190" s="5">
        <v>40</v>
      </c>
      <c r="V190" s="5">
        <v>35</v>
      </c>
      <c r="W190" s="5">
        <v>1</v>
      </c>
      <c r="X190" s="5" t="s">
        <v>1020</v>
      </c>
      <c r="Y190" s="5" t="s">
        <v>908</v>
      </c>
      <c r="Z190" s="5">
        <v>0</v>
      </c>
      <c r="AA190" s="5" t="s">
        <v>909</v>
      </c>
      <c r="AB190" s="5">
        <v>197.75</v>
      </c>
      <c r="AC190" s="5">
        <v>0.58</v>
      </c>
      <c r="AD190" s="5">
        <v>114.695</v>
      </c>
      <c r="AE190" s="5">
        <v>143.3687</v>
      </c>
      <c r="AF190" s="5">
        <v>152.9267</v>
      </c>
      <c r="AG190" s="5">
        <v>176.4538</v>
      </c>
      <c r="AH190" s="5">
        <v>208.5364</v>
      </c>
      <c r="AI190" s="5"/>
    </row>
    <row r="191" hidden="1" spans="1:35">
      <c r="A191" s="5" t="s">
        <v>897</v>
      </c>
      <c r="B191" s="5" t="s">
        <v>288</v>
      </c>
      <c r="C191" s="5" t="s">
        <v>287</v>
      </c>
      <c r="D191" s="5" t="s">
        <v>1794</v>
      </c>
      <c r="E191" s="5" t="s">
        <v>899</v>
      </c>
      <c r="F191" s="5" t="s">
        <v>96</v>
      </c>
      <c r="G191" s="5" t="s">
        <v>127</v>
      </c>
      <c r="H191" s="5" t="s">
        <v>1349</v>
      </c>
      <c r="I191" s="5" t="s">
        <v>1723</v>
      </c>
      <c r="J191" s="5" t="s">
        <v>1723</v>
      </c>
      <c r="K191" s="5">
        <v>18</v>
      </c>
      <c r="L191" s="5"/>
      <c r="M191" s="5" t="s">
        <v>919</v>
      </c>
      <c r="N191" s="5" t="s">
        <v>1682</v>
      </c>
      <c r="O191" s="5" t="s">
        <v>1683</v>
      </c>
      <c r="P191" s="5" t="s">
        <v>1795</v>
      </c>
      <c r="Q191" s="5" t="s">
        <v>1796</v>
      </c>
      <c r="R191" s="5">
        <v>30000</v>
      </c>
      <c r="S191" s="5">
        <v>35000</v>
      </c>
      <c r="T191" s="5">
        <v>85</v>
      </c>
      <c r="U191" s="5">
        <v>49</v>
      </c>
      <c r="V191" s="5">
        <v>45</v>
      </c>
      <c r="W191" s="5">
        <v>1</v>
      </c>
      <c r="X191" s="5" t="s">
        <v>907</v>
      </c>
      <c r="Y191" s="5" t="s">
        <v>908</v>
      </c>
      <c r="Z191" s="5">
        <v>23</v>
      </c>
      <c r="AA191" s="5" t="s">
        <v>909</v>
      </c>
      <c r="AB191" s="5">
        <v>667.56</v>
      </c>
      <c r="AC191" s="5">
        <v>0.58</v>
      </c>
      <c r="AD191" s="5">
        <v>387.1848</v>
      </c>
      <c r="AE191" s="5">
        <v>483.981</v>
      </c>
      <c r="AF191" s="5">
        <v>516.2464</v>
      </c>
      <c r="AG191" s="5">
        <v>595.6689</v>
      </c>
      <c r="AH191" s="5">
        <v>703.9724</v>
      </c>
      <c r="AI191" s="5"/>
    </row>
    <row r="192" hidden="1" spans="1:35">
      <c r="A192" s="5" t="s">
        <v>897</v>
      </c>
      <c r="B192" s="5" t="s">
        <v>201</v>
      </c>
      <c r="C192" s="5" t="s">
        <v>200</v>
      </c>
      <c r="D192" s="5" t="s">
        <v>1797</v>
      </c>
      <c r="E192" s="5" t="s">
        <v>899</v>
      </c>
      <c r="F192" s="5" t="s">
        <v>96</v>
      </c>
      <c r="G192" s="5" t="s">
        <v>127</v>
      </c>
      <c r="H192" s="5" t="s">
        <v>1349</v>
      </c>
      <c r="I192" s="5" t="s">
        <v>1723</v>
      </c>
      <c r="J192" s="5" t="s">
        <v>1723</v>
      </c>
      <c r="K192" s="5">
        <v>18</v>
      </c>
      <c r="L192" s="5"/>
      <c r="M192" s="5" t="s">
        <v>919</v>
      </c>
      <c r="N192" s="5" t="s">
        <v>1682</v>
      </c>
      <c r="O192" s="5" t="s">
        <v>1683</v>
      </c>
      <c r="P192" s="5" t="s">
        <v>1798</v>
      </c>
      <c r="Q192" s="5" t="s">
        <v>1799</v>
      </c>
      <c r="R192" s="5">
        <v>40000</v>
      </c>
      <c r="S192" s="5">
        <v>45000</v>
      </c>
      <c r="T192" s="5">
        <v>105</v>
      </c>
      <c r="U192" s="5">
        <v>56</v>
      </c>
      <c r="V192" s="5">
        <v>46</v>
      </c>
      <c r="W192" s="5">
        <v>1</v>
      </c>
      <c r="X192" s="5" t="s">
        <v>907</v>
      </c>
      <c r="Y192" s="5" t="s">
        <v>908</v>
      </c>
      <c r="Z192" s="5">
        <v>33</v>
      </c>
      <c r="AA192" s="5" t="s">
        <v>909</v>
      </c>
      <c r="AB192" s="5">
        <v>896.77</v>
      </c>
      <c r="AC192" s="5">
        <v>0.58</v>
      </c>
      <c r="AD192" s="5">
        <v>520.1266</v>
      </c>
      <c r="AE192" s="5">
        <v>650.1582</v>
      </c>
      <c r="AF192" s="5">
        <v>693.5021</v>
      </c>
      <c r="AG192" s="5">
        <v>800.1948</v>
      </c>
      <c r="AH192" s="5">
        <v>945.6847</v>
      </c>
      <c r="AI192" s="5"/>
    </row>
    <row r="193" hidden="1" spans="1:35">
      <c r="A193" s="5" t="s">
        <v>897</v>
      </c>
      <c r="B193" s="5" t="s">
        <v>578</v>
      </c>
      <c r="C193" s="5" t="s">
        <v>577</v>
      </c>
      <c r="D193" s="5" t="s">
        <v>1800</v>
      </c>
      <c r="E193" s="5" t="s">
        <v>899</v>
      </c>
      <c r="F193" s="5" t="s">
        <v>96</v>
      </c>
      <c r="G193" s="5" t="s">
        <v>127</v>
      </c>
      <c r="H193" s="5" t="s">
        <v>1349</v>
      </c>
      <c r="I193" s="5" t="s">
        <v>1801</v>
      </c>
      <c r="J193" s="5" t="s">
        <v>1801</v>
      </c>
      <c r="K193" s="5">
        <v>18</v>
      </c>
      <c r="L193" s="5"/>
      <c r="M193" s="5" t="s">
        <v>919</v>
      </c>
      <c r="N193" s="5" t="s">
        <v>1802</v>
      </c>
      <c r="O193" s="5" t="s">
        <v>1803</v>
      </c>
      <c r="P193" s="5" t="s">
        <v>1804</v>
      </c>
      <c r="Q193" s="5" t="s">
        <v>1355</v>
      </c>
      <c r="R193" s="5">
        <v>2000</v>
      </c>
      <c r="S193" s="5">
        <v>2300</v>
      </c>
      <c r="T193" s="5">
        <v>27.7</v>
      </c>
      <c r="U193" s="5">
        <v>22</v>
      </c>
      <c r="V193" s="5">
        <v>21.3</v>
      </c>
      <c r="W193" s="5">
        <v>1</v>
      </c>
      <c r="X193" s="5" t="s">
        <v>907</v>
      </c>
      <c r="Y193" s="5" t="s">
        <v>908</v>
      </c>
      <c r="Z193" s="5">
        <v>0</v>
      </c>
      <c r="AA193" s="5" t="s">
        <v>909</v>
      </c>
      <c r="AB193" s="5">
        <v>62.21</v>
      </c>
      <c r="AC193" s="5">
        <v>0.58</v>
      </c>
      <c r="AD193" s="5">
        <v>36.0818</v>
      </c>
      <c r="AE193" s="5">
        <v>45.1022</v>
      </c>
      <c r="AF193" s="5">
        <v>48.1091</v>
      </c>
      <c r="AG193" s="5">
        <v>55.5105</v>
      </c>
      <c r="AH193" s="5">
        <v>65.6033</v>
      </c>
      <c r="AI193" s="5"/>
    </row>
    <row r="194" hidden="1" spans="1:35">
      <c r="A194" s="5" t="s">
        <v>897</v>
      </c>
      <c r="B194" s="5" t="s">
        <v>705</v>
      </c>
      <c r="C194" s="5" t="s">
        <v>703</v>
      </c>
      <c r="D194" s="5" t="s">
        <v>1805</v>
      </c>
      <c r="E194" s="5" t="s">
        <v>899</v>
      </c>
      <c r="F194" s="5" t="s">
        <v>96</v>
      </c>
      <c r="G194" s="5" t="s">
        <v>115</v>
      </c>
      <c r="H194" s="5" t="s">
        <v>1454</v>
      </c>
      <c r="I194" s="5" t="s">
        <v>1723</v>
      </c>
      <c r="J194" s="5" t="s">
        <v>1723</v>
      </c>
      <c r="K194" s="5">
        <v>18</v>
      </c>
      <c r="L194" s="5"/>
      <c r="M194" s="5" t="s">
        <v>902</v>
      </c>
      <c r="N194" s="5" t="s">
        <v>1455</v>
      </c>
      <c r="O194" s="5" t="s">
        <v>1456</v>
      </c>
      <c r="P194" s="5" t="s">
        <v>1806</v>
      </c>
      <c r="Q194" s="5" t="s">
        <v>1807</v>
      </c>
      <c r="R194" s="5">
        <v>460</v>
      </c>
      <c r="S194" s="5">
        <v>470</v>
      </c>
      <c r="T194" s="5">
        <v>2.34</v>
      </c>
      <c r="U194" s="5">
        <v>23.4</v>
      </c>
      <c r="V194" s="5">
        <v>23</v>
      </c>
      <c r="W194" s="5">
        <v>16</v>
      </c>
      <c r="X194" s="5" t="s">
        <v>907</v>
      </c>
      <c r="Y194" s="5" t="s">
        <v>908</v>
      </c>
      <c r="Z194" s="5">
        <v>302</v>
      </c>
      <c r="AA194" s="5" t="s">
        <v>909</v>
      </c>
      <c r="AB194" s="5">
        <v>16.34</v>
      </c>
      <c r="AC194" s="5">
        <v>0.58</v>
      </c>
      <c r="AD194" s="5">
        <v>9.4772</v>
      </c>
      <c r="AE194" s="5">
        <v>11.8465</v>
      </c>
      <c r="AF194" s="5">
        <v>12.6363</v>
      </c>
      <c r="AG194" s="5">
        <v>14.5803</v>
      </c>
      <c r="AH194" s="5">
        <v>17.2313</v>
      </c>
      <c r="AI194" s="5"/>
    </row>
    <row r="195" hidden="1" spans="1:35">
      <c r="A195" s="5" t="s">
        <v>897</v>
      </c>
      <c r="B195" s="5" t="s">
        <v>668</v>
      </c>
      <c r="C195" s="5" t="s">
        <v>667</v>
      </c>
      <c r="D195" s="5" t="s">
        <v>1808</v>
      </c>
      <c r="E195" s="5" t="s">
        <v>899</v>
      </c>
      <c r="F195" s="5" t="s">
        <v>96</v>
      </c>
      <c r="G195" s="5" t="s">
        <v>115</v>
      </c>
      <c r="H195" s="5" t="s">
        <v>1454</v>
      </c>
      <c r="I195" s="5" t="s">
        <v>1723</v>
      </c>
      <c r="J195" s="5" t="s">
        <v>1723</v>
      </c>
      <c r="K195" s="5">
        <v>18</v>
      </c>
      <c r="L195" s="5"/>
      <c r="M195" s="5" t="s">
        <v>902</v>
      </c>
      <c r="N195" s="5" t="s">
        <v>1455</v>
      </c>
      <c r="O195" s="5" t="s">
        <v>1456</v>
      </c>
      <c r="P195" s="5" t="s">
        <v>1809</v>
      </c>
      <c r="Q195" s="5" t="s">
        <v>1810</v>
      </c>
      <c r="R195" s="5">
        <v>460</v>
      </c>
      <c r="S195" s="5">
        <v>470</v>
      </c>
      <c r="T195" s="5">
        <v>4.18</v>
      </c>
      <c r="U195" s="5">
        <v>36.4</v>
      </c>
      <c r="V195" s="5">
        <v>28</v>
      </c>
      <c r="W195" s="5">
        <v>10</v>
      </c>
      <c r="X195" s="5" t="s">
        <v>907</v>
      </c>
      <c r="Y195" s="5" t="s">
        <v>908</v>
      </c>
      <c r="Z195" s="5">
        <v>3</v>
      </c>
      <c r="AA195" s="5" t="s">
        <v>909</v>
      </c>
      <c r="AB195" s="5">
        <v>22.73</v>
      </c>
      <c r="AC195" s="5">
        <v>0.58</v>
      </c>
      <c r="AD195" s="5">
        <v>13.1834</v>
      </c>
      <c r="AE195" s="5">
        <v>16.4792</v>
      </c>
      <c r="AF195" s="5">
        <v>17.5779</v>
      </c>
      <c r="AG195" s="5">
        <v>20.2822</v>
      </c>
      <c r="AH195" s="5">
        <v>23.9698</v>
      </c>
      <c r="AI195" s="5"/>
    </row>
    <row r="196" hidden="1" spans="1:35">
      <c r="A196" s="5" t="s">
        <v>897</v>
      </c>
      <c r="B196" s="5" t="s">
        <v>635</v>
      </c>
      <c r="C196" s="5" t="s">
        <v>634</v>
      </c>
      <c r="D196" s="5" t="s">
        <v>1811</v>
      </c>
      <c r="E196" s="5" t="s">
        <v>899</v>
      </c>
      <c r="F196" s="5" t="s">
        <v>96</v>
      </c>
      <c r="G196" s="5" t="s">
        <v>115</v>
      </c>
      <c r="H196" s="5" t="s">
        <v>1454</v>
      </c>
      <c r="I196" s="5" t="s">
        <v>1723</v>
      </c>
      <c r="J196" s="5" t="s">
        <v>1723</v>
      </c>
      <c r="K196" s="5">
        <v>18</v>
      </c>
      <c r="L196" s="5"/>
      <c r="M196" s="5" t="s">
        <v>902</v>
      </c>
      <c r="N196" s="5" t="s">
        <v>1455</v>
      </c>
      <c r="O196" s="5" t="s">
        <v>1456</v>
      </c>
      <c r="P196" s="5" t="s">
        <v>1812</v>
      </c>
      <c r="Q196" s="5" t="s">
        <v>1807</v>
      </c>
      <c r="R196" s="5">
        <v>1000</v>
      </c>
      <c r="S196" s="5">
        <v>1050</v>
      </c>
      <c r="T196" s="5">
        <v>2.34</v>
      </c>
      <c r="U196" s="5">
        <v>23.4</v>
      </c>
      <c r="V196" s="5">
        <v>23</v>
      </c>
      <c r="W196" s="5">
        <v>16</v>
      </c>
      <c r="X196" s="5" t="s">
        <v>907</v>
      </c>
      <c r="Y196" s="5" t="s">
        <v>908</v>
      </c>
      <c r="Z196" s="5">
        <v>1</v>
      </c>
      <c r="AA196" s="5" t="s">
        <v>909</v>
      </c>
      <c r="AB196" s="5">
        <v>18.16</v>
      </c>
      <c r="AC196" s="5">
        <v>0.58</v>
      </c>
      <c r="AD196" s="5">
        <v>10.5328</v>
      </c>
      <c r="AE196" s="5">
        <v>13.166</v>
      </c>
      <c r="AF196" s="5">
        <v>14.0437</v>
      </c>
      <c r="AG196" s="5">
        <v>16.2043</v>
      </c>
      <c r="AH196" s="5">
        <v>19.1505</v>
      </c>
      <c r="AI196" s="5"/>
    </row>
    <row r="197" hidden="1" spans="1:35">
      <c r="A197" s="5" t="s">
        <v>897</v>
      </c>
      <c r="B197" s="5" t="s">
        <v>1813</v>
      </c>
      <c r="C197" s="5" t="s">
        <v>434</v>
      </c>
      <c r="D197" s="5" t="s">
        <v>1814</v>
      </c>
      <c r="E197" s="5" t="s">
        <v>899</v>
      </c>
      <c r="F197" s="5" t="s">
        <v>96</v>
      </c>
      <c r="G197" s="5" t="s">
        <v>115</v>
      </c>
      <c r="H197" s="5" t="s">
        <v>1454</v>
      </c>
      <c r="I197" s="5" t="s">
        <v>1723</v>
      </c>
      <c r="J197" s="5" t="s">
        <v>1723</v>
      </c>
      <c r="K197" s="5">
        <v>18</v>
      </c>
      <c r="L197" s="5"/>
      <c r="M197" s="5" t="s">
        <v>902</v>
      </c>
      <c r="N197" s="5" t="s">
        <v>1455</v>
      </c>
      <c r="O197" s="5" t="s">
        <v>1456</v>
      </c>
      <c r="P197" s="5" t="s">
        <v>1815</v>
      </c>
      <c r="Q197" s="5" t="s">
        <v>1810</v>
      </c>
      <c r="R197" s="5">
        <v>1000</v>
      </c>
      <c r="S197" s="5">
        <v>1050</v>
      </c>
      <c r="T197" s="5">
        <v>4.18</v>
      </c>
      <c r="U197" s="5">
        <v>36.4</v>
      </c>
      <c r="V197" s="5">
        <v>28</v>
      </c>
      <c r="W197" s="5">
        <v>10</v>
      </c>
      <c r="X197" s="5" t="s">
        <v>907</v>
      </c>
      <c r="Y197" s="5" t="s">
        <v>908</v>
      </c>
      <c r="Z197" s="5">
        <v>0</v>
      </c>
      <c r="AA197" s="5" t="s">
        <v>909</v>
      </c>
      <c r="AB197" s="5">
        <v>24.12</v>
      </c>
      <c r="AC197" s="5">
        <v>0.58</v>
      </c>
      <c r="AD197" s="5">
        <v>13.9896</v>
      </c>
      <c r="AE197" s="5">
        <v>17.487</v>
      </c>
      <c r="AF197" s="5">
        <v>18.6528</v>
      </c>
      <c r="AG197" s="5">
        <v>21.5225</v>
      </c>
      <c r="AH197" s="5">
        <v>25.4356</v>
      </c>
      <c r="AI197" s="5"/>
    </row>
    <row r="198" hidden="1" spans="1:35">
      <c r="A198" s="5" t="s">
        <v>897</v>
      </c>
      <c r="B198" s="5" t="s">
        <v>311</v>
      </c>
      <c r="C198" s="5" t="s">
        <v>310</v>
      </c>
      <c r="D198" s="5" t="s">
        <v>1816</v>
      </c>
      <c r="E198" s="5" t="s">
        <v>899</v>
      </c>
      <c r="F198" s="5" t="s">
        <v>108</v>
      </c>
      <c r="G198" s="5" t="s">
        <v>109</v>
      </c>
      <c r="H198" s="5" t="s">
        <v>1371</v>
      </c>
      <c r="I198" s="5" t="s">
        <v>1130</v>
      </c>
      <c r="J198" s="5" t="s">
        <v>1130</v>
      </c>
      <c r="K198" s="5">
        <v>18</v>
      </c>
      <c r="L198" s="5"/>
      <c r="M198" s="5" t="s">
        <v>919</v>
      </c>
      <c r="N198" s="5" t="s">
        <v>1817</v>
      </c>
      <c r="O198" s="5" t="s">
        <v>1818</v>
      </c>
      <c r="P198" s="5" t="s">
        <v>1819</v>
      </c>
      <c r="Q198" s="5" t="s">
        <v>1820</v>
      </c>
      <c r="R198" s="5">
        <v>4300</v>
      </c>
      <c r="S198" s="5">
        <v>4500</v>
      </c>
      <c r="T198" s="5">
        <v>10.88</v>
      </c>
      <c r="U198" s="5">
        <v>40</v>
      </c>
      <c r="V198" s="5">
        <v>32.5</v>
      </c>
      <c r="W198" s="5">
        <v>4</v>
      </c>
      <c r="X198" s="5" t="s">
        <v>1020</v>
      </c>
      <c r="Y198" s="5" t="s">
        <v>908</v>
      </c>
      <c r="Z198" s="5">
        <v>42</v>
      </c>
      <c r="AA198" s="5" t="s">
        <v>909</v>
      </c>
      <c r="AB198" s="5">
        <v>123.84</v>
      </c>
      <c r="AC198" s="5">
        <v>0.58</v>
      </c>
      <c r="AD198" s="5">
        <v>71.8272</v>
      </c>
      <c r="AE198" s="5">
        <v>89.784</v>
      </c>
      <c r="AF198" s="5">
        <v>95.7696</v>
      </c>
      <c r="AG198" s="5">
        <v>110.5034</v>
      </c>
      <c r="AH198" s="5">
        <v>130.5949</v>
      </c>
      <c r="AI198" s="5"/>
    </row>
    <row r="199" hidden="1" spans="1:35">
      <c r="A199" s="5" t="s">
        <v>897</v>
      </c>
      <c r="B199" s="5" t="s">
        <v>355</v>
      </c>
      <c r="C199" s="5" t="s">
        <v>354</v>
      </c>
      <c r="D199" s="5" t="s">
        <v>1821</v>
      </c>
      <c r="E199" s="5" t="s">
        <v>899</v>
      </c>
      <c r="F199" s="5" t="s">
        <v>108</v>
      </c>
      <c r="G199" s="5" t="s">
        <v>109</v>
      </c>
      <c r="H199" s="5" t="s">
        <v>1371</v>
      </c>
      <c r="I199" s="5" t="s">
        <v>1130</v>
      </c>
      <c r="J199" s="5" t="s">
        <v>1130</v>
      </c>
      <c r="K199" s="5">
        <v>18</v>
      </c>
      <c r="L199" s="5"/>
      <c r="M199" s="5" t="s">
        <v>919</v>
      </c>
      <c r="N199" s="5" t="s">
        <v>1822</v>
      </c>
      <c r="O199" s="5" t="s">
        <v>1823</v>
      </c>
      <c r="P199" s="5" t="s">
        <v>1824</v>
      </c>
      <c r="Q199" s="5" t="s">
        <v>1825</v>
      </c>
      <c r="R199" s="5">
        <v>2600</v>
      </c>
      <c r="S199" s="5">
        <v>2650</v>
      </c>
      <c r="T199" s="5">
        <v>6.38</v>
      </c>
      <c r="U199" s="5">
        <v>42.5</v>
      </c>
      <c r="V199" s="5">
        <v>39.5</v>
      </c>
      <c r="W199" s="5">
        <v>8</v>
      </c>
      <c r="X199" s="5" t="s">
        <v>907</v>
      </c>
      <c r="Y199" s="5" t="s">
        <v>908</v>
      </c>
      <c r="Z199" s="5">
        <v>0</v>
      </c>
      <c r="AA199" s="5" t="s">
        <v>909</v>
      </c>
      <c r="AB199" s="5">
        <v>97.58</v>
      </c>
      <c r="AC199" s="5">
        <v>0.58</v>
      </c>
      <c r="AD199" s="5">
        <v>56.5964</v>
      </c>
      <c r="AE199" s="5">
        <v>70.7455</v>
      </c>
      <c r="AF199" s="5">
        <v>75.4619</v>
      </c>
      <c r="AG199" s="5">
        <v>87.0714</v>
      </c>
      <c r="AH199" s="5">
        <v>102.9025</v>
      </c>
      <c r="AI199" s="5"/>
    </row>
    <row r="200" hidden="1" spans="1:35">
      <c r="A200" s="5" t="s">
        <v>897</v>
      </c>
      <c r="B200" s="5" t="s">
        <v>353</v>
      </c>
      <c r="C200" s="5" t="s">
        <v>352</v>
      </c>
      <c r="D200" s="5" t="s">
        <v>1826</v>
      </c>
      <c r="E200" s="5" t="s">
        <v>899</v>
      </c>
      <c r="F200" s="5" t="s">
        <v>108</v>
      </c>
      <c r="G200" s="5" t="s">
        <v>109</v>
      </c>
      <c r="H200" s="5" t="s">
        <v>1371</v>
      </c>
      <c r="I200" s="5" t="s">
        <v>1827</v>
      </c>
      <c r="J200" s="5" t="s">
        <v>1827</v>
      </c>
      <c r="K200" s="5">
        <v>20</v>
      </c>
      <c r="L200" s="5"/>
      <c r="M200" s="5" t="s">
        <v>919</v>
      </c>
      <c r="N200" s="5" t="s">
        <v>1828</v>
      </c>
      <c r="O200" s="5" t="s">
        <v>1829</v>
      </c>
      <c r="P200" s="5" t="s">
        <v>1830</v>
      </c>
      <c r="Q200" s="5" t="s">
        <v>1831</v>
      </c>
      <c r="R200" s="5">
        <v>1950</v>
      </c>
      <c r="S200" s="5">
        <v>2350</v>
      </c>
      <c r="T200" s="5">
        <v>5.25</v>
      </c>
      <c r="U200" s="5">
        <v>41</v>
      </c>
      <c r="V200" s="5">
        <v>41</v>
      </c>
      <c r="W200" s="5">
        <v>8</v>
      </c>
      <c r="X200" s="5" t="s">
        <v>907</v>
      </c>
      <c r="Y200" s="5" t="s">
        <v>908</v>
      </c>
      <c r="Z200" s="5">
        <v>152</v>
      </c>
      <c r="AA200" s="5" t="s">
        <v>909</v>
      </c>
      <c r="AB200" s="5">
        <v>60.11</v>
      </c>
      <c r="AC200" s="5">
        <v>0.58</v>
      </c>
      <c r="AD200" s="5">
        <v>34.8638</v>
      </c>
      <c r="AE200" s="5">
        <v>43.5797</v>
      </c>
      <c r="AF200" s="5">
        <v>46.4851</v>
      </c>
      <c r="AG200" s="5">
        <v>53.6366</v>
      </c>
      <c r="AH200" s="5">
        <v>63.3887</v>
      </c>
      <c r="AI200" s="5"/>
    </row>
    <row r="201" hidden="1" spans="1:35">
      <c r="A201" s="5" t="s">
        <v>897</v>
      </c>
      <c r="B201" s="5" t="s">
        <v>140</v>
      </c>
      <c r="C201" s="5" t="s">
        <v>139</v>
      </c>
      <c r="D201" s="5" t="s">
        <v>1832</v>
      </c>
      <c r="E201" s="5" t="s">
        <v>899</v>
      </c>
      <c r="F201" s="5" t="s">
        <v>108</v>
      </c>
      <c r="G201" s="5" t="s">
        <v>109</v>
      </c>
      <c r="H201" s="5" t="s">
        <v>1371</v>
      </c>
      <c r="I201" s="5" t="s">
        <v>1827</v>
      </c>
      <c r="J201" s="5" t="s">
        <v>1827</v>
      </c>
      <c r="K201" s="5">
        <v>20</v>
      </c>
      <c r="L201" s="5"/>
      <c r="M201" s="5" t="s">
        <v>919</v>
      </c>
      <c r="N201" s="5" t="s">
        <v>1833</v>
      </c>
      <c r="O201" s="5" t="s">
        <v>1834</v>
      </c>
      <c r="P201" s="5" t="s">
        <v>1835</v>
      </c>
      <c r="Q201" s="5" t="s">
        <v>1831</v>
      </c>
      <c r="R201" s="5">
        <v>2200</v>
      </c>
      <c r="S201" s="5">
        <v>2380</v>
      </c>
      <c r="T201" s="5">
        <v>7.07</v>
      </c>
      <c r="U201" s="5">
        <v>41</v>
      </c>
      <c r="V201" s="5">
        <v>21</v>
      </c>
      <c r="W201" s="5">
        <v>8</v>
      </c>
      <c r="X201" s="5" t="s">
        <v>1020</v>
      </c>
      <c r="Y201" s="5" t="s">
        <v>908</v>
      </c>
      <c r="Z201" s="5">
        <v>276</v>
      </c>
      <c r="AA201" s="5" t="s">
        <v>909</v>
      </c>
      <c r="AB201" s="5">
        <v>43.51</v>
      </c>
      <c r="AC201" s="5">
        <v>0.58</v>
      </c>
      <c r="AD201" s="5">
        <v>25.2358</v>
      </c>
      <c r="AE201" s="5">
        <v>31.5447</v>
      </c>
      <c r="AF201" s="5">
        <v>33.6477</v>
      </c>
      <c r="AG201" s="5">
        <v>38.8243</v>
      </c>
      <c r="AH201" s="5">
        <v>45.8833</v>
      </c>
      <c r="AI201" s="5"/>
    </row>
    <row r="202" hidden="1" spans="1:35">
      <c r="A202" s="5" t="s">
        <v>897</v>
      </c>
      <c r="B202" s="5" t="s">
        <v>142</v>
      </c>
      <c r="C202" s="5" t="s">
        <v>141</v>
      </c>
      <c r="D202" s="5" t="s">
        <v>1836</v>
      </c>
      <c r="E202" s="5" t="s">
        <v>899</v>
      </c>
      <c r="F202" s="5" t="s">
        <v>108</v>
      </c>
      <c r="G202" s="5" t="s">
        <v>109</v>
      </c>
      <c r="H202" s="5" t="s">
        <v>1371</v>
      </c>
      <c r="I202" s="5" t="s">
        <v>1827</v>
      </c>
      <c r="J202" s="5" t="s">
        <v>1827</v>
      </c>
      <c r="K202" s="5">
        <v>20</v>
      </c>
      <c r="L202" s="5"/>
      <c r="M202" s="5" t="s">
        <v>919</v>
      </c>
      <c r="N202" s="5" t="s">
        <v>1837</v>
      </c>
      <c r="O202" s="5" t="s">
        <v>1838</v>
      </c>
      <c r="P202" s="5" t="s">
        <v>1839</v>
      </c>
      <c r="Q202" s="5" t="s">
        <v>1840</v>
      </c>
      <c r="R202" s="5">
        <v>4000</v>
      </c>
      <c r="S202" s="5">
        <v>4480</v>
      </c>
      <c r="T202" s="5">
        <v>13.75</v>
      </c>
      <c r="U202" s="5">
        <v>44.5</v>
      </c>
      <c r="V202" s="5">
        <v>26.5</v>
      </c>
      <c r="W202" s="5">
        <v>4</v>
      </c>
      <c r="X202" s="5" t="s">
        <v>1020</v>
      </c>
      <c r="Y202" s="5" t="s">
        <v>908</v>
      </c>
      <c r="Z202" s="5">
        <v>36</v>
      </c>
      <c r="AA202" s="5" t="s">
        <v>909</v>
      </c>
      <c r="AB202" s="5">
        <v>84.37</v>
      </c>
      <c r="AC202" s="5">
        <v>0.58</v>
      </c>
      <c r="AD202" s="5">
        <v>48.9346</v>
      </c>
      <c r="AE202" s="5">
        <v>61.1682</v>
      </c>
      <c r="AF202" s="5">
        <v>65.2461</v>
      </c>
      <c r="AG202" s="5">
        <v>75.284</v>
      </c>
      <c r="AH202" s="5">
        <v>88.972</v>
      </c>
      <c r="AI202" s="5"/>
    </row>
    <row r="203" hidden="1" spans="1:35">
      <c r="A203" s="5" t="s">
        <v>897</v>
      </c>
      <c r="B203" s="5" t="s">
        <v>731</v>
      </c>
      <c r="C203" s="5" t="s">
        <v>730</v>
      </c>
      <c r="D203" s="5" t="s">
        <v>1841</v>
      </c>
      <c r="E203" s="5" t="s">
        <v>899</v>
      </c>
      <c r="F203" s="5" t="s">
        <v>108</v>
      </c>
      <c r="G203" s="5" t="s">
        <v>146</v>
      </c>
      <c r="H203" s="5" t="s">
        <v>1484</v>
      </c>
      <c r="I203" s="5" t="s">
        <v>1054</v>
      </c>
      <c r="J203" s="5" t="s">
        <v>1054</v>
      </c>
      <c r="K203" s="5">
        <v>20</v>
      </c>
      <c r="L203" s="5"/>
      <c r="M203" s="5" t="s">
        <v>902</v>
      </c>
      <c r="N203" s="5" t="s">
        <v>1485</v>
      </c>
      <c r="O203" s="5" t="s">
        <v>1486</v>
      </c>
      <c r="P203" s="5" t="s">
        <v>1842</v>
      </c>
      <c r="Q203" s="5" t="s">
        <v>1488</v>
      </c>
      <c r="R203" s="5">
        <v>1100</v>
      </c>
      <c r="S203" s="5">
        <v>2250</v>
      </c>
      <c r="T203" s="5">
        <v>12.75</v>
      </c>
      <c r="U203" s="5">
        <v>64</v>
      </c>
      <c r="V203" s="5">
        <v>55</v>
      </c>
      <c r="W203" s="5">
        <v>8</v>
      </c>
      <c r="X203" s="5" t="s">
        <v>1020</v>
      </c>
      <c r="Y203" s="5" t="s">
        <v>908</v>
      </c>
      <c r="Z203" s="5">
        <v>108</v>
      </c>
      <c r="AA203" s="5" t="s">
        <v>909</v>
      </c>
      <c r="AB203" s="5">
        <v>90.64</v>
      </c>
      <c r="AC203" s="5">
        <v>0.58</v>
      </c>
      <c r="AD203" s="5">
        <v>52.5712</v>
      </c>
      <c r="AE203" s="5">
        <v>65.714</v>
      </c>
      <c r="AF203" s="5">
        <v>70.0949</v>
      </c>
      <c r="AG203" s="5">
        <v>80.8788</v>
      </c>
      <c r="AH203" s="5">
        <v>95.584</v>
      </c>
      <c r="AI203" s="5"/>
    </row>
    <row r="204" hidden="1" spans="1:35">
      <c r="A204" s="5" t="s">
        <v>897</v>
      </c>
      <c r="B204" s="5" t="s">
        <v>448</v>
      </c>
      <c r="C204" s="5" t="s">
        <v>447</v>
      </c>
      <c r="D204" s="5" t="s">
        <v>1843</v>
      </c>
      <c r="E204" s="5" t="s">
        <v>899</v>
      </c>
      <c r="F204" s="5" t="s">
        <v>108</v>
      </c>
      <c r="G204" s="5" t="s">
        <v>146</v>
      </c>
      <c r="H204" s="5" t="s">
        <v>1484</v>
      </c>
      <c r="I204" s="5" t="s">
        <v>1054</v>
      </c>
      <c r="J204" s="5" t="s">
        <v>1054</v>
      </c>
      <c r="K204" s="5">
        <v>20</v>
      </c>
      <c r="L204" s="5"/>
      <c r="M204" s="5" t="s">
        <v>902</v>
      </c>
      <c r="N204" s="5" t="s">
        <v>1485</v>
      </c>
      <c r="O204" s="5" t="s">
        <v>1486</v>
      </c>
      <c r="P204" s="5" t="s">
        <v>1844</v>
      </c>
      <c r="Q204" s="5" t="s">
        <v>1488</v>
      </c>
      <c r="R204" s="5">
        <v>1100</v>
      </c>
      <c r="S204" s="5">
        <v>2250</v>
      </c>
      <c r="T204" s="5">
        <v>12.75</v>
      </c>
      <c r="U204" s="5">
        <v>64</v>
      </c>
      <c r="V204" s="5">
        <v>55</v>
      </c>
      <c r="W204" s="5">
        <v>8</v>
      </c>
      <c r="X204" s="5" t="s">
        <v>1020</v>
      </c>
      <c r="Y204" s="5" t="s">
        <v>908</v>
      </c>
      <c r="Z204" s="5">
        <v>99</v>
      </c>
      <c r="AA204" s="5" t="s">
        <v>909</v>
      </c>
      <c r="AB204" s="5">
        <v>90.64</v>
      </c>
      <c r="AC204" s="5">
        <v>0.58</v>
      </c>
      <c r="AD204" s="5">
        <v>52.5712</v>
      </c>
      <c r="AE204" s="5">
        <v>65.714</v>
      </c>
      <c r="AF204" s="5">
        <v>70.0949</v>
      </c>
      <c r="AG204" s="5">
        <v>80.8788</v>
      </c>
      <c r="AH204" s="5">
        <v>95.584</v>
      </c>
      <c r="AI204" s="5"/>
    </row>
    <row r="205" hidden="1" spans="1:35">
      <c r="A205" s="5" t="s">
        <v>897</v>
      </c>
      <c r="B205" s="5" t="s">
        <v>465</v>
      </c>
      <c r="C205" s="5" t="s">
        <v>464</v>
      </c>
      <c r="D205" s="5" t="s">
        <v>1845</v>
      </c>
      <c r="E205" s="5" t="s">
        <v>899</v>
      </c>
      <c r="F205" s="5" t="s">
        <v>108</v>
      </c>
      <c r="G205" s="5" t="s">
        <v>146</v>
      </c>
      <c r="H205" s="5" t="s">
        <v>1484</v>
      </c>
      <c r="I205" s="5" t="s">
        <v>1054</v>
      </c>
      <c r="J205" s="5" t="s">
        <v>1054</v>
      </c>
      <c r="K205" s="5">
        <v>20</v>
      </c>
      <c r="L205" s="5"/>
      <c r="M205" s="5" t="s">
        <v>919</v>
      </c>
      <c r="N205" s="5" t="s">
        <v>1485</v>
      </c>
      <c r="O205" s="5" t="s">
        <v>1486</v>
      </c>
      <c r="P205" s="5" t="s">
        <v>1846</v>
      </c>
      <c r="Q205" s="5" t="s">
        <v>1488</v>
      </c>
      <c r="R205" s="5">
        <v>1400</v>
      </c>
      <c r="S205" s="5">
        <v>2500</v>
      </c>
      <c r="T205" s="5">
        <v>12.75</v>
      </c>
      <c r="U205" s="5">
        <v>64</v>
      </c>
      <c r="V205" s="5">
        <v>55</v>
      </c>
      <c r="W205" s="5">
        <v>8</v>
      </c>
      <c r="X205" s="5" t="s">
        <v>1020</v>
      </c>
      <c r="Y205" s="5" t="s">
        <v>908</v>
      </c>
      <c r="Z205" s="5">
        <v>93</v>
      </c>
      <c r="AA205" s="5" t="s">
        <v>909</v>
      </c>
      <c r="AB205" s="5">
        <v>99.49</v>
      </c>
      <c r="AC205" s="5">
        <v>0.58</v>
      </c>
      <c r="AD205" s="5">
        <v>57.7042</v>
      </c>
      <c r="AE205" s="5">
        <v>72.1302</v>
      </c>
      <c r="AF205" s="5">
        <v>76.9389</v>
      </c>
      <c r="AG205" s="5">
        <v>88.7757</v>
      </c>
      <c r="AH205" s="5">
        <v>104.9167</v>
      </c>
      <c r="AI205" s="5"/>
    </row>
    <row r="206" hidden="1" spans="1:35">
      <c r="A206" s="5" t="s">
        <v>897</v>
      </c>
      <c r="B206" s="5" t="s">
        <v>694</v>
      </c>
      <c r="C206" s="5" t="s">
        <v>693</v>
      </c>
      <c r="D206" s="5" t="s">
        <v>1847</v>
      </c>
      <c r="E206" s="5" t="s">
        <v>899</v>
      </c>
      <c r="F206" s="5" t="s">
        <v>108</v>
      </c>
      <c r="G206" s="5" t="s">
        <v>146</v>
      </c>
      <c r="H206" s="5" t="s">
        <v>1484</v>
      </c>
      <c r="I206" s="5" t="s">
        <v>1054</v>
      </c>
      <c r="J206" s="5" t="s">
        <v>1054</v>
      </c>
      <c r="K206" s="5">
        <v>20</v>
      </c>
      <c r="L206" s="5"/>
      <c r="M206" s="5" t="s">
        <v>919</v>
      </c>
      <c r="N206" s="5" t="s">
        <v>1485</v>
      </c>
      <c r="O206" s="5" t="s">
        <v>1486</v>
      </c>
      <c r="P206" s="5" t="s">
        <v>1848</v>
      </c>
      <c r="Q206" s="5" t="s">
        <v>1488</v>
      </c>
      <c r="R206" s="5">
        <v>1400</v>
      </c>
      <c r="S206" s="5">
        <v>2500</v>
      </c>
      <c r="T206" s="5">
        <v>12.75</v>
      </c>
      <c r="U206" s="5">
        <v>64</v>
      </c>
      <c r="V206" s="5">
        <v>55</v>
      </c>
      <c r="W206" s="5">
        <v>8</v>
      </c>
      <c r="X206" s="5" t="s">
        <v>1020</v>
      </c>
      <c r="Y206" s="5" t="s">
        <v>908</v>
      </c>
      <c r="Z206" s="5">
        <v>97</v>
      </c>
      <c r="AA206" s="5" t="s">
        <v>909</v>
      </c>
      <c r="AB206" s="5">
        <v>99.49</v>
      </c>
      <c r="AC206" s="5">
        <v>0.58</v>
      </c>
      <c r="AD206" s="5">
        <v>57.7042</v>
      </c>
      <c r="AE206" s="5">
        <v>72.1302</v>
      </c>
      <c r="AF206" s="5">
        <v>76.9389</v>
      </c>
      <c r="AG206" s="5">
        <v>88.7757</v>
      </c>
      <c r="AH206" s="5">
        <v>104.9167</v>
      </c>
      <c r="AI206" s="5"/>
    </row>
    <row r="207" hidden="1" spans="1:35">
      <c r="A207" s="5" t="s">
        <v>897</v>
      </c>
      <c r="B207" s="5" t="s">
        <v>452</v>
      </c>
      <c r="C207" s="5" t="s">
        <v>451</v>
      </c>
      <c r="D207" s="5" t="s">
        <v>1849</v>
      </c>
      <c r="E207" s="5" t="s">
        <v>899</v>
      </c>
      <c r="F207" s="5" t="s">
        <v>108</v>
      </c>
      <c r="G207" s="5" t="s">
        <v>146</v>
      </c>
      <c r="H207" s="5" t="s">
        <v>1484</v>
      </c>
      <c r="I207" s="5" t="s">
        <v>1054</v>
      </c>
      <c r="J207" s="5" t="s">
        <v>1054</v>
      </c>
      <c r="K207" s="5">
        <v>20</v>
      </c>
      <c r="L207" s="5"/>
      <c r="M207" s="5" t="s">
        <v>919</v>
      </c>
      <c r="N207" s="5" t="s">
        <v>1485</v>
      </c>
      <c r="O207" s="5" t="s">
        <v>1486</v>
      </c>
      <c r="P207" s="5" t="s">
        <v>1850</v>
      </c>
      <c r="Q207" s="5" t="s">
        <v>1488</v>
      </c>
      <c r="R207" s="5">
        <v>1400</v>
      </c>
      <c r="S207" s="5">
        <v>2500</v>
      </c>
      <c r="T207" s="5">
        <v>12.75</v>
      </c>
      <c r="U207" s="5">
        <v>64</v>
      </c>
      <c r="V207" s="5">
        <v>55</v>
      </c>
      <c r="W207" s="5">
        <v>8</v>
      </c>
      <c r="X207" s="5" t="s">
        <v>1020</v>
      </c>
      <c r="Y207" s="5" t="s">
        <v>908</v>
      </c>
      <c r="Z207" s="5">
        <v>233</v>
      </c>
      <c r="AA207" s="5" t="s">
        <v>909</v>
      </c>
      <c r="AB207" s="5">
        <v>99.93</v>
      </c>
      <c r="AC207" s="5">
        <v>0.58</v>
      </c>
      <c r="AD207" s="5">
        <v>57.9594</v>
      </c>
      <c r="AE207" s="5">
        <v>72.4492</v>
      </c>
      <c r="AF207" s="5">
        <v>77.2792</v>
      </c>
      <c r="AG207" s="5">
        <v>89.1683</v>
      </c>
      <c r="AH207" s="5">
        <v>105.3807</v>
      </c>
      <c r="AI207" s="5"/>
    </row>
    <row r="208" hidden="1" spans="1:35">
      <c r="A208" s="5" t="s">
        <v>897</v>
      </c>
      <c r="B208" s="5" t="s">
        <v>759</v>
      </c>
      <c r="C208" s="5" t="s">
        <v>758</v>
      </c>
      <c r="D208" s="5" t="s">
        <v>1851</v>
      </c>
      <c r="E208" s="5" t="s">
        <v>899</v>
      </c>
      <c r="F208" s="5" t="s">
        <v>108</v>
      </c>
      <c r="G208" s="5" t="s">
        <v>146</v>
      </c>
      <c r="H208" s="5" t="s">
        <v>1484</v>
      </c>
      <c r="I208" s="5" t="s">
        <v>1054</v>
      </c>
      <c r="J208" s="5" t="s">
        <v>1054</v>
      </c>
      <c r="K208" s="5">
        <v>20</v>
      </c>
      <c r="L208" s="5"/>
      <c r="M208" s="5" t="s">
        <v>919</v>
      </c>
      <c r="N208" s="5" t="s">
        <v>1485</v>
      </c>
      <c r="O208" s="5" t="s">
        <v>1486</v>
      </c>
      <c r="P208" s="5" t="s">
        <v>1850</v>
      </c>
      <c r="Q208" s="5" t="s">
        <v>1488</v>
      </c>
      <c r="R208" s="5">
        <v>1400</v>
      </c>
      <c r="S208" s="5">
        <v>2500</v>
      </c>
      <c r="T208" s="5">
        <v>12.75</v>
      </c>
      <c r="U208" s="5">
        <v>64</v>
      </c>
      <c r="V208" s="5">
        <v>55</v>
      </c>
      <c r="W208" s="5">
        <v>8</v>
      </c>
      <c r="X208" s="5" t="s">
        <v>1020</v>
      </c>
      <c r="Y208" s="5" t="s">
        <v>908</v>
      </c>
      <c r="Z208" s="5">
        <v>187</v>
      </c>
      <c r="AA208" s="5" t="s">
        <v>909</v>
      </c>
      <c r="AB208" s="5">
        <v>99.93</v>
      </c>
      <c r="AC208" s="5">
        <v>0.58</v>
      </c>
      <c r="AD208" s="5">
        <v>57.9594</v>
      </c>
      <c r="AE208" s="5">
        <v>72.4492</v>
      </c>
      <c r="AF208" s="5">
        <v>77.2792</v>
      </c>
      <c r="AG208" s="5">
        <v>89.1683</v>
      </c>
      <c r="AH208" s="5">
        <v>105.3807</v>
      </c>
      <c r="AI208" s="5"/>
    </row>
    <row r="209" hidden="1" spans="1:35">
      <c r="A209" s="5" t="s">
        <v>897</v>
      </c>
      <c r="B209" s="5" t="s">
        <v>371</v>
      </c>
      <c r="C209" s="5" t="s">
        <v>1852</v>
      </c>
      <c r="D209" s="5" t="s">
        <v>1853</v>
      </c>
      <c r="E209" s="5" t="s">
        <v>899</v>
      </c>
      <c r="F209" s="5" t="s">
        <v>108</v>
      </c>
      <c r="G209" s="5" t="s">
        <v>927</v>
      </c>
      <c r="H209" s="5" t="s">
        <v>1854</v>
      </c>
      <c r="I209" s="5" t="s">
        <v>1855</v>
      </c>
      <c r="J209" s="5" t="s">
        <v>1855</v>
      </c>
      <c r="K209" s="5">
        <v>18</v>
      </c>
      <c r="L209" s="5" t="s">
        <v>909</v>
      </c>
      <c r="M209" s="5" t="s">
        <v>919</v>
      </c>
      <c r="N209" s="5" t="s">
        <v>1856</v>
      </c>
      <c r="O209" s="5" t="s">
        <v>1857</v>
      </c>
      <c r="P209" s="5" t="s">
        <v>1858</v>
      </c>
      <c r="Q209" s="5" t="s">
        <v>1859</v>
      </c>
      <c r="R209" s="5">
        <v>105</v>
      </c>
      <c r="S209" s="5">
        <v>110</v>
      </c>
      <c r="T209" s="5">
        <v>0.41</v>
      </c>
      <c r="U209" s="5">
        <v>28.5</v>
      </c>
      <c r="V209" s="5">
        <v>28</v>
      </c>
      <c r="W209" s="5">
        <v>100</v>
      </c>
      <c r="X209" s="5" t="s">
        <v>907</v>
      </c>
      <c r="Y209" s="5" t="s">
        <v>908</v>
      </c>
      <c r="Z209" s="5">
        <v>287</v>
      </c>
      <c r="AA209" s="5" t="s">
        <v>909</v>
      </c>
      <c r="AB209" s="5">
        <v>16.57</v>
      </c>
      <c r="AC209" s="5">
        <v>0.58</v>
      </c>
      <c r="AD209" s="5">
        <v>9.6106</v>
      </c>
      <c r="AE209" s="5">
        <v>12.0132</v>
      </c>
      <c r="AF209" s="5">
        <v>12.8141</v>
      </c>
      <c r="AG209" s="5">
        <v>14.7855</v>
      </c>
      <c r="AH209" s="5">
        <v>17.4738</v>
      </c>
      <c r="AI209" s="5"/>
    </row>
    <row r="210" hidden="1" spans="1:35">
      <c r="A210" s="5" t="s">
        <v>897</v>
      </c>
      <c r="B210" s="5" t="s">
        <v>372</v>
      </c>
      <c r="C210" s="5" t="s">
        <v>1860</v>
      </c>
      <c r="D210" s="5" t="s">
        <v>1861</v>
      </c>
      <c r="E210" s="5" t="s">
        <v>899</v>
      </c>
      <c r="F210" s="5" t="s">
        <v>108</v>
      </c>
      <c r="G210" s="5" t="s">
        <v>927</v>
      </c>
      <c r="H210" s="5" t="s">
        <v>1854</v>
      </c>
      <c r="I210" s="5" t="s">
        <v>1855</v>
      </c>
      <c r="J210" s="5" t="s">
        <v>1855</v>
      </c>
      <c r="K210" s="5">
        <v>18</v>
      </c>
      <c r="L210" s="5" t="s">
        <v>909</v>
      </c>
      <c r="M210" s="5" t="s">
        <v>919</v>
      </c>
      <c r="N210" s="5" t="s">
        <v>1856</v>
      </c>
      <c r="O210" s="5" t="s">
        <v>1857</v>
      </c>
      <c r="P210" s="5" t="s">
        <v>1862</v>
      </c>
      <c r="Q210" s="5" t="s">
        <v>1863</v>
      </c>
      <c r="R210" s="5">
        <v>498</v>
      </c>
      <c r="S210" s="5">
        <v>500</v>
      </c>
      <c r="T210" s="5">
        <v>1.06</v>
      </c>
      <c r="U210" s="5">
        <v>31</v>
      </c>
      <c r="V210" s="5">
        <v>25</v>
      </c>
      <c r="W210" s="5">
        <v>50</v>
      </c>
      <c r="X210" s="5" t="s">
        <v>907</v>
      </c>
      <c r="Y210" s="5" t="s">
        <v>908</v>
      </c>
      <c r="Z210" s="5">
        <v>107</v>
      </c>
      <c r="AA210" s="5" t="s">
        <v>909</v>
      </c>
      <c r="AB210" s="5">
        <v>24.83</v>
      </c>
      <c r="AC210" s="5">
        <v>0.58</v>
      </c>
      <c r="AD210" s="5">
        <v>14.4014</v>
      </c>
      <c r="AE210" s="5">
        <v>18.0017</v>
      </c>
      <c r="AF210" s="5">
        <v>19.2019</v>
      </c>
      <c r="AG210" s="5">
        <v>22.156</v>
      </c>
      <c r="AH210" s="5">
        <v>26.1844</v>
      </c>
      <c r="AI210" s="5"/>
    </row>
    <row r="211" hidden="1" spans="1:35">
      <c r="A211" s="5" t="s">
        <v>897</v>
      </c>
      <c r="B211" s="5" t="s">
        <v>373</v>
      </c>
      <c r="C211" s="5" t="s">
        <v>1864</v>
      </c>
      <c r="D211" s="5" t="s">
        <v>1865</v>
      </c>
      <c r="E211" s="5" t="s">
        <v>899</v>
      </c>
      <c r="F211" s="5" t="s">
        <v>108</v>
      </c>
      <c r="G211" s="5" t="s">
        <v>927</v>
      </c>
      <c r="H211" s="5" t="s">
        <v>1854</v>
      </c>
      <c r="I211" s="5" t="s">
        <v>1855</v>
      </c>
      <c r="J211" s="5" t="s">
        <v>1855</v>
      </c>
      <c r="K211" s="5">
        <v>18</v>
      </c>
      <c r="L211" s="5" t="s">
        <v>909</v>
      </c>
      <c r="M211" s="5" t="s">
        <v>919</v>
      </c>
      <c r="N211" s="5" t="s">
        <v>1856</v>
      </c>
      <c r="O211" s="5" t="s">
        <v>1857</v>
      </c>
      <c r="P211" s="5" t="s">
        <v>1866</v>
      </c>
      <c r="Q211" s="5" t="s">
        <v>1867</v>
      </c>
      <c r="R211" s="5">
        <v>500</v>
      </c>
      <c r="S211" s="5">
        <v>520</v>
      </c>
      <c r="T211" s="5">
        <v>1.06</v>
      </c>
      <c r="U211" s="5">
        <v>32</v>
      </c>
      <c r="V211" s="5">
        <v>32</v>
      </c>
      <c r="W211" s="5">
        <v>50</v>
      </c>
      <c r="X211" s="5" t="s">
        <v>907</v>
      </c>
      <c r="Y211" s="5" t="s">
        <v>908</v>
      </c>
      <c r="Z211" s="5">
        <v>227</v>
      </c>
      <c r="AA211" s="5" t="s">
        <v>909</v>
      </c>
      <c r="AB211" s="5">
        <v>28.25</v>
      </c>
      <c r="AC211" s="5">
        <v>0.58</v>
      </c>
      <c r="AD211" s="5">
        <v>16.385</v>
      </c>
      <c r="AE211" s="5">
        <v>20.4812</v>
      </c>
      <c r="AF211" s="5">
        <v>21.8467</v>
      </c>
      <c r="AG211" s="5">
        <v>25.2077</v>
      </c>
      <c r="AH211" s="5">
        <v>29.7909</v>
      </c>
      <c r="AI211" s="5"/>
    </row>
    <row r="212" hidden="1" spans="1:35">
      <c r="A212" s="5" t="s">
        <v>897</v>
      </c>
      <c r="B212" s="5" t="s">
        <v>345</v>
      </c>
      <c r="C212" s="5" t="s">
        <v>1868</v>
      </c>
      <c r="D212" s="5" t="s">
        <v>1869</v>
      </c>
      <c r="E212" s="5" t="s">
        <v>899</v>
      </c>
      <c r="F212" s="5" t="s">
        <v>108</v>
      </c>
      <c r="G212" s="5" t="s">
        <v>927</v>
      </c>
      <c r="H212" s="5" t="s">
        <v>1870</v>
      </c>
      <c r="I212" s="5" t="s">
        <v>1871</v>
      </c>
      <c r="J212" s="5" t="s">
        <v>1871</v>
      </c>
      <c r="K212" s="5">
        <v>18</v>
      </c>
      <c r="L212" s="5"/>
      <c r="M212" s="5" t="s">
        <v>902</v>
      </c>
      <c r="N212" s="5" t="s">
        <v>1872</v>
      </c>
      <c r="O212" s="5" t="s">
        <v>1873</v>
      </c>
      <c r="P212" s="5" t="s">
        <v>1874</v>
      </c>
      <c r="Q212" s="5" t="s">
        <v>1875</v>
      </c>
      <c r="R212" s="5">
        <v>423</v>
      </c>
      <c r="S212" s="5">
        <v>540</v>
      </c>
      <c r="T212" s="5">
        <v>1.75</v>
      </c>
      <c r="U212" s="5">
        <v>34</v>
      </c>
      <c r="V212" s="5">
        <v>32</v>
      </c>
      <c r="W212" s="5">
        <v>20</v>
      </c>
      <c r="X212" s="5" t="s">
        <v>907</v>
      </c>
      <c r="Y212" s="5" t="s">
        <v>908</v>
      </c>
      <c r="Z212" s="5">
        <v>107</v>
      </c>
      <c r="AA212" s="5" t="s">
        <v>909</v>
      </c>
      <c r="AB212" s="5">
        <v>44.32</v>
      </c>
      <c r="AC212" s="5">
        <v>0.58</v>
      </c>
      <c r="AD212" s="5">
        <v>25.7056</v>
      </c>
      <c r="AE212" s="5">
        <v>32.132</v>
      </c>
      <c r="AF212" s="5">
        <v>34.2741</v>
      </c>
      <c r="AG212" s="5">
        <v>39.5471</v>
      </c>
      <c r="AH212" s="5">
        <v>46.7375</v>
      </c>
      <c r="AI212" s="5"/>
    </row>
    <row r="213" hidden="1" spans="1:35">
      <c r="A213" s="5" t="s">
        <v>897</v>
      </c>
      <c r="B213" s="5" t="s">
        <v>443</v>
      </c>
      <c r="C213" s="5" t="s">
        <v>442</v>
      </c>
      <c r="D213" s="5" t="s">
        <v>1876</v>
      </c>
      <c r="E213" s="5" t="s">
        <v>899</v>
      </c>
      <c r="F213" s="5" t="s">
        <v>108</v>
      </c>
      <c r="G213" s="5" t="s">
        <v>109</v>
      </c>
      <c r="H213" s="5" t="s">
        <v>1537</v>
      </c>
      <c r="I213" s="5" t="s">
        <v>1877</v>
      </c>
      <c r="J213" s="5" t="s">
        <v>1877</v>
      </c>
      <c r="K213" s="5">
        <v>19</v>
      </c>
      <c r="L213" s="5"/>
      <c r="M213" s="5" t="s">
        <v>919</v>
      </c>
      <c r="N213" s="5" t="s">
        <v>1544</v>
      </c>
      <c r="O213" s="5" t="s">
        <v>1545</v>
      </c>
      <c r="P213" s="5" t="s">
        <v>1878</v>
      </c>
      <c r="Q213" s="5" t="s">
        <v>1879</v>
      </c>
      <c r="R213" s="5">
        <v>1030</v>
      </c>
      <c r="S213" s="5">
        <v>1582</v>
      </c>
      <c r="T213" s="5">
        <v>5.5</v>
      </c>
      <c r="U213" s="5">
        <v>41.5</v>
      </c>
      <c r="V213" s="5">
        <v>28.5</v>
      </c>
      <c r="W213" s="5">
        <v>10</v>
      </c>
      <c r="X213" s="5" t="s">
        <v>907</v>
      </c>
      <c r="Y213" s="5" t="s">
        <v>908</v>
      </c>
      <c r="Z213" s="5">
        <v>184</v>
      </c>
      <c r="AA213" s="5" t="s">
        <v>909</v>
      </c>
      <c r="AB213" s="5">
        <v>253.49</v>
      </c>
      <c r="AC213" s="5">
        <v>0.58</v>
      </c>
      <c r="AD213" s="5">
        <v>147.0242</v>
      </c>
      <c r="AE213" s="5">
        <v>183.7802</v>
      </c>
      <c r="AF213" s="5">
        <v>196.0323</v>
      </c>
      <c r="AG213" s="5">
        <v>226.1911</v>
      </c>
      <c r="AH213" s="5">
        <v>267.3167</v>
      </c>
      <c r="AI213" s="5"/>
    </row>
    <row r="214" hidden="1" spans="1:35">
      <c r="A214" s="5" t="s">
        <v>897</v>
      </c>
      <c r="B214" s="5" t="s">
        <v>1880</v>
      </c>
      <c r="C214" s="5" t="s">
        <v>398</v>
      </c>
      <c r="D214" s="5" t="s">
        <v>1881</v>
      </c>
      <c r="E214" s="5" t="s">
        <v>899</v>
      </c>
      <c r="F214" s="5" t="s">
        <v>96</v>
      </c>
      <c r="G214" s="5" t="s">
        <v>186</v>
      </c>
      <c r="H214" s="5" t="s">
        <v>1882</v>
      </c>
      <c r="I214" s="5" t="s">
        <v>1883</v>
      </c>
      <c r="J214" s="5" t="s">
        <v>1883</v>
      </c>
      <c r="K214" s="5">
        <v>18</v>
      </c>
      <c r="L214" s="5" t="s">
        <v>909</v>
      </c>
      <c r="M214" s="5" t="s">
        <v>902</v>
      </c>
      <c r="N214" s="5" t="s">
        <v>1583</v>
      </c>
      <c r="O214" s="5" t="s">
        <v>1584</v>
      </c>
      <c r="P214" s="5" t="s">
        <v>1884</v>
      </c>
      <c r="Q214" s="5" t="s">
        <v>1885</v>
      </c>
      <c r="R214" s="5">
        <v>2500</v>
      </c>
      <c r="S214" s="5">
        <v>2600</v>
      </c>
      <c r="T214" s="5">
        <v>20.75</v>
      </c>
      <c r="U214" s="5">
        <v>35.5</v>
      </c>
      <c r="V214" s="5">
        <v>17</v>
      </c>
      <c r="W214" s="5">
        <v>6</v>
      </c>
      <c r="X214" s="5" t="s">
        <v>1020</v>
      </c>
      <c r="Y214" s="5" t="s">
        <v>908</v>
      </c>
      <c r="Z214" s="5">
        <v>0</v>
      </c>
      <c r="AA214" s="5" t="s">
        <v>909</v>
      </c>
      <c r="AB214" s="5">
        <v>32.51</v>
      </c>
      <c r="AC214" s="5">
        <v>0.58</v>
      </c>
      <c r="AD214" s="5">
        <v>18.8558</v>
      </c>
      <c r="AE214" s="5">
        <v>23.5697</v>
      </c>
      <c r="AF214" s="5">
        <v>25.1411</v>
      </c>
      <c r="AG214" s="5">
        <v>29.0089</v>
      </c>
      <c r="AH214" s="5">
        <v>34.2833</v>
      </c>
      <c r="AI214" s="5"/>
    </row>
    <row r="215" hidden="1" spans="1:35">
      <c r="A215" s="5" t="s">
        <v>897</v>
      </c>
      <c r="B215" s="5" t="s">
        <v>269</v>
      </c>
      <c r="C215" s="5" t="s">
        <v>1886</v>
      </c>
      <c r="D215" s="5" t="s">
        <v>1887</v>
      </c>
      <c r="E215" s="5" t="s">
        <v>899</v>
      </c>
      <c r="F215" s="5" t="s">
        <v>108</v>
      </c>
      <c r="G215" s="5" t="s">
        <v>927</v>
      </c>
      <c r="H215" s="5" t="s">
        <v>1589</v>
      </c>
      <c r="I215" s="5" t="s">
        <v>1723</v>
      </c>
      <c r="J215" s="5" t="s">
        <v>1723</v>
      </c>
      <c r="K215" s="5">
        <v>18</v>
      </c>
      <c r="L215" s="5"/>
      <c r="M215" s="5" t="s">
        <v>902</v>
      </c>
      <c r="N215" s="5" t="s">
        <v>1888</v>
      </c>
      <c r="O215" s="5" t="s">
        <v>1889</v>
      </c>
      <c r="P215" s="5" t="s">
        <v>1890</v>
      </c>
      <c r="Q215" s="5" t="s">
        <v>1891</v>
      </c>
      <c r="R215" s="5">
        <v>400</v>
      </c>
      <c r="S215" s="5">
        <v>460</v>
      </c>
      <c r="T215" s="5">
        <v>1.74</v>
      </c>
      <c r="U215" s="5">
        <v>41</v>
      </c>
      <c r="V215" s="5">
        <v>33.5</v>
      </c>
      <c r="W215" s="5">
        <v>30</v>
      </c>
      <c r="X215" s="5" t="s">
        <v>1020</v>
      </c>
      <c r="Y215" s="5" t="s">
        <v>908</v>
      </c>
      <c r="Z215" s="5">
        <v>3</v>
      </c>
      <c r="AA215" s="5" t="s">
        <v>909</v>
      </c>
      <c r="AB215" s="5">
        <v>233.51</v>
      </c>
      <c r="AC215" s="5">
        <v>0.58</v>
      </c>
      <c r="AD215" s="5">
        <v>135.4358</v>
      </c>
      <c r="AE215" s="5">
        <v>169.2947</v>
      </c>
      <c r="AF215" s="5">
        <v>180.5811</v>
      </c>
      <c r="AG215" s="5">
        <v>208.3628</v>
      </c>
      <c r="AH215" s="5">
        <v>246.2469</v>
      </c>
      <c r="AI215" s="5"/>
    </row>
    <row r="216" hidden="1" spans="1:35">
      <c r="A216" s="5" t="s">
        <v>897</v>
      </c>
      <c r="B216" s="5" t="s">
        <v>772</v>
      </c>
      <c r="C216" s="5" t="s">
        <v>1892</v>
      </c>
      <c r="D216" s="5" t="s">
        <v>1893</v>
      </c>
      <c r="E216" s="5" t="s">
        <v>899</v>
      </c>
      <c r="F216" s="5" t="s">
        <v>108</v>
      </c>
      <c r="G216" s="5" t="s">
        <v>927</v>
      </c>
      <c r="H216" s="5" t="s">
        <v>1589</v>
      </c>
      <c r="I216" s="5" t="s">
        <v>1723</v>
      </c>
      <c r="J216" s="5" t="s">
        <v>1723</v>
      </c>
      <c r="K216" s="5">
        <v>18</v>
      </c>
      <c r="L216" s="5"/>
      <c r="M216" s="5" t="s">
        <v>902</v>
      </c>
      <c r="N216" s="5" t="s">
        <v>1888</v>
      </c>
      <c r="O216" s="5" t="s">
        <v>1889</v>
      </c>
      <c r="P216" s="5" t="s">
        <v>1894</v>
      </c>
      <c r="Q216" s="5" t="s">
        <v>1891</v>
      </c>
      <c r="R216" s="5">
        <v>400</v>
      </c>
      <c r="S216" s="5">
        <v>460</v>
      </c>
      <c r="T216" s="5">
        <v>1.74</v>
      </c>
      <c r="U216" s="5">
        <v>41</v>
      </c>
      <c r="V216" s="5">
        <v>33.5</v>
      </c>
      <c r="W216" s="5">
        <v>30</v>
      </c>
      <c r="X216" s="5" t="s">
        <v>1020</v>
      </c>
      <c r="Y216" s="5" t="s">
        <v>908</v>
      </c>
      <c r="Z216" s="5">
        <v>6</v>
      </c>
      <c r="AA216" s="5" t="s">
        <v>909</v>
      </c>
      <c r="AB216" s="5">
        <v>242.36</v>
      </c>
      <c r="AC216" s="5">
        <v>0.58</v>
      </c>
      <c r="AD216" s="5">
        <v>140.5688</v>
      </c>
      <c r="AE216" s="5">
        <v>175.711</v>
      </c>
      <c r="AF216" s="5">
        <v>187.4251</v>
      </c>
      <c r="AG216" s="5">
        <v>216.2597</v>
      </c>
      <c r="AH216" s="5">
        <v>255.5796</v>
      </c>
      <c r="AI216" s="5"/>
    </row>
    <row r="217" hidden="1" spans="1:35">
      <c r="A217" s="5" t="s">
        <v>897</v>
      </c>
      <c r="B217" s="5" t="s">
        <v>375</v>
      </c>
      <c r="C217" s="5" t="s">
        <v>374</v>
      </c>
      <c r="D217" s="5" t="s">
        <v>1895</v>
      </c>
      <c r="E217" s="5" t="s">
        <v>899</v>
      </c>
      <c r="F217" s="5" t="s">
        <v>108</v>
      </c>
      <c r="G217" s="5" t="s">
        <v>206</v>
      </c>
      <c r="H217" s="5" t="s">
        <v>1593</v>
      </c>
      <c r="I217" s="5" t="s">
        <v>1855</v>
      </c>
      <c r="J217" s="5" t="s">
        <v>1855</v>
      </c>
      <c r="K217" s="5">
        <v>18</v>
      </c>
      <c r="L217" s="5"/>
      <c r="M217" s="5" t="s">
        <v>919</v>
      </c>
      <c r="N217" s="5" t="s">
        <v>1896</v>
      </c>
      <c r="O217" s="5" t="s">
        <v>1897</v>
      </c>
      <c r="P217" s="5" t="s">
        <v>1898</v>
      </c>
      <c r="Q217" s="5" t="s">
        <v>1899</v>
      </c>
      <c r="R217" s="5">
        <v>298</v>
      </c>
      <c r="S217" s="5">
        <v>308</v>
      </c>
      <c r="T217" s="5">
        <v>0.92</v>
      </c>
      <c r="U217" s="5">
        <v>44</v>
      </c>
      <c r="V217" s="5">
        <v>38</v>
      </c>
      <c r="W217" s="5">
        <v>60</v>
      </c>
      <c r="X217" s="5" t="s">
        <v>907</v>
      </c>
      <c r="Y217" s="5" t="s">
        <v>908</v>
      </c>
      <c r="Z217" s="5">
        <v>150</v>
      </c>
      <c r="AA217" s="5" t="s">
        <v>909</v>
      </c>
      <c r="AB217" s="5">
        <v>23.45</v>
      </c>
      <c r="AC217" s="5">
        <v>0.58</v>
      </c>
      <c r="AD217" s="5">
        <v>13.601</v>
      </c>
      <c r="AE217" s="5">
        <v>17.0012</v>
      </c>
      <c r="AF217" s="5">
        <v>18.1347</v>
      </c>
      <c r="AG217" s="5">
        <v>20.9246</v>
      </c>
      <c r="AH217" s="5">
        <v>24.7291</v>
      </c>
      <c r="AI217" s="5"/>
    </row>
    <row r="218" hidden="1" spans="1:35">
      <c r="A218" s="5" t="s">
        <v>897</v>
      </c>
      <c r="B218" s="5" t="s">
        <v>210</v>
      </c>
      <c r="C218" s="5" t="s">
        <v>209</v>
      </c>
      <c r="D218" s="5" t="s">
        <v>1900</v>
      </c>
      <c r="E218" s="5" t="s">
        <v>899</v>
      </c>
      <c r="F218" s="5" t="s">
        <v>96</v>
      </c>
      <c r="G218" s="5" t="s">
        <v>115</v>
      </c>
      <c r="H218" s="5" t="s">
        <v>1606</v>
      </c>
      <c r="I218" s="5" t="s">
        <v>1901</v>
      </c>
      <c r="J218" s="5" t="s">
        <v>1901</v>
      </c>
      <c r="K218" s="5">
        <v>18</v>
      </c>
      <c r="L218" s="5"/>
      <c r="M218" s="5" t="s">
        <v>919</v>
      </c>
      <c r="N218" s="5" t="s">
        <v>1902</v>
      </c>
      <c r="O218" s="5" t="s">
        <v>1903</v>
      </c>
      <c r="P218" s="5" t="s">
        <v>1904</v>
      </c>
      <c r="Q218" s="5" t="s">
        <v>1905</v>
      </c>
      <c r="R218" s="5">
        <v>380</v>
      </c>
      <c r="S218" s="5">
        <v>417</v>
      </c>
      <c r="T218" s="5">
        <v>1.82</v>
      </c>
      <c r="U218" s="5">
        <v>45</v>
      </c>
      <c r="V218" s="5">
        <v>29</v>
      </c>
      <c r="W218" s="5">
        <v>30</v>
      </c>
      <c r="X218" s="5" t="s">
        <v>907</v>
      </c>
      <c r="Y218" s="5" t="s">
        <v>908</v>
      </c>
      <c r="Z218" s="5">
        <v>17</v>
      </c>
      <c r="AA218" s="5" t="s">
        <v>909</v>
      </c>
      <c r="AB218" s="5">
        <v>87.71</v>
      </c>
      <c r="AC218" s="5">
        <v>0.58</v>
      </c>
      <c r="AD218" s="5">
        <v>50.8718</v>
      </c>
      <c r="AE218" s="5">
        <v>63.5897</v>
      </c>
      <c r="AF218" s="5">
        <v>67.8291</v>
      </c>
      <c r="AG218" s="5">
        <v>78.2643</v>
      </c>
      <c r="AH218" s="5">
        <v>92.4942</v>
      </c>
      <c r="AI218" s="5"/>
    </row>
    <row r="219" hidden="1" spans="1:35">
      <c r="A219" s="5" t="s">
        <v>897</v>
      </c>
      <c r="B219" s="5" t="s">
        <v>377</v>
      </c>
      <c r="C219" s="5" t="s">
        <v>376</v>
      </c>
      <c r="D219" s="5" t="s">
        <v>1906</v>
      </c>
      <c r="E219" s="5" t="s">
        <v>899</v>
      </c>
      <c r="F219" s="5" t="s">
        <v>108</v>
      </c>
      <c r="G219" s="5" t="s">
        <v>109</v>
      </c>
      <c r="H219" s="5" t="s">
        <v>1647</v>
      </c>
      <c r="I219" s="5" t="s">
        <v>1907</v>
      </c>
      <c r="J219" s="5" t="s">
        <v>1908</v>
      </c>
      <c r="K219" s="5">
        <v>18</v>
      </c>
      <c r="L219" s="5"/>
      <c r="M219" s="5" t="s">
        <v>919</v>
      </c>
      <c r="N219" s="5" t="s">
        <v>1909</v>
      </c>
      <c r="O219" s="5" t="s">
        <v>1910</v>
      </c>
      <c r="P219" s="5" t="s">
        <v>1911</v>
      </c>
      <c r="Q219" s="5" t="s">
        <v>1912</v>
      </c>
      <c r="R219" s="5">
        <v>839</v>
      </c>
      <c r="S219" s="5">
        <v>1173</v>
      </c>
      <c r="T219" s="5">
        <v>6.85</v>
      </c>
      <c r="U219" s="5">
        <v>42.9</v>
      </c>
      <c r="V219" s="5">
        <v>31.3</v>
      </c>
      <c r="W219" s="5">
        <v>10</v>
      </c>
      <c r="X219" s="5" t="s">
        <v>907</v>
      </c>
      <c r="Y219" s="5" t="s">
        <v>908</v>
      </c>
      <c r="Z219" s="5">
        <v>0</v>
      </c>
      <c r="AA219" s="5" t="s">
        <v>909</v>
      </c>
      <c r="AB219" s="5">
        <v>43.19</v>
      </c>
      <c r="AC219" s="5">
        <v>0.58</v>
      </c>
      <c r="AD219" s="5">
        <v>25.0502</v>
      </c>
      <c r="AE219" s="5">
        <v>31.3127</v>
      </c>
      <c r="AF219" s="5">
        <v>33.4003</v>
      </c>
      <c r="AG219" s="5">
        <v>38.5388</v>
      </c>
      <c r="AH219" s="5">
        <v>45.5458</v>
      </c>
      <c r="AI219" s="5"/>
    </row>
    <row r="220" hidden="1" spans="1:35">
      <c r="A220" s="5" t="s">
        <v>897</v>
      </c>
      <c r="B220" s="5" t="s">
        <v>379</v>
      </c>
      <c r="C220" s="5" t="s">
        <v>378</v>
      </c>
      <c r="D220" s="5" t="s">
        <v>1913</v>
      </c>
      <c r="E220" s="5" t="s">
        <v>899</v>
      </c>
      <c r="F220" s="5" t="s">
        <v>108</v>
      </c>
      <c r="G220" s="5" t="s">
        <v>109</v>
      </c>
      <c r="H220" s="5" t="s">
        <v>1647</v>
      </c>
      <c r="I220" s="5" t="s">
        <v>1907</v>
      </c>
      <c r="J220" s="5" t="s">
        <v>1908</v>
      </c>
      <c r="K220" s="5">
        <v>18</v>
      </c>
      <c r="L220" s="5"/>
      <c r="M220" s="5" t="s">
        <v>919</v>
      </c>
      <c r="N220" s="5" t="s">
        <v>1914</v>
      </c>
      <c r="O220" s="5" t="s">
        <v>1915</v>
      </c>
      <c r="P220" s="5" t="s">
        <v>1916</v>
      </c>
      <c r="Q220" s="5" t="s">
        <v>1917</v>
      </c>
      <c r="R220" s="5">
        <v>744</v>
      </c>
      <c r="S220" s="5">
        <v>941</v>
      </c>
      <c r="T220" s="5">
        <v>3.6</v>
      </c>
      <c r="U220" s="5">
        <v>39.5</v>
      </c>
      <c r="V220" s="5">
        <v>27.4</v>
      </c>
      <c r="W220" s="5">
        <v>20</v>
      </c>
      <c r="X220" s="5" t="s">
        <v>907</v>
      </c>
      <c r="Y220" s="5" t="s">
        <v>908</v>
      </c>
      <c r="Z220" s="5">
        <v>0</v>
      </c>
      <c r="AA220" s="5" t="s">
        <v>909</v>
      </c>
      <c r="AB220" s="5">
        <v>49.05</v>
      </c>
      <c r="AC220" s="5">
        <v>0.58</v>
      </c>
      <c r="AD220" s="5">
        <v>28.449</v>
      </c>
      <c r="AE220" s="5">
        <v>35.5612</v>
      </c>
      <c r="AF220" s="5">
        <v>37.932</v>
      </c>
      <c r="AG220" s="5">
        <v>43.7677</v>
      </c>
      <c r="AH220" s="5">
        <v>51.7255</v>
      </c>
      <c r="AI220" s="5"/>
    </row>
    <row r="221" hidden="1" spans="1:35">
      <c r="A221" s="5" t="s">
        <v>897</v>
      </c>
      <c r="B221" s="5" t="s">
        <v>99</v>
      </c>
      <c r="C221" s="5" t="s">
        <v>98</v>
      </c>
      <c r="D221" s="5" t="s">
        <v>1918</v>
      </c>
      <c r="E221" s="5" t="s">
        <v>899</v>
      </c>
      <c r="F221" s="5" t="s">
        <v>96</v>
      </c>
      <c r="G221" s="5" t="s">
        <v>97</v>
      </c>
      <c r="H221" s="5" t="s">
        <v>1919</v>
      </c>
      <c r="I221" s="5" t="s">
        <v>1855</v>
      </c>
      <c r="J221" s="5" t="s">
        <v>1855</v>
      </c>
      <c r="K221" s="5">
        <v>18</v>
      </c>
      <c r="L221" s="5"/>
      <c r="M221" s="5" t="s">
        <v>919</v>
      </c>
      <c r="N221" s="5" t="s">
        <v>1663</v>
      </c>
      <c r="O221" s="5" t="s">
        <v>1664</v>
      </c>
      <c r="P221" s="5" t="s">
        <v>1920</v>
      </c>
      <c r="Q221" s="5" t="s">
        <v>1921</v>
      </c>
      <c r="R221" s="5">
        <v>1800</v>
      </c>
      <c r="S221" s="5">
        <v>1950</v>
      </c>
      <c r="T221" s="5">
        <v>5.2</v>
      </c>
      <c r="U221" s="5">
        <v>36</v>
      </c>
      <c r="V221" s="5">
        <v>30.5</v>
      </c>
      <c r="W221" s="5">
        <v>10</v>
      </c>
      <c r="X221" s="5" t="s">
        <v>907</v>
      </c>
      <c r="Y221" s="5" t="s">
        <v>908</v>
      </c>
      <c r="Z221" s="5">
        <v>274</v>
      </c>
      <c r="AA221" s="5" t="s">
        <v>909</v>
      </c>
      <c r="AB221" s="5">
        <v>95.6</v>
      </c>
      <c r="AC221" s="5">
        <v>0.58</v>
      </c>
      <c r="AD221" s="5">
        <v>55.448</v>
      </c>
      <c r="AE221" s="5">
        <v>69.31</v>
      </c>
      <c r="AF221" s="5">
        <v>73.9307</v>
      </c>
      <c r="AG221" s="5">
        <v>85.3046</v>
      </c>
      <c r="AH221" s="5">
        <v>100.8145</v>
      </c>
      <c r="AI221" s="5"/>
    </row>
    <row r="222" hidden="1" spans="1:35">
      <c r="A222" s="5" t="s">
        <v>897</v>
      </c>
      <c r="B222" s="5" t="s">
        <v>122</v>
      </c>
      <c r="C222" s="5" t="s">
        <v>121</v>
      </c>
      <c r="D222" s="5" t="s">
        <v>1922</v>
      </c>
      <c r="E222" s="5" t="s">
        <v>899</v>
      </c>
      <c r="F222" s="5" t="s">
        <v>96</v>
      </c>
      <c r="G222" s="5" t="s">
        <v>97</v>
      </c>
      <c r="H222" s="5" t="s">
        <v>1919</v>
      </c>
      <c r="I222" s="5" t="s">
        <v>1923</v>
      </c>
      <c r="J222" s="5" t="s">
        <v>1923</v>
      </c>
      <c r="K222" s="5">
        <v>18</v>
      </c>
      <c r="L222" s="5"/>
      <c r="M222" s="5" t="s">
        <v>919</v>
      </c>
      <c r="N222" s="5" t="s">
        <v>1924</v>
      </c>
      <c r="O222" s="5" t="s">
        <v>1925</v>
      </c>
      <c r="P222" s="5" t="s">
        <v>1926</v>
      </c>
      <c r="Q222" s="5" t="s">
        <v>1927</v>
      </c>
      <c r="R222" s="5">
        <v>700</v>
      </c>
      <c r="S222" s="5">
        <v>797</v>
      </c>
      <c r="T222" s="5">
        <v>1.67</v>
      </c>
      <c r="U222" s="5">
        <v>46</v>
      </c>
      <c r="V222" s="5">
        <v>45</v>
      </c>
      <c r="W222" s="5">
        <v>30</v>
      </c>
      <c r="X222" s="5" t="s">
        <v>907</v>
      </c>
      <c r="Y222" s="5" t="s">
        <v>908</v>
      </c>
      <c r="Z222" s="5">
        <v>63</v>
      </c>
      <c r="AA222" s="5" t="s">
        <v>909</v>
      </c>
      <c r="AB222" s="5">
        <v>127.5</v>
      </c>
      <c r="AC222" s="5">
        <v>0.58</v>
      </c>
      <c r="AD222" s="5">
        <v>73.95</v>
      </c>
      <c r="AE222" s="5">
        <v>92.4375</v>
      </c>
      <c r="AF222" s="5">
        <v>98.6</v>
      </c>
      <c r="AG222" s="5">
        <v>113.7692</v>
      </c>
      <c r="AH222" s="5">
        <v>134.4545</v>
      </c>
      <c r="AI222" s="5"/>
    </row>
    <row r="223" hidden="1" spans="1:35">
      <c r="A223" s="5" t="s">
        <v>897</v>
      </c>
      <c r="B223" s="5" t="s">
        <v>195</v>
      </c>
      <c r="C223" s="5" t="s">
        <v>194</v>
      </c>
      <c r="D223" s="5" t="s">
        <v>1928</v>
      </c>
      <c r="E223" s="5" t="s">
        <v>899</v>
      </c>
      <c r="F223" s="5" t="s">
        <v>96</v>
      </c>
      <c r="G223" s="5" t="s">
        <v>97</v>
      </c>
      <c r="H223" s="5" t="s">
        <v>1662</v>
      </c>
      <c r="I223" s="5" t="s">
        <v>1752</v>
      </c>
      <c r="J223" s="5" t="s">
        <v>1752</v>
      </c>
      <c r="K223" s="5">
        <v>18</v>
      </c>
      <c r="L223" s="5"/>
      <c r="M223" s="5" t="s">
        <v>919</v>
      </c>
      <c r="N223" s="5" t="s">
        <v>1929</v>
      </c>
      <c r="O223" s="5" t="s">
        <v>1930</v>
      </c>
      <c r="P223" s="5" t="s">
        <v>1931</v>
      </c>
      <c r="Q223" s="5" t="s">
        <v>1932</v>
      </c>
      <c r="R223" s="5">
        <v>1100</v>
      </c>
      <c r="S223" s="5">
        <v>1230</v>
      </c>
      <c r="T223" s="5">
        <v>5.7</v>
      </c>
      <c r="U223" s="5">
        <v>38</v>
      </c>
      <c r="V223" s="5">
        <v>22.5</v>
      </c>
      <c r="W223" s="5">
        <v>10</v>
      </c>
      <c r="X223" s="5" t="s">
        <v>907</v>
      </c>
      <c r="Y223" s="5" t="s">
        <v>908</v>
      </c>
      <c r="Z223" s="5">
        <v>0</v>
      </c>
      <c r="AA223" s="5" t="s">
        <v>909</v>
      </c>
      <c r="AB223" s="5">
        <v>120.21</v>
      </c>
      <c r="AC223" s="5">
        <v>0.58</v>
      </c>
      <c r="AD223" s="5">
        <v>69.7218</v>
      </c>
      <c r="AE223" s="5">
        <v>87.1522</v>
      </c>
      <c r="AF223" s="5">
        <v>92.9624</v>
      </c>
      <c r="AG223" s="5">
        <v>107.2643</v>
      </c>
      <c r="AH223" s="5">
        <v>126.7669</v>
      </c>
      <c r="AI223" s="5"/>
    </row>
    <row r="224" hidden="1" spans="1:35">
      <c r="A224" s="5" t="s">
        <v>897</v>
      </c>
      <c r="B224" s="5" t="s">
        <v>224</v>
      </c>
      <c r="C224" s="5" t="s">
        <v>223</v>
      </c>
      <c r="D224" s="5" t="s">
        <v>1933</v>
      </c>
      <c r="E224" s="5" t="s">
        <v>899</v>
      </c>
      <c r="F224" s="5" t="s">
        <v>96</v>
      </c>
      <c r="G224" s="5" t="s">
        <v>115</v>
      </c>
      <c r="H224" s="5" t="s">
        <v>1365</v>
      </c>
      <c r="I224" s="5" t="s">
        <v>1124</v>
      </c>
      <c r="J224" s="5" t="s">
        <v>1124</v>
      </c>
      <c r="K224" s="5">
        <v>18</v>
      </c>
      <c r="L224" s="5"/>
      <c r="M224" s="5" t="s">
        <v>919</v>
      </c>
      <c r="N224" s="5" t="s">
        <v>1366</v>
      </c>
      <c r="O224" s="5" t="s">
        <v>1367</v>
      </c>
      <c r="P224" s="5" t="s">
        <v>1934</v>
      </c>
      <c r="Q224" s="5" t="s">
        <v>1369</v>
      </c>
      <c r="R224" s="5">
        <v>1700</v>
      </c>
      <c r="S224" s="5">
        <v>1800</v>
      </c>
      <c r="T224" s="5">
        <v>5</v>
      </c>
      <c r="U224" s="5">
        <v>48</v>
      </c>
      <c r="V224" s="5">
        <v>32.3</v>
      </c>
      <c r="W224" s="5">
        <v>10</v>
      </c>
      <c r="X224" s="5" t="s">
        <v>1020</v>
      </c>
      <c r="Y224" s="5" t="s">
        <v>908</v>
      </c>
      <c r="Z224" s="5">
        <v>1911</v>
      </c>
      <c r="AA224" s="5" t="s">
        <v>909</v>
      </c>
      <c r="AB224" s="5">
        <v>38.53</v>
      </c>
      <c r="AC224" s="5">
        <v>0.58</v>
      </c>
      <c r="AD224" s="5">
        <v>22.3474</v>
      </c>
      <c r="AE224" s="5">
        <v>27.9342</v>
      </c>
      <c r="AF224" s="5">
        <v>29.7965</v>
      </c>
      <c r="AG224" s="5">
        <v>34.3806</v>
      </c>
      <c r="AH224" s="5">
        <v>40.6316</v>
      </c>
      <c r="AI224" s="5"/>
    </row>
    <row r="225" hidden="1" spans="1:35">
      <c r="A225" s="5" t="s">
        <v>897</v>
      </c>
      <c r="B225" s="5" t="s">
        <v>381</v>
      </c>
      <c r="C225" s="5" t="s">
        <v>304</v>
      </c>
      <c r="D225" s="5" t="s">
        <v>1364</v>
      </c>
      <c r="E225" s="5" t="s">
        <v>899</v>
      </c>
      <c r="F225" s="5" t="s">
        <v>96</v>
      </c>
      <c r="G225" s="5" t="s">
        <v>115</v>
      </c>
      <c r="H225" s="5" t="s">
        <v>1365</v>
      </c>
      <c r="I225" s="5" t="s">
        <v>1124</v>
      </c>
      <c r="J225" s="5" t="s">
        <v>1124</v>
      </c>
      <c r="K225" s="5">
        <v>18</v>
      </c>
      <c r="L225" s="5"/>
      <c r="M225" s="5" t="s">
        <v>919</v>
      </c>
      <c r="N225" s="5" t="s">
        <v>1366</v>
      </c>
      <c r="O225" s="5" t="s">
        <v>1367</v>
      </c>
      <c r="P225" s="5" t="s">
        <v>1934</v>
      </c>
      <c r="Q225" s="5" t="s">
        <v>1369</v>
      </c>
      <c r="R225" s="5">
        <v>1700</v>
      </c>
      <c r="S225" s="5">
        <v>1800</v>
      </c>
      <c r="T225" s="5">
        <v>5</v>
      </c>
      <c r="U225" s="5">
        <v>48</v>
      </c>
      <c r="V225" s="5">
        <v>32.3</v>
      </c>
      <c r="W225" s="5">
        <v>10</v>
      </c>
      <c r="X225" s="5" t="s">
        <v>1020</v>
      </c>
      <c r="Y225" s="5" t="s">
        <v>908</v>
      </c>
      <c r="Z225" s="5">
        <v>565</v>
      </c>
      <c r="AA225" s="5" t="s">
        <v>909</v>
      </c>
      <c r="AB225" s="5">
        <v>38.53</v>
      </c>
      <c r="AC225" s="5">
        <v>0.58</v>
      </c>
      <c r="AD225" s="5">
        <v>22.3474</v>
      </c>
      <c r="AE225" s="5">
        <v>27.9342</v>
      </c>
      <c r="AF225" s="5">
        <v>29.7965</v>
      </c>
      <c r="AG225" s="5">
        <v>34.3806</v>
      </c>
      <c r="AH225" s="5">
        <v>40.6316</v>
      </c>
      <c r="AI225" s="5"/>
    </row>
    <row r="226" hidden="1" spans="1:35">
      <c r="A226" s="5" t="s">
        <v>897</v>
      </c>
      <c r="B226" s="5" t="s">
        <v>383</v>
      </c>
      <c r="C226" s="5" t="s">
        <v>382</v>
      </c>
      <c r="D226" s="5" t="s">
        <v>1935</v>
      </c>
      <c r="E226" s="5" t="s">
        <v>899</v>
      </c>
      <c r="F226" s="5" t="s">
        <v>96</v>
      </c>
      <c r="G226" s="5" t="s">
        <v>115</v>
      </c>
      <c r="H226" s="5" t="s">
        <v>1365</v>
      </c>
      <c r="I226" s="5" t="s">
        <v>1124</v>
      </c>
      <c r="J226" s="5" t="s">
        <v>1936</v>
      </c>
      <c r="K226" s="5">
        <v>18</v>
      </c>
      <c r="L226" s="5"/>
      <c r="M226" s="5" t="s">
        <v>919</v>
      </c>
      <c r="N226" s="5" t="s">
        <v>1366</v>
      </c>
      <c r="O226" s="5" t="s">
        <v>1367</v>
      </c>
      <c r="P226" s="5" t="s">
        <v>1937</v>
      </c>
      <c r="Q226" s="5" t="s">
        <v>1369</v>
      </c>
      <c r="R226" s="5">
        <v>1700</v>
      </c>
      <c r="S226" s="5">
        <v>1710</v>
      </c>
      <c r="T226" s="5">
        <v>5</v>
      </c>
      <c r="U226" s="5">
        <v>48</v>
      </c>
      <c r="V226" s="5">
        <v>32.3</v>
      </c>
      <c r="W226" s="5">
        <v>10</v>
      </c>
      <c r="X226" s="5" t="s">
        <v>1020</v>
      </c>
      <c r="Y226" s="5" t="s">
        <v>908</v>
      </c>
      <c r="Z226" s="5">
        <v>371</v>
      </c>
      <c r="AA226" s="5" t="s">
        <v>909</v>
      </c>
      <c r="AB226" s="5">
        <v>39.42</v>
      </c>
      <c r="AC226" s="5">
        <v>0.58</v>
      </c>
      <c r="AD226" s="5">
        <v>22.8636</v>
      </c>
      <c r="AE226" s="5">
        <v>28.5795</v>
      </c>
      <c r="AF226" s="5">
        <v>30.4848</v>
      </c>
      <c r="AG226" s="5">
        <v>35.1748</v>
      </c>
      <c r="AH226" s="5">
        <v>41.5702</v>
      </c>
      <c r="AI226" s="5"/>
    </row>
    <row r="227" hidden="1" spans="1:35">
      <c r="A227" s="5" t="s">
        <v>897</v>
      </c>
      <c r="B227" s="5" t="s">
        <v>580</v>
      </c>
      <c r="C227" s="5" t="s">
        <v>579</v>
      </c>
      <c r="D227" s="5" t="s">
        <v>1938</v>
      </c>
      <c r="E227" s="5" t="s">
        <v>899</v>
      </c>
      <c r="F227" s="5" t="s">
        <v>96</v>
      </c>
      <c r="G227" s="5" t="s">
        <v>127</v>
      </c>
      <c r="H227" s="5" t="s">
        <v>1349</v>
      </c>
      <c r="I227" s="5" t="s">
        <v>1709</v>
      </c>
      <c r="J227" s="5" t="s">
        <v>1709</v>
      </c>
      <c r="K227" s="5">
        <v>18</v>
      </c>
      <c r="L227" s="5"/>
      <c r="M227" s="5" t="s">
        <v>919</v>
      </c>
      <c r="N227" s="5" t="s">
        <v>1352</v>
      </c>
      <c r="O227" s="5" t="s">
        <v>1353</v>
      </c>
      <c r="P227" s="5" t="s">
        <v>1939</v>
      </c>
      <c r="Q227" s="5" t="s">
        <v>1355</v>
      </c>
      <c r="R227" s="5">
        <v>2100</v>
      </c>
      <c r="S227" s="5">
        <v>2300</v>
      </c>
      <c r="T227" s="5">
        <v>27</v>
      </c>
      <c r="U227" s="5">
        <v>21</v>
      </c>
      <c r="V227" s="5">
        <v>21</v>
      </c>
      <c r="W227" s="5">
        <v>1</v>
      </c>
      <c r="X227" s="5" t="s">
        <v>1020</v>
      </c>
      <c r="Y227" s="5" t="s">
        <v>908</v>
      </c>
      <c r="Z227" s="5">
        <v>118</v>
      </c>
      <c r="AA227" s="5" t="s">
        <v>909</v>
      </c>
      <c r="AB227" s="5">
        <v>54.32</v>
      </c>
      <c r="AC227" s="5">
        <v>0.58</v>
      </c>
      <c r="AD227" s="5">
        <v>31.5056</v>
      </c>
      <c r="AE227" s="5">
        <v>39.382</v>
      </c>
      <c r="AF227" s="5">
        <v>42.0075</v>
      </c>
      <c r="AG227" s="5">
        <v>48.4702</v>
      </c>
      <c r="AH227" s="5">
        <v>57.2829</v>
      </c>
      <c r="AI227" s="5"/>
    </row>
    <row r="228" hidden="1" spans="1:35">
      <c r="A228" s="5" t="s">
        <v>897</v>
      </c>
      <c r="B228" s="5" t="s">
        <v>208</v>
      </c>
      <c r="C228" s="5" t="s">
        <v>207</v>
      </c>
      <c r="D228" s="5" t="s">
        <v>1940</v>
      </c>
      <c r="E228" s="5" t="s">
        <v>899</v>
      </c>
      <c r="F228" s="5" t="s">
        <v>108</v>
      </c>
      <c r="G228" s="5" t="s">
        <v>206</v>
      </c>
      <c r="H228" s="5" t="s">
        <v>1941</v>
      </c>
      <c r="I228" s="5" t="s">
        <v>1054</v>
      </c>
      <c r="J228" s="5" t="s">
        <v>1054</v>
      </c>
      <c r="K228" s="5">
        <v>20</v>
      </c>
      <c r="L228" s="5"/>
      <c r="M228" s="5" t="s">
        <v>902</v>
      </c>
      <c r="N228" s="5" t="s">
        <v>1942</v>
      </c>
      <c r="O228" s="5" t="s">
        <v>1941</v>
      </c>
      <c r="P228" s="5" t="s">
        <v>1943</v>
      </c>
      <c r="Q228" s="5" t="s">
        <v>1944</v>
      </c>
      <c r="R228" s="5">
        <v>500</v>
      </c>
      <c r="S228" s="5">
        <v>550</v>
      </c>
      <c r="T228" s="5">
        <v>1.98</v>
      </c>
      <c r="U228" s="5">
        <v>36</v>
      </c>
      <c r="V228" s="5">
        <v>26.5</v>
      </c>
      <c r="W228" s="5">
        <v>25</v>
      </c>
      <c r="X228" s="5" t="s">
        <v>907</v>
      </c>
      <c r="Y228" s="5" t="s">
        <v>908</v>
      </c>
      <c r="Z228" s="5">
        <v>74</v>
      </c>
      <c r="AA228" s="5" t="s">
        <v>909</v>
      </c>
      <c r="AB228" s="5">
        <v>203.25</v>
      </c>
      <c r="AC228" s="5">
        <v>0.58</v>
      </c>
      <c r="AD228" s="5">
        <v>117.885</v>
      </c>
      <c r="AE228" s="5">
        <v>147.3562</v>
      </c>
      <c r="AF228" s="5">
        <v>157.18</v>
      </c>
      <c r="AG228" s="5">
        <v>181.3615</v>
      </c>
      <c r="AH228" s="5">
        <v>214.3364</v>
      </c>
      <c r="AI228" s="5"/>
    </row>
    <row r="229" hidden="1" spans="1:35">
      <c r="A229" s="5" t="s">
        <v>897</v>
      </c>
      <c r="B229" s="5" t="s">
        <v>277</v>
      </c>
      <c r="C229" s="5" t="s">
        <v>276</v>
      </c>
      <c r="D229" s="5" t="s">
        <v>1945</v>
      </c>
      <c r="E229" s="5" t="s">
        <v>899</v>
      </c>
      <c r="F229" s="5" t="s">
        <v>108</v>
      </c>
      <c r="G229" s="5" t="s">
        <v>109</v>
      </c>
      <c r="H229" s="5" t="s">
        <v>1946</v>
      </c>
      <c r="I229" s="5" t="s">
        <v>1947</v>
      </c>
      <c r="J229" s="5" t="s">
        <v>1947</v>
      </c>
      <c r="K229" s="5">
        <v>18</v>
      </c>
      <c r="L229" s="5"/>
      <c r="M229" s="5" t="s">
        <v>919</v>
      </c>
      <c r="N229" s="5" t="s">
        <v>1948</v>
      </c>
      <c r="O229" s="5" t="s">
        <v>1949</v>
      </c>
      <c r="P229" s="5" t="s">
        <v>1950</v>
      </c>
      <c r="Q229" s="5" t="s">
        <v>1951</v>
      </c>
      <c r="R229" s="5">
        <v>500</v>
      </c>
      <c r="S229" s="5">
        <v>525</v>
      </c>
      <c r="T229" s="5">
        <v>1.3</v>
      </c>
      <c r="U229" s="5">
        <v>42</v>
      </c>
      <c r="V229" s="5">
        <v>31</v>
      </c>
      <c r="W229" s="5">
        <v>40</v>
      </c>
      <c r="X229" s="5" t="s">
        <v>907</v>
      </c>
      <c r="Y229" s="5" t="s">
        <v>908</v>
      </c>
      <c r="Z229" s="5">
        <v>29</v>
      </c>
      <c r="AA229" s="5" t="s">
        <v>909</v>
      </c>
      <c r="AB229" s="5">
        <v>16.54</v>
      </c>
      <c r="AC229" s="5">
        <v>0.58</v>
      </c>
      <c r="AD229" s="5">
        <v>9.5932</v>
      </c>
      <c r="AE229" s="5">
        <v>11.9915</v>
      </c>
      <c r="AF229" s="5">
        <v>12.7909</v>
      </c>
      <c r="AG229" s="5">
        <v>14.7588</v>
      </c>
      <c r="AH229" s="5">
        <v>17.4422</v>
      </c>
      <c r="AI229" s="5"/>
    </row>
    <row r="230" hidden="1" spans="1:35">
      <c r="A230" s="5" t="s">
        <v>897</v>
      </c>
      <c r="B230" s="5" t="s">
        <v>783</v>
      </c>
      <c r="C230" s="5" t="s">
        <v>782</v>
      </c>
      <c r="D230" s="5" t="s">
        <v>1952</v>
      </c>
      <c r="E230" s="5" t="s">
        <v>899</v>
      </c>
      <c r="F230" s="5" t="s">
        <v>108</v>
      </c>
      <c r="G230" s="5" t="s">
        <v>146</v>
      </c>
      <c r="H230" s="5" t="s">
        <v>1953</v>
      </c>
      <c r="I230" s="5" t="s">
        <v>1723</v>
      </c>
      <c r="J230" s="5" t="s">
        <v>1723</v>
      </c>
      <c r="K230" s="5">
        <v>18</v>
      </c>
      <c r="L230" s="5" t="s">
        <v>909</v>
      </c>
      <c r="M230" s="5" t="s">
        <v>919</v>
      </c>
      <c r="N230" s="5" t="s">
        <v>1954</v>
      </c>
      <c r="O230" s="5" t="s">
        <v>1955</v>
      </c>
      <c r="P230" s="5" t="s">
        <v>1956</v>
      </c>
      <c r="Q230" s="5" t="s">
        <v>1957</v>
      </c>
      <c r="R230" s="5">
        <v>230</v>
      </c>
      <c r="S230" s="5">
        <v>235</v>
      </c>
      <c r="T230" s="5">
        <v>1.4</v>
      </c>
      <c r="U230" s="5">
        <v>35</v>
      </c>
      <c r="V230" s="5">
        <v>30</v>
      </c>
      <c r="W230" s="5">
        <v>50</v>
      </c>
      <c r="X230" s="5" t="s">
        <v>907</v>
      </c>
      <c r="Y230" s="5" t="s">
        <v>908</v>
      </c>
      <c r="Z230" s="5">
        <v>527</v>
      </c>
      <c r="AA230" s="5" t="s">
        <v>909</v>
      </c>
      <c r="AB230" s="5">
        <v>20.7</v>
      </c>
      <c r="AC230" s="5">
        <v>0.58</v>
      </c>
      <c r="AD230" s="5">
        <v>12.006</v>
      </c>
      <c r="AE230" s="5">
        <v>15.0075</v>
      </c>
      <c r="AF230" s="5">
        <v>16.008</v>
      </c>
      <c r="AG230" s="5">
        <v>18.4708</v>
      </c>
      <c r="AH230" s="5">
        <v>21.8291</v>
      </c>
      <c r="AI230" s="5"/>
    </row>
    <row r="231" hidden="1" spans="1:35">
      <c r="A231" s="5" t="s">
        <v>897</v>
      </c>
      <c r="B231" s="5" t="s">
        <v>779</v>
      </c>
      <c r="C231" s="5" t="s">
        <v>778</v>
      </c>
      <c r="D231" s="5" t="s">
        <v>1958</v>
      </c>
      <c r="E231" s="5" t="s">
        <v>899</v>
      </c>
      <c r="F231" s="5" t="s">
        <v>108</v>
      </c>
      <c r="G231" s="5" t="s">
        <v>146</v>
      </c>
      <c r="H231" s="5" t="s">
        <v>1272</v>
      </c>
      <c r="I231" s="5" t="s">
        <v>1723</v>
      </c>
      <c r="J231" s="5" t="s">
        <v>1723</v>
      </c>
      <c r="K231" s="5">
        <v>18</v>
      </c>
      <c r="L231" s="5" t="s">
        <v>909</v>
      </c>
      <c r="M231" s="5" t="s">
        <v>919</v>
      </c>
      <c r="N231" s="5" t="s">
        <v>1959</v>
      </c>
      <c r="O231" s="5" t="s">
        <v>1960</v>
      </c>
      <c r="P231" s="5" t="s">
        <v>1961</v>
      </c>
      <c r="Q231" s="5" t="s">
        <v>1962</v>
      </c>
      <c r="R231" s="5">
        <v>170</v>
      </c>
      <c r="S231" s="5">
        <v>180</v>
      </c>
      <c r="T231" s="5">
        <v>0.61</v>
      </c>
      <c r="U231" s="5">
        <v>42</v>
      </c>
      <c r="V231" s="5">
        <v>41</v>
      </c>
      <c r="W231" s="5">
        <v>100</v>
      </c>
      <c r="X231" s="5" t="s">
        <v>907</v>
      </c>
      <c r="Y231" s="5" t="s">
        <v>908</v>
      </c>
      <c r="Z231" s="5">
        <v>0</v>
      </c>
      <c r="AA231" s="5" t="s">
        <v>909</v>
      </c>
      <c r="AB231" s="5">
        <v>9.62</v>
      </c>
      <c r="AC231" s="5">
        <v>0.58</v>
      </c>
      <c r="AD231" s="5">
        <v>5.5796</v>
      </c>
      <c r="AE231" s="5">
        <v>6.9745</v>
      </c>
      <c r="AF231" s="5">
        <v>7.4395</v>
      </c>
      <c r="AG231" s="5">
        <v>8.584</v>
      </c>
      <c r="AH231" s="5">
        <v>10.1447</v>
      </c>
      <c r="AI231" s="5"/>
    </row>
    <row r="232" hidden="1" spans="1:35">
      <c r="A232" s="5" t="s">
        <v>897</v>
      </c>
      <c r="B232" s="5" t="s">
        <v>264</v>
      </c>
      <c r="C232" s="5" t="s">
        <v>263</v>
      </c>
      <c r="D232" s="5" t="s">
        <v>1963</v>
      </c>
      <c r="E232" s="5" t="s">
        <v>899</v>
      </c>
      <c r="F232" s="5" t="s">
        <v>108</v>
      </c>
      <c r="G232" s="5" t="s">
        <v>146</v>
      </c>
      <c r="H232" s="5" t="s">
        <v>1272</v>
      </c>
      <c r="I232" s="5" t="s">
        <v>1947</v>
      </c>
      <c r="J232" s="5" t="s">
        <v>1947</v>
      </c>
      <c r="K232" s="5">
        <v>18</v>
      </c>
      <c r="L232" s="5"/>
      <c r="M232" s="5" t="s">
        <v>919</v>
      </c>
      <c r="N232" s="5" t="s">
        <v>1964</v>
      </c>
      <c r="O232" s="5" t="s">
        <v>1965</v>
      </c>
      <c r="P232" s="5" t="s">
        <v>1966</v>
      </c>
      <c r="Q232" s="5" t="s">
        <v>1967</v>
      </c>
      <c r="R232" s="5">
        <v>1005</v>
      </c>
      <c r="S232" s="5">
        <v>1355</v>
      </c>
      <c r="T232" s="5">
        <v>4.43</v>
      </c>
      <c r="U232" s="5">
        <v>64.5</v>
      </c>
      <c r="V232" s="5">
        <v>56</v>
      </c>
      <c r="W232" s="5">
        <v>20</v>
      </c>
      <c r="X232" s="5" t="s">
        <v>907</v>
      </c>
      <c r="Y232" s="5" t="s">
        <v>908</v>
      </c>
      <c r="Z232" s="5">
        <v>1628</v>
      </c>
      <c r="AA232" s="5" t="s">
        <v>909</v>
      </c>
      <c r="AB232" s="5">
        <v>62.96</v>
      </c>
      <c r="AC232" s="5">
        <v>0.58</v>
      </c>
      <c r="AD232" s="5">
        <v>36.5168</v>
      </c>
      <c r="AE232" s="5">
        <v>45.646</v>
      </c>
      <c r="AF232" s="5">
        <v>48.6891</v>
      </c>
      <c r="AG232" s="5">
        <v>56.1797</v>
      </c>
      <c r="AH232" s="5">
        <v>66.3942</v>
      </c>
      <c r="AI232" s="5"/>
    </row>
    <row r="233" hidden="1" spans="1:35">
      <c r="A233" s="5" t="s">
        <v>897</v>
      </c>
      <c r="B233" s="5" t="s">
        <v>237</v>
      </c>
      <c r="C233" s="5" t="s">
        <v>236</v>
      </c>
      <c r="D233" s="5" t="s">
        <v>1968</v>
      </c>
      <c r="E233" s="5" t="s">
        <v>899</v>
      </c>
      <c r="F233" s="5" t="s">
        <v>96</v>
      </c>
      <c r="G233" s="5" t="s">
        <v>103</v>
      </c>
      <c r="H233" s="5" t="s">
        <v>1969</v>
      </c>
      <c r="I233" s="5" t="s">
        <v>1079</v>
      </c>
      <c r="J233" s="5" t="s">
        <v>1079</v>
      </c>
      <c r="K233" s="5">
        <v>18</v>
      </c>
      <c r="L233" s="5"/>
      <c r="M233" s="5" t="s">
        <v>919</v>
      </c>
      <c r="N233" s="5" t="s">
        <v>1970</v>
      </c>
      <c r="O233" s="5" t="s">
        <v>1971</v>
      </c>
      <c r="P233" s="5" t="s">
        <v>1972</v>
      </c>
      <c r="Q233" s="5" t="s">
        <v>1973</v>
      </c>
      <c r="R233" s="5">
        <v>1500</v>
      </c>
      <c r="S233" s="5">
        <v>1550</v>
      </c>
      <c r="T233" s="5">
        <v>6.6</v>
      </c>
      <c r="U233" s="5">
        <v>46</v>
      </c>
      <c r="V233" s="5">
        <v>22</v>
      </c>
      <c r="W233" s="5">
        <v>10</v>
      </c>
      <c r="X233" s="5" t="s">
        <v>907</v>
      </c>
      <c r="Y233" s="5" t="s">
        <v>908</v>
      </c>
      <c r="Z233" s="5">
        <v>53</v>
      </c>
      <c r="AA233" s="5" t="s">
        <v>909</v>
      </c>
      <c r="AB233" s="5">
        <v>215.7583</v>
      </c>
      <c r="AC233" s="5">
        <v>0.58</v>
      </c>
      <c r="AD233" s="5">
        <v>125.1398</v>
      </c>
      <c r="AE233" s="5">
        <v>156.4248</v>
      </c>
      <c r="AF233" s="5">
        <v>166.8531</v>
      </c>
      <c r="AG233" s="5">
        <v>192.5228</v>
      </c>
      <c r="AH233" s="5">
        <v>227.5269</v>
      </c>
      <c r="AI233" s="5"/>
    </row>
    <row r="234" hidden="1" spans="1:35">
      <c r="A234" s="5" t="s">
        <v>897</v>
      </c>
      <c r="B234" s="5" t="s">
        <v>385</v>
      </c>
      <c r="C234" s="5" t="s">
        <v>384</v>
      </c>
      <c r="D234" s="5" t="s">
        <v>1974</v>
      </c>
      <c r="E234" s="5" t="s">
        <v>899</v>
      </c>
      <c r="F234" s="5" t="s">
        <v>96</v>
      </c>
      <c r="G234" s="5" t="s">
        <v>115</v>
      </c>
      <c r="H234" s="5" t="s">
        <v>935</v>
      </c>
      <c r="I234" s="5" t="s">
        <v>1975</v>
      </c>
      <c r="J234" s="5" t="s">
        <v>1975</v>
      </c>
      <c r="K234" s="5">
        <v>18</v>
      </c>
      <c r="L234" s="5"/>
      <c r="M234" s="5" t="s">
        <v>919</v>
      </c>
      <c r="N234" s="5" t="s">
        <v>1976</v>
      </c>
      <c r="O234" s="5" t="s">
        <v>957</v>
      </c>
      <c r="P234" s="5" t="s">
        <v>1977</v>
      </c>
      <c r="Q234" s="5" t="s">
        <v>1978</v>
      </c>
      <c r="R234" s="5">
        <v>128</v>
      </c>
      <c r="S234" s="5">
        <v>1125</v>
      </c>
      <c r="T234" s="5">
        <v>0.7</v>
      </c>
      <c r="U234" s="5">
        <v>33.2</v>
      </c>
      <c r="V234" s="5">
        <v>29</v>
      </c>
      <c r="W234" s="5">
        <v>60</v>
      </c>
      <c r="X234" s="5" t="s">
        <v>907</v>
      </c>
      <c r="Y234" s="5" t="s">
        <v>908</v>
      </c>
      <c r="Z234" s="5">
        <v>0</v>
      </c>
      <c r="AA234" s="5" t="s">
        <v>909</v>
      </c>
      <c r="AB234" s="5">
        <v>41.49</v>
      </c>
      <c r="AC234" s="5">
        <v>0.58</v>
      </c>
      <c r="AD234" s="5">
        <v>24.0642</v>
      </c>
      <c r="AE234" s="5">
        <v>30.0802</v>
      </c>
      <c r="AF234" s="5">
        <v>32.0856</v>
      </c>
      <c r="AG234" s="5">
        <v>37.0218</v>
      </c>
      <c r="AH234" s="5">
        <v>43.7531</v>
      </c>
      <c r="AI234" s="5"/>
    </row>
    <row r="235" hidden="1" spans="1:35">
      <c r="A235" s="5" t="s">
        <v>897</v>
      </c>
      <c r="B235" s="5" t="s">
        <v>123</v>
      </c>
      <c r="C235" s="5" t="s">
        <v>1979</v>
      </c>
      <c r="D235" s="5" t="s">
        <v>1980</v>
      </c>
      <c r="E235" s="5" t="s">
        <v>899</v>
      </c>
      <c r="F235" s="5" t="s">
        <v>108</v>
      </c>
      <c r="G235" s="5" t="s">
        <v>927</v>
      </c>
      <c r="H235" s="5" t="s">
        <v>1981</v>
      </c>
      <c r="I235" s="5" t="s">
        <v>1982</v>
      </c>
      <c r="J235" s="5" t="s">
        <v>1982</v>
      </c>
      <c r="K235" s="5">
        <v>18</v>
      </c>
      <c r="L235" s="5"/>
      <c r="M235" s="5" t="s">
        <v>919</v>
      </c>
      <c r="N235" s="5" t="s">
        <v>1983</v>
      </c>
      <c r="O235" s="5" t="s">
        <v>1984</v>
      </c>
      <c r="P235" s="5" t="s">
        <v>1985</v>
      </c>
      <c r="Q235" s="5" t="s">
        <v>1986</v>
      </c>
      <c r="R235" s="5">
        <v>258</v>
      </c>
      <c r="S235" s="5">
        <v>335</v>
      </c>
      <c r="T235" s="5">
        <v>1.28</v>
      </c>
      <c r="U235" s="5">
        <v>32.5</v>
      </c>
      <c r="V235" s="5">
        <v>35.5</v>
      </c>
      <c r="W235" s="5">
        <v>40</v>
      </c>
      <c r="X235" s="5" t="s">
        <v>907</v>
      </c>
      <c r="Y235" s="5" t="s">
        <v>908</v>
      </c>
      <c r="Z235" s="5">
        <v>1</v>
      </c>
      <c r="AA235" s="5" t="s">
        <v>909</v>
      </c>
      <c r="AB235" s="5">
        <v>173.44</v>
      </c>
      <c r="AC235" s="5">
        <v>0.58</v>
      </c>
      <c r="AD235" s="5">
        <v>100.5952</v>
      </c>
      <c r="AE235" s="5">
        <v>125.744</v>
      </c>
      <c r="AF235" s="5">
        <v>134.1269</v>
      </c>
      <c r="AG235" s="5">
        <v>154.7618</v>
      </c>
      <c r="AH235" s="5">
        <v>182.9004</v>
      </c>
      <c r="AI235" s="5"/>
    </row>
    <row r="236" hidden="1" spans="1:35">
      <c r="A236" s="5" t="s">
        <v>897</v>
      </c>
      <c r="B236" s="5" t="s">
        <v>138</v>
      </c>
      <c r="C236" s="5" t="s">
        <v>1987</v>
      </c>
      <c r="D236" s="5" t="s">
        <v>1988</v>
      </c>
      <c r="E236" s="5" t="s">
        <v>899</v>
      </c>
      <c r="F236" s="5" t="s">
        <v>108</v>
      </c>
      <c r="G236" s="5" t="s">
        <v>927</v>
      </c>
      <c r="H236" s="5" t="s">
        <v>1989</v>
      </c>
      <c r="I236" s="5" t="s">
        <v>1982</v>
      </c>
      <c r="J236" s="5" t="s">
        <v>1982</v>
      </c>
      <c r="K236" s="5">
        <v>18</v>
      </c>
      <c r="L236" s="5"/>
      <c r="M236" s="5" t="s">
        <v>919</v>
      </c>
      <c r="N236" s="5" t="s">
        <v>1990</v>
      </c>
      <c r="O236" s="5" t="s">
        <v>1991</v>
      </c>
      <c r="P236" s="5" t="s">
        <v>1992</v>
      </c>
      <c r="Q236" s="5" t="s">
        <v>1993</v>
      </c>
      <c r="R236" s="5">
        <v>199</v>
      </c>
      <c r="S236" s="5">
        <v>238</v>
      </c>
      <c r="T236" s="5">
        <v>0.79</v>
      </c>
      <c r="U236" s="5">
        <v>37.5</v>
      </c>
      <c r="V236" s="5">
        <v>34.5</v>
      </c>
      <c r="W236" s="5">
        <v>60</v>
      </c>
      <c r="X236" s="5" t="s">
        <v>907</v>
      </c>
      <c r="Y236" s="5" t="s">
        <v>908</v>
      </c>
      <c r="Z236" s="5">
        <v>159</v>
      </c>
      <c r="AA236" s="5" t="s">
        <v>909</v>
      </c>
      <c r="AB236" s="5">
        <v>36.08</v>
      </c>
      <c r="AC236" s="5">
        <v>0.58</v>
      </c>
      <c r="AD236" s="5">
        <v>20.9264</v>
      </c>
      <c r="AE236" s="5">
        <v>26.158</v>
      </c>
      <c r="AF236" s="5">
        <v>27.9019</v>
      </c>
      <c r="AG236" s="5">
        <v>32.1945</v>
      </c>
      <c r="AH236" s="5">
        <v>38.048</v>
      </c>
      <c r="AI236" s="5"/>
    </row>
    <row r="237" hidden="1" spans="1:35">
      <c r="A237" s="5" t="s">
        <v>897</v>
      </c>
      <c r="B237" s="5" t="s">
        <v>254</v>
      </c>
      <c r="C237" s="5" t="s">
        <v>1994</v>
      </c>
      <c r="D237" s="5" t="s">
        <v>1995</v>
      </c>
      <c r="E237" s="5" t="s">
        <v>899</v>
      </c>
      <c r="F237" s="5" t="s">
        <v>108</v>
      </c>
      <c r="G237" s="5" t="s">
        <v>927</v>
      </c>
      <c r="H237" s="5" t="s">
        <v>1989</v>
      </c>
      <c r="I237" s="5" t="s">
        <v>1982</v>
      </c>
      <c r="J237" s="5" t="s">
        <v>1982</v>
      </c>
      <c r="K237" s="5">
        <v>18</v>
      </c>
      <c r="L237" s="5"/>
      <c r="M237" s="5" t="s">
        <v>919</v>
      </c>
      <c r="N237" s="5" t="s">
        <v>1990</v>
      </c>
      <c r="O237" s="5" t="s">
        <v>1991</v>
      </c>
      <c r="P237" s="5" t="s">
        <v>1996</v>
      </c>
      <c r="Q237" s="5" t="s">
        <v>1997</v>
      </c>
      <c r="R237" s="5">
        <v>286</v>
      </c>
      <c r="S237" s="5">
        <v>325</v>
      </c>
      <c r="T237" s="5">
        <v>0.79</v>
      </c>
      <c r="U237" s="5">
        <v>37.5</v>
      </c>
      <c r="V237" s="5">
        <v>34.5</v>
      </c>
      <c r="W237" s="5">
        <v>60</v>
      </c>
      <c r="X237" s="5" t="s">
        <v>907</v>
      </c>
      <c r="Y237" s="5" t="s">
        <v>908</v>
      </c>
      <c r="Z237" s="5">
        <v>22</v>
      </c>
      <c r="AA237" s="5" t="s">
        <v>909</v>
      </c>
      <c r="AB237" s="5">
        <v>62.89</v>
      </c>
      <c r="AC237" s="5">
        <v>0.58</v>
      </c>
      <c r="AD237" s="5">
        <v>36.4762</v>
      </c>
      <c r="AE237" s="5">
        <v>45.5952</v>
      </c>
      <c r="AF237" s="5">
        <v>48.6349</v>
      </c>
      <c r="AG237" s="5">
        <v>56.1172</v>
      </c>
      <c r="AH237" s="5">
        <v>66.3204</v>
      </c>
      <c r="AI237" s="5"/>
    </row>
    <row r="238" hidden="1" spans="1:35">
      <c r="A238" s="5" t="s">
        <v>897</v>
      </c>
      <c r="B238" s="5" t="s">
        <v>482</v>
      </c>
      <c r="C238" s="5" t="s">
        <v>1998</v>
      </c>
      <c r="D238" s="5" t="s">
        <v>1999</v>
      </c>
      <c r="E238" s="5" t="s">
        <v>899</v>
      </c>
      <c r="F238" s="5" t="s">
        <v>108</v>
      </c>
      <c r="G238" s="5" t="s">
        <v>927</v>
      </c>
      <c r="H238" s="5" t="s">
        <v>1989</v>
      </c>
      <c r="I238" s="5" t="s">
        <v>1982</v>
      </c>
      <c r="J238" s="5" t="s">
        <v>1982</v>
      </c>
      <c r="K238" s="5">
        <v>18</v>
      </c>
      <c r="L238" s="5"/>
      <c r="M238" s="5" t="s">
        <v>919</v>
      </c>
      <c r="N238" s="5" t="s">
        <v>1990</v>
      </c>
      <c r="O238" s="5" t="s">
        <v>1991</v>
      </c>
      <c r="P238" s="5" t="s">
        <v>2000</v>
      </c>
      <c r="Q238" s="5" t="s">
        <v>2001</v>
      </c>
      <c r="R238" s="5">
        <v>692</v>
      </c>
      <c r="S238" s="5">
        <v>743</v>
      </c>
      <c r="T238" s="5">
        <v>1.94</v>
      </c>
      <c r="U238" s="5">
        <v>35</v>
      </c>
      <c r="V238" s="5">
        <v>28</v>
      </c>
      <c r="W238" s="5">
        <v>24</v>
      </c>
      <c r="X238" s="5" t="s">
        <v>907</v>
      </c>
      <c r="Y238" s="5" t="s">
        <v>908</v>
      </c>
      <c r="Z238" s="5">
        <v>55</v>
      </c>
      <c r="AA238" s="5" t="s">
        <v>909</v>
      </c>
      <c r="AB238" s="5">
        <v>157.1</v>
      </c>
      <c r="AC238" s="5">
        <v>0.58</v>
      </c>
      <c r="AD238" s="5">
        <v>91.118</v>
      </c>
      <c r="AE238" s="5">
        <v>113.8975</v>
      </c>
      <c r="AF238" s="5">
        <v>121.4907</v>
      </c>
      <c r="AG238" s="5">
        <v>140.1815</v>
      </c>
      <c r="AH238" s="5">
        <v>165.6691</v>
      </c>
      <c r="AI238" s="5"/>
    </row>
    <row r="239" hidden="1" spans="1:35">
      <c r="A239" s="5" t="s">
        <v>897</v>
      </c>
      <c r="B239" s="5" t="s">
        <v>387</v>
      </c>
      <c r="C239" s="5" t="s">
        <v>386</v>
      </c>
      <c r="D239" s="5" t="s">
        <v>2002</v>
      </c>
      <c r="E239" s="5" t="s">
        <v>899</v>
      </c>
      <c r="F239" s="5" t="s">
        <v>96</v>
      </c>
      <c r="G239" s="5" t="s">
        <v>97</v>
      </c>
      <c r="H239" s="5" t="s">
        <v>2003</v>
      </c>
      <c r="I239" s="5" t="s">
        <v>2004</v>
      </c>
      <c r="J239" s="5" t="s">
        <v>2004</v>
      </c>
      <c r="K239" s="5">
        <v>18</v>
      </c>
      <c r="L239" s="5"/>
      <c r="M239" s="5" t="s">
        <v>1037</v>
      </c>
      <c r="N239" s="5" t="s">
        <v>2005</v>
      </c>
      <c r="O239" s="5" t="s">
        <v>2006</v>
      </c>
      <c r="P239" s="5" t="s">
        <v>2007</v>
      </c>
      <c r="Q239" s="5" t="s">
        <v>2008</v>
      </c>
      <c r="R239" s="5">
        <v>6000</v>
      </c>
      <c r="S239" s="5">
        <v>6250</v>
      </c>
      <c r="T239" s="5">
        <v>100</v>
      </c>
      <c r="U239" s="5">
        <v>100</v>
      </c>
      <c r="V239" s="5">
        <v>12</v>
      </c>
      <c r="W239" s="5">
        <v>1</v>
      </c>
      <c r="X239" s="5" t="s">
        <v>1020</v>
      </c>
      <c r="Y239" s="5" t="s">
        <v>908</v>
      </c>
      <c r="Z239" s="5">
        <v>0</v>
      </c>
      <c r="AA239" s="5" t="s">
        <v>909</v>
      </c>
      <c r="AB239" s="5">
        <v>142.93</v>
      </c>
      <c r="AC239" s="5">
        <v>0.58</v>
      </c>
      <c r="AD239" s="5">
        <v>82.8994</v>
      </c>
      <c r="AE239" s="5">
        <v>103.6242</v>
      </c>
      <c r="AF239" s="5">
        <v>110.5325</v>
      </c>
      <c r="AG239" s="5">
        <v>127.5375</v>
      </c>
      <c r="AH239" s="5">
        <v>150.7262</v>
      </c>
      <c r="AI239" s="5"/>
    </row>
    <row r="240" hidden="1" spans="1:35">
      <c r="A240" s="5" t="s">
        <v>897</v>
      </c>
      <c r="B240" s="5" t="s">
        <v>389</v>
      </c>
      <c r="C240" s="5" t="s">
        <v>388</v>
      </c>
      <c r="D240" s="5" t="s">
        <v>2009</v>
      </c>
      <c r="E240" s="5" t="s">
        <v>899</v>
      </c>
      <c r="F240" s="5" t="s">
        <v>96</v>
      </c>
      <c r="G240" s="5" t="s">
        <v>97</v>
      </c>
      <c r="H240" s="5" t="s">
        <v>2003</v>
      </c>
      <c r="I240" s="5" t="s">
        <v>2004</v>
      </c>
      <c r="J240" s="5" t="s">
        <v>2004</v>
      </c>
      <c r="K240" s="5">
        <v>18</v>
      </c>
      <c r="L240" s="5"/>
      <c r="M240" s="5" t="s">
        <v>919</v>
      </c>
      <c r="N240" s="5" t="s">
        <v>2005</v>
      </c>
      <c r="O240" s="5" t="s">
        <v>2006</v>
      </c>
      <c r="P240" s="5" t="s">
        <v>2010</v>
      </c>
      <c r="Q240" s="5" t="s">
        <v>2011</v>
      </c>
      <c r="R240" s="5">
        <v>1200</v>
      </c>
      <c r="S240" s="5">
        <v>1400</v>
      </c>
      <c r="T240" s="5">
        <v>45</v>
      </c>
      <c r="U240" s="5">
        <v>45</v>
      </c>
      <c r="V240" s="5">
        <v>9</v>
      </c>
      <c r="W240" s="5">
        <v>1</v>
      </c>
      <c r="X240" s="5" t="s">
        <v>1020</v>
      </c>
      <c r="Y240" s="5" t="s">
        <v>908</v>
      </c>
      <c r="Z240" s="5">
        <v>0</v>
      </c>
      <c r="AA240" s="5" t="s">
        <v>909</v>
      </c>
      <c r="AB240" s="5">
        <v>36.9</v>
      </c>
      <c r="AC240" s="5">
        <v>0.58</v>
      </c>
      <c r="AD240" s="5">
        <v>21.402</v>
      </c>
      <c r="AE240" s="5">
        <v>26.7525</v>
      </c>
      <c r="AF240" s="5">
        <v>28.536</v>
      </c>
      <c r="AG240" s="5">
        <v>32.9262</v>
      </c>
      <c r="AH240" s="5">
        <v>38.9127</v>
      </c>
      <c r="AI240" s="5"/>
    </row>
    <row r="241" hidden="1" spans="1:35">
      <c r="A241" s="5" t="s">
        <v>897</v>
      </c>
      <c r="B241" s="5" t="s">
        <v>391</v>
      </c>
      <c r="C241" s="5" t="s">
        <v>390</v>
      </c>
      <c r="D241" s="5" t="s">
        <v>2012</v>
      </c>
      <c r="E241" s="5" t="s">
        <v>899</v>
      </c>
      <c r="F241" s="5" t="s">
        <v>96</v>
      </c>
      <c r="G241" s="5" t="s">
        <v>97</v>
      </c>
      <c r="H241" s="5" t="s">
        <v>2003</v>
      </c>
      <c r="I241" s="5" t="s">
        <v>2004</v>
      </c>
      <c r="J241" s="5" t="s">
        <v>2004</v>
      </c>
      <c r="K241" s="5">
        <v>18</v>
      </c>
      <c r="L241" s="5"/>
      <c r="M241" s="5" t="s">
        <v>919</v>
      </c>
      <c r="N241" s="5" t="s">
        <v>2005</v>
      </c>
      <c r="O241" s="5" t="s">
        <v>2006</v>
      </c>
      <c r="P241" s="5" t="s">
        <v>2013</v>
      </c>
      <c r="Q241" s="5" t="s">
        <v>2014</v>
      </c>
      <c r="R241" s="5">
        <v>1800</v>
      </c>
      <c r="S241" s="5">
        <v>2150</v>
      </c>
      <c r="T241" s="5">
        <v>60</v>
      </c>
      <c r="U241" s="5">
        <v>60</v>
      </c>
      <c r="V241" s="5">
        <v>10</v>
      </c>
      <c r="W241" s="5">
        <v>1</v>
      </c>
      <c r="X241" s="5" t="s">
        <v>1020</v>
      </c>
      <c r="Y241" s="5" t="s">
        <v>908</v>
      </c>
      <c r="Z241" s="5">
        <v>58</v>
      </c>
      <c r="AA241" s="5" t="s">
        <v>909</v>
      </c>
      <c r="AB241" s="5">
        <v>53.22</v>
      </c>
      <c r="AC241" s="5">
        <v>0.58</v>
      </c>
      <c r="AD241" s="5">
        <v>30.8676</v>
      </c>
      <c r="AE241" s="5">
        <v>38.5845</v>
      </c>
      <c r="AF241" s="5">
        <v>41.1568</v>
      </c>
      <c r="AG241" s="5">
        <v>47.4886</v>
      </c>
      <c r="AH241" s="5">
        <v>56.1229</v>
      </c>
      <c r="AI241" s="5"/>
    </row>
    <row r="242" hidden="1" spans="1:35">
      <c r="A242" s="5" t="s">
        <v>897</v>
      </c>
      <c r="B242" s="5" t="s">
        <v>393</v>
      </c>
      <c r="C242" s="5" t="s">
        <v>392</v>
      </c>
      <c r="D242" s="5" t="s">
        <v>2015</v>
      </c>
      <c r="E242" s="5" t="s">
        <v>899</v>
      </c>
      <c r="F242" s="5" t="s">
        <v>96</v>
      </c>
      <c r="G242" s="5" t="s">
        <v>97</v>
      </c>
      <c r="H242" s="5" t="s">
        <v>2003</v>
      </c>
      <c r="I242" s="5" t="s">
        <v>2004</v>
      </c>
      <c r="J242" s="5" t="s">
        <v>2004</v>
      </c>
      <c r="K242" s="5">
        <v>18</v>
      </c>
      <c r="L242" s="5"/>
      <c r="M242" s="5" t="s">
        <v>919</v>
      </c>
      <c r="N242" s="5" t="s">
        <v>2005</v>
      </c>
      <c r="O242" s="5" t="s">
        <v>2006</v>
      </c>
      <c r="P242" s="5" t="s">
        <v>2016</v>
      </c>
      <c r="Q242" s="5" t="s">
        <v>2017</v>
      </c>
      <c r="R242" s="5">
        <v>3500</v>
      </c>
      <c r="S242" s="5">
        <v>3950</v>
      </c>
      <c r="T242" s="5">
        <v>81</v>
      </c>
      <c r="U242" s="5">
        <v>81</v>
      </c>
      <c r="V242" s="5">
        <v>11</v>
      </c>
      <c r="W242" s="5">
        <v>1</v>
      </c>
      <c r="X242" s="5" t="s">
        <v>1020</v>
      </c>
      <c r="Y242" s="5" t="s">
        <v>908</v>
      </c>
      <c r="Z242" s="5">
        <v>0</v>
      </c>
      <c r="AA242" s="5" t="s">
        <v>909</v>
      </c>
      <c r="AB242" s="5">
        <v>89.39</v>
      </c>
      <c r="AC242" s="5">
        <v>0.58</v>
      </c>
      <c r="AD242" s="5">
        <v>51.8462</v>
      </c>
      <c r="AE242" s="5">
        <v>64.8077</v>
      </c>
      <c r="AF242" s="5">
        <v>69.1283</v>
      </c>
      <c r="AG242" s="5">
        <v>79.7634</v>
      </c>
      <c r="AH242" s="5">
        <v>94.2658</v>
      </c>
      <c r="AI242" s="5"/>
    </row>
    <row r="243" hidden="1" spans="1:35">
      <c r="A243" s="5" t="s">
        <v>897</v>
      </c>
      <c r="B243" s="5" t="s">
        <v>284</v>
      </c>
      <c r="C243" s="5" t="s">
        <v>283</v>
      </c>
      <c r="D243" s="5" t="s">
        <v>2018</v>
      </c>
      <c r="E243" s="5" t="s">
        <v>899</v>
      </c>
      <c r="F243" s="5" t="s">
        <v>96</v>
      </c>
      <c r="G243" s="5" t="s">
        <v>97</v>
      </c>
      <c r="H243" s="5" t="s">
        <v>2019</v>
      </c>
      <c r="I243" s="5" t="s">
        <v>2004</v>
      </c>
      <c r="J243" s="5" t="s">
        <v>2004</v>
      </c>
      <c r="K243" s="5">
        <v>18</v>
      </c>
      <c r="L243" s="5"/>
      <c r="M243" s="5" t="s">
        <v>919</v>
      </c>
      <c r="N243" s="5" t="s">
        <v>2020</v>
      </c>
      <c r="O243" s="5" t="s">
        <v>2021</v>
      </c>
      <c r="P243" s="5" t="s">
        <v>2022</v>
      </c>
      <c r="Q243" s="5" t="s">
        <v>2023</v>
      </c>
      <c r="R243" s="5">
        <v>5000</v>
      </c>
      <c r="S243" s="5">
        <v>5500</v>
      </c>
      <c r="T243" s="5">
        <v>33.67</v>
      </c>
      <c r="U243" s="5">
        <v>32</v>
      </c>
      <c r="V243" s="5">
        <v>10</v>
      </c>
      <c r="W243" s="5">
        <v>3</v>
      </c>
      <c r="X243" s="5" t="s">
        <v>907</v>
      </c>
      <c r="Y243" s="5" t="s">
        <v>908</v>
      </c>
      <c r="Z243" s="5">
        <v>355</v>
      </c>
      <c r="AA243" s="5" t="s">
        <v>909</v>
      </c>
      <c r="AB243" s="5">
        <v>31.76</v>
      </c>
      <c r="AC243" s="5">
        <v>0.58</v>
      </c>
      <c r="AD243" s="5">
        <v>18.4208</v>
      </c>
      <c r="AE243" s="5">
        <v>23.026</v>
      </c>
      <c r="AF243" s="5">
        <v>24.5611</v>
      </c>
      <c r="AG243" s="5">
        <v>28.3397</v>
      </c>
      <c r="AH243" s="5">
        <v>33.4924</v>
      </c>
      <c r="AI243" s="5"/>
    </row>
    <row r="244" hidden="1" spans="1:35">
      <c r="A244" s="5" t="s">
        <v>897</v>
      </c>
      <c r="B244" s="5" t="s">
        <v>395</v>
      </c>
      <c r="C244" s="5" t="s">
        <v>394</v>
      </c>
      <c r="D244" s="5" t="s">
        <v>2024</v>
      </c>
      <c r="E244" s="5" t="s">
        <v>899</v>
      </c>
      <c r="F244" s="5" t="s">
        <v>96</v>
      </c>
      <c r="G244" s="5" t="s">
        <v>97</v>
      </c>
      <c r="H244" s="5" t="s">
        <v>2025</v>
      </c>
      <c r="I244" s="5" t="s">
        <v>2004</v>
      </c>
      <c r="J244" s="5" t="s">
        <v>2004</v>
      </c>
      <c r="K244" s="5">
        <v>18</v>
      </c>
      <c r="L244" s="5"/>
      <c r="M244" s="5" t="s">
        <v>919</v>
      </c>
      <c r="N244" s="5" t="s">
        <v>2026</v>
      </c>
      <c r="O244" s="5" t="s">
        <v>2027</v>
      </c>
      <c r="P244" s="5" t="s">
        <v>2028</v>
      </c>
      <c r="Q244" s="5" t="s">
        <v>2029</v>
      </c>
      <c r="R244" s="5">
        <v>850</v>
      </c>
      <c r="S244" s="5">
        <v>1700</v>
      </c>
      <c r="T244" s="5">
        <v>4.17</v>
      </c>
      <c r="U244" s="5">
        <v>43</v>
      </c>
      <c r="V244" s="5">
        <v>22</v>
      </c>
      <c r="W244" s="5">
        <v>12</v>
      </c>
      <c r="X244" s="5" t="s">
        <v>1020</v>
      </c>
      <c r="Y244" s="5" t="s">
        <v>908</v>
      </c>
      <c r="Z244" s="5">
        <v>0</v>
      </c>
      <c r="AA244" s="5" t="s">
        <v>909</v>
      </c>
      <c r="AB244" s="5">
        <v>12.39</v>
      </c>
      <c r="AC244" s="5">
        <v>0.58</v>
      </c>
      <c r="AD244" s="5">
        <v>7.1862</v>
      </c>
      <c r="AE244" s="5">
        <v>8.9827</v>
      </c>
      <c r="AF244" s="5">
        <v>9.5816</v>
      </c>
      <c r="AG244" s="5">
        <v>11.0557</v>
      </c>
      <c r="AH244" s="5">
        <v>13.0658</v>
      </c>
      <c r="AI244" s="5"/>
    </row>
    <row r="245" hidden="1" spans="1:35">
      <c r="A245" s="5" t="s">
        <v>897</v>
      </c>
      <c r="B245" s="5" t="s">
        <v>838</v>
      </c>
      <c r="C245" s="5" t="s">
        <v>837</v>
      </c>
      <c r="D245" s="5" t="s">
        <v>2030</v>
      </c>
      <c r="E245" s="5" t="s">
        <v>899</v>
      </c>
      <c r="F245" s="5" t="s">
        <v>96</v>
      </c>
      <c r="G245" s="5" t="s">
        <v>97</v>
      </c>
      <c r="H245" s="5" t="s">
        <v>2025</v>
      </c>
      <c r="I245" s="5" t="s">
        <v>2004</v>
      </c>
      <c r="J245" s="5" t="s">
        <v>2004</v>
      </c>
      <c r="K245" s="5">
        <v>18</v>
      </c>
      <c r="L245" s="5"/>
      <c r="M245" s="5" t="s">
        <v>902</v>
      </c>
      <c r="N245" s="5" t="s">
        <v>2026</v>
      </c>
      <c r="O245" s="5" t="s">
        <v>2027</v>
      </c>
      <c r="P245" s="5" t="s">
        <v>2028</v>
      </c>
      <c r="Q245" s="5" t="s">
        <v>2031</v>
      </c>
      <c r="R245" s="5">
        <v>1100</v>
      </c>
      <c r="S245" s="5">
        <v>2200</v>
      </c>
      <c r="T245" s="5">
        <v>25</v>
      </c>
      <c r="U245" s="5">
        <v>28</v>
      </c>
      <c r="V245" s="5">
        <v>12</v>
      </c>
      <c r="W245" s="5">
        <v>2</v>
      </c>
      <c r="X245" s="5" t="s">
        <v>1020</v>
      </c>
      <c r="Y245" s="5" t="s">
        <v>908</v>
      </c>
      <c r="Z245" s="5">
        <v>29</v>
      </c>
      <c r="AA245" s="5" t="s">
        <v>909</v>
      </c>
      <c r="AB245" s="5">
        <v>16.7</v>
      </c>
      <c r="AC245" s="5">
        <v>0.58</v>
      </c>
      <c r="AD245" s="5">
        <v>9.686</v>
      </c>
      <c r="AE245" s="5">
        <v>12.1075</v>
      </c>
      <c r="AF245" s="5">
        <v>12.9147</v>
      </c>
      <c r="AG245" s="5">
        <v>14.9015</v>
      </c>
      <c r="AH245" s="5">
        <v>17.6109</v>
      </c>
      <c r="AI245" s="5"/>
    </row>
    <row r="246" hidden="1" spans="1:35">
      <c r="A246" s="5" t="s">
        <v>897</v>
      </c>
      <c r="B246" s="5" t="s">
        <v>625</v>
      </c>
      <c r="C246" s="5" t="s">
        <v>624</v>
      </c>
      <c r="D246" s="5" t="s">
        <v>2032</v>
      </c>
      <c r="E246" s="5" t="s">
        <v>899</v>
      </c>
      <c r="F246" s="5" t="s">
        <v>96</v>
      </c>
      <c r="G246" s="5" t="s">
        <v>97</v>
      </c>
      <c r="H246" s="5" t="s">
        <v>2025</v>
      </c>
      <c r="I246" s="5" t="s">
        <v>2004</v>
      </c>
      <c r="J246" s="5" t="s">
        <v>2004</v>
      </c>
      <c r="K246" s="5">
        <v>18</v>
      </c>
      <c r="L246" s="5"/>
      <c r="M246" s="5" t="s">
        <v>902</v>
      </c>
      <c r="N246" s="5" t="s">
        <v>2026</v>
      </c>
      <c r="O246" s="5" t="s">
        <v>2027</v>
      </c>
      <c r="P246" s="5" t="s">
        <v>2028</v>
      </c>
      <c r="Q246" s="5" t="s">
        <v>2033</v>
      </c>
      <c r="R246" s="5">
        <v>1450</v>
      </c>
      <c r="S246" s="5">
        <v>2900</v>
      </c>
      <c r="T246" s="5">
        <v>25</v>
      </c>
      <c r="U246" s="5">
        <v>28</v>
      </c>
      <c r="V246" s="5">
        <v>13</v>
      </c>
      <c r="W246" s="5">
        <v>2</v>
      </c>
      <c r="X246" s="5" t="s">
        <v>1020</v>
      </c>
      <c r="Y246" s="5" t="s">
        <v>908</v>
      </c>
      <c r="Z246" s="5">
        <v>65</v>
      </c>
      <c r="AA246" s="5" t="s">
        <v>909</v>
      </c>
      <c r="AB246" s="5">
        <v>22.23</v>
      </c>
      <c r="AC246" s="5">
        <v>0.58</v>
      </c>
      <c r="AD246" s="5">
        <v>12.8934</v>
      </c>
      <c r="AE246" s="5">
        <v>16.1167</v>
      </c>
      <c r="AF246" s="5">
        <v>17.1912</v>
      </c>
      <c r="AG246" s="5">
        <v>19.836</v>
      </c>
      <c r="AH246" s="5">
        <v>23.4425</v>
      </c>
      <c r="AI246" s="5"/>
    </row>
    <row r="247" hidden="1" spans="1:35">
      <c r="A247" s="5" t="s">
        <v>897</v>
      </c>
      <c r="B247" s="5" t="s">
        <v>590</v>
      </c>
      <c r="C247" s="5" t="s">
        <v>589</v>
      </c>
      <c r="D247" s="5" t="s">
        <v>2034</v>
      </c>
      <c r="E247" s="5" t="s">
        <v>899</v>
      </c>
      <c r="F247" s="5" t="s">
        <v>96</v>
      </c>
      <c r="G247" s="5" t="s">
        <v>97</v>
      </c>
      <c r="H247" s="5" t="s">
        <v>2035</v>
      </c>
      <c r="I247" s="5" t="s">
        <v>2004</v>
      </c>
      <c r="J247" s="5" t="s">
        <v>2004</v>
      </c>
      <c r="K247" s="5">
        <v>18</v>
      </c>
      <c r="L247" s="5"/>
      <c r="M247" s="5" t="s">
        <v>919</v>
      </c>
      <c r="N247" s="5" t="s">
        <v>2036</v>
      </c>
      <c r="O247" s="5" t="s">
        <v>2037</v>
      </c>
      <c r="P247" s="5" t="s">
        <v>2038</v>
      </c>
      <c r="Q247" s="5" t="s">
        <v>2039</v>
      </c>
      <c r="R247" s="5">
        <v>2500</v>
      </c>
      <c r="S247" s="5">
        <v>2540</v>
      </c>
      <c r="T247" s="5">
        <v>24.63</v>
      </c>
      <c r="U247" s="5">
        <v>52.5</v>
      </c>
      <c r="V247" s="5">
        <v>26</v>
      </c>
      <c r="W247" s="5">
        <v>4</v>
      </c>
      <c r="X247" s="5" t="s">
        <v>907</v>
      </c>
      <c r="Y247" s="5" t="s">
        <v>908</v>
      </c>
      <c r="Z247" s="5">
        <v>20</v>
      </c>
      <c r="AA247" s="5" t="s">
        <v>909</v>
      </c>
      <c r="AB247" s="5">
        <v>86.63</v>
      </c>
      <c r="AC247" s="5">
        <v>0.58</v>
      </c>
      <c r="AD247" s="5">
        <v>50.2454</v>
      </c>
      <c r="AE247" s="5">
        <v>62.8067</v>
      </c>
      <c r="AF247" s="5">
        <v>66.9939</v>
      </c>
      <c r="AG247" s="5">
        <v>77.3006</v>
      </c>
      <c r="AH247" s="5">
        <v>91.3553</v>
      </c>
      <c r="AI247" s="5"/>
    </row>
    <row r="248" hidden="1" spans="1:35">
      <c r="A248" s="5" t="s">
        <v>897</v>
      </c>
      <c r="B248" s="5" t="s">
        <v>689</v>
      </c>
      <c r="C248" s="5" t="s">
        <v>688</v>
      </c>
      <c r="D248" s="5" t="s">
        <v>2040</v>
      </c>
      <c r="E248" s="5" t="s">
        <v>899</v>
      </c>
      <c r="F248" s="5" t="s">
        <v>96</v>
      </c>
      <c r="G248" s="5" t="s">
        <v>97</v>
      </c>
      <c r="H248" s="5" t="s">
        <v>2041</v>
      </c>
      <c r="I248" s="5" t="s">
        <v>2004</v>
      </c>
      <c r="J248" s="5" t="s">
        <v>2004</v>
      </c>
      <c r="K248" s="5">
        <v>18</v>
      </c>
      <c r="L248" s="5"/>
      <c r="M248" s="5" t="s">
        <v>919</v>
      </c>
      <c r="N248" s="5" t="s">
        <v>2042</v>
      </c>
      <c r="O248" s="5" t="s">
        <v>2043</v>
      </c>
      <c r="P248" s="5" t="s">
        <v>2044</v>
      </c>
      <c r="Q248" s="5" t="s">
        <v>2045</v>
      </c>
      <c r="R248" s="5">
        <v>350</v>
      </c>
      <c r="S248" s="5">
        <v>17500</v>
      </c>
      <c r="T248" s="5">
        <v>2</v>
      </c>
      <c r="U248" s="5">
        <v>50</v>
      </c>
      <c r="V248" s="5">
        <v>30</v>
      </c>
      <c r="W248" s="5">
        <v>50</v>
      </c>
      <c r="X248" s="5" t="s">
        <v>1020</v>
      </c>
      <c r="Y248" s="5" t="s">
        <v>908</v>
      </c>
      <c r="Z248" s="5">
        <v>96</v>
      </c>
      <c r="AA248" s="5" t="s">
        <v>909</v>
      </c>
      <c r="AB248" s="5">
        <v>12.1</v>
      </c>
      <c r="AC248" s="5">
        <v>0.58</v>
      </c>
      <c r="AD248" s="5">
        <v>7.018</v>
      </c>
      <c r="AE248" s="5">
        <v>8.7725</v>
      </c>
      <c r="AF248" s="5">
        <v>9.3573</v>
      </c>
      <c r="AG248" s="5">
        <v>10.7969</v>
      </c>
      <c r="AH248" s="5">
        <v>12.76</v>
      </c>
      <c r="AI248" s="5"/>
    </row>
    <row r="249" hidden="1" spans="1:35">
      <c r="A249" s="5" t="s">
        <v>897</v>
      </c>
      <c r="B249" s="5" t="s">
        <v>682</v>
      </c>
      <c r="C249" s="5" t="s">
        <v>681</v>
      </c>
      <c r="D249" s="5" t="s">
        <v>2046</v>
      </c>
      <c r="E249" s="5" t="s">
        <v>899</v>
      </c>
      <c r="F249" s="5" t="s">
        <v>96</v>
      </c>
      <c r="G249" s="5" t="s">
        <v>97</v>
      </c>
      <c r="H249" s="5" t="s">
        <v>2047</v>
      </c>
      <c r="I249" s="5" t="s">
        <v>2004</v>
      </c>
      <c r="J249" s="5" t="s">
        <v>2004</v>
      </c>
      <c r="K249" s="5">
        <v>18</v>
      </c>
      <c r="L249" s="5"/>
      <c r="M249" s="5" t="s">
        <v>919</v>
      </c>
      <c r="N249" s="5" t="s">
        <v>2048</v>
      </c>
      <c r="O249" s="5" t="s">
        <v>2047</v>
      </c>
      <c r="P249" s="5" t="s">
        <v>2049</v>
      </c>
      <c r="Q249" s="5" t="s">
        <v>2050</v>
      </c>
      <c r="R249" s="5">
        <v>400</v>
      </c>
      <c r="S249" s="5">
        <v>8000</v>
      </c>
      <c r="T249" s="5">
        <v>3.85</v>
      </c>
      <c r="U249" s="5">
        <v>40</v>
      </c>
      <c r="V249" s="5">
        <v>40</v>
      </c>
      <c r="W249" s="5">
        <v>20</v>
      </c>
      <c r="X249" s="5" t="s">
        <v>1020</v>
      </c>
      <c r="Y249" s="5" t="s">
        <v>908</v>
      </c>
      <c r="Z249" s="5">
        <v>77</v>
      </c>
      <c r="AA249" s="5" t="s">
        <v>909</v>
      </c>
      <c r="AB249" s="5">
        <v>15.82</v>
      </c>
      <c r="AC249" s="5">
        <v>0.58</v>
      </c>
      <c r="AD249" s="5">
        <v>9.1756</v>
      </c>
      <c r="AE249" s="5">
        <v>11.4695</v>
      </c>
      <c r="AF249" s="5">
        <v>12.2341</v>
      </c>
      <c r="AG249" s="5">
        <v>14.1163</v>
      </c>
      <c r="AH249" s="5">
        <v>16.6829</v>
      </c>
      <c r="AI249" s="5"/>
    </row>
    <row r="250" hidden="1" spans="1:35">
      <c r="A250" s="5" t="s">
        <v>897</v>
      </c>
      <c r="B250" s="5" t="s">
        <v>733</v>
      </c>
      <c r="C250" s="5" t="s">
        <v>732</v>
      </c>
      <c r="D250" s="5" t="s">
        <v>2051</v>
      </c>
      <c r="E250" s="5" t="s">
        <v>899</v>
      </c>
      <c r="F250" s="5" t="s">
        <v>96</v>
      </c>
      <c r="G250" s="5" t="s">
        <v>97</v>
      </c>
      <c r="H250" s="5" t="s">
        <v>2052</v>
      </c>
      <c r="I250" s="5" t="s">
        <v>2004</v>
      </c>
      <c r="J250" s="5" t="s">
        <v>2004</v>
      </c>
      <c r="K250" s="5">
        <v>18</v>
      </c>
      <c r="L250" s="5"/>
      <c r="M250" s="5" t="s">
        <v>919</v>
      </c>
      <c r="N250" s="5" t="s">
        <v>2053</v>
      </c>
      <c r="O250" s="5" t="s">
        <v>2052</v>
      </c>
      <c r="P250" s="5" t="s">
        <v>2054</v>
      </c>
      <c r="Q250" s="5" t="s">
        <v>2055</v>
      </c>
      <c r="R250" s="5">
        <v>300</v>
      </c>
      <c r="S250" s="5">
        <v>6000</v>
      </c>
      <c r="T250" s="5">
        <v>2.25</v>
      </c>
      <c r="U250" s="5">
        <v>37</v>
      </c>
      <c r="V250" s="5">
        <v>23</v>
      </c>
      <c r="W250" s="5">
        <v>20</v>
      </c>
      <c r="X250" s="5" t="s">
        <v>907</v>
      </c>
      <c r="Y250" s="5" t="s">
        <v>908</v>
      </c>
      <c r="Z250" s="5">
        <v>49</v>
      </c>
      <c r="AA250" s="5" t="s">
        <v>909</v>
      </c>
      <c r="AB250" s="5">
        <v>19.1</v>
      </c>
      <c r="AC250" s="5">
        <v>0.58</v>
      </c>
      <c r="AD250" s="5">
        <v>11.078</v>
      </c>
      <c r="AE250" s="5">
        <v>13.8475</v>
      </c>
      <c r="AF250" s="5">
        <v>14.7707</v>
      </c>
      <c r="AG250" s="5">
        <v>17.0431</v>
      </c>
      <c r="AH250" s="5">
        <v>20.1418</v>
      </c>
      <c r="AI250" s="5"/>
    </row>
    <row r="251" hidden="1" spans="1:35">
      <c r="A251" s="5" t="s">
        <v>897</v>
      </c>
      <c r="B251" s="5" t="s">
        <v>817</v>
      </c>
      <c r="C251" s="5" t="s">
        <v>816</v>
      </c>
      <c r="D251" s="5" t="s">
        <v>2056</v>
      </c>
      <c r="E251" s="5" t="s">
        <v>899</v>
      </c>
      <c r="F251" s="5" t="s">
        <v>96</v>
      </c>
      <c r="G251" s="5" t="s">
        <v>97</v>
      </c>
      <c r="H251" s="5" t="s">
        <v>2052</v>
      </c>
      <c r="I251" s="5" t="s">
        <v>2004</v>
      </c>
      <c r="J251" s="5" t="s">
        <v>2004</v>
      </c>
      <c r="K251" s="5">
        <v>18</v>
      </c>
      <c r="L251" s="5"/>
      <c r="M251" s="5" t="s">
        <v>919</v>
      </c>
      <c r="N251" s="5" t="s">
        <v>2053</v>
      </c>
      <c r="O251" s="5" t="s">
        <v>2052</v>
      </c>
      <c r="P251" s="5" t="s">
        <v>2054</v>
      </c>
      <c r="Q251" s="5" t="s">
        <v>2057</v>
      </c>
      <c r="R251" s="5">
        <v>400</v>
      </c>
      <c r="S251" s="5">
        <v>8000</v>
      </c>
      <c r="T251" s="5">
        <v>2.45</v>
      </c>
      <c r="U251" s="5">
        <v>38</v>
      </c>
      <c r="V251" s="5">
        <v>25.5</v>
      </c>
      <c r="W251" s="5">
        <v>20</v>
      </c>
      <c r="X251" s="5" t="s">
        <v>1020</v>
      </c>
      <c r="Y251" s="5" t="s">
        <v>908</v>
      </c>
      <c r="Z251" s="5">
        <v>20</v>
      </c>
      <c r="AA251" s="5" t="s">
        <v>909</v>
      </c>
      <c r="AB251" s="5">
        <v>21.89</v>
      </c>
      <c r="AC251" s="5">
        <v>0.58</v>
      </c>
      <c r="AD251" s="5">
        <v>12.6962</v>
      </c>
      <c r="AE251" s="5">
        <v>15.8702</v>
      </c>
      <c r="AF251" s="5">
        <v>16.9283</v>
      </c>
      <c r="AG251" s="5">
        <v>19.5326</v>
      </c>
      <c r="AH251" s="5">
        <v>23.084</v>
      </c>
      <c r="AI251" s="5"/>
    </row>
    <row r="252" hidden="1" spans="1:35">
      <c r="A252" s="5" t="s">
        <v>897</v>
      </c>
      <c r="B252" s="5" t="s">
        <v>217</v>
      </c>
      <c r="C252" s="5" t="s">
        <v>216</v>
      </c>
      <c r="D252" s="5" t="s">
        <v>2058</v>
      </c>
      <c r="E252" s="5" t="s">
        <v>899</v>
      </c>
      <c r="F252" s="5" t="s">
        <v>96</v>
      </c>
      <c r="G252" s="5" t="s">
        <v>97</v>
      </c>
      <c r="H252" s="5" t="s">
        <v>2052</v>
      </c>
      <c r="I252" s="5" t="s">
        <v>2004</v>
      </c>
      <c r="J252" s="5" t="s">
        <v>2004</v>
      </c>
      <c r="K252" s="5">
        <v>18</v>
      </c>
      <c r="L252" s="5"/>
      <c r="M252" s="5" t="s">
        <v>1037</v>
      </c>
      <c r="N252" s="5" t="s">
        <v>2053</v>
      </c>
      <c r="O252" s="5" t="s">
        <v>2052</v>
      </c>
      <c r="P252" s="5" t="s">
        <v>2054</v>
      </c>
      <c r="Q252" s="5" t="s">
        <v>2059</v>
      </c>
      <c r="R252" s="5">
        <v>700</v>
      </c>
      <c r="S252" s="5">
        <v>7000</v>
      </c>
      <c r="T252" s="5">
        <v>4.6</v>
      </c>
      <c r="U252" s="5">
        <v>31.5</v>
      </c>
      <c r="V252" s="5">
        <v>31.5</v>
      </c>
      <c r="W252" s="5">
        <v>10</v>
      </c>
      <c r="X252" s="5" t="s">
        <v>1020</v>
      </c>
      <c r="Y252" s="5" t="s">
        <v>908</v>
      </c>
      <c r="Z252" s="5">
        <v>0</v>
      </c>
      <c r="AA252" s="5" t="s">
        <v>909</v>
      </c>
      <c r="AB252" s="5">
        <v>31.46</v>
      </c>
      <c r="AC252" s="5">
        <v>0.58</v>
      </c>
      <c r="AD252" s="5">
        <v>18.2468</v>
      </c>
      <c r="AE252" s="5">
        <v>22.8085</v>
      </c>
      <c r="AF252" s="5">
        <v>24.3291</v>
      </c>
      <c r="AG252" s="5">
        <v>28.072</v>
      </c>
      <c r="AH252" s="5">
        <v>33.176</v>
      </c>
      <c r="AI252" s="5"/>
    </row>
    <row r="253" hidden="1" spans="1:35">
      <c r="A253" s="5" t="s">
        <v>897</v>
      </c>
      <c r="B253" s="5" t="s">
        <v>2060</v>
      </c>
      <c r="C253" s="5" t="s">
        <v>2061</v>
      </c>
      <c r="D253" s="5" t="s">
        <v>2062</v>
      </c>
      <c r="E253" s="5" t="s">
        <v>899</v>
      </c>
      <c r="F253" s="5" t="s">
        <v>96</v>
      </c>
      <c r="G253" s="5" t="s">
        <v>186</v>
      </c>
      <c r="H253" s="5" t="s">
        <v>1574</v>
      </c>
      <c r="I253" s="5" t="s">
        <v>2063</v>
      </c>
      <c r="J253" s="5" t="s">
        <v>2004</v>
      </c>
      <c r="K253" s="5">
        <v>18</v>
      </c>
      <c r="L253" s="5"/>
      <c r="M253" s="5" t="s">
        <v>902</v>
      </c>
      <c r="N253" s="5" t="s">
        <v>1576</v>
      </c>
      <c r="O253" s="5" t="s">
        <v>1577</v>
      </c>
      <c r="P253" s="5" t="s">
        <v>2064</v>
      </c>
      <c r="Q253" s="5" t="s">
        <v>2065</v>
      </c>
      <c r="R253" s="5">
        <v>2000</v>
      </c>
      <c r="S253" s="5">
        <v>2528</v>
      </c>
      <c r="T253" s="5">
        <v>11.45</v>
      </c>
      <c r="U253" s="5">
        <v>72</v>
      </c>
      <c r="V253" s="5">
        <v>24</v>
      </c>
      <c r="W253" s="5">
        <v>9</v>
      </c>
      <c r="X253" s="5" t="s">
        <v>1020</v>
      </c>
      <c r="Y253" s="5" t="s">
        <v>908</v>
      </c>
      <c r="Z253" s="5">
        <v>0</v>
      </c>
      <c r="AA253" s="5" t="s">
        <v>909</v>
      </c>
      <c r="AB253" s="5">
        <v>38.27</v>
      </c>
      <c r="AC253" s="5">
        <v>0.58</v>
      </c>
      <c r="AD253" s="5">
        <v>22.1966</v>
      </c>
      <c r="AE253" s="5">
        <v>27.7457</v>
      </c>
      <c r="AF253" s="5">
        <v>29.5955</v>
      </c>
      <c r="AG253" s="5">
        <v>34.1486</v>
      </c>
      <c r="AH253" s="5">
        <v>40.3575</v>
      </c>
      <c r="AI253" s="5"/>
    </row>
    <row r="254" hidden="1" spans="1:35">
      <c r="A254" s="5" t="s">
        <v>897</v>
      </c>
      <c r="B254" s="5" t="s">
        <v>670</v>
      </c>
      <c r="C254" s="5" t="s">
        <v>669</v>
      </c>
      <c r="D254" s="5" t="s">
        <v>2066</v>
      </c>
      <c r="E254" s="5" t="s">
        <v>899</v>
      </c>
      <c r="F254" s="5" t="s">
        <v>96</v>
      </c>
      <c r="G254" s="5" t="s">
        <v>186</v>
      </c>
      <c r="H254" s="5" t="s">
        <v>1574</v>
      </c>
      <c r="I254" s="5" t="s">
        <v>2063</v>
      </c>
      <c r="J254" s="5" t="s">
        <v>2004</v>
      </c>
      <c r="K254" s="5">
        <v>18</v>
      </c>
      <c r="L254" s="5"/>
      <c r="M254" s="5" t="s">
        <v>919</v>
      </c>
      <c r="N254" s="5" t="s">
        <v>1576</v>
      </c>
      <c r="O254" s="5" t="s">
        <v>1577</v>
      </c>
      <c r="P254" s="5" t="s">
        <v>2067</v>
      </c>
      <c r="Q254" s="5" t="s">
        <v>2068</v>
      </c>
      <c r="R254" s="5">
        <v>250</v>
      </c>
      <c r="S254" s="5">
        <v>350</v>
      </c>
      <c r="T254" s="5">
        <v>1.02</v>
      </c>
      <c r="U254" s="5">
        <v>32</v>
      </c>
      <c r="V254" s="5">
        <v>42</v>
      </c>
      <c r="W254" s="5">
        <v>50</v>
      </c>
      <c r="X254" s="5" t="s">
        <v>1020</v>
      </c>
      <c r="Y254" s="5" t="s">
        <v>908</v>
      </c>
      <c r="Z254" s="5">
        <v>3</v>
      </c>
      <c r="AA254" s="5" t="s">
        <v>909</v>
      </c>
      <c r="AB254" s="5">
        <v>8.62</v>
      </c>
      <c r="AC254" s="5">
        <v>0.58</v>
      </c>
      <c r="AD254" s="5">
        <v>4.9996</v>
      </c>
      <c r="AE254" s="5">
        <v>6.2495</v>
      </c>
      <c r="AF254" s="5">
        <v>6.6661</v>
      </c>
      <c r="AG254" s="5">
        <v>7.6917</v>
      </c>
      <c r="AH254" s="5">
        <v>9.0902</v>
      </c>
      <c r="AI254" s="5"/>
    </row>
    <row r="255" hidden="1" spans="1:35">
      <c r="A255" s="5" t="s">
        <v>897</v>
      </c>
      <c r="B255" s="5" t="s">
        <v>674</v>
      </c>
      <c r="C255" s="5" t="s">
        <v>773</v>
      </c>
      <c r="D255" s="5" t="s">
        <v>1573</v>
      </c>
      <c r="E255" s="5" t="s">
        <v>899</v>
      </c>
      <c r="F255" s="5" t="s">
        <v>96</v>
      </c>
      <c r="G255" s="5" t="s">
        <v>186</v>
      </c>
      <c r="H255" s="5" t="s">
        <v>1574</v>
      </c>
      <c r="I255" s="5" t="s">
        <v>2063</v>
      </c>
      <c r="J255" s="5" t="s">
        <v>2004</v>
      </c>
      <c r="K255" s="5">
        <v>18</v>
      </c>
      <c r="L255" s="5"/>
      <c r="M255" s="5" t="s">
        <v>919</v>
      </c>
      <c r="N255" s="5" t="s">
        <v>1576</v>
      </c>
      <c r="O255" s="5" t="s">
        <v>1577</v>
      </c>
      <c r="P255" s="5" t="s">
        <v>2069</v>
      </c>
      <c r="Q255" s="5" t="s">
        <v>1579</v>
      </c>
      <c r="R255" s="5">
        <v>400</v>
      </c>
      <c r="S255" s="5">
        <v>487</v>
      </c>
      <c r="T255" s="5">
        <v>2.04</v>
      </c>
      <c r="U255" s="5">
        <v>47</v>
      </c>
      <c r="V255" s="5">
        <v>32</v>
      </c>
      <c r="W255" s="5">
        <v>30</v>
      </c>
      <c r="X255" s="5" t="s">
        <v>1020</v>
      </c>
      <c r="Y255" s="5" t="s">
        <v>908</v>
      </c>
      <c r="Z255" s="5">
        <v>373</v>
      </c>
      <c r="AA255" s="5" t="s">
        <v>909</v>
      </c>
      <c r="AB255" s="5">
        <v>11.77</v>
      </c>
      <c r="AC255" s="5">
        <v>0.58</v>
      </c>
      <c r="AD255" s="5">
        <v>6.8266</v>
      </c>
      <c r="AE255" s="5">
        <v>8.5332</v>
      </c>
      <c r="AF255" s="5">
        <v>9.1021</v>
      </c>
      <c r="AG255" s="5">
        <v>10.5025</v>
      </c>
      <c r="AH255" s="5">
        <v>12.412</v>
      </c>
      <c r="AI255" s="5"/>
    </row>
    <row r="256" hidden="1" spans="1:35">
      <c r="A256" s="5" t="s">
        <v>897</v>
      </c>
      <c r="B256" s="5" t="s">
        <v>676</v>
      </c>
      <c r="C256" s="5" t="s">
        <v>675</v>
      </c>
      <c r="D256" s="5" t="s">
        <v>2070</v>
      </c>
      <c r="E256" s="5" t="s">
        <v>899</v>
      </c>
      <c r="F256" s="5" t="s">
        <v>96</v>
      </c>
      <c r="G256" s="5" t="s">
        <v>186</v>
      </c>
      <c r="H256" s="5" t="s">
        <v>1574</v>
      </c>
      <c r="I256" s="5" t="s">
        <v>2063</v>
      </c>
      <c r="J256" s="5" t="s">
        <v>2004</v>
      </c>
      <c r="K256" s="5">
        <v>18</v>
      </c>
      <c r="L256" s="5"/>
      <c r="M256" s="5" t="s">
        <v>919</v>
      </c>
      <c r="N256" s="5" t="s">
        <v>1576</v>
      </c>
      <c r="O256" s="5" t="s">
        <v>1577</v>
      </c>
      <c r="P256" s="5" t="s">
        <v>2071</v>
      </c>
      <c r="Q256" s="5" t="s">
        <v>2072</v>
      </c>
      <c r="R256" s="5">
        <v>900</v>
      </c>
      <c r="S256" s="5">
        <v>1550</v>
      </c>
      <c r="T256" s="5">
        <v>3.88</v>
      </c>
      <c r="U256" s="5">
        <v>40</v>
      </c>
      <c r="V256" s="5">
        <v>47</v>
      </c>
      <c r="W256" s="5">
        <v>16</v>
      </c>
      <c r="X256" s="5" t="s">
        <v>1020</v>
      </c>
      <c r="Y256" s="5" t="s">
        <v>908</v>
      </c>
      <c r="Z256" s="5">
        <v>1</v>
      </c>
      <c r="AA256" s="5" t="s">
        <v>909</v>
      </c>
      <c r="AB256" s="5">
        <v>19.01</v>
      </c>
      <c r="AC256" s="5">
        <v>0.58</v>
      </c>
      <c r="AD256" s="5">
        <v>11.0258</v>
      </c>
      <c r="AE256" s="5">
        <v>13.7822</v>
      </c>
      <c r="AF256" s="5">
        <v>14.7011</v>
      </c>
      <c r="AG256" s="5">
        <v>16.9628</v>
      </c>
      <c r="AH256" s="5">
        <v>20.0469</v>
      </c>
      <c r="AI256" s="5"/>
    </row>
    <row r="257" hidden="1" spans="1:35">
      <c r="A257" s="5" t="s">
        <v>897</v>
      </c>
      <c r="B257" s="5" t="s">
        <v>2073</v>
      </c>
      <c r="C257" s="5" t="s">
        <v>2074</v>
      </c>
      <c r="D257" s="5" t="s">
        <v>2075</v>
      </c>
      <c r="E257" s="5" t="s">
        <v>899</v>
      </c>
      <c r="F257" s="5" t="s">
        <v>96</v>
      </c>
      <c r="G257" s="5" t="s">
        <v>186</v>
      </c>
      <c r="H257" s="5" t="s">
        <v>1574</v>
      </c>
      <c r="I257" s="5" t="s">
        <v>2063</v>
      </c>
      <c r="J257" s="5" t="s">
        <v>2004</v>
      </c>
      <c r="K257" s="5">
        <v>18</v>
      </c>
      <c r="L257" s="5"/>
      <c r="M257" s="5" t="s">
        <v>902</v>
      </c>
      <c r="N257" s="5" t="s">
        <v>1576</v>
      </c>
      <c r="O257" s="5" t="s">
        <v>1577</v>
      </c>
      <c r="P257" s="5" t="s">
        <v>2076</v>
      </c>
      <c r="Q257" s="5" t="s">
        <v>2077</v>
      </c>
      <c r="R257" s="5">
        <v>1700</v>
      </c>
      <c r="S257" s="5">
        <v>1872</v>
      </c>
      <c r="T257" s="5">
        <v>10.34</v>
      </c>
      <c r="U257" s="5">
        <v>62</v>
      </c>
      <c r="V257" s="5">
        <v>24</v>
      </c>
      <c r="W257" s="5">
        <v>9</v>
      </c>
      <c r="X257" s="5" t="s">
        <v>1020</v>
      </c>
      <c r="Y257" s="5" t="s">
        <v>908</v>
      </c>
      <c r="Z257" s="5">
        <v>2</v>
      </c>
      <c r="AA257" s="5" t="s">
        <v>909</v>
      </c>
      <c r="AB257" s="5">
        <v>31.43</v>
      </c>
      <c r="AC257" s="5">
        <v>0.58</v>
      </c>
      <c r="AD257" s="5">
        <v>18.2294</v>
      </c>
      <c r="AE257" s="5">
        <v>22.7867</v>
      </c>
      <c r="AF257" s="5">
        <v>24.3059</v>
      </c>
      <c r="AG257" s="5">
        <v>28.0452</v>
      </c>
      <c r="AH257" s="5">
        <v>33.1444</v>
      </c>
      <c r="AI257" s="5"/>
    </row>
    <row r="258" hidden="1" spans="1:35">
      <c r="A258" s="5" t="s">
        <v>897</v>
      </c>
      <c r="B258" s="5" t="s">
        <v>397</v>
      </c>
      <c r="C258" s="5" t="s">
        <v>396</v>
      </c>
      <c r="D258" s="5" t="s">
        <v>1581</v>
      </c>
      <c r="E258" s="5" t="s">
        <v>899</v>
      </c>
      <c r="F258" s="5" t="s">
        <v>96</v>
      </c>
      <c r="G258" s="5" t="s">
        <v>186</v>
      </c>
      <c r="H258" s="5" t="s">
        <v>1582</v>
      </c>
      <c r="I258" s="5" t="s">
        <v>2063</v>
      </c>
      <c r="J258" s="5" t="s">
        <v>2004</v>
      </c>
      <c r="K258" s="5">
        <v>18</v>
      </c>
      <c r="L258" s="5"/>
      <c r="M258" s="5" t="s">
        <v>919</v>
      </c>
      <c r="N258" s="5" t="s">
        <v>1583</v>
      </c>
      <c r="O258" s="5" t="s">
        <v>1584</v>
      </c>
      <c r="P258" s="5" t="s">
        <v>1585</v>
      </c>
      <c r="Q258" s="5" t="s">
        <v>1586</v>
      </c>
      <c r="R258" s="5">
        <v>2350</v>
      </c>
      <c r="S258" s="5">
        <v>2500</v>
      </c>
      <c r="T258" s="5">
        <v>12</v>
      </c>
      <c r="U258" s="5">
        <v>27.5</v>
      </c>
      <c r="V258" s="5">
        <v>24.5</v>
      </c>
      <c r="W258" s="5">
        <v>9</v>
      </c>
      <c r="X258" s="5" t="s">
        <v>1020</v>
      </c>
      <c r="Y258" s="5" t="s">
        <v>908</v>
      </c>
      <c r="Z258" s="5">
        <v>507</v>
      </c>
      <c r="AA258" s="5" t="s">
        <v>909</v>
      </c>
      <c r="AB258" s="5">
        <v>22.11</v>
      </c>
      <c r="AC258" s="5">
        <v>0.58</v>
      </c>
      <c r="AD258" s="5">
        <v>12.8238</v>
      </c>
      <c r="AE258" s="5">
        <v>16.0297</v>
      </c>
      <c r="AF258" s="5">
        <v>17.0984</v>
      </c>
      <c r="AG258" s="5">
        <v>19.7289</v>
      </c>
      <c r="AH258" s="5">
        <v>23.316</v>
      </c>
      <c r="AI258" s="5"/>
    </row>
    <row r="259" hidden="1" spans="1:35">
      <c r="A259" s="5" t="s">
        <v>897</v>
      </c>
      <c r="B259" s="5" t="s">
        <v>2078</v>
      </c>
      <c r="C259" s="5" t="s">
        <v>2079</v>
      </c>
      <c r="D259" s="5" t="s">
        <v>2080</v>
      </c>
      <c r="E259" s="5" t="s">
        <v>899</v>
      </c>
      <c r="F259" s="5" t="s">
        <v>96</v>
      </c>
      <c r="G259" s="5" t="s">
        <v>186</v>
      </c>
      <c r="H259" s="5" t="s">
        <v>1574</v>
      </c>
      <c r="I259" s="5" t="s">
        <v>2063</v>
      </c>
      <c r="J259" s="5" t="s">
        <v>2063</v>
      </c>
      <c r="K259" s="5">
        <v>18</v>
      </c>
      <c r="L259" s="5"/>
      <c r="M259" s="5" t="s">
        <v>902</v>
      </c>
      <c r="N259" s="5" t="s">
        <v>1576</v>
      </c>
      <c r="O259" s="5" t="s">
        <v>1577</v>
      </c>
      <c r="P259" s="5" t="s">
        <v>2081</v>
      </c>
      <c r="Q259" s="5" t="s">
        <v>2082</v>
      </c>
      <c r="R259" s="5">
        <v>3000</v>
      </c>
      <c r="S259" s="5">
        <v>3840</v>
      </c>
      <c r="T259" s="5">
        <v>24.4</v>
      </c>
      <c r="U259" s="5">
        <v>12</v>
      </c>
      <c r="V259" s="5">
        <v>92</v>
      </c>
      <c r="W259" s="5">
        <v>5</v>
      </c>
      <c r="X259" s="5" t="s">
        <v>1020</v>
      </c>
      <c r="Y259" s="5" t="s">
        <v>908</v>
      </c>
      <c r="Z259" s="5">
        <v>0</v>
      </c>
      <c r="AA259" s="5" t="s">
        <v>909</v>
      </c>
      <c r="AB259" s="5">
        <v>63.07</v>
      </c>
      <c r="AC259" s="5">
        <v>0.58</v>
      </c>
      <c r="AD259" s="5">
        <v>36.5806</v>
      </c>
      <c r="AE259" s="5">
        <v>45.7257</v>
      </c>
      <c r="AF259" s="5">
        <v>48.7741</v>
      </c>
      <c r="AG259" s="5">
        <v>56.2778</v>
      </c>
      <c r="AH259" s="5">
        <v>66.5102</v>
      </c>
      <c r="AI259" s="5"/>
    </row>
    <row r="260" hidden="1" spans="1:35">
      <c r="A260" s="5" t="s">
        <v>897</v>
      </c>
      <c r="B260" s="5" t="s">
        <v>399</v>
      </c>
      <c r="C260" s="5" t="s">
        <v>398</v>
      </c>
      <c r="D260" s="5" t="s">
        <v>1881</v>
      </c>
      <c r="E260" s="5" t="s">
        <v>899</v>
      </c>
      <c r="F260" s="5" t="s">
        <v>96</v>
      </c>
      <c r="G260" s="5" t="s">
        <v>186</v>
      </c>
      <c r="H260" s="5" t="s">
        <v>1882</v>
      </c>
      <c r="I260" s="5" t="s">
        <v>2063</v>
      </c>
      <c r="J260" s="5" t="s">
        <v>2004</v>
      </c>
      <c r="K260" s="5">
        <v>18</v>
      </c>
      <c r="L260" s="5"/>
      <c r="M260" s="5" t="s">
        <v>919</v>
      </c>
      <c r="N260" s="5" t="s">
        <v>1583</v>
      </c>
      <c r="O260" s="5" t="s">
        <v>1584</v>
      </c>
      <c r="P260" s="5" t="s">
        <v>1884</v>
      </c>
      <c r="Q260" s="5" t="s">
        <v>1885</v>
      </c>
      <c r="R260" s="5">
        <v>1400</v>
      </c>
      <c r="S260" s="5">
        <v>1555</v>
      </c>
      <c r="T260" s="5">
        <v>13.89</v>
      </c>
      <c r="U260" s="5">
        <v>35</v>
      </c>
      <c r="V260" s="5">
        <v>24.5</v>
      </c>
      <c r="W260" s="5">
        <v>9</v>
      </c>
      <c r="X260" s="5" t="s">
        <v>1020</v>
      </c>
      <c r="Y260" s="5" t="s">
        <v>908</v>
      </c>
      <c r="Z260" s="5">
        <v>490</v>
      </c>
      <c r="AA260" s="5" t="s">
        <v>909</v>
      </c>
      <c r="AB260" s="5">
        <v>30.4</v>
      </c>
      <c r="AC260" s="5">
        <v>0.58</v>
      </c>
      <c r="AD260" s="5">
        <v>17.632</v>
      </c>
      <c r="AE260" s="5">
        <v>22.04</v>
      </c>
      <c r="AF260" s="5">
        <v>23.5093</v>
      </c>
      <c r="AG260" s="5">
        <v>27.1262</v>
      </c>
      <c r="AH260" s="5">
        <v>32.0582</v>
      </c>
      <c r="AI260" s="5"/>
    </row>
    <row r="261" hidden="1" spans="1:35">
      <c r="A261" s="5" t="s">
        <v>897</v>
      </c>
      <c r="B261" s="5" t="s">
        <v>2083</v>
      </c>
      <c r="C261" s="5" t="s">
        <v>2084</v>
      </c>
      <c r="D261" s="5" t="s">
        <v>2085</v>
      </c>
      <c r="E261" s="5" t="s">
        <v>899</v>
      </c>
      <c r="F261" s="5" t="s">
        <v>96</v>
      </c>
      <c r="G261" s="5" t="s">
        <v>186</v>
      </c>
      <c r="H261" s="5" t="s">
        <v>1574</v>
      </c>
      <c r="I261" s="5" t="s">
        <v>2063</v>
      </c>
      <c r="J261" s="5" t="s">
        <v>2063</v>
      </c>
      <c r="K261" s="5">
        <v>18</v>
      </c>
      <c r="L261" s="5"/>
      <c r="M261" s="5" t="s">
        <v>902</v>
      </c>
      <c r="N261" s="5" t="s">
        <v>1576</v>
      </c>
      <c r="O261" s="5" t="s">
        <v>1577</v>
      </c>
      <c r="P261" s="5" t="s">
        <v>2086</v>
      </c>
      <c r="Q261" s="5" t="s">
        <v>2087</v>
      </c>
      <c r="R261" s="5">
        <v>4500</v>
      </c>
      <c r="S261" s="5">
        <v>4660</v>
      </c>
      <c r="T261" s="5">
        <v>30.4</v>
      </c>
      <c r="U261" s="5">
        <v>12</v>
      </c>
      <c r="V261" s="5">
        <v>92</v>
      </c>
      <c r="W261" s="5">
        <v>5</v>
      </c>
      <c r="X261" s="5" t="s">
        <v>1020</v>
      </c>
      <c r="Y261" s="5" t="s">
        <v>908</v>
      </c>
      <c r="Z261" s="5">
        <v>0</v>
      </c>
      <c r="AA261" s="5" t="s">
        <v>909</v>
      </c>
      <c r="AB261" s="5">
        <v>71.13</v>
      </c>
      <c r="AC261" s="5">
        <v>0.58</v>
      </c>
      <c r="AD261" s="5">
        <v>41.2554</v>
      </c>
      <c r="AE261" s="5">
        <v>51.5692</v>
      </c>
      <c r="AF261" s="5">
        <v>55.0072</v>
      </c>
      <c r="AG261" s="5">
        <v>63.4698</v>
      </c>
      <c r="AH261" s="5">
        <v>75.0098</v>
      </c>
      <c r="AI261" s="5"/>
    </row>
    <row r="262" hidden="1" spans="1:35">
      <c r="A262" s="5" t="s">
        <v>897</v>
      </c>
      <c r="B262" s="5" t="s">
        <v>2088</v>
      </c>
      <c r="C262" s="5" t="s">
        <v>2089</v>
      </c>
      <c r="D262" s="5" t="s">
        <v>2090</v>
      </c>
      <c r="E262" s="5" t="s">
        <v>899</v>
      </c>
      <c r="F262" s="5" t="s">
        <v>96</v>
      </c>
      <c r="G262" s="5" t="s">
        <v>186</v>
      </c>
      <c r="H262" s="5" t="s">
        <v>1574</v>
      </c>
      <c r="I262" s="5" t="s">
        <v>2063</v>
      </c>
      <c r="J262" s="5" t="s">
        <v>2004</v>
      </c>
      <c r="K262" s="5">
        <v>18</v>
      </c>
      <c r="L262" s="5"/>
      <c r="M262" s="5" t="s">
        <v>902</v>
      </c>
      <c r="N262" s="5" t="s">
        <v>1576</v>
      </c>
      <c r="O262" s="5" t="s">
        <v>1577</v>
      </c>
      <c r="P262" s="5" t="s">
        <v>2091</v>
      </c>
      <c r="Q262" s="5" t="s">
        <v>2092</v>
      </c>
      <c r="R262" s="5">
        <v>5100</v>
      </c>
      <c r="S262" s="5">
        <v>5360</v>
      </c>
      <c r="T262" s="5">
        <v>36.4</v>
      </c>
      <c r="U262" s="5">
        <v>12</v>
      </c>
      <c r="V262" s="5">
        <v>92</v>
      </c>
      <c r="W262" s="5">
        <v>5</v>
      </c>
      <c r="X262" s="5" t="s">
        <v>1020</v>
      </c>
      <c r="Y262" s="5" t="s">
        <v>908</v>
      </c>
      <c r="Z262" s="5">
        <v>1</v>
      </c>
      <c r="AA262" s="5" t="s">
        <v>909</v>
      </c>
      <c r="AB262" s="5">
        <v>85.12</v>
      </c>
      <c r="AC262" s="5">
        <v>0.58</v>
      </c>
      <c r="AD262" s="5">
        <v>49.3696</v>
      </c>
      <c r="AE262" s="5">
        <v>61.712</v>
      </c>
      <c r="AF262" s="5">
        <v>65.8261</v>
      </c>
      <c r="AG262" s="5">
        <v>75.9532</v>
      </c>
      <c r="AH262" s="5">
        <v>89.7629</v>
      </c>
      <c r="AI262" s="5"/>
    </row>
    <row r="263" hidden="1" spans="1:35">
      <c r="A263" s="5" t="s">
        <v>897</v>
      </c>
      <c r="B263" s="5" t="s">
        <v>401</v>
      </c>
      <c r="C263" s="5" t="s">
        <v>400</v>
      </c>
      <c r="D263" s="5" t="s">
        <v>2093</v>
      </c>
      <c r="E263" s="5" t="s">
        <v>899</v>
      </c>
      <c r="F263" s="5" t="s">
        <v>96</v>
      </c>
      <c r="G263" s="5" t="s">
        <v>186</v>
      </c>
      <c r="H263" s="5" t="s">
        <v>2094</v>
      </c>
      <c r="I263" s="5" t="s">
        <v>2063</v>
      </c>
      <c r="J263" s="5" t="s">
        <v>2063</v>
      </c>
      <c r="K263" s="5">
        <v>18</v>
      </c>
      <c r="L263" s="5"/>
      <c r="M263" s="5" t="s">
        <v>919</v>
      </c>
      <c r="N263" s="5" t="s">
        <v>2095</v>
      </c>
      <c r="O263" s="5" t="s">
        <v>2096</v>
      </c>
      <c r="P263" s="5" t="s">
        <v>2097</v>
      </c>
      <c r="Q263" s="5" t="s">
        <v>2098</v>
      </c>
      <c r="R263" s="5">
        <v>700</v>
      </c>
      <c r="S263" s="5">
        <v>718</v>
      </c>
      <c r="T263" s="5">
        <v>2.35</v>
      </c>
      <c r="U263" s="5">
        <v>34.5</v>
      </c>
      <c r="V263" s="5">
        <v>28.5</v>
      </c>
      <c r="W263" s="5">
        <v>20</v>
      </c>
      <c r="X263" s="5" t="s">
        <v>1020</v>
      </c>
      <c r="Y263" s="5" t="s">
        <v>908</v>
      </c>
      <c r="Z263" s="5">
        <v>214</v>
      </c>
      <c r="AA263" s="5" t="s">
        <v>909</v>
      </c>
      <c r="AB263" s="5">
        <v>18.43</v>
      </c>
      <c r="AC263" s="5">
        <v>0.58</v>
      </c>
      <c r="AD263" s="5">
        <v>10.6894</v>
      </c>
      <c r="AE263" s="5">
        <v>13.3617</v>
      </c>
      <c r="AF263" s="5">
        <v>14.2525</v>
      </c>
      <c r="AG263" s="5">
        <v>16.4452</v>
      </c>
      <c r="AH263" s="5">
        <v>19.4353</v>
      </c>
      <c r="AI263" s="5"/>
    </row>
    <row r="264" hidden="1" spans="1:35">
      <c r="A264" s="5" t="s">
        <v>897</v>
      </c>
      <c r="B264" s="5" t="s">
        <v>273</v>
      </c>
      <c r="C264" s="5" t="s">
        <v>272</v>
      </c>
      <c r="D264" s="5" t="s">
        <v>2099</v>
      </c>
      <c r="E264" s="5" t="s">
        <v>899</v>
      </c>
      <c r="F264" s="5" t="s">
        <v>96</v>
      </c>
      <c r="G264" s="5" t="s">
        <v>186</v>
      </c>
      <c r="H264" s="5" t="s">
        <v>2094</v>
      </c>
      <c r="I264" s="5" t="s">
        <v>2063</v>
      </c>
      <c r="J264" s="5" t="s">
        <v>2004</v>
      </c>
      <c r="K264" s="5">
        <v>18</v>
      </c>
      <c r="L264" s="5"/>
      <c r="M264" s="5" t="s">
        <v>919</v>
      </c>
      <c r="N264" s="5" t="s">
        <v>2095</v>
      </c>
      <c r="O264" s="5" t="s">
        <v>2096</v>
      </c>
      <c r="P264" s="5" t="s">
        <v>2100</v>
      </c>
      <c r="Q264" s="5" t="s">
        <v>2101</v>
      </c>
      <c r="R264" s="5">
        <v>850</v>
      </c>
      <c r="S264" s="5">
        <v>908</v>
      </c>
      <c r="T264" s="5">
        <v>2.35</v>
      </c>
      <c r="U264" s="5">
        <v>34.5</v>
      </c>
      <c r="V264" s="5">
        <v>28.5</v>
      </c>
      <c r="W264" s="5">
        <v>20</v>
      </c>
      <c r="X264" s="5" t="s">
        <v>1020</v>
      </c>
      <c r="Y264" s="5" t="s">
        <v>908</v>
      </c>
      <c r="Z264" s="5">
        <v>0</v>
      </c>
      <c r="AA264" s="5" t="s">
        <v>909</v>
      </c>
      <c r="AB264" s="5">
        <v>21.08</v>
      </c>
      <c r="AC264" s="5">
        <v>0.58</v>
      </c>
      <c r="AD264" s="5">
        <v>12.2264</v>
      </c>
      <c r="AE264" s="5">
        <v>15.283</v>
      </c>
      <c r="AF264" s="5">
        <v>16.3019</v>
      </c>
      <c r="AG264" s="5">
        <v>18.8098</v>
      </c>
      <c r="AH264" s="5">
        <v>22.2298</v>
      </c>
      <c r="AI264" s="5"/>
    </row>
    <row r="265" hidden="1" spans="1:35">
      <c r="A265" s="5" t="s">
        <v>897</v>
      </c>
      <c r="B265" s="5" t="s">
        <v>232</v>
      </c>
      <c r="C265" s="5" t="s">
        <v>231</v>
      </c>
      <c r="D265" s="5" t="s">
        <v>2102</v>
      </c>
      <c r="E265" s="5" t="s">
        <v>899</v>
      </c>
      <c r="F265" s="5" t="s">
        <v>96</v>
      </c>
      <c r="G265" s="5" t="s">
        <v>186</v>
      </c>
      <c r="H265" s="5" t="s">
        <v>2094</v>
      </c>
      <c r="I265" s="5" t="s">
        <v>2063</v>
      </c>
      <c r="J265" s="5" t="s">
        <v>2004</v>
      </c>
      <c r="K265" s="5">
        <v>18</v>
      </c>
      <c r="L265" s="5"/>
      <c r="M265" s="5" t="s">
        <v>919</v>
      </c>
      <c r="N265" s="5" t="s">
        <v>2095</v>
      </c>
      <c r="O265" s="5" t="s">
        <v>2096</v>
      </c>
      <c r="P265" s="5" t="s">
        <v>2103</v>
      </c>
      <c r="Q265" s="5" t="s">
        <v>2104</v>
      </c>
      <c r="R265" s="5">
        <v>1050</v>
      </c>
      <c r="S265" s="5">
        <v>1082</v>
      </c>
      <c r="T265" s="5">
        <v>3.82</v>
      </c>
      <c r="U265" s="5">
        <v>29</v>
      </c>
      <c r="V265" s="5">
        <v>29</v>
      </c>
      <c r="W265" s="5">
        <v>16</v>
      </c>
      <c r="X265" s="5" t="s">
        <v>1020</v>
      </c>
      <c r="Y265" s="5" t="s">
        <v>908</v>
      </c>
      <c r="Z265" s="5">
        <v>160</v>
      </c>
      <c r="AA265" s="5" t="s">
        <v>909</v>
      </c>
      <c r="AB265" s="5">
        <v>27.39</v>
      </c>
      <c r="AC265" s="5">
        <v>0.58</v>
      </c>
      <c r="AD265" s="5">
        <v>15.8862</v>
      </c>
      <c r="AE265" s="5">
        <v>19.8577</v>
      </c>
      <c r="AF265" s="5">
        <v>21.1816</v>
      </c>
      <c r="AG265" s="5">
        <v>24.4403</v>
      </c>
      <c r="AH265" s="5">
        <v>28.884</v>
      </c>
      <c r="AI265" s="5"/>
    </row>
    <row r="266" hidden="1" spans="1:35">
      <c r="A266" s="5" t="s">
        <v>897</v>
      </c>
      <c r="B266" s="5" t="s">
        <v>403</v>
      </c>
      <c r="C266" s="5" t="s">
        <v>402</v>
      </c>
      <c r="D266" s="5" t="s">
        <v>2105</v>
      </c>
      <c r="E266" s="5" t="s">
        <v>899</v>
      </c>
      <c r="F266" s="5" t="s">
        <v>96</v>
      </c>
      <c r="G266" s="5" t="s">
        <v>186</v>
      </c>
      <c r="H266" s="5" t="s">
        <v>2094</v>
      </c>
      <c r="I266" s="5" t="s">
        <v>2063</v>
      </c>
      <c r="J266" s="5" t="s">
        <v>2004</v>
      </c>
      <c r="K266" s="5">
        <v>18</v>
      </c>
      <c r="L266" s="5"/>
      <c r="M266" s="5" t="s">
        <v>919</v>
      </c>
      <c r="N266" s="5" t="s">
        <v>2095</v>
      </c>
      <c r="O266" s="5" t="s">
        <v>2096</v>
      </c>
      <c r="P266" s="5" t="s">
        <v>2106</v>
      </c>
      <c r="Q266" s="5" t="s">
        <v>2107</v>
      </c>
      <c r="R266" s="5">
        <v>1900</v>
      </c>
      <c r="S266" s="5">
        <v>2150</v>
      </c>
      <c r="T266" s="5">
        <v>7.59</v>
      </c>
      <c r="U266" s="5">
        <v>29</v>
      </c>
      <c r="V266" s="5">
        <v>22</v>
      </c>
      <c r="W266" s="5">
        <v>12</v>
      </c>
      <c r="X266" s="5" t="s">
        <v>1020</v>
      </c>
      <c r="Y266" s="5" t="s">
        <v>908</v>
      </c>
      <c r="Z266" s="5">
        <v>56</v>
      </c>
      <c r="AA266" s="5" t="s">
        <v>909</v>
      </c>
      <c r="AB266" s="5">
        <v>48.64</v>
      </c>
      <c r="AC266" s="5">
        <v>0.58</v>
      </c>
      <c r="AD266" s="5">
        <v>28.2112</v>
      </c>
      <c r="AE266" s="5">
        <v>35.264</v>
      </c>
      <c r="AF266" s="5">
        <v>37.6149</v>
      </c>
      <c r="AG266" s="5">
        <v>43.4018</v>
      </c>
      <c r="AH266" s="5">
        <v>51.2931</v>
      </c>
      <c r="AI266" s="5"/>
    </row>
    <row r="267" hidden="1" spans="1:35">
      <c r="A267" s="5" t="s">
        <v>897</v>
      </c>
      <c r="B267" s="5" t="s">
        <v>203</v>
      </c>
      <c r="C267" s="5" t="s">
        <v>202</v>
      </c>
      <c r="D267" s="5" t="s">
        <v>2108</v>
      </c>
      <c r="E267" s="5" t="s">
        <v>899</v>
      </c>
      <c r="F267" s="5" t="s">
        <v>96</v>
      </c>
      <c r="G267" s="5" t="s">
        <v>186</v>
      </c>
      <c r="H267" s="5" t="s">
        <v>2094</v>
      </c>
      <c r="I267" s="5" t="s">
        <v>2063</v>
      </c>
      <c r="J267" s="5" t="s">
        <v>2004</v>
      </c>
      <c r="K267" s="5">
        <v>18</v>
      </c>
      <c r="L267" s="5"/>
      <c r="M267" s="5" t="s">
        <v>919</v>
      </c>
      <c r="N267" s="5" t="s">
        <v>2095</v>
      </c>
      <c r="O267" s="5" t="s">
        <v>2096</v>
      </c>
      <c r="P267" s="5" t="s">
        <v>2109</v>
      </c>
      <c r="Q267" s="5" t="s">
        <v>2110</v>
      </c>
      <c r="R267" s="5">
        <v>2950</v>
      </c>
      <c r="S267" s="5">
        <v>3050</v>
      </c>
      <c r="T267" s="5">
        <v>11.38</v>
      </c>
      <c r="U267" s="5">
        <v>31</v>
      </c>
      <c r="V267" s="5">
        <v>16</v>
      </c>
      <c r="W267" s="5">
        <v>8</v>
      </c>
      <c r="X267" s="5" t="s">
        <v>1020</v>
      </c>
      <c r="Y267" s="5" t="s">
        <v>908</v>
      </c>
      <c r="Z267" s="5">
        <v>350</v>
      </c>
      <c r="AA267" s="5" t="s">
        <v>909</v>
      </c>
      <c r="AB267" s="5">
        <v>67.28</v>
      </c>
      <c r="AC267" s="5">
        <v>0.58</v>
      </c>
      <c r="AD267" s="5">
        <v>39.0224</v>
      </c>
      <c r="AE267" s="5">
        <v>48.778</v>
      </c>
      <c r="AF267" s="5">
        <v>52.0299</v>
      </c>
      <c r="AG267" s="5">
        <v>60.0345</v>
      </c>
      <c r="AH267" s="5">
        <v>70.9498</v>
      </c>
      <c r="AI267" s="5"/>
    </row>
    <row r="268" hidden="1" spans="1:35">
      <c r="A268" s="5" t="s">
        <v>897</v>
      </c>
      <c r="B268" s="5" t="s">
        <v>406</v>
      </c>
      <c r="C268" s="5" t="s">
        <v>405</v>
      </c>
      <c r="D268" s="5" t="s">
        <v>2111</v>
      </c>
      <c r="E268" s="5" t="s">
        <v>899</v>
      </c>
      <c r="F268" s="5" t="s">
        <v>96</v>
      </c>
      <c r="G268" s="5" t="s">
        <v>186</v>
      </c>
      <c r="H268" s="5" t="s">
        <v>2094</v>
      </c>
      <c r="I268" s="5" t="s">
        <v>2063</v>
      </c>
      <c r="J268" s="5" t="s">
        <v>2004</v>
      </c>
      <c r="K268" s="5">
        <v>18</v>
      </c>
      <c r="L268" s="5"/>
      <c r="M268" s="5" t="s">
        <v>919</v>
      </c>
      <c r="N268" s="5" t="s">
        <v>2095</v>
      </c>
      <c r="O268" s="5" t="s">
        <v>2096</v>
      </c>
      <c r="P268" s="5" t="s">
        <v>2112</v>
      </c>
      <c r="Q268" s="5" t="s">
        <v>2113</v>
      </c>
      <c r="R268" s="5">
        <v>3200</v>
      </c>
      <c r="S268" s="5">
        <v>3500</v>
      </c>
      <c r="T268" s="5">
        <v>15.13</v>
      </c>
      <c r="U268" s="5">
        <v>30</v>
      </c>
      <c r="V268" s="5">
        <v>15</v>
      </c>
      <c r="W268" s="5">
        <v>8</v>
      </c>
      <c r="X268" s="5" t="s">
        <v>1020</v>
      </c>
      <c r="Y268" s="5" t="s">
        <v>908</v>
      </c>
      <c r="Z268" s="5">
        <v>85</v>
      </c>
      <c r="AA268" s="5" t="s">
        <v>909</v>
      </c>
      <c r="AB268" s="5">
        <v>77.65</v>
      </c>
      <c r="AC268" s="5">
        <v>0.58</v>
      </c>
      <c r="AD268" s="5">
        <v>45.037</v>
      </c>
      <c r="AE268" s="5">
        <v>56.2962</v>
      </c>
      <c r="AF268" s="5">
        <v>60.0493</v>
      </c>
      <c r="AG268" s="5">
        <v>69.2877</v>
      </c>
      <c r="AH268" s="5">
        <v>81.8855</v>
      </c>
      <c r="AI268" s="5"/>
    </row>
    <row r="269" hidden="1" spans="1:35">
      <c r="A269" s="5" t="s">
        <v>897</v>
      </c>
      <c r="B269" s="5" t="s">
        <v>408</v>
      </c>
      <c r="C269" s="5" t="s">
        <v>407</v>
      </c>
      <c r="D269" s="5" t="s">
        <v>2114</v>
      </c>
      <c r="E269" s="5" t="s">
        <v>899</v>
      </c>
      <c r="F269" s="5" t="s">
        <v>96</v>
      </c>
      <c r="G269" s="5" t="s">
        <v>186</v>
      </c>
      <c r="H269" s="5" t="s">
        <v>2094</v>
      </c>
      <c r="I269" s="5" t="s">
        <v>2063</v>
      </c>
      <c r="J269" s="5" t="s">
        <v>2004</v>
      </c>
      <c r="K269" s="5">
        <v>18</v>
      </c>
      <c r="L269" s="5"/>
      <c r="M269" s="5" t="s">
        <v>919</v>
      </c>
      <c r="N269" s="5" t="s">
        <v>2115</v>
      </c>
      <c r="O269" s="5" t="s">
        <v>2116</v>
      </c>
      <c r="P269" s="5" t="s">
        <v>2117</v>
      </c>
      <c r="Q269" s="5" t="s">
        <v>2118</v>
      </c>
      <c r="R269" s="5">
        <v>150</v>
      </c>
      <c r="S269" s="5">
        <v>160</v>
      </c>
      <c r="T269" s="5">
        <v>0.67</v>
      </c>
      <c r="U269" s="5">
        <v>32</v>
      </c>
      <c r="V269" s="5">
        <v>23</v>
      </c>
      <c r="W269" s="5">
        <v>60</v>
      </c>
      <c r="X269" s="5" t="s">
        <v>1020</v>
      </c>
      <c r="Y269" s="5" t="s">
        <v>908</v>
      </c>
      <c r="Z269" s="5">
        <v>0</v>
      </c>
      <c r="AA269" s="5" t="s">
        <v>909</v>
      </c>
      <c r="AB269" s="5">
        <v>6.69</v>
      </c>
      <c r="AC269" s="5">
        <v>0.58</v>
      </c>
      <c r="AD269" s="5">
        <v>3.8802</v>
      </c>
      <c r="AE269" s="5">
        <v>4.8502</v>
      </c>
      <c r="AF269" s="5">
        <v>5.1736</v>
      </c>
      <c r="AG269" s="5">
        <v>5.9695</v>
      </c>
      <c r="AH269" s="5">
        <v>7.0549</v>
      </c>
      <c r="AI269" s="5"/>
    </row>
    <row r="270" hidden="1" spans="1:35">
      <c r="A270" s="5" t="s">
        <v>897</v>
      </c>
      <c r="B270" s="5" t="s">
        <v>257</v>
      </c>
      <c r="C270" s="5" t="s">
        <v>256</v>
      </c>
      <c r="D270" s="5" t="s">
        <v>2119</v>
      </c>
      <c r="E270" s="5" t="s">
        <v>899</v>
      </c>
      <c r="F270" s="5" t="s">
        <v>96</v>
      </c>
      <c r="G270" s="5" t="s">
        <v>186</v>
      </c>
      <c r="H270" s="5" t="s">
        <v>2094</v>
      </c>
      <c r="I270" s="5" t="s">
        <v>2063</v>
      </c>
      <c r="J270" s="5" t="s">
        <v>2004</v>
      </c>
      <c r="K270" s="5">
        <v>18</v>
      </c>
      <c r="L270" s="5"/>
      <c r="M270" s="5" t="s">
        <v>919</v>
      </c>
      <c r="N270" s="5" t="s">
        <v>2120</v>
      </c>
      <c r="O270" s="5" t="s">
        <v>2116</v>
      </c>
      <c r="P270" s="5" t="s">
        <v>2121</v>
      </c>
      <c r="Q270" s="5" t="s">
        <v>2122</v>
      </c>
      <c r="R270" s="5">
        <v>300</v>
      </c>
      <c r="S270" s="5">
        <v>320</v>
      </c>
      <c r="T270" s="5">
        <v>0.79</v>
      </c>
      <c r="U270" s="5">
        <v>40</v>
      </c>
      <c r="V270" s="5">
        <v>32</v>
      </c>
      <c r="W270" s="5">
        <v>60</v>
      </c>
      <c r="X270" s="5" t="s">
        <v>1020</v>
      </c>
      <c r="Y270" s="5" t="s">
        <v>908</v>
      </c>
      <c r="Z270" s="5">
        <v>0</v>
      </c>
      <c r="AA270" s="5" t="s">
        <v>909</v>
      </c>
      <c r="AB270" s="5">
        <v>8.87</v>
      </c>
      <c r="AC270" s="5">
        <v>0.58</v>
      </c>
      <c r="AD270" s="5">
        <v>5.1446</v>
      </c>
      <c r="AE270" s="5">
        <v>6.4307</v>
      </c>
      <c r="AF270" s="5">
        <v>6.8595</v>
      </c>
      <c r="AG270" s="5">
        <v>7.9148</v>
      </c>
      <c r="AH270" s="5">
        <v>9.3538</v>
      </c>
      <c r="AI270" s="5"/>
    </row>
    <row r="271" hidden="1" spans="1:35">
      <c r="A271" s="5" t="s">
        <v>897</v>
      </c>
      <c r="B271" s="5" t="s">
        <v>486</v>
      </c>
      <c r="C271" s="5" t="s">
        <v>485</v>
      </c>
      <c r="D271" s="5" t="s">
        <v>2123</v>
      </c>
      <c r="E271" s="5" t="s">
        <v>899</v>
      </c>
      <c r="F271" s="5" t="s">
        <v>96</v>
      </c>
      <c r="G271" s="5" t="s">
        <v>186</v>
      </c>
      <c r="H271" s="5" t="s">
        <v>2124</v>
      </c>
      <c r="I271" s="5" t="s">
        <v>2063</v>
      </c>
      <c r="J271" s="5" t="s">
        <v>2004</v>
      </c>
      <c r="K271" s="5">
        <v>18</v>
      </c>
      <c r="L271" s="5"/>
      <c r="M271" s="5" t="s">
        <v>919</v>
      </c>
      <c r="N271" s="5" t="s">
        <v>2125</v>
      </c>
      <c r="O271" s="5" t="s">
        <v>2126</v>
      </c>
      <c r="P271" s="5" t="s">
        <v>2127</v>
      </c>
      <c r="Q271" s="5" t="s">
        <v>2128</v>
      </c>
      <c r="R271" s="5">
        <v>117</v>
      </c>
      <c r="S271" s="5">
        <v>125</v>
      </c>
      <c r="T271" s="5">
        <v>0.4</v>
      </c>
      <c r="U271" s="5">
        <v>23</v>
      </c>
      <c r="V271" s="5">
        <v>32</v>
      </c>
      <c r="W271" s="5">
        <v>100</v>
      </c>
      <c r="X271" s="5" t="s">
        <v>1020</v>
      </c>
      <c r="Y271" s="5" t="s">
        <v>908</v>
      </c>
      <c r="Z271" s="5">
        <v>289</v>
      </c>
      <c r="AA271" s="5" t="s">
        <v>909</v>
      </c>
      <c r="AB271" s="5">
        <v>7.47</v>
      </c>
      <c r="AC271" s="5">
        <v>0.58</v>
      </c>
      <c r="AD271" s="5">
        <v>4.3326</v>
      </c>
      <c r="AE271" s="5">
        <v>5.4157</v>
      </c>
      <c r="AF271" s="5">
        <v>5.7768</v>
      </c>
      <c r="AG271" s="5">
        <v>6.6655</v>
      </c>
      <c r="AH271" s="5">
        <v>7.8775</v>
      </c>
      <c r="AI271" s="5"/>
    </row>
    <row r="272" hidden="1" spans="1:35">
      <c r="A272" s="5" t="s">
        <v>897</v>
      </c>
      <c r="B272" s="5" t="s">
        <v>410</v>
      </c>
      <c r="C272" s="5" t="s">
        <v>409</v>
      </c>
      <c r="D272" s="5" t="s">
        <v>2129</v>
      </c>
      <c r="E272" s="5" t="s">
        <v>899</v>
      </c>
      <c r="F272" s="5" t="s">
        <v>96</v>
      </c>
      <c r="G272" s="5" t="s">
        <v>186</v>
      </c>
      <c r="H272" s="5" t="s">
        <v>1574</v>
      </c>
      <c r="I272" s="5" t="s">
        <v>2130</v>
      </c>
      <c r="J272" s="5" t="s">
        <v>2130</v>
      </c>
      <c r="K272" s="5">
        <v>18</v>
      </c>
      <c r="L272" s="5"/>
      <c r="M272" s="5" t="s">
        <v>919</v>
      </c>
      <c r="N272" s="5" t="s">
        <v>2131</v>
      </c>
      <c r="O272" s="5" t="s">
        <v>2132</v>
      </c>
      <c r="P272" s="5" t="s">
        <v>2133</v>
      </c>
      <c r="Q272" s="5" t="s">
        <v>2134</v>
      </c>
      <c r="R272" s="5">
        <v>4000</v>
      </c>
      <c r="S272" s="5">
        <v>4300</v>
      </c>
      <c r="T272" s="5">
        <v>97</v>
      </c>
      <c r="U272" s="5">
        <v>68</v>
      </c>
      <c r="V272" s="5">
        <v>7.5</v>
      </c>
      <c r="W272" s="5">
        <v>1</v>
      </c>
      <c r="X272" s="5" t="s">
        <v>1020</v>
      </c>
      <c r="Y272" s="5" t="s">
        <v>908</v>
      </c>
      <c r="Z272" s="5">
        <v>0</v>
      </c>
      <c r="AA272" s="5" t="s">
        <v>909</v>
      </c>
      <c r="AB272" s="5">
        <v>90.5</v>
      </c>
      <c r="AC272" s="5">
        <v>0.58</v>
      </c>
      <c r="AD272" s="5">
        <v>52.49</v>
      </c>
      <c r="AE272" s="5">
        <v>65.6125</v>
      </c>
      <c r="AF272" s="5">
        <v>69.9867</v>
      </c>
      <c r="AG272" s="5">
        <v>80.7538</v>
      </c>
      <c r="AH272" s="5">
        <v>95.4364</v>
      </c>
      <c r="AI272" s="5"/>
    </row>
    <row r="273" hidden="1" spans="1:35">
      <c r="A273" s="5" t="s">
        <v>897</v>
      </c>
      <c r="B273" s="5" t="s">
        <v>412</v>
      </c>
      <c r="C273" s="5" t="s">
        <v>411</v>
      </c>
      <c r="D273" s="5" t="s">
        <v>2135</v>
      </c>
      <c r="E273" s="5" t="s">
        <v>899</v>
      </c>
      <c r="F273" s="5" t="s">
        <v>96</v>
      </c>
      <c r="G273" s="5" t="s">
        <v>186</v>
      </c>
      <c r="H273" s="5" t="s">
        <v>1574</v>
      </c>
      <c r="I273" s="5" t="s">
        <v>2130</v>
      </c>
      <c r="J273" s="5" t="s">
        <v>2130</v>
      </c>
      <c r="K273" s="5">
        <v>18</v>
      </c>
      <c r="L273" s="5"/>
      <c r="M273" s="5" t="s">
        <v>919</v>
      </c>
      <c r="N273" s="5" t="s">
        <v>2136</v>
      </c>
      <c r="O273" s="5" t="s">
        <v>2137</v>
      </c>
      <c r="P273" s="5" t="s">
        <v>2138</v>
      </c>
      <c r="Q273" s="5" t="s">
        <v>2139</v>
      </c>
      <c r="R273" s="5">
        <v>3300</v>
      </c>
      <c r="S273" s="5">
        <v>3600</v>
      </c>
      <c r="T273" s="5">
        <v>81</v>
      </c>
      <c r="U273" s="5">
        <v>64</v>
      </c>
      <c r="V273" s="5">
        <v>7</v>
      </c>
      <c r="W273" s="5">
        <v>1</v>
      </c>
      <c r="X273" s="5" t="s">
        <v>1020</v>
      </c>
      <c r="Y273" s="5" t="s">
        <v>908</v>
      </c>
      <c r="Z273" s="5">
        <v>187</v>
      </c>
      <c r="AA273" s="5" t="s">
        <v>909</v>
      </c>
      <c r="AB273" s="5">
        <v>77.06</v>
      </c>
      <c r="AC273" s="5">
        <v>0.58</v>
      </c>
      <c r="AD273" s="5">
        <v>44.6948</v>
      </c>
      <c r="AE273" s="5">
        <v>55.8685</v>
      </c>
      <c r="AF273" s="5">
        <v>59.5931</v>
      </c>
      <c r="AG273" s="5">
        <v>68.7612</v>
      </c>
      <c r="AH273" s="5">
        <v>81.2633</v>
      </c>
      <c r="AI273" s="5"/>
    </row>
    <row r="274" hidden="1" spans="1:35">
      <c r="A274" s="5" t="s">
        <v>897</v>
      </c>
      <c r="B274" s="5" t="s">
        <v>445</v>
      </c>
      <c r="C274" s="5" t="s">
        <v>444</v>
      </c>
      <c r="D274" s="5" t="s">
        <v>2140</v>
      </c>
      <c r="E274" s="5" t="s">
        <v>899</v>
      </c>
      <c r="F274" s="5" t="s">
        <v>96</v>
      </c>
      <c r="G274" s="5" t="s">
        <v>186</v>
      </c>
      <c r="H274" s="5" t="s">
        <v>1574</v>
      </c>
      <c r="I274" s="5" t="s">
        <v>2130</v>
      </c>
      <c r="J274" s="5" t="s">
        <v>1083</v>
      </c>
      <c r="K274" s="5">
        <v>19</v>
      </c>
      <c r="L274" s="5"/>
      <c r="M274" s="5" t="s">
        <v>919</v>
      </c>
      <c r="N274" s="5" t="s">
        <v>2136</v>
      </c>
      <c r="O274" s="5" t="s">
        <v>2137</v>
      </c>
      <c r="P274" s="5" t="s">
        <v>2141</v>
      </c>
      <c r="Q274" s="5" t="s">
        <v>2134</v>
      </c>
      <c r="R274" s="5">
        <v>4300</v>
      </c>
      <c r="S274" s="5">
        <v>4700</v>
      </c>
      <c r="T274" s="5">
        <v>101</v>
      </c>
      <c r="U274" s="5">
        <v>74</v>
      </c>
      <c r="V274" s="5">
        <v>7</v>
      </c>
      <c r="W274" s="5">
        <v>1</v>
      </c>
      <c r="X274" s="5" t="s">
        <v>1020</v>
      </c>
      <c r="Y274" s="5" t="s">
        <v>908</v>
      </c>
      <c r="Z274" s="5">
        <v>74</v>
      </c>
      <c r="AA274" s="5" t="s">
        <v>909</v>
      </c>
      <c r="AB274" s="5">
        <v>95.6</v>
      </c>
      <c r="AC274" s="5">
        <v>0.58</v>
      </c>
      <c r="AD274" s="5">
        <v>55.448</v>
      </c>
      <c r="AE274" s="5">
        <v>69.31</v>
      </c>
      <c r="AF274" s="5">
        <v>73.9307</v>
      </c>
      <c r="AG274" s="5">
        <v>85.3046</v>
      </c>
      <c r="AH274" s="5">
        <v>100.8145</v>
      </c>
      <c r="AI274" s="5"/>
    </row>
    <row r="275" hidden="1" spans="1:35">
      <c r="A275" s="5" t="s">
        <v>897</v>
      </c>
      <c r="B275" s="5" t="s">
        <v>484</v>
      </c>
      <c r="C275" s="5" t="s">
        <v>483</v>
      </c>
      <c r="D275" s="5" t="s">
        <v>2142</v>
      </c>
      <c r="E275" s="5" t="s">
        <v>899</v>
      </c>
      <c r="F275" s="5" t="s">
        <v>96</v>
      </c>
      <c r="G275" s="5" t="s">
        <v>186</v>
      </c>
      <c r="H275" s="5" t="s">
        <v>1574</v>
      </c>
      <c r="I275" s="5" t="s">
        <v>2130</v>
      </c>
      <c r="J275" s="5" t="s">
        <v>1083</v>
      </c>
      <c r="K275" s="5">
        <v>19</v>
      </c>
      <c r="L275" s="5"/>
      <c r="M275" s="5" t="s">
        <v>919</v>
      </c>
      <c r="N275" s="5" t="s">
        <v>2136</v>
      </c>
      <c r="O275" s="5" t="s">
        <v>2137</v>
      </c>
      <c r="P275" s="5" t="s">
        <v>2138</v>
      </c>
      <c r="Q275" s="5" t="s">
        <v>2143</v>
      </c>
      <c r="R275" s="5">
        <v>5000</v>
      </c>
      <c r="S275" s="5">
        <v>5300</v>
      </c>
      <c r="T275" s="5">
        <v>111</v>
      </c>
      <c r="U275" s="5">
        <v>84</v>
      </c>
      <c r="V275" s="5">
        <v>7</v>
      </c>
      <c r="W275" s="5">
        <v>1</v>
      </c>
      <c r="X275" s="5" t="s">
        <v>1020</v>
      </c>
      <c r="Y275" s="5" t="s">
        <v>908</v>
      </c>
      <c r="Z275" s="5">
        <v>50</v>
      </c>
      <c r="AA275" s="5" t="s">
        <v>909</v>
      </c>
      <c r="AB275" s="5">
        <v>115.74</v>
      </c>
      <c r="AC275" s="5">
        <v>0.58</v>
      </c>
      <c r="AD275" s="5">
        <v>67.1292</v>
      </c>
      <c r="AE275" s="5">
        <v>83.9115</v>
      </c>
      <c r="AF275" s="5">
        <v>89.5056</v>
      </c>
      <c r="AG275" s="5">
        <v>103.2757</v>
      </c>
      <c r="AH275" s="5">
        <v>122.0531</v>
      </c>
      <c r="AI275" s="5"/>
    </row>
    <row r="276" hidden="1" spans="1:35">
      <c r="A276" s="5" t="s">
        <v>897</v>
      </c>
      <c r="B276" s="5" t="s">
        <v>781</v>
      </c>
      <c r="C276" s="5" t="s">
        <v>780</v>
      </c>
      <c r="D276" s="5" t="s">
        <v>2144</v>
      </c>
      <c r="E276" s="5" t="s">
        <v>899</v>
      </c>
      <c r="F276" s="5" t="s">
        <v>96</v>
      </c>
      <c r="G276" s="5" t="s">
        <v>186</v>
      </c>
      <c r="H276" s="5" t="s">
        <v>1574</v>
      </c>
      <c r="I276" s="5" t="s">
        <v>2130</v>
      </c>
      <c r="J276" s="5" t="s">
        <v>2130</v>
      </c>
      <c r="K276" s="5">
        <v>18</v>
      </c>
      <c r="L276" s="5"/>
      <c r="M276" s="5" t="s">
        <v>919</v>
      </c>
      <c r="N276" s="5" t="s">
        <v>2136</v>
      </c>
      <c r="O276" s="5" t="s">
        <v>2137</v>
      </c>
      <c r="P276" s="5" t="s">
        <v>2138</v>
      </c>
      <c r="Q276" s="5" t="s">
        <v>2145</v>
      </c>
      <c r="R276" s="5">
        <v>5500</v>
      </c>
      <c r="S276" s="5">
        <v>5800</v>
      </c>
      <c r="T276" s="5">
        <v>104</v>
      </c>
      <c r="U276" s="5">
        <v>91</v>
      </c>
      <c r="V276" s="5">
        <v>7</v>
      </c>
      <c r="W276" s="5">
        <v>1</v>
      </c>
      <c r="X276" s="5" t="s">
        <v>1020</v>
      </c>
      <c r="Y276" s="5" t="s">
        <v>908</v>
      </c>
      <c r="Z276" s="5">
        <v>145</v>
      </c>
      <c r="AA276" s="5" t="s">
        <v>909</v>
      </c>
      <c r="AB276" s="5">
        <v>121.59</v>
      </c>
      <c r="AC276" s="5">
        <v>0.58</v>
      </c>
      <c r="AD276" s="5">
        <v>70.5222</v>
      </c>
      <c r="AE276" s="5">
        <v>88.1527</v>
      </c>
      <c r="AF276" s="5">
        <v>94.0296</v>
      </c>
      <c r="AG276" s="5">
        <v>108.4957</v>
      </c>
      <c r="AH276" s="5">
        <v>128.2222</v>
      </c>
      <c r="AI276" s="5"/>
    </row>
    <row r="277" hidden="1" spans="1:35">
      <c r="A277" s="5" t="s">
        <v>897</v>
      </c>
      <c r="B277" s="5" t="s">
        <v>230</v>
      </c>
      <c r="C277" s="5" t="s">
        <v>229</v>
      </c>
      <c r="D277" s="5" t="s">
        <v>2146</v>
      </c>
      <c r="E277" s="5" t="s">
        <v>899</v>
      </c>
      <c r="F277" s="5" t="s">
        <v>96</v>
      </c>
      <c r="G277" s="5" t="s">
        <v>186</v>
      </c>
      <c r="H277" s="5" t="s">
        <v>2094</v>
      </c>
      <c r="I277" s="5" t="s">
        <v>1827</v>
      </c>
      <c r="J277" s="5" t="s">
        <v>1827</v>
      </c>
      <c r="K277" s="5">
        <v>20</v>
      </c>
      <c r="L277" s="5"/>
      <c r="M277" s="5" t="s">
        <v>919</v>
      </c>
      <c r="N277" s="5" t="s">
        <v>2147</v>
      </c>
      <c r="O277" s="5" t="s">
        <v>2148</v>
      </c>
      <c r="P277" s="5" t="s">
        <v>2149</v>
      </c>
      <c r="Q277" s="5" t="s">
        <v>2077</v>
      </c>
      <c r="R277" s="5">
        <v>3360</v>
      </c>
      <c r="S277" s="5">
        <v>3461</v>
      </c>
      <c r="T277" s="5">
        <v>10.34</v>
      </c>
      <c r="U277" s="5">
        <v>62</v>
      </c>
      <c r="V277" s="5">
        <v>24</v>
      </c>
      <c r="W277" s="5">
        <v>9</v>
      </c>
      <c r="X277" s="5" t="s">
        <v>1020</v>
      </c>
      <c r="Y277" s="5" t="s">
        <v>908</v>
      </c>
      <c r="Z277" s="5">
        <v>1799</v>
      </c>
      <c r="AA277" s="5" t="s">
        <v>909</v>
      </c>
      <c r="AB277" s="5">
        <v>33.7</v>
      </c>
      <c r="AC277" s="5">
        <v>0.58</v>
      </c>
      <c r="AD277" s="5">
        <v>19.546</v>
      </c>
      <c r="AE277" s="5">
        <v>24.4325</v>
      </c>
      <c r="AF277" s="5">
        <v>26.0613</v>
      </c>
      <c r="AG277" s="5">
        <v>30.0708</v>
      </c>
      <c r="AH277" s="5">
        <v>35.5382</v>
      </c>
      <c r="AI277" s="5"/>
    </row>
    <row r="278" hidden="1" spans="1:35">
      <c r="A278" s="5" t="s">
        <v>897</v>
      </c>
      <c r="B278" s="5" t="s">
        <v>214</v>
      </c>
      <c r="C278" s="5" t="s">
        <v>213</v>
      </c>
      <c r="D278" s="5" t="s">
        <v>2150</v>
      </c>
      <c r="E278" s="5" t="s">
        <v>899</v>
      </c>
      <c r="F278" s="5" t="s">
        <v>96</v>
      </c>
      <c r="G278" s="5" t="s">
        <v>186</v>
      </c>
      <c r="H278" s="5" t="s">
        <v>2094</v>
      </c>
      <c r="I278" s="5" t="s">
        <v>1827</v>
      </c>
      <c r="J278" s="5" t="s">
        <v>1827</v>
      </c>
      <c r="K278" s="5">
        <v>20</v>
      </c>
      <c r="L278" s="5"/>
      <c r="M278" s="5" t="s">
        <v>919</v>
      </c>
      <c r="N278" s="5" t="s">
        <v>2147</v>
      </c>
      <c r="O278" s="5" t="s">
        <v>2148</v>
      </c>
      <c r="P278" s="5" t="s">
        <v>2151</v>
      </c>
      <c r="Q278" s="5" t="s">
        <v>2065</v>
      </c>
      <c r="R278" s="5">
        <v>4240</v>
      </c>
      <c r="S278" s="5">
        <v>4345</v>
      </c>
      <c r="T278" s="5">
        <v>11.45</v>
      </c>
      <c r="U278" s="5">
        <v>72</v>
      </c>
      <c r="V278" s="5">
        <v>24</v>
      </c>
      <c r="W278" s="5">
        <v>9</v>
      </c>
      <c r="X278" s="5" t="s">
        <v>1020</v>
      </c>
      <c r="Y278" s="5" t="s">
        <v>908</v>
      </c>
      <c r="Z278" s="5">
        <v>1810</v>
      </c>
      <c r="AA278" s="5" t="s">
        <v>909</v>
      </c>
      <c r="AB278" s="5">
        <v>43.2</v>
      </c>
      <c r="AC278" s="5">
        <v>0.58</v>
      </c>
      <c r="AD278" s="5">
        <v>25.056</v>
      </c>
      <c r="AE278" s="5">
        <v>31.32</v>
      </c>
      <c r="AF278" s="5">
        <v>33.408</v>
      </c>
      <c r="AG278" s="5">
        <v>38.5477</v>
      </c>
      <c r="AH278" s="5">
        <v>45.5564</v>
      </c>
      <c r="AI278" s="5"/>
    </row>
    <row r="279" hidden="1" spans="1:35">
      <c r="A279" s="5" t="s">
        <v>897</v>
      </c>
      <c r="B279" s="5" t="s">
        <v>253</v>
      </c>
      <c r="C279" s="5" t="s">
        <v>252</v>
      </c>
      <c r="D279" s="5" t="s">
        <v>2152</v>
      </c>
      <c r="E279" s="5" t="s">
        <v>899</v>
      </c>
      <c r="F279" s="5" t="s">
        <v>96</v>
      </c>
      <c r="G279" s="5" t="s">
        <v>186</v>
      </c>
      <c r="H279" s="5" t="s">
        <v>2094</v>
      </c>
      <c r="I279" s="5" t="s">
        <v>1827</v>
      </c>
      <c r="J279" s="5" t="s">
        <v>1827</v>
      </c>
      <c r="K279" s="5">
        <v>20</v>
      </c>
      <c r="L279" s="5"/>
      <c r="M279" s="5" t="s">
        <v>919</v>
      </c>
      <c r="N279" s="5" t="s">
        <v>2147</v>
      </c>
      <c r="O279" s="5" t="s">
        <v>2148</v>
      </c>
      <c r="P279" s="5" t="s">
        <v>2153</v>
      </c>
      <c r="Q279" s="5" t="s">
        <v>2082</v>
      </c>
      <c r="R279" s="5">
        <v>6560</v>
      </c>
      <c r="S279" s="5">
        <v>6660</v>
      </c>
      <c r="T279" s="5">
        <v>24.4</v>
      </c>
      <c r="U279" s="5">
        <v>12</v>
      </c>
      <c r="V279" s="5">
        <v>92</v>
      </c>
      <c r="W279" s="5">
        <v>5</v>
      </c>
      <c r="X279" s="5" t="s">
        <v>1020</v>
      </c>
      <c r="Y279" s="5" t="s">
        <v>908</v>
      </c>
      <c r="Z279" s="5">
        <v>844</v>
      </c>
      <c r="AA279" s="5" t="s">
        <v>909</v>
      </c>
      <c r="AB279" s="5">
        <v>78.73</v>
      </c>
      <c r="AC279" s="5">
        <v>0.58</v>
      </c>
      <c r="AD279" s="5">
        <v>45.6634</v>
      </c>
      <c r="AE279" s="5">
        <v>57.0792</v>
      </c>
      <c r="AF279" s="5">
        <v>60.8845</v>
      </c>
      <c r="AG279" s="5">
        <v>70.2514</v>
      </c>
      <c r="AH279" s="5">
        <v>83.0244</v>
      </c>
      <c r="AI279" s="5"/>
    </row>
    <row r="280" hidden="1" spans="1:35">
      <c r="A280" s="5" t="s">
        <v>897</v>
      </c>
      <c r="B280" s="5" t="s">
        <v>188</v>
      </c>
      <c r="C280" s="5" t="s">
        <v>187</v>
      </c>
      <c r="D280" s="5" t="s">
        <v>2154</v>
      </c>
      <c r="E280" s="5" t="s">
        <v>899</v>
      </c>
      <c r="F280" s="5" t="s">
        <v>96</v>
      </c>
      <c r="G280" s="5" t="s">
        <v>186</v>
      </c>
      <c r="H280" s="5" t="s">
        <v>2094</v>
      </c>
      <c r="I280" s="5" t="s">
        <v>1827</v>
      </c>
      <c r="J280" s="5" t="s">
        <v>1827</v>
      </c>
      <c r="K280" s="5">
        <v>20</v>
      </c>
      <c r="L280" s="5"/>
      <c r="M280" s="5" t="s">
        <v>919</v>
      </c>
      <c r="N280" s="5" t="s">
        <v>2147</v>
      </c>
      <c r="O280" s="5" t="s">
        <v>2148</v>
      </c>
      <c r="P280" s="5" t="s">
        <v>2155</v>
      </c>
      <c r="Q280" s="5" t="s">
        <v>2087</v>
      </c>
      <c r="R280" s="5">
        <v>8220</v>
      </c>
      <c r="S280" s="5">
        <v>8320</v>
      </c>
      <c r="T280" s="5">
        <v>30.4</v>
      </c>
      <c r="U280" s="5">
        <v>12</v>
      </c>
      <c r="V280" s="5">
        <v>92</v>
      </c>
      <c r="W280" s="5">
        <v>5</v>
      </c>
      <c r="X280" s="5" t="s">
        <v>1020</v>
      </c>
      <c r="Y280" s="5" t="s">
        <v>908</v>
      </c>
      <c r="Z280" s="5">
        <v>499</v>
      </c>
      <c r="AA280" s="5" t="s">
        <v>909</v>
      </c>
      <c r="AB280" s="5">
        <v>87.68</v>
      </c>
      <c r="AC280" s="5">
        <v>0.58</v>
      </c>
      <c r="AD280" s="5">
        <v>50.8544</v>
      </c>
      <c r="AE280" s="5">
        <v>63.568</v>
      </c>
      <c r="AF280" s="5">
        <v>67.8059</v>
      </c>
      <c r="AG280" s="5">
        <v>78.2375</v>
      </c>
      <c r="AH280" s="5">
        <v>92.4625</v>
      </c>
      <c r="AI280" s="5"/>
    </row>
    <row r="281" hidden="1" spans="1:35">
      <c r="A281" s="5" t="s">
        <v>897</v>
      </c>
      <c r="B281" s="5" t="s">
        <v>699</v>
      </c>
      <c r="C281" s="5" t="s">
        <v>698</v>
      </c>
      <c r="D281" s="5" t="s">
        <v>2156</v>
      </c>
      <c r="E281" s="5" t="s">
        <v>899</v>
      </c>
      <c r="F281" s="5" t="s">
        <v>96</v>
      </c>
      <c r="G281" s="5" t="s">
        <v>186</v>
      </c>
      <c r="H281" s="5" t="s">
        <v>2094</v>
      </c>
      <c r="I281" s="5" t="s">
        <v>1827</v>
      </c>
      <c r="J281" s="5" t="s">
        <v>1827</v>
      </c>
      <c r="K281" s="5">
        <v>20</v>
      </c>
      <c r="L281" s="5"/>
      <c r="M281" s="5" t="s">
        <v>919</v>
      </c>
      <c r="N281" s="5" t="s">
        <v>2147</v>
      </c>
      <c r="O281" s="5" t="s">
        <v>2148</v>
      </c>
      <c r="P281" s="5" t="s">
        <v>2157</v>
      </c>
      <c r="Q281" s="5" t="s">
        <v>2092</v>
      </c>
      <c r="R281" s="5">
        <v>9740</v>
      </c>
      <c r="S281" s="5">
        <v>9840</v>
      </c>
      <c r="T281" s="5">
        <v>36.4</v>
      </c>
      <c r="U281" s="5">
        <v>12</v>
      </c>
      <c r="V281" s="5">
        <v>92</v>
      </c>
      <c r="W281" s="5">
        <v>5</v>
      </c>
      <c r="X281" s="5" t="s">
        <v>1020</v>
      </c>
      <c r="Y281" s="5" t="s">
        <v>908</v>
      </c>
      <c r="Z281" s="5">
        <v>261</v>
      </c>
      <c r="AA281" s="5" t="s">
        <v>909</v>
      </c>
      <c r="AB281" s="5">
        <v>100.17</v>
      </c>
      <c r="AC281" s="5">
        <v>0.58</v>
      </c>
      <c r="AD281" s="5">
        <v>58.0986</v>
      </c>
      <c r="AE281" s="5">
        <v>72.6232</v>
      </c>
      <c r="AF281" s="5">
        <v>77.4648</v>
      </c>
      <c r="AG281" s="5">
        <v>89.3825</v>
      </c>
      <c r="AH281" s="5">
        <v>105.6338</v>
      </c>
      <c r="AI281" s="5"/>
    </row>
    <row r="282" hidden="1" spans="1:35">
      <c r="A282" s="5" t="s">
        <v>897</v>
      </c>
      <c r="B282" s="5" t="s">
        <v>737</v>
      </c>
      <c r="C282" s="5" t="s">
        <v>736</v>
      </c>
      <c r="D282" s="5" t="s">
        <v>2158</v>
      </c>
      <c r="E282" s="5" t="s">
        <v>899</v>
      </c>
      <c r="F282" s="5" t="s">
        <v>108</v>
      </c>
      <c r="G282" s="5" t="s">
        <v>109</v>
      </c>
      <c r="H282" s="5" t="s">
        <v>2159</v>
      </c>
      <c r="I282" s="5" t="s">
        <v>1793</v>
      </c>
      <c r="J282" s="5" t="s">
        <v>1793</v>
      </c>
      <c r="K282" s="5">
        <v>18</v>
      </c>
      <c r="L282" s="5"/>
      <c r="M282" s="5" t="s">
        <v>919</v>
      </c>
      <c r="N282" s="5" t="s">
        <v>2160</v>
      </c>
      <c r="O282" s="5" t="s">
        <v>2161</v>
      </c>
      <c r="P282" s="5" t="s">
        <v>2162</v>
      </c>
      <c r="Q282" s="5" t="s">
        <v>2163</v>
      </c>
      <c r="R282" s="5">
        <v>2550</v>
      </c>
      <c r="S282" s="5">
        <v>3200</v>
      </c>
      <c r="T282" s="5">
        <v>43</v>
      </c>
      <c r="U282" s="5">
        <v>35</v>
      </c>
      <c r="V282" s="5">
        <v>24</v>
      </c>
      <c r="W282" s="5">
        <v>1</v>
      </c>
      <c r="X282" s="5" t="s">
        <v>907</v>
      </c>
      <c r="Y282" s="5" t="s">
        <v>908</v>
      </c>
      <c r="Z282" s="5">
        <v>64</v>
      </c>
      <c r="AA282" s="5" t="s">
        <v>909</v>
      </c>
      <c r="AB282" s="5">
        <v>86.12</v>
      </c>
      <c r="AC282" s="5">
        <v>0.58</v>
      </c>
      <c r="AD282" s="5">
        <v>49.9496</v>
      </c>
      <c r="AE282" s="5">
        <v>62.437</v>
      </c>
      <c r="AF282" s="5">
        <v>66.5995</v>
      </c>
      <c r="AG282" s="5">
        <v>76.8455</v>
      </c>
      <c r="AH282" s="5">
        <v>90.8175</v>
      </c>
      <c r="AI282" s="5"/>
    </row>
    <row r="283" hidden="1" spans="1:35">
      <c r="A283" s="5" t="s">
        <v>897</v>
      </c>
      <c r="B283" s="5" t="s">
        <v>765</v>
      </c>
      <c r="C283" s="5" t="s">
        <v>764</v>
      </c>
      <c r="D283" s="5" t="s">
        <v>2164</v>
      </c>
      <c r="E283" s="5" t="s">
        <v>899</v>
      </c>
      <c r="F283" s="5" t="s">
        <v>108</v>
      </c>
      <c r="G283" s="5" t="s">
        <v>109</v>
      </c>
      <c r="H283" s="5" t="s">
        <v>2159</v>
      </c>
      <c r="I283" s="5" t="s">
        <v>1793</v>
      </c>
      <c r="J283" s="5" t="s">
        <v>1793</v>
      </c>
      <c r="K283" s="5">
        <v>18</v>
      </c>
      <c r="L283" s="5"/>
      <c r="M283" s="5" t="s">
        <v>919</v>
      </c>
      <c r="N283" s="5" t="s">
        <v>2160</v>
      </c>
      <c r="O283" s="5" t="s">
        <v>2161</v>
      </c>
      <c r="P283" s="5" t="s">
        <v>2165</v>
      </c>
      <c r="Q283" s="5" t="s">
        <v>2163</v>
      </c>
      <c r="R283" s="5">
        <v>2550</v>
      </c>
      <c r="S283" s="5">
        <v>3200</v>
      </c>
      <c r="T283" s="5">
        <v>43</v>
      </c>
      <c r="U283" s="5">
        <v>35</v>
      </c>
      <c r="V283" s="5">
        <v>24</v>
      </c>
      <c r="W283" s="5">
        <v>1</v>
      </c>
      <c r="X283" s="5" t="s">
        <v>907</v>
      </c>
      <c r="Y283" s="5" t="s">
        <v>908</v>
      </c>
      <c r="Z283" s="5">
        <v>53</v>
      </c>
      <c r="AA283" s="5" t="s">
        <v>909</v>
      </c>
      <c r="AB283" s="5">
        <v>93.2</v>
      </c>
      <c r="AC283" s="5">
        <v>0.58</v>
      </c>
      <c r="AD283" s="5">
        <v>54.056</v>
      </c>
      <c r="AE283" s="5">
        <v>67.57</v>
      </c>
      <c r="AF283" s="5">
        <v>72.0747</v>
      </c>
      <c r="AG283" s="5">
        <v>83.1631</v>
      </c>
      <c r="AH283" s="5">
        <v>98.2836</v>
      </c>
      <c r="AI283" s="5"/>
    </row>
    <row r="284" hidden="1" spans="1:35">
      <c r="A284" s="5" t="s">
        <v>897</v>
      </c>
      <c r="B284" s="5" t="s">
        <v>182</v>
      </c>
      <c r="C284" s="5" t="s">
        <v>181</v>
      </c>
      <c r="D284" s="5" t="s">
        <v>2166</v>
      </c>
      <c r="E284" s="5" t="s">
        <v>899</v>
      </c>
      <c r="F284" s="5" t="s">
        <v>108</v>
      </c>
      <c r="G284" s="5" t="s">
        <v>109</v>
      </c>
      <c r="H284" s="5" t="s">
        <v>2159</v>
      </c>
      <c r="I284" s="5" t="s">
        <v>2167</v>
      </c>
      <c r="J284" s="5" t="s">
        <v>2167</v>
      </c>
      <c r="K284" s="5">
        <v>19</v>
      </c>
      <c r="L284" s="5"/>
      <c r="M284" s="5" t="s">
        <v>919</v>
      </c>
      <c r="N284" s="5" t="s">
        <v>2168</v>
      </c>
      <c r="O284" s="5" t="s">
        <v>2169</v>
      </c>
      <c r="P284" s="5" t="s">
        <v>2170</v>
      </c>
      <c r="Q284" s="5" t="s">
        <v>2171</v>
      </c>
      <c r="R284" s="5">
        <v>4400</v>
      </c>
      <c r="S284" s="5">
        <v>5250</v>
      </c>
      <c r="T284" s="5">
        <v>49</v>
      </c>
      <c r="U284" s="5">
        <v>40.5</v>
      </c>
      <c r="V284" s="5">
        <v>34.5</v>
      </c>
      <c r="W284" s="5">
        <v>1</v>
      </c>
      <c r="X284" s="5" t="s">
        <v>907</v>
      </c>
      <c r="Y284" s="5" t="s">
        <v>908</v>
      </c>
      <c r="Z284" s="5">
        <v>5</v>
      </c>
      <c r="AA284" s="5" t="s">
        <v>909</v>
      </c>
      <c r="AB284" s="5">
        <v>151.38</v>
      </c>
      <c r="AC284" s="5">
        <v>0.58</v>
      </c>
      <c r="AD284" s="5">
        <v>87.8004</v>
      </c>
      <c r="AE284" s="5">
        <v>109.7505</v>
      </c>
      <c r="AF284" s="5">
        <v>117.0672</v>
      </c>
      <c r="AG284" s="5">
        <v>135.0775</v>
      </c>
      <c r="AH284" s="5">
        <v>159.6371</v>
      </c>
      <c r="AI284" s="5"/>
    </row>
    <row r="285" hidden="1" spans="1:35">
      <c r="A285" s="5" t="s">
        <v>897</v>
      </c>
      <c r="B285" s="5" t="s">
        <v>174</v>
      </c>
      <c r="C285" s="5" t="s">
        <v>173</v>
      </c>
      <c r="D285" s="5" t="s">
        <v>2172</v>
      </c>
      <c r="E285" s="5" t="s">
        <v>899</v>
      </c>
      <c r="F285" s="5" t="s">
        <v>108</v>
      </c>
      <c r="G285" s="5" t="s">
        <v>109</v>
      </c>
      <c r="H285" s="5" t="s">
        <v>2159</v>
      </c>
      <c r="I285" s="5" t="s">
        <v>2167</v>
      </c>
      <c r="J285" s="5" t="s">
        <v>2167</v>
      </c>
      <c r="K285" s="5">
        <v>19</v>
      </c>
      <c r="L285" s="5"/>
      <c r="M285" s="5" t="s">
        <v>919</v>
      </c>
      <c r="N285" s="5" t="s">
        <v>2168</v>
      </c>
      <c r="O285" s="5" t="s">
        <v>2169</v>
      </c>
      <c r="P285" s="5" t="s">
        <v>2173</v>
      </c>
      <c r="Q285" s="5" t="s">
        <v>2171</v>
      </c>
      <c r="R285" s="5">
        <v>4400</v>
      </c>
      <c r="S285" s="5">
        <v>5250</v>
      </c>
      <c r="T285" s="5">
        <v>49</v>
      </c>
      <c r="U285" s="5">
        <v>40.5</v>
      </c>
      <c r="V285" s="5">
        <v>34.5</v>
      </c>
      <c r="W285" s="5">
        <v>1</v>
      </c>
      <c r="X285" s="5" t="s">
        <v>907</v>
      </c>
      <c r="Y285" s="5" t="s">
        <v>908</v>
      </c>
      <c r="Z285" s="5">
        <v>6</v>
      </c>
      <c r="AA285" s="5" t="s">
        <v>909</v>
      </c>
      <c r="AB285" s="5">
        <v>158.42</v>
      </c>
      <c r="AC285" s="5">
        <v>0.58</v>
      </c>
      <c r="AD285" s="5">
        <v>91.8836</v>
      </c>
      <c r="AE285" s="5">
        <v>114.8545</v>
      </c>
      <c r="AF285" s="5">
        <v>122.5115</v>
      </c>
      <c r="AG285" s="5">
        <v>141.3594</v>
      </c>
      <c r="AH285" s="5">
        <v>167.0611</v>
      </c>
      <c r="AI285" s="5"/>
    </row>
    <row r="286" hidden="1" spans="1:35">
      <c r="A286" s="5" t="s">
        <v>897</v>
      </c>
      <c r="B286" s="5" t="s">
        <v>594</v>
      </c>
      <c r="C286" s="5" t="s">
        <v>593</v>
      </c>
      <c r="D286" s="5" t="s">
        <v>2174</v>
      </c>
      <c r="E286" s="5" t="s">
        <v>899</v>
      </c>
      <c r="F286" s="5" t="s">
        <v>108</v>
      </c>
      <c r="G286" s="5" t="s">
        <v>109</v>
      </c>
      <c r="H286" s="5" t="s">
        <v>2159</v>
      </c>
      <c r="I286" s="5" t="s">
        <v>2167</v>
      </c>
      <c r="J286" s="5" t="s">
        <v>2167</v>
      </c>
      <c r="K286" s="5">
        <v>19</v>
      </c>
      <c r="L286" s="5"/>
      <c r="M286" s="5" t="s">
        <v>919</v>
      </c>
      <c r="N286" s="5" t="s">
        <v>2175</v>
      </c>
      <c r="O286" s="5" t="s">
        <v>2176</v>
      </c>
      <c r="P286" s="5" t="s">
        <v>2177</v>
      </c>
      <c r="Q286" s="5" t="s">
        <v>2171</v>
      </c>
      <c r="R286" s="5">
        <v>5040</v>
      </c>
      <c r="S286" s="5">
        <v>5890</v>
      </c>
      <c r="T286" s="5">
        <v>49</v>
      </c>
      <c r="U286" s="5">
        <v>40.5</v>
      </c>
      <c r="V286" s="5">
        <v>34.5</v>
      </c>
      <c r="W286" s="5">
        <v>1</v>
      </c>
      <c r="X286" s="5" t="s">
        <v>907</v>
      </c>
      <c r="Y286" s="5" t="s">
        <v>908</v>
      </c>
      <c r="Z286" s="5">
        <v>41</v>
      </c>
      <c r="AA286" s="5" t="s">
        <v>909</v>
      </c>
      <c r="AB286" s="5">
        <v>193.62</v>
      </c>
      <c r="AC286" s="5">
        <v>0.58</v>
      </c>
      <c r="AD286" s="5">
        <v>112.2996</v>
      </c>
      <c r="AE286" s="5">
        <v>140.3745</v>
      </c>
      <c r="AF286" s="5">
        <v>149.7328</v>
      </c>
      <c r="AG286" s="5">
        <v>172.7686</v>
      </c>
      <c r="AH286" s="5">
        <v>204.1811</v>
      </c>
      <c r="AI286" s="5"/>
    </row>
    <row r="287" hidden="1" spans="1:35">
      <c r="A287" s="5" t="s">
        <v>897</v>
      </c>
      <c r="B287" s="5" t="s">
        <v>165</v>
      </c>
      <c r="C287" s="5" t="s">
        <v>164</v>
      </c>
      <c r="D287" s="5" t="s">
        <v>2178</v>
      </c>
      <c r="E287" s="5" t="s">
        <v>899</v>
      </c>
      <c r="F287" s="5" t="s">
        <v>108</v>
      </c>
      <c r="G287" s="5" t="s">
        <v>109</v>
      </c>
      <c r="H287" s="5" t="s">
        <v>2159</v>
      </c>
      <c r="I287" s="5" t="s">
        <v>2167</v>
      </c>
      <c r="J287" s="5" t="s">
        <v>2167</v>
      </c>
      <c r="K287" s="5">
        <v>19</v>
      </c>
      <c r="L287" s="5"/>
      <c r="M287" s="5" t="s">
        <v>919</v>
      </c>
      <c r="N287" s="5" t="s">
        <v>2175</v>
      </c>
      <c r="O287" s="5" t="s">
        <v>2176</v>
      </c>
      <c r="P287" s="5" t="s">
        <v>2179</v>
      </c>
      <c r="Q287" s="5" t="s">
        <v>2171</v>
      </c>
      <c r="R287" s="5">
        <v>5040</v>
      </c>
      <c r="S287" s="5">
        <v>5890</v>
      </c>
      <c r="T287" s="5">
        <v>49</v>
      </c>
      <c r="U287" s="5">
        <v>40.5</v>
      </c>
      <c r="V287" s="5">
        <v>34.5</v>
      </c>
      <c r="W287" s="5">
        <v>1</v>
      </c>
      <c r="X287" s="5" t="s">
        <v>907</v>
      </c>
      <c r="Y287" s="5" t="s">
        <v>908</v>
      </c>
      <c r="Z287" s="5">
        <v>13</v>
      </c>
      <c r="AA287" s="5" t="s">
        <v>909</v>
      </c>
      <c r="AB287" s="5">
        <v>202.17</v>
      </c>
      <c r="AC287" s="5">
        <v>0.58</v>
      </c>
      <c r="AD287" s="5">
        <v>117.2586</v>
      </c>
      <c r="AE287" s="5">
        <v>146.5732</v>
      </c>
      <c r="AF287" s="5">
        <v>156.3448</v>
      </c>
      <c r="AG287" s="5">
        <v>180.3978</v>
      </c>
      <c r="AH287" s="5">
        <v>213.1975</v>
      </c>
      <c r="AI287" s="5"/>
    </row>
    <row r="288" hidden="1" spans="1:35">
      <c r="A288" s="5" t="s">
        <v>897</v>
      </c>
      <c r="B288" s="5" t="s">
        <v>286</v>
      </c>
      <c r="C288" s="5" t="s">
        <v>285</v>
      </c>
      <c r="D288" s="5" t="s">
        <v>2180</v>
      </c>
      <c r="E288" s="5" t="s">
        <v>899</v>
      </c>
      <c r="F288" s="5" t="s">
        <v>108</v>
      </c>
      <c r="G288" s="5" t="s">
        <v>109</v>
      </c>
      <c r="H288" s="5" t="s">
        <v>2159</v>
      </c>
      <c r="I288" s="5" t="s">
        <v>2167</v>
      </c>
      <c r="J288" s="5" t="s">
        <v>2167</v>
      </c>
      <c r="K288" s="5">
        <v>19</v>
      </c>
      <c r="L288" s="5"/>
      <c r="M288" s="5" t="s">
        <v>919</v>
      </c>
      <c r="N288" s="5" t="s">
        <v>2181</v>
      </c>
      <c r="O288" s="5" t="s">
        <v>2182</v>
      </c>
      <c r="P288" s="5" t="s">
        <v>2183</v>
      </c>
      <c r="Q288" s="5" t="s">
        <v>2184</v>
      </c>
      <c r="R288" s="5">
        <v>2850</v>
      </c>
      <c r="S288" s="5">
        <v>3500</v>
      </c>
      <c r="T288" s="5">
        <v>43</v>
      </c>
      <c r="U288" s="5">
        <v>35</v>
      </c>
      <c r="V288" s="5">
        <v>24.4</v>
      </c>
      <c r="W288" s="5">
        <v>1</v>
      </c>
      <c r="X288" s="5" t="s">
        <v>1020</v>
      </c>
      <c r="Y288" s="5" t="s">
        <v>908</v>
      </c>
      <c r="Z288" s="5">
        <v>94</v>
      </c>
      <c r="AA288" s="5" t="s">
        <v>909</v>
      </c>
      <c r="AB288" s="5">
        <v>83.69</v>
      </c>
      <c r="AC288" s="5">
        <v>0.58</v>
      </c>
      <c r="AD288" s="5">
        <v>48.5402</v>
      </c>
      <c r="AE288" s="5">
        <v>60.6752</v>
      </c>
      <c r="AF288" s="5">
        <v>64.7203</v>
      </c>
      <c r="AG288" s="5">
        <v>74.6772</v>
      </c>
      <c r="AH288" s="5">
        <v>88.2549</v>
      </c>
      <c r="AI288" s="5"/>
    </row>
    <row r="289" hidden="1" spans="1:35">
      <c r="A289" s="5" t="s">
        <v>897</v>
      </c>
      <c r="B289" s="5" t="s">
        <v>719</v>
      </c>
      <c r="C289" s="5" t="s">
        <v>718</v>
      </c>
      <c r="D289" s="5" t="s">
        <v>2185</v>
      </c>
      <c r="E289" s="5" t="s">
        <v>899</v>
      </c>
      <c r="F289" s="5" t="s">
        <v>96</v>
      </c>
      <c r="G289" s="5" t="s">
        <v>115</v>
      </c>
      <c r="H289" s="5" t="s">
        <v>2186</v>
      </c>
      <c r="I289" s="5" t="s">
        <v>2187</v>
      </c>
      <c r="J289" s="5" t="s">
        <v>2187</v>
      </c>
      <c r="K289" s="5">
        <v>18</v>
      </c>
      <c r="L289" s="5"/>
      <c r="M289" s="5" t="s">
        <v>919</v>
      </c>
      <c r="N289" s="5" t="s">
        <v>2188</v>
      </c>
      <c r="O289" s="5" t="s">
        <v>2189</v>
      </c>
      <c r="P289" s="5" t="s">
        <v>2190</v>
      </c>
      <c r="Q289" s="5" t="s">
        <v>2191</v>
      </c>
      <c r="R289" s="5">
        <v>6200</v>
      </c>
      <c r="S289" s="5">
        <v>6800</v>
      </c>
      <c r="T289" s="5">
        <v>57</v>
      </c>
      <c r="U289" s="5">
        <v>45</v>
      </c>
      <c r="V289" s="5">
        <v>17</v>
      </c>
      <c r="W289" s="5">
        <v>1</v>
      </c>
      <c r="X289" s="5" t="s">
        <v>1020</v>
      </c>
      <c r="Y289" s="5" t="s">
        <v>908</v>
      </c>
      <c r="Z289" s="5">
        <v>77</v>
      </c>
      <c r="AA289" s="5" t="s">
        <v>909</v>
      </c>
      <c r="AB289" s="5">
        <v>81.71</v>
      </c>
      <c r="AC289" s="5">
        <v>0.58</v>
      </c>
      <c r="AD289" s="5">
        <v>47.3918</v>
      </c>
      <c r="AE289" s="5">
        <v>59.2397</v>
      </c>
      <c r="AF289" s="5">
        <v>63.1891</v>
      </c>
      <c r="AG289" s="5">
        <v>72.9105</v>
      </c>
      <c r="AH289" s="5">
        <v>86.1669</v>
      </c>
      <c r="AI289" s="5"/>
    </row>
    <row r="290" hidden="1" spans="1:35">
      <c r="A290" s="5" t="s">
        <v>897</v>
      </c>
      <c r="B290" s="5" t="s">
        <v>415</v>
      </c>
      <c r="C290" s="5" t="s">
        <v>414</v>
      </c>
      <c r="D290" s="5" t="s">
        <v>2192</v>
      </c>
      <c r="E290" s="5" t="s">
        <v>899</v>
      </c>
      <c r="F290" s="5" t="s">
        <v>96</v>
      </c>
      <c r="G290" s="5" t="s">
        <v>115</v>
      </c>
      <c r="H290" s="5" t="s">
        <v>2186</v>
      </c>
      <c r="I290" s="5" t="s">
        <v>2187</v>
      </c>
      <c r="J290" s="5" t="s">
        <v>2187</v>
      </c>
      <c r="K290" s="5">
        <v>18</v>
      </c>
      <c r="L290" s="5"/>
      <c r="M290" s="5" t="s">
        <v>919</v>
      </c>
      <c r="N290" s="5" t="s">
        <v>2188</v>
      </c>
      <c r="O290" s="5" t="s">
        <v>2189</v>
      </c>
      <c r="P290" s="5" t="s">
        <v>2193</v>
      </c>
      <c r="Q290" s="5" t="s">
        <v>2194</v>
      </c>
      <c r="R290" s="5">
        <v>7100</v>
      </c>
      <c r="S290" s="5">
        <v>7500</v>
      </c>
      <c r="T290" s="5">
        <v>57</v>
      </c>
      <c r="U290" s="5">
        <v>45</v>
      </c>
      <c r="V290" s="5">
        <v>17</v>
      </c>
      <c r="W290" s="5">
        <v>1</v>
      </c>
      <c r="X290" s="5" t="s">
        <v>1020</v>
      </c>
      <c r="Y290" s="5" t="s">
        <v>908</v>
      </c>
      <c r="Z290" s="5">
        <v>0</v>
      </c>
      <c r="AA290" s="5" t="s">
        <v>909</v>
      </c>
      <c r="AB290" s="5">
        <v>87.02</v>
      </c>
      <c r="AC290" s="5">
        <v>0.58</v>
      </c>
      <c r="AD290" s="5">
        <v>50.4716</v>
      </c>
      <c r="AE290" s="5">
        <v>63.0895</v>
      </c>
      <c r="AF290" s="5">
        <v>67.2955</v>
      </c>
      <c r="AG290" s="5">
        <v>77.6486</v>
      </c>
      <c r="AH290" s="5">
        <v>91.7665</v>
      </c>
      <c r="AI290" s="5"/>
    </row>
    <row r="291" hidden="1" spans="1:35">
      <c r="A291" s="5" t="s">
        <v>897</v>
      </c>
      <c r="B291" s="5" t="s">
        <v>417</v>
      </c>
      <c r="C291" s="5" t="s">
        <v>416</v>
      </c>
      <c r="D291" s="5" t="s">
        <v>2195</v>
      </c>
      <c r="E291" s="5" t="s">
        <v>899</v>
      </c>
      <c r="F291" s="5" t="s">
        <v>96</v>
      </c>
      <c r="G291" s="5" t="s">
        <v>115</v>
      </c>
      <c r="H291" s="5" t="s">
        <v>2186</v>
      </c>
      <c r="I291" s="5" t="s">
        <v>2187</v>
      </c>
      <c r="J291" s="5" t="s">
        <v>2187</v>
      </c>
      <c r="K291" s="5">
        <v>18</v>
      </c>
      <c r="L291" s="5"/>
      <c r="M291" s="5" t="s">
        <v>919</v>
      </c>
      <c r="N291" s="5" t="s">
        <v>2188</v>
      </c>
      <c r="O291" s="5" t="s">
        <v>2189</v>
      </c>
      <c r="P291" s="5" t="s">
        <v>2196</v>
      </c>
      <c r="Q291" s="5" t="s">
        <v>2197</v>
      </c>
      <c r="R291" s="5">
        <v>9100</v>
      </c>
      <c r="S291" s="5">
        <v>9500</v>
      </c>
      <c r="T291" s="5">
        <v>58</v>
      </c>
      <c r="U291" s="5">
        <v>49</v>
      </c>
      <c r="V291" s="5">
        <v>17</v>
      </c>
      <c r="W291" s="5">
        <v>1</v>
      </c>
      <c r="X291" s="5" t="s">
        <v>1020</v>
      </c>
      <c r="Y291" s="5" t="s">
        <v>908</v>
      </c>
      <c r="Z291" s="5">
        <v>29</v>
      </c>
      <c r="AA291" s="5" t="s">
        <v>909</v>
      </c>
      <c r="AB291" s="5">
        <v>102.79</v>
      </c>
      <c r="AC291" s="5">
        <v>0.58</v>
      </c>
      <c r="AD291" s="5">
        <v>59.6182</v>
      </c>
      <c r="AE291" s="5">
        <v>74.5228</v>
      </c>
      <c r="AF291" s="5">
        <v>79.4909</v>
      </c>
      <c r="AG291" s="5">
        <v>91.7203</v>
      </c>
      <c r="AH291" s="5">
        <v>108.3967</v>
      </c>
      <c r="AI291" s="5"/>
    </row>
    <row r="292" hidden="1" spans="1:35">
      <c r="A292" s="5" t="s">
        <v>897</v>
      </c>
      <c r="B292" s="5" t="s">
        <v>275</v>
      </c>
      <c r="C292" s="5" t="s">
        <v>274</v>
      </c>
      <c r="D292" s="5" t="s">
        <v>2198</v>
      </c>
      <c r="E292" s="5" t="s">
        <v>899</v>
      </c>
      <c r="F292" s="5" t="s">
        <v>96</v>
      </c>
      <c r="G292" s="5" t="s">
        <v>115</v>
      </c>
      <c r="H292" s="5" t="s">
        <v>2186</v>
      </c>
      <c r="I292" s="5" t="s">
        <v>2187</v>
      </c>
      <c r="J292" s="5" t="s">
        <v>2187</v>
      </c>
      <c r="K292" s="5">
        <v>18</v>
      </c>
      <c r="L292" s="5"/>
      <c r="M292" s="5" t="s">
        <v>919</v>
      </c>
      <c r="N292" s="5" t="s">
        <v>2188</v>
      </c>
      <c r="O292" s="5" t="s">
        <v>2189</v>
      </c>
      <c r="P292" s="5" t="s">
        <v>2199</v>
      </c>
      <c r="Q292" s="5" t="s">
        <v>2200</v>
      </c>
      <c r="R292" s="5">
        <v>11200</v>
      </c>
      <c r="S292" s="5">
        <v>11700</v>
      </c>
      <c r="T292" s="5">
        <v>64</v>
      </c>
      <c r="U292" s="5">
        <v>58</v>
      </c>
      <c r="V292" s="5">
        <v>15</v>
      </c>
      <c r="W292" s="5">
        <v>1</v>
      </c>
      <c r="X292" s="5" t="s">
        <v>1020</v>
      </c>
      <c r="Y292" s="5" t="s">
        <v>908</v>
      </c>
      <c r="Z292" s="5">
        <v>86</v>
      </c>
      <c r="AA292" s="5" t="s">
        <v>909</v>
      </c>
      <c r="AB292" s="5">
        <v>124.39</v>
      </c>
      <c r="AC292" s="5">
        <v>0.58</v>
      </c>
      <c r="AD292" s="5">
        <v>72.1462</v>
      </c>
      <c r="AE292" s="5">
        <v>90.1827</v>
      </c>
      <c r="AF292" s="5">
        <v>96.1949</v>
      </c>
      <c r="AG292" s="5">
        <v>110.9942</v>
      </c>
      <c r="AH292" s="5">
        <v>131.1749</v>
      </c>
      <c r="AI292" s="5"/>
    </row>
    <row r="293" hidden="1" spans="1:35">
      <c r="A293" s="5" t="s">
        <v>897</v>
      </c>
      <c r="B293" s="5" t="s">
        <v>421</v>
      </c>
      <c r="C293" s="5" t="s">
        <v>420</v>
      </c>
      <c r="D293" s="5" t="s">
        <v>2201</v>
      </c>
      <c r="E293" s="5" t="s">
        <v>899</v>
      </c>
      <c r="F293" s="5" t="s">
        <v>96</v>
      </c>
      <c r="G293" s="5" t="s">
        <v>115</v>
      </c>
      <c r="H293" s="5" t="s">
        <v>2186</v>
      </c>
      <c r="I293" s="5" t="s">
        <v>2202</v>
      </c>
      <c r="J293" s="5" t="s">
        <v>2202</v>
      </c>
      <c r="K293" s="5">
        <v>20</v>
      </c>
      <c r="L293" s="5"/>
      <c r="M293" s="5" t="s">
        <v>919</v>
      </c>
      <c r="N293" s="5" t="s">
        <v>2203</v>
      </c>
      <c r="O293" s="5" t="s">
        <v>2204</v>
      </c>
      <c r="P293" s="5" t="s">
        <v>2205</v>
      </c>
      <c r="Q293" s="5" t="s">
        <v>2206</v>
      </c>
      <c r="R293" s="5">
        <v>41500</v>
      </c>
      <c r="S293" s="5">
        <v>43000</v>
      </c>
      <c r="T293" s="5">
        <v>125</v>
      </c>
      <c r="U293" s="5">
        <v>65</v>
      </c>
      <c r="V293" s="5">
        <v>25</v>
      </c>
      <c r="W293" s="5">
        <v>1</v>
      </c>
      <c r="X293" s="5" t="s">
        <v>1020</v>
      </c>
      <c r="Y293" s="5" t="s">
        <v>908</v>
      </c>
      <c r="Z293" s="5">
        <v>0</v>
      </c>
      <c r="AA293" s="5" t="s">
        <v>909</v>
      </c>
      <c r="AB293" s="5">
        <v>414.56</v>
      </c>
      <c r="AC293" s="5">
        <v>0.58</v>
      </c>
      <c r="AD293" s="5">
        <v>240.4448</v>
      </c>
      <c r="AE293" s="5">
        <v>300.556</v>
      </c>
      <c r="AF293" s="5">
        <v>320.5931</v>
      </c>
      <c r="AG293" s="5">
        <v>369.9151</v>
      </c>
      <c r="AH293" s="5">
        <v>437.1724</v>
      </c>
      <c r="AI293" s="5"/>
    </row>
    <row r="294" hidden="1" spans="1:35">
      <c r="A294" s="5" t="s">
        <v>897</v>
      </c>
      <c r="B294" s="5" t="s">
        <v>222</v>
      </c>
      <c r="C294" s="5" t="s">
        <v>221</v>
      </c>
      <c r="D294" s="5" t="s">
        <v>2207</v>
      </c>
      <c r="E294" s="5" t="s">
        <v>899</v>
      </c>
      <c r="F294" s="5" t="s">
        <v>96</v>
      </c>
      <c r="G294" s="5" t="s">
        <v>115</v>
      </c>
      <c r="H294" s="5" t="s">
        <v>2208</v>
      </c>
      <c r="I294" s="5" t="s">
        <v>2187</v>
      </c>
      <c r="J294" s="5" t="s">
        <v>2187</v>
      </c>
      <c r="K294" s="5">
        <v>18</v>
      </c>
      <c r="L294" s="5"/>
      <c r="M294" s="5" t="s">
        <v>919</v>
      </c>
      <c r="N294" s="5" t="s">
        <v>2209</v>
      </c>
      <c r="O294" s="5" t="s">
        <v>2210</v>
      </c>
      <c r="P294" s="5" t="s">
        <v>2211</v>
      </c>
      <c r="Q294" s="5" t="s">
        <v>2212</v>
      </c>
      <c r="R294" s="5">
        <v>762</v>
      </c>
      <c r="S294" s="5">
        <v>817</v>
      </c>
      <c r="T294" s="5">
        <v>2.38</v>
      </c>
      <c r="U294" s="5">
        <v>31</v>
      </c>
      <c r="V294" s="5">
        <v>30</v>
      </c>
      <c r="W294" s="5">
        <v>24</v>
      </c>
      <c r="X294" s="5" t="s">
        <v>907</v>
      </c>
      <c r="Y294" s="5" t="s">
        <v>908</v>
      </c>
      <c r="Z294" s="5">
        <v>26</v>
      </c>
      <c r="AA294" s="5" t="s">
        <v>909</v>
      </c>
      <c r="AB294" s="5">
        <v>20.81</v>
      </c>
      <c r="AC294" s="5">
        <v>0.58</v>
      </c>
      <c r="AD294" s="5">
        <v>12.0698</v>
      </c>
      <c r="AE294" s="5">
        <v>15.0872</v>
      </c>
      <c r="AF294" s="5">
        <v>16.0931</v>
      </c>
      <c r="AG294" s="5">
        <v>18.5689</v>
      </c>
      <c r="AH294" s="5">
        <v>21.9451</v>
      </c>
      <c r="AI294" s="5"/>
    </row>
    <row r="295" hidden="1" spans="1:35">
      <c r="A295" s="5" t="s">
        <v>897</v>
      </c>
      <c r="B295" s="5" t="s">
        <v>721</v>
      </c>
      <c r="C295" s="5" t="s">
        <v>720</v>
      </c>
      <c r="D295" s="5" t="s">
        <v>2213</v>
      </c>
      <c r="E295" s="5" t="s">
        <v>899</v>
      </c>
      <c r="F295" s="5" t="s">
        <v>96</v>
      </c>
      <c r="G295" s="5" t="s">
        <v>115</v>
      </c>
      <c r="H295" s="5" t="s">
        <v>2214</v>
      </c>
      <c r="I295" s="5" t="s">
        <v>2187</v>
      </c>
      <c r="J295" s="5" t="s">
        <v>2187</v>
      </c>
      <c r="K295" s="5">
        <v>18</v>
      </c>
      <c r="L295" s="5"/>
      <c r="M295" s="5" t="s">
        <v>919</v>
      </c>
      <c r="N295" s="5" t="s">
        <v>2215</v>
      </c>
      <c r="O295" s="5" t="s">
        <v>2216</v>
      </c>
      <c r="P295" s="5" t="s">
        <v>2217</v>
      </c>
      <c r="Q295" s="5" t="s">
        <v>2218</v>
      </c>
      <c r="R295" s="5">
        <v>3220</v>
      </c>
      <c r="S295" s="5">
        <v>3680</v>
      </c>
      <c r="T295" s="5">
        <v>16.38</v>
      </c>
      <c r="U295" s="5">
        <v>45.5</v>
      </c>
      <c r="V295" s="5">
        <v>40.5</v>
      </c>
      <c r="W295" s="5">
        <v>4</v>
      </c>
      <c r="X295" s="5" t="s">
        <v>907</v>
      </c>
      <c r="Y295" s="5" t="s">
        <v>908</v>
      </c>
      <c r="Z295" s="5">
        <v>96</v>
      </c>
      <c r="AA295" s="5" t="s">
        <v>909</v>
      </c>
      <c r="AB295" s="5">
        <v>117.84</v>
      </c>
      <c r="AC295" s="5">
        <v>0.58</v>
      </c>
      <c r="AD295" s="5">
        <v>68.3472</v>
      </c>
      <c r="AE295" s="5">
        <v>85.434</v>
      </c>
      <c r="AF295" s="5">
        <v>91.1296</v>
      </c>
      <c r="AG295" s="5">
        <v>105.1495</v>
      </c>
      <c r="AH295" s="5">
        <v>124.2676</v>
      </c>
      <c r="AI295" s="5"/>
    </row>
    <row r="296" hidden="1" spans="1:35">
      <c r="A296" s="5" t="s">
        <v>897</v>
      </c>
      <c r="B296" s="5" t="s">
        <v>473</v>
      </c>
      <c r="C296" s="5" t="s">
        <v>472</v>
      </c>
      <c r="D296" s="5" t="s">
        <v>2219</v>
      </c>
      <c r="E296" s="5" t="s">
        <v>899</v>
      </c>
      <c r="F296" s="5" t="s">
        <v>96</v>
      </c>
      <c r="G296" s="5" t="s">
        <v>115</v>
      </c>
      <c r="H296" s="5" t="s">
        <v>2220</v>
      </c>
      <c r="I296" s="5" t="s">
        <v>1015</v>
      </c>
      <c r="J296" s="5" t="s">
        <v>1015</v>
      </c>
      <c r="K296" s="5">
        <v>19</v>
      </c>
      <c r="L296" s="5"/>
      <c r="M296" s="5" t="s">
        <v>919</v>
      </c>
      <c r="N296" s="5" t="s">
        <v>2221</v>
      </c>
      <c r="O296" s="5" t="s">
        <v>2222</v>
      </c>
      <c r="P296" s="5" t="s">
        <v>2223</v>
      </c>
      <c r="Q296" s="5" t="s">
        <v>2224</v>
      </c>
      <c r="R296" s="5">
        <v>11000</v>
      </c>
      <c r="S296" s="5">
        <v>12500</v>
      </c>
      <c r="T296" s="5">
        <v>56.5</v>
      </c>
      <c r="U296" s="5">
        <v>45</v>
      </c>
      <c r="V296" s="5">
        <v>28</v>
      </c>
      <c r="W296" s="5">
        <v>1</v>
      </c>
      <c r="X296" s="5" t="s">
        <v>1020</v>
      </c>
      <c r="Y296" s="5" t="s">
        <v>908</v>
      </c>
      <c r="Z296" s="5">
        <v>0</v>
      </c>
      <c r="AA296" s="5" t="s">
        <v>909</v>
      </c>
      <c r="AB296" s="5">
        <v>332.83</v>
      </c>
      <c r="AC296" s="5">
        <v>0.58</v>
      </c>
      <c r="AD296" s="5">
        <v>193.0414</v>
      </c>
      <c r="AE296" s="5">
        <v>241.3017</v>
      </c>
      <c r="AF296" s="5">
        <v>257.3885</v>
      </c>
      <c r="AG296" s="5">
        <v>296.9868</v>
      </c>
      <c r="AH296" s="5">
        <v>350.9844</v>
      </c>
      <c r="AI296" s="5"/>
    </row>
    <row r="297" hidden="1" spans="1:35">
      <c r="A297" s="5" t="s">
        <v>897</v>
      </c>
      <c r="B297" s="5" t="s">
        <v>475</v>
      </c>
      <c r="C297" s="5" t="s">
        <v>474</v>
      </c>
      <c r="D297" s="5" t="s">
        <v>2225</v>
      </c>
      <c r="E297" s="5" t="s">
        <v>899</v>
      </c>
      <c r="F297" s="5" t="s">
        <v>96</v>
      </c>
      <c r="G297" s="5" t="s">
        <v>115</v>
      </c>
      <c r="H297" s="5" t="s">
        <v>2220</v>
      </c>
      <c r="I297" s="5" t="s">
        <v>1015</v>
      </c>
      <c r="J297" s="5" t="s">
        <v>1015</v>
      </c>
      <c r="K297" s="5">
        <v>19</v>
      </c>
      <c r="L297" s="5"/>
      <c r="M297" s="5" t="s">
        <v>919</v>
      </c>
      <c r="N297" s="5" t="s">
        <v>2226</v>
      </c>
      <c r="O297" s="5" t="s">
        <v>2227</v>
      </c>
      <c r="P297" s="5" t="s">
        <v>2228</v>
      </c>
      <c r="Q297" s="5" t="s">
        <v>2229</v>
      </c>
      <c r="R297" s="5">
        <v>15500</v>
      </c>
      <c r="S297" s="5">
        <v>17500</v>
      </c>
      <c r="T297" s="5">
        <v>69.5</v>
      </c>
      <c r="U297" s="5">
        <v>55</v>
      </c>
      <c r="V297" s="5">
        <v>27</v>
      </c>
      <c r="W297" s="5">
        <v>1</v>
      </c>
      <c r="X297" s="5" t="s">
        <v>1020</v>
      </c>
      <c r="Y297" s="5" t="s">
        <v>908</v>
      </c>
      <c r="Z297" s="5">
        <v>0</v>
      </c>
      <c r="AA297" s="5" t="s">
        <v>909</v>
      </c>
      <c r="AB297" s="5">
        <v>442.17</v>
      </c>
      <c r="AC297" s="5">
        <v>0.58</v>
      </c>
      <c r="AD297" s="5">
        <v>256.4586</v>
      </c>
      <c r="AE297" s="5">
        <v>320.5732</v>
      </c>
      <c r="AF297" s="5">
        <v>341.9448</v>
      </c>
      <c r="AG297" s="5">
        <v>394.5517</v>
      </c>
      <c r="AH297" s="5">
        <v>466.2884</v>
      </c>
      <c r="AI297" s="5"/>
    </row>
    <row r="298" hidden="1" spans="1:35">
      <c r="A298" s="5" t="s">
        <v>897</v>
      </c>
      <c r="B298" s="5" t="s">
        <v>148</v>
      </c>
      <c r="C298" s="5" t="s">
        <v>147</v>
      </c>
      <c r="D298" s="5" t="s">
        <v>2230</v>
      </c>
      <c r="E298" s="5" t="s">
        <v>899</v>
      </c>
      <c r="F298" s="5" t="s">
        <v>108</v>
      </c>
      <c r="G298" s="5" t="s">
        <v>146</v>
      </c>
      <c r="H298" s="5" t="s">
        <v>2231</v>
      </c>
      <c r="I298" s="5" t="s">
        <v>2187</v>
      </c>
      <c r="J298" s="5" t="s">
        <v>2187</v>
      </c>
      <c r="K298" s="5">
        <v>18</v>
      </c>
      <c r="L298" s="5"/>
      <c r="M298" s="5" t="s">
        <v>919</v>
      </c>
      <c r="N298" s="5" t="s">
        <v>2232</v>
      </c>
      <c r="O298" s="5" t="s">
        <v>2233</v>
      </c>
      <c r="P298" s="5" t="s">
        <v>2234</v>
      </c>
      <c r="Q298" s="5" t="s">
        <v>2235</v>
      </c>
      <c r="R298" s="5">
        <v>1500</v>
      </c>
      <c r="S298" s="5">
        <v>3000</v>
      </c>
      <c r="T298" s="5">
        <v>12</v>
      </c>
      <c r="U298" s="5">
        <v>53</v>
      </c>
      <c r="V298" s="5">
        <v>28</v>
      </c>
      <c r="W298" s="5">
        <v>5</v>
      </c>
      <c r="X298" s="5" t="s">
        <v>907</v>
      </c>
      <c r="Y298" s="5" t="s">
        <v>908</v>
      </c>
      <c r="Z298" s="5">
        <v>172</v>
      </c>
      <c r="AA298" s="5" t="s">
        <v>909</v>
      </c>
      <c r="AB298" s="5">
        <v>713.37</v>
      </c>
      <c r="AC298" s="5">
        <v>0.58</v>
      </c>
      <c r="AD298" s="5">
        <v>413.7546</v>
      </c>
      <c r="AE298" s="5">
        <v>517.1932</v>
      </c>
      <c r="AF298" s="5">
        <v>551.6728</v>
      </c>
      <c r="AG298" s="5">
        <v>636.5455</v>
      </c>
      <c r="AH298" s="5">
        <v>752.2811</v>
      </c>
      <c r="AI298" s="5"/>
    </row>
    <row r="299" hidden="1" spans="1:35">
      <c r="A299" s="5" t="s">
        <v>897</v>
      </c>
      <c r="B299" s="5" t="s">
        <v>340</v>
      </c>
      <c r="C299" s="5" t="s">
        <v>339</v>
      </c>
      <c r="D299" s="5" t="s">
        <v>2236</v>
      </c>
      <c r="E299" s="5" t="s">
        <v>899</v>
      </c>
      <c r="F299" s="5" t="s">
        <v>108</v>
      </c>
      <c r="G299" s="5" t="s">
        <v>206</v>
      </c>
      <c r="H299" s="5" t="s">
        <v>2237</v>
      </c>
      <c r="I299" s="5" t="s">
        <v>2238</v>
      </c>
      <c r="J299" s="5" t="s">
        <v>2238</v>
      </c>
      <c r="K299" s="5">
        <v>18</v>
      </c>
      <c r="L299" s="5"/>
      <c r="M299" s="5" t="s">
        <v>919</v>
      </c>
      <c r="N299" s="5" t="s">
        <v>2239</v>
      </c>
      <c r="O299" s="5" t="s">
        <v>2240</v>
      </c>
      <c r="P299" s="5" t="s">
        <v>2241</v>
      </c>
      <c r="Q299" s="5" t="s">
        <v>2242</v>
      </c>
      <c r="R299" s="5">
        <v>170</v>
      </c>
      <c r="S299" s="5">
        <v>395</v>
      </c>
      <c r="T299" s="5">
        <v>2.13</v>
      </c>
      <c r="U299" s="5">
        <v>40</v>
      </c>
      <c r="V299" s="5">
        <v>38</v>
      </c>
      <c r="W299" s="5">
        <v>20</v>
      </c>
      <c r="X299" s="5" t="s">
        <v>907</v>
      </c>
      <c r="Y299" s="5" t="s">
        <v>908</v>
      </c>
      <c r="Z299" s="5">
        <v>74</v>
      </c>
      <c r="AA299" s="5" t="s">
        <v>909</v>
      </c>
      <c r="AB299" s="5">
        <v>75.23</v>
      </c>
      <c r="AC299" s="5">
        <v>0.58</v>
      </c>
      <c r="AD299" s="5">
        <v>43.6334</v>
      </c>
      <c r="AE299" s="5">
        <v>54.5417</v>
      </c>
      <c r="AF299" s="5">
        <v>58.1779</v>
      </c>
      <c r="AG299" s="5">
        <v>67.1283</v>
      </c>
      <c r="AH299" s="5">
        <v>79.3335</v>
      </c>
      <c r="AI299" s="5"/>
    </row>
    <row r="300" hidden="1" spans="1:35">
      <c r="A300" s="5" t="s">
        <v>897</v>
      </c>
      <c r="B300" s="5" t="s">
        <v>425</v>
      </c>
      <c r="C300" s="5" t="s">
        <v>424</v>
      </c>
      <c r="D300" s="5" t="s">
        <v>2243</v>
      </c>
      <c r="E300" s="5" t="s">
        <v>899</v>
      </c>
      <c r="F300" s="5" t="s">
        <v>108</v>
      </c>
      <c r="G300" s="5" t="s">
        <v>206</v>
      </c>
      <c r="H300" s="5" t="s">
        <v>2237</v>
      </c>
      <c r="I300" s="5" t="s">
        <v>2238</v>
      </c>
      <c r="J300" s="5" t="s">
        <v>2238</v>
      </c>
      <c r="K300" s="5">
        <v>18</v>
      </c>
      <c r="L300" s="5"/>
      <c r="M300" s="5" t="s">
        <v>919</v>
      </c>
      <c r="N300" s="5" t="s">
        <v>2244</v>
      </c>
      <c r="O300" s="5" t="s">
        <v>2245</v>
      </c>
      <c r="P300" s="5" t="s">
        <v>2246</v>
      </c>
      <c r="Q300" s="5" t="s">
        <v>2247</v>
      </c>
      <c r="R300" s="5">
        <v>222</v>
      </c>
      <c r="S300" s="5">
        <v>475</v>
      </c>
      <c r="T300" s="5">
        <v>2.25</v>
      </c>
      <c r="U300" s="5">
        <v>43</v>
      </c>
      <c r="V300" s="5">
        <v>36</v>
      </c>
      <c r="W300" s="5">
        <v>20</v>
      </c>
      <c r="X300" s="5" t="s">
        <v>907</v>
      </c>
      <c r="Y300" s="5" t="s">
        <v>908</v>
      </c>
      <c r="Z300" s="5">
        <v>0</v>
      </c>
      <c r="AA300" s="5" t="s">
        <v>909</v>
      </c>
      <c r="AB300" s="5">
        <v>83.18</v>
      </c>
      <c r="AC300" s="5">
        <v>0.58</v>
      </c>
      <c r="AD300" s="5">
        <v>48.2444</v>
      </c>
      <c r="AE300" s="5">
        <v>60.3055</v>
      </c>
      <c r="AF300" s="5">
        <v>64.3259</v>
      </c>
      <c r="AG300" s="5">
        <v>74.2222</v>
      </c>
      <c r="AH300" s="5">
        <v>87.7171</v>
      </c>
      <c r="AI300" s="5"/>
    </row>
    <row r="301" hidden="1" spans="1:35">
      <c r="A301" s="5" t="s">
        <v>897</v>
      </c>
      <c r="B301" s="5" t="s">
        <v>835</v>
      </c>
      <c r="C301" s="5" t="s">
        <v>834</v>
      </c>
      <c r="D301" s="5" t="s">
        <v>2248</v>
      </c>
      <c r="E301" s="5" t="s">
        <v>899</v>
      </c>
      <c r="F301" s="5" t="s">
        <v>108</v>
      </c>
      <c r="G301" s="5" t="s">
        <v>146</v>
      </c>
      <c r="H301" s="5" t="s">
        <v>1272</v>
      </c>
      <c r="I301" s="5" t="s">
        <v>1908</v>
      </c>
      <c r="J301" s="5" t="s">
        <v>1908</v>
      </c>
      <c r="K301" s="5">
        <v>18</v>
      </c>
      <c r="L301" s="5"/>
      <c r="M301" s="5" t="s">
        <v>919</v>
      </c>
      <c r="N301" s="5" t="s">
        <v>2249</v>
      </c>
      <c r="O301" s="5" t="s">
        <v>2250</v>
      </c>
      <c r="P301" s="5" t="s">
        <v>2251</v>
      </c>
      <c r="Q301" s="5" t="s">
        <v>2252</v>
      </c>
      <c r="R301" s="5">
        <v>739</v>
      </c>
      <c r="S301" s="5">
        <v>900</v>
      </c>
      <c r="T301" s="5">
        <v>2.45</v>
      </c>
      <c r="U301" s="5">
        <v>46</v>
      </c>
      <c r="V301" s="5">
        <v>40.5</v>
      </c>
      <c r="W301" s="5">
        <v>20</v>
      </c>
      <c r="X301" s="5" t="s">
        <v>907</v>
      </c>
      <c r="Y301" s="5" t="s">
        <v>908</v>
      </c>
      <c r="Z301" s="5">
        <v>1</v>
      </c>
      <c r="AA301" s="5" t="s">
        <v>909</v>
      </c>
      <c r="AB301" s="5">
        <v>71.23</v>
      </c>
      <c r="AC301" s="5">
        <v>0.58</v>
      </c>
      <c r="AD301" s="5">
        <v>41.3134</v>
      </c>
      <c r="AE301" s="5">
        <v>51.6417</v>
      </c>
      <c r="AF301" s="5">
        <v>55.0845</v>
      </c>
      <c r="AG301" s="5">
        <v>63.5591</v>
      </c>
      <c r="AH301" s="5">
        <v>75.1153</v>
      </c>
      <c r="AI301" s="5"/>
    </row>
    <row r="302" hidden="1" spans="1:35">
      <c r="A302" s="5" t="s">
        <v>897</v>
      </c>
      <c r="B302" s="5" t="s">
        <v>826</v>
      </c>
      <c r="C302" s="5" t="s">
        <v>825</v>
      </c>
      <c r="D302" s="5" t="s">
        <v>2253</v>
      </c>
      <c r="E302" s="5" t="s">
        <v>899</v>
      </c>
      <c r="F302" s="5" t="s">
        <v>108</v>
      </c>
      <c r="G302" s="5" t="s">
        <v>278</v>
      </c>
      <c r="H302" s="5" t="s">
        <v>1503</v>
      </c>
      <c r="I302" s="5" t="s">
        <v>1079</v>
      </c>
      <c r="J302" s="5" t="s">
        <v>1079</v>
      </c>
      <c r="K302" s="5">
        <v>18</v>
      </c>
      <c r="L302" s="5"/>
      <c r="M302" s="5" t="s">
        <v>919</v>
      </c>
      <c r="N302" s="5" t="s">
        <v>2254</v>
      </c>
      <c r="O302" s="5" t="s">
        <v>2255</v>
      </c>
      <c r="P302" s="5" t="s">
        <v>2256</v>
      </c>
      <c r="Q302" s="5" t="s">
        <v>2257</v>
      </c>
      <c r="R302" s="5">
        <v>235</v>
      </c>
      <c r="S302" s="5">
        <v>425</v>
      </c>
      <c r="T302" s="5">
        <v>2</v>
      </c>
      <c r="U302" s="5">
        <v>36</v>
      </c>
      <c r="V302" s="5">
        <v>28</v>
      </c>
      <c r="W302" s="5">
        <v>20</v>
      </c>
      <c r="X302" s="5" t="s">
        <v>907</v>
      </c>
      <c r="Y302" s="5" t="s">
        <v>908</v>
      </c>
      <c r="Z302" s="5">
        <v>1</v>
      </c>
      <c r="AA302" s="5" t="s">
        <v>909</v>
      </c>
      <c r="AB302" s="5">
        <v>62.74</v>
      </c>
      <c r="AC302" s="5">
        <v>0.58</v>
      </c>
      <c r="AD302" s="5">
        <v>36.3892</v>
      </c>
      <c r="AE302" s="5">
        <v>45.4865</v>
      </c>
      <c r="AF302" s="5">
        <v>48.5189</v>
      </c>
      <c r="AG302" s="5">
        <v>55.9834</v>
      </c>
      <c r="AH302" s="5">
        <v>66.1622</v>
      </c>
      <c r="AI302" s="5"/>
    </row>
    <row r="303" hidden="1" spans="1:35">
      <c r="A303" s="5" t="s">
        <v>897</v>
      </c>
      <c r="B303" s="5" t="s">
        <v>585</v>
      </c>
      <c r="C303" s="5" t="s">
        <v>584</v>
      </c>
      <c r="D303" s="5" t="s">
        <v>2258</v>
      </c>
      <c r="E303" s="5" t="s">
        <v>899</v>
      </c>
      <c r="F303" s="5" t="s">
        <v>108</v>
      </c>
      <c r="G303" s="5" t="s">
        <v>278</v>
      </c>
      <c r="H303" s="5" t="s">
        <v>1503</v>
      </c>
      <c r="I303" s="5" t="s">
        <v>1079</v>
      </c>
      <c r="J303" s="5" t="s">
        <v>1079</v>
      </c>
      <c r="K303" s="5">
        <v>18</v>
      </c>
      <c r="L303" s="5"/>
      <c r="M303" s="5" t="s">
        <v>919</v>
      </c>
      <c r="N303" s="5" t="s">
        <v>2259</v>
      </c>
      <c r="O303" s="5" t="s">
        <v>2260</v>
      </c>
      <c r="P303" s="5" t="s">
        <v>2261</v>
      </c>
      <c r="Q303" s="5" t="s">
        <v>2262</v>
      </c>
      <c r="R303" s="5">
        <v>232</v>
      </c>
      <c r="S303" s="5">
        <v>490</v>
      </c>
      <c r="T303" s="5">
        <v>2.15</v>
      </c>
      <c r="U303" s="5">
        <v>36</v>
      </c>
      <c r="V303" s="5">
        <v>30</v>
      </c>
      <c r="W303" s="5">
        <v>20</v>
      </c>
      <c r="X303" s="5" t="s">
        <v>907</v>
      </c>
      <c r="Y303" s="5" t="s">
        <v>908</v>
      </c>
      <c r="Z303" s="5">
        <v>101</v>
      </c>
      <c r="AA303" s="5" t="s">
        <v>909</v>
      </c>
      <c r="AB303" s="5">
        <v>94.09</v>
      </c>
      <c r="AC303" s="5">
        <v>0.58</v>
      </c>
      <c r="AD303" s="5">
        <v>54.5722</v>
      </c>
      <c r="AE303" s="5">
        <v>68.2152</v>
      </c>
      <c r="AF303" s="5">
        <v>72.7629</v>
      </c>
      <c r="AG303" s="5">
        <v>83.9572</v>
      </c>
      <c r="AH303" s="5">
        <v>99.2222</v>
      </c>
      <c r="AI303" s="5"/>
    </row>
    <row r="304" hidden="1" spans="1:35">
      <c r="A304" s="5" t="s">
        <v>897</v>
      </c>
      <c r="B304" s="5" t="s">
        <v>322</v>
      </c>
      <c r="C304" s="5" t="s">
        <v>321</v>
      </c>
      <c r="D304" s="5" t="s">
        <v>2263</v>
      </c>
      <c r="E304" s="5" t="s">
        <v>899</v>
      </c>
      <c r="F304" s="5" t="s">
        <v>108</v>
      </c>
      <c r="G304" s="5" t="s">
        <v>278</v>
      </c>
      <c r="H304" s="5" t="s">
        <v>1503</v>
      </c>
      <c r="I304" s="5" t="s">
        <v>1079</v>
      </c>
      <c r="J304" s="5" t="s">
        <v>1079</v>
      </c>
      <c r="K304" s="5">
        <v>18</v>
      </c>
      <c r="L304" s="5"/>
      <c r="M304" s="5" t="s">
        <v>919</v>
      </c>
      <c r="N304" s="5" t="s">
        <v>2264</v>
      </c>
      <c r="O304" s="5" t="s">
        <v>2265</v>
      </c>
      <c r="P304" s="5" t="s">
        <v>2266</v>
      </c>
      <c r="Q304" s="5" t="s">
        <v>2267</v>
      </c>
      <c r="R304" s="5">
        <v>320</v>
      </c>
      <c r="S304" s="5">
        <v>600</v>
      </c>
      <c r="T304" s="5">
        <v>2.65</v>
      </c>
      <c r="U304" s="5">
        <v>34.5</v>
      </c>
      <c r="V304" s="5">
        <v>29</v>
      </c>
      <c r="W304" s="5">
        <v>20</v>
      </c>
      <c r="X304" s="5" t="s">
        <v>907</v>
      </c>
      <c r="Y304" s="5" t="s">
        <v>908</v>
      </c>
      <c r="Z304" s="5">
        <v>0</v>
      </c>
      <c r="AA304" s="5" t="s">
        <v>909</v>
      </c>
      <c r="AB304" s="5">
        <v>102.1</v>
      </c>
      <c r="AC304" s="5">
        <v>0.58</v>
      </c>
      <c r="AD304" s="5">
        <v>59.218</v>
      </c>
      <c r="AE304" s="5">
        <v>74.0225</v>
      </c>
      <c r="AF304" s="5">
        <v>78.9573</v>
      </c>
      <c r="AG304" s="5">
        <v>91.1046</v>
      </c>
      <c r="AH304" s="5">
        <v>107.6691</v>
      </c>
      <c r="AI304" s="5"/>
    </row>
    <row r="305" hidden="1" spans="1:35">
      <c r="A305" s="5" t="s">
        <v>897</v>
      </c>
      <c r="B305" s="5" t="s">
        <v>600</v>
      </c>
      <c r="C305" s="5" t="s">
        <v>599</v>
      </c>
      <c r="D305" s="5" t="s">
        <v>2268</v>
      </c>
      <c r="E305" s="5" t="s">
        <v>899</v>
      </c>
      <c r="F305" s="5" t="s">
        <v>96</v>
      </c>
      <c r="G305" s="5" t="s">
        <v>127</v>
      </c>
      <c r="H305" s="5" t="s">
        <v>2269</v>
      </c>
      <c r="I305" s="5" t="s">
        <v>1908</v>
      </c>
      <c r="J305" s="5" t="s">
        <v>1908</v>
      </c>
      <c r="K305" s="5">
        <v>18</v>
      </c>
      <c r="L305" s="5"/>
      <c r="M305" s="5" t="s">
        <v>919</v>
      </c>
      <c r="N305" s="5" t="s">
        <v>2270</v>
      </c>
      <c r="O305" s="5" t="s">
        <v>2271</v>
      </c>
      <c r="P305" s="5" t="s">
        <v>2272</v>
      </c>
      <c r="Q305" s="5" t="s">
        <v>2273</v>
      </c>
      <c r="R305" s="5">
        <v>17000</v>
      </c>
      <c r="S305" s="5">
        <v>18000</v>
      </c>
      <c r="T305" s="5">
        <v>185</v>
      </c>
      <c r="U305" s="5">
        <v>48</v>
      </c>
      <c r="V305" s="5">
        <v>10</v>
      </c>
      <c r="W305" s="5">
        <v>1</v>
      </c>
      <c r="X305" s="5" t="s">
        <v>1020</v>
      </c>
      <c r="Y305" s="5" t="s">
        <v>908</v>
      </c>
      <c r="Z305" s="5">
        <v>24</v>
      </c>
      <c r="AA305" s="5" t="s">
        <v>909</v>
      </c>
      <c r="AB305" s="5">
        <v>235.46</v>
      </c>
      <c r="AC305" s="5">
        <v>0.58</v>
      </c>
      <c r="AD305" s="5">
        <v>136.5668</v>
      </c>
      <c r="AE305" s="5">
        <v>170.7085</v>
      </c>
      <c r="AF305" s="5">
        <v>182.0891</v>
      </c>
      <c r="AG305" s="5">
        <v>210.1028</v>
      </c>
      <c r="AH305" s="5">
        <v>248.3033</v>
      </c>
      <c r="AI305" s="5"/>
    </row>
    <row r="306" hidden="1" spans="1:35">
      <c r="A306" s="5" t="s">
        <v>897</v>
      </c>
      <c r="B306" s="5" t="s">
        <v>725</v>
      </c>
      <c r="C306" s="5" t="s">
        <v>724</v>
      </c>
      <c r="D306" s="5" t="s">
        <v>2274</v>
      </c>
      <c r="E306" s="5" t="s">
        <v>899</v>
      </c>
      <c r="F306" s="5" t="s">
        <v>96</v>
      </c>
      <c r="G306" s="5" t="s">
        <v>127</v>
      </c>
      <c r="H306" s="5" t="s">
        <v>2269</v>
      </c>
      <c r="I306" s="5" t="s">
        <v>1908</v>
      </c>
      <c r="J306" s="5" t="s">
        <v>1908</v>
      </c>
      <c r="K306" s="5">
        <v>18</v>
      </c>
      <c r="L306" s="5"/>
      <c r="M306" s="5" t="s">
        <v>919</v>
      </c>
      <c r="N306" s="5" t="s">
        <v>2270</v>
      </c>
      <c r="O306" s="5" t="s">
        <v>2271</v>
      </c>
      <c r="P306" s="5" t="s">
        <v>2275</v>
      </c>
      <c r="Q306" s="5" t="s">
        <v>2273</v>
      </c>
      <c r="R306" s="5">
        <v>18000</v>
      </c>
      <c r="S306" s="5">
        <v>19000</v>
      </c>
      <c r="T306" s="5">
        <v>185</v>
      </c>
      <c r="U306" s="5">
        <v>48</v>
      </c>
      <c r="V306" s="5">
        <v>10</v>
      </c>
      <c r="W306" s="5">
        <v>1</v>
      </c>
      <c r="X306" s="5" t="s">
        <v>1020</v>
      </c>
      <c r="Y306" s="5" t="s">
        <v>908</v>
      </c>
      <c r="Z306" s="5">
        <v>47</v>
      </c>
      <c r="AA306" s="5" t="s">
        <v>909</v>
      </c>
      <c r="AB306" s="5">
        <v>250.07</v>
      </c>
      <c r="AC306" s="5">
        <v>0.58</v>
      </c>
      <c r="AD306" s="5">
        <v>145.0406</v>
      </c>
      <c r="AE306" s="5">
        <v>181.3007</v>
      </c>
      <c r="AF306" s="5">
        <v>193.3875</v>
      </c>
      <c r="AG306" s="5">
        <v>223.1394</v>
      </c>
      <c r="AH306" s="5">
        <v>263.7102</v>
      </c>
      <c r="AI306" s="5"/>
    </row>
    <row r="307" hidden="1" spans="1:35">
      <c r="A307" s="5" t="s">
        <v>897</v>
      </c>
      <c r="B307" s="5" t="s">
        <v>661</v>
      </c>
      <c r="C307" s="5" t="s">
        <v>660</v>
      </c>
      <c r="D307" s="5" t="s">
        <v>2276</v>
      </c>
      <c r="E307" s="5" t="s">
        <v>899</v>
      </c>
      <c r="F307" s="5" t="s">
        <v>96</v>
      </c>
      <c r="G307" s="5" t="s">
        <v>127</v>
      </c>
      <c r="H307" s="5" t="s">
        <v>2269</v>
      </c>
      <c r="I307" s="5" t="s">
        <v>1908</v>
      </c>
      <c r="J307" s="5" t="s">
        <v>1908</v>
      </c>
      <c r="K307" s="5">
        <v>18</v>
      </c>
      <c r="L307" s="5"/>
      <c r="M307" s="5" t="s">
        <v>919</v>
      </c>
      <c r="N307" s="5" t="s">
        <v>2277</v>
      </c>
      <c r="O307" s="5" t="s">
        <v>2278</v>
      </c>
      <c r="P307" s="5" t="s">
        <v>2279</v>
      </c>
      <c r="Q307" s="5" t="s">
        <v>2280</v>
      </c>
      <c r="R307" s="5">
        <v>26000</v>
      </c>
      <c r="S307" s="5">
        <v>27000</v>
      </c>
      <c r="T307" s="5">
        <v>115</v>
      </c>
      <c r="U307" s="5">
        <v>96</v>
      </c>
      <c r="V307" s="5">
        <v>11</v>
      </c>
      <c r="W307" s="5">
        <v>1</v>
      </c>
      <c r="X307" s="5" t="s">
        <v>1020</v>
      </c>
      <c r="Y307" s="5" t="s">
        <v>908</v>
      </c>
      <c r="Z307" s="5">
        <v>4</v>
      </c>
      <c r="AA307" s="5" t="s">
        <v>909</v>
      </c>
      <c r="AB307" s="5">
        <v>339.75</v>
      </c>
      <c r="AC307" s="5">
        <v>0.58</v>
      </c>
      <c r="AD307" s="5">
        <v>197.055</v>
      </c>
      <c r="AE307" s="5">
        <v>246.3187</v>
      </c>
      <c r="AF307" s="5">
        <v>262.74</v>
      </c>
      <c r="AG307" s="5">
        <v>303.1615</v>
      </c>
      <c r="AH307" s="5">
        <v>358.2818</v>
      </c>
      <c r="AI307" s="5"/>
    </row>
    <row r="308" hidden="1" spans="1:35">
      <c r="A308" s="5" t="s">
        <v>897</v>
      </c>
      <c r="B308" s="5" t="s">
        <v>426</v>
      </c>
      <c r="C308" s="5" t="s">
        <v>300</v>
      </c>
      <c r="D308" s="5" t="s">
        <v>1282</v>
      </c>
      <c r="E308" s="5" t="s">
        <v>899</v>
      </c>
      <c r="F308" s="5" t="s">
        <v>96</v>
      </c>
      <c r="G308" s="5" t="s">
        <v>115</v>
      </c>
      <c r="H308" s="5" t="s">
        <v>935</v>
      </c>
      <c r="I308" s="5" t="s">
        <v>1076</v>
      </c>
      <c r="J308" s="5" t="s">
        <v>1076</v>
      </c>
      <c r="K308" s="5">
        <v>19</v>
      </c>
      <c r="L308" s="5"/>
      <c r="M308" s="5" t="s">
        <v>919</v>
      </c>
      <c r="N308" s="5" t="s">
        <v>937</v>
      </c>
      <c r="O308" s="5" t="s">
        <v>938</v>
      </c>
      <c r="P308" s="5" t="s">
        <v>2281</v>
      </c>
      <c r="Q308" s="5" t="s">
        <v>2282</v>
      </c>
      <c r="R308" s="5">
        <v>400</v>
      </c>
      <c r="S308" s="5">
        <v>742</v>
      </c>
      <c r="T308" s="5">
        <v>0.81</v>
      </c>
      <c r="U308" s="5">
        <v>41.5</v>
      </c>
      <c r="V308" s="5">
        <v>39</v>
      </c>
      <c r="W308" s="5">
        <v>60</v>
      </c>
      <c r="X308" s="5" t="s">
        <v>907</v>
      </c>
      <c r="Y308" s="5" t="s">
        <v>908</v>
      </c>
      <c r="Z308" s="5">
        <v>1182</v>
      </c>
      <c r="AA308" s="5" t="s">
        <v>909</v>
      </c>
      <c r="AB308" s="5">
        <v>53.31</v>
      </c>
      <c r="AC308" s="5">
        <v>0.58</v>
      </c>
      <c r="AD308" s="5">
        <v>30.9198</v>
      </c>
      <c r="AE308" s="5">
        <v>38.6497</v>
      </c>
      <c r="AF308" s="5">
        <v>41.2264</v>
      </c>
      <c r="AG308" s="5">
        <v>47.5689</v>
      </c>
      <c r="AH308" s="5">
        <v>56.2178</v>
      </c>
      <c r="AI308" s="5"/>
    </row>
    <row r="309" hidden="1" spans="1:35">
      <c r="A309" s="5" t="s">
        <v>897</v>
      </c>
      <c r="B309" s="5" t="s">
        <v>684</v>
      </c>
      <c r="C309" s="5" t="s">
        <v>683</v>
      </c>
      <c r="D309" s="5" t="s">
        <v>2283</v>
      </c>
      <c r="E309" s="5" t="s">
        <v>899</v>
      </c>
      <c r="F309" s="5" t="s">
        <v>96</v>
      </c>
      <c r="G309" s="5" t="s">
        <v>115</v>
      </c>
      <c r="H309" s="5" t="s">
        <v>935</v>
      </c>
      <c r="I309" s="5" t="s">
        <v>1083</v>
      </c>
      <c r="J309" s="5" t="s">
        <v>1083</v>
      </c>
      <c r="K309" s="5">
        <v>19</v>
      </c>
      <c r="L309" s="5"/>
      <c r="M309" s="5" t="s">
        <v>919</v>
      </c>
      <c r="N309" s="5" t="s">
        <v>2284</v>
      </c>
      <c r="O309" s="5" t="s">
        <v>2285</v>
      </c>
      <c r="P309" s="5" t="s">
        <v>2286</v>
      </c>
      <c r="Q309" s="5" t="s">
        <v>2287</v>
      </c>
      <c r="R309" s="5">
        <v>340</v>
      </c>
      <c r="S309" s="5">
        <v>525</v>
      </c>
      <c r="T309" s="5">
        <v>1.38</v>
      </c>
      <c r="U309" s="5">
        <v>37</v>
      </c>
      <c r="V309" s="5">
        <v>34</v>
      </c>
      <c r="W309" s="5">
        <v>40</v>
      </c>
      <c r="X309" s="5" t="s">
        <v>907</v>
      </c>
      <c r="Y309" s="5" t="s">
        <v>908</v>
      </c>
      <c r="Z309" s="5">
        <v>22</v>
      </c>
      <c r="AA309" s="5" t="s">
        <v>909</v>
      </c>
      <c r="AB309" s="5">
        <v>146.76</v>
      </c>
      <c r="AC309" s="5">
        <v>0.58</v>
      </c>
      <c r="AD309" s="5">
        <v>85.1208</v>
      </c>
      <c r="AE309" s="5">
        <v>106.401</v>
      </c>
      <c r="AF309" s="5">
        <v>113.4944</v>
      </c>
      <c r="AG309" s="5">
        <v>130.9551</v>
      </c>
      <c r="AH309" s="5">
        <v>154.7651</v>
      </c>
      <c r="AI309" s="5"/>
    </row>
    <row r="310" hidden="1" spans="1:35">
      <c r="A310" s="5" t="s">
        <v>897</v>
      </c>
      <c r="B310" s="5" t="s">
        <v>560</v>
      </c>
      <c r="C310" s="5" t="s">
        <v>559</v>
      </c>
      <c r="D310" s="5" t="s">
        <v>2288</v>
      </c>
      <c r="E310" s="5" t="s">
        <v>899</v>
      </c>
      <c r="F310" s="5" t="s">
        <v>96</v>
      </c>
      <c r="G310" s="5" t="s">
        <v>97</v>
      </c>
      <c r="H310" s="5" t="s">
        <v>2289</v>
      </c>
      <c r="I310" s="5" t="s">
        <v>1908</v>
      </c>
      <c r="J310" s="5" t="s">
        <v>1908</v>
      </c>
      <c r="K310" s="5">
        <v>18</v>
      </c>
      <c r="L310" s="5"/>
      <c r="M310" s="5" t="s">
        <v>919</v>
      </c>
      <c r="N310" s="5" t="s">
        <v>2290</v>
      </c>
      <c r="O310" s="5" t="s">
        <v>2289</v>
      </c>
      <c r="P310" s="5" t="s">
        <v>2291</v>
      </c>
      <c r="Q310" s="5" t="s">
        <v>2292</v>
      </c>
      <c r="R310" s="5">
        <v>1480</v>
      </c>
      <c r="S310" s="5">
        <v>2100</v>
      </c>
      <c r="T310" s="5">
        <v>4.5</v>
      </c>
      <c r="U310" s="5">
        <v>42.5</v>
      </c>
      <c r="V310" s="5">
        <v>39</v>
      </c>
      <c r="W310" s="5">
        <v>10</v>
      </c>
      <c r="X310" s="5" t="s">
        <v>907</v>
      </c>
      <c r="Y310" s="5" t="s">
        <v>908</v>
      </c>
      <c r="Z310" s="5">
        <v>23</v>
      </c>
      <c r="AA310" s="5" t="s">
        <v>909</v>
      </c>
      <c r="AB310" s="5">
        <v>170.34</v>
      </c>
      <c r="AC310" s="5">
        <v>0.58</v>
      </c>
      <c r="AD310" s="5">
        <v>98.7972</v>
      </c>
      <c r="AE310" s="5">
        <v>123.4965</v>
      </c>
      <c r="AF310" s="5">
        <v>131.7296</v>
      </c>
      <c r="AG310" s="5">
        <v>151.9957</v>
      </c>
      <c r="AH310" s="5">
        <v>179.6313</v>
      </c>
      <c r="AI310" s="5"/>
    </row>
    <row r="311" hidden="1" spans="1:35">
      <c r="A311" s="5" t="s">
        <v>897</v>
      </c>
      <c r="B311" s="5" t="s">
        <v>458</v>
      </c>
      <c r="C311" s="5" t="s">
        <v>457</v>
      </c>
      <c r="D311" s="5" t="s">
        <v>2293</v>
      </c>
      <c r="E311" s="5" t="s">
        <v>899</v>
      </c>
      <c r="F311" s="5" t="s">
        <v>96</v>
      </c>
      <c r="G311" s="5" t="s">
        <v>97</v>
      </c>
      <c r="H311" s="5" t="s">
        <v>1919</v>
      </c>
      <c r="I311" s="5" t="s">
        <v>1908</v>
      </c>
      <c r="J311" s="5" t="s">
        <v>1908</v>
      </c>
      <c r="K311" s="5">
        <v>18</v>
      </c>
      <c r="L311" s="5"/>
      <c r="M311" s="5" t="s">
        <v>919</v>
      </c>
      <c r="N311" s="5" t="s">
        <v>2294</v>
      </c>
      <c r="O311" s="5" t="s">
        <v>2295</v>
      </c>
      <c r="P311" s="5" t="s">
        <v>2296</v>
      </c>
      <c r="Q311" s="5" t="s">
        <v>2297</v>
      </c>
      <c r="R311" s="5">
        <v>160</v>
      </c>
      <c r="S311" s="5">
        <v>164</v>
      </c>
      <c r="T311" s="5">
        <v>0.8</v>
      </c>
      <c r="U311" s="5">
        <v>21</v>
      </c>
      <c r="V311" s="5">
        <v>14</v>
      </c>
      <c r="W311" s="5">
        <v>50</v>
      </c>
      <c r="X311" s="5" t="s">
        <v>907</v>
      </c>
      <c r="Y311" s="5" t="s">
        <v>908</v>
      </c>
      <c r="Z311" s="5">
        <v>149</v>
      </c>
      <c r="AA311" s="5" t="s">
        <v>909</v>
      </c>
      <c r="AB311" s="5">
        <v>37.33</v>
      </c>
      <c r="AC311" s="5">
        <v>0.58</v>
      </c>
      <c r="AD311" s="5">
        <v>21.6514</v>
      </c>
      <c r="AE311" s="5">
        <v>27.0642</v>
      </c>
      <c r="AF311" s="5">
        <v>28.8685</v>
      </c>
      <c r="AG311" s="5">
        <v>33.3098</v>
      </c>
      <c r="AH311" s="5">
        <v>39.3662</v>
      </c>
      <c r="AI311" s="5"/>
    </row>
    <row r="312" hidden="1" spans="1:35">
      <c r="A312" s="5" t="s">
        <v>897</v>
      </c>
      <c r="B312" s="5" t="s">
        <v>430</v>
      </c>
      <c r="C312" s="5" t="s">
        <v>429</v>
      </c>
      <c r="D312" s="5" t="s">
        <v>2298</v>
      </c>
      <c r="E312" s="5" t="s">
        <v>899</v>
      </c>
      <c r="F312" s="5" t="s">
        <v>96</v>
      </c>
      <c r="G312" s="5" t="s">
        <v>97</v>
      </c>
      <c r="H312" s="5" t="s">
        <v>2289</v>
      </c>
      <c r="I312" s="5" t="s">
        <v>2202</v>
      </c>
      <c r="J312" s="5" t="s">
        <v>2202</v>
      </c>
      <c r="K312" s="5">
        <v>20</v>
      </c>
      <c r="L312" s="5"/>
      <c r="M312" s="5" t="s">
        <v>919</v>
      </c>
      <c r="N312" s="5" t="s">
        <v>2299</v>
      </c>
      <c r="O312" s="5" t="s">
        <v>2300</v>
      </c>
      <c r="P312" s="5" t="s">
        <v>2301</v>
      </c>
      <c r="Q312" s="5" t="s">
        <v>2302</v>
      </c>
      <c r="R312" s="5">
        <v>1169</v>
      </c>
      <c r="S312" s="5">
        <v>1394</v>
      </c>
      <c r="T312" s="5">
        <v>5</v>
      </c>
      <c r="U312" s="5">
        <v>36.5</v>
      </c>
      <c r="V312" s="5">
        <v>32</v>
      </c>
      <c r="W312" s="5">
        <v>10</v>
      </c>
      <c r="X312" s="5" t="s">
        <v>907</v>
      </c>
      <c r="Y312" s="5" t="s">
        <v>908</v>
      </c>
      <c r="Z312" s="5">
        <v>1</v>
      </c>
      <c r="AA312" s="5" t="s">
        <v>909</v>
      </c>
      <c r="AB312" s="5">
        <v>132.92</v>
      </c>
      <c r="AC312" s="5">
        <v>0.58</v>
      </c>
      <c r="AD312" s="5">
        <v>77.0936</v>
      </c>
      <c r="AE312" s="5">
        <v>96.367</v>
      </c>
      <c r="AF312" s="5">
        <v>102.7915</v>
      </c>
      <c r="AG312" s="5">
        <v>118.6055</v>
      </c>
      <c r="AH312" s="5">
        <v>140.1702</v>
      </c>
      <c r="AI312" s="5"/>
    </row>
    <row r="313" hidden="1" spans="1:35">
      <c r="A313" s="5" t="s">
        <v>897</v>
      </c>
      <c r="B313" s="5" t="s">
        <v>239</v>
      </c>
      <c r="C313" s="5" t="s">
        <v>238</v>
      </c>
      <c r="D313" s="5" t="s">
        <v>2303</v>
      </c>
      <c r="E313" s="5" t="s">
        <v>899</v>
      </c>
      <c r="F313" s="5" t="s">
        <v>96</v>
      </c>
      <c r="G313" s="5" t="s">
        <v>97</v>
      </c>
      <c r="H313" s="5" t="s">
        <v>2289</v>
      </c>
      <c r="I313" s="5" t="s">
        <v>2202</v>
      </c>
      <c r="J313" s="5" t="s">
        <v>2202</v>
      </c>
      <c r="K313" s="5">
        <v>20</v>
      </c>
      <c r="L313" s="5"/>
      <c r="M313" s="5" t="s">
        <v>919</v>
      </c>
      <c r="N313" s="5" t="s">
        <v>2304</v>
      </c>
      <c r="O313" s="5" t="s">
        <v>2305</v>
      </c>
      <c r="P313" s="5" t="s">
        <v>2306</v>
      </c>
      <c r="Q313" s="5" t="s">
        <v>2307</v>
      </c>
      <c r="R313" s="5">
        <v>1033</v>
      </c>
      <c r="S313" s="5">
        <v>1478</v>
      </c>
      <c r="T313" s="5">
        <v>5.4</v>
      </c>
      <c r="U313" s="5">
        <v>46</v>
      </c>
      <c r="V313" s="5">
        <v>37.5</v>
      </c>
      <c r="W313" s="5">
        <v>10</v>
      </c>
      <c r="X313" s="5" t="s">
        <v>907</v>
      </c>
      <c r="Y313" s="5" t="s">
        <v>908</v>
      </c>
      <c r="Z313" s="5">
        <v>88</v>
      </c>
      <c r="AA313" s="5" t="s">
        <v>909</v>
      </c>
      <c r="AB313" s="5">
        <v>177.09</v>
      </c>
      <c r="AC313" s="5">
        <v>0.58</v>
      </c>
      <c r="AD313" s="5">
        <v>102.7122</v>
      </c>
      <c r="AE313" s="5">
        <v>128.3902</v>
      </c>
      <c r="AF313" s="5">
        <v>136.9496</v>
      </c>
      <c r="AG313" s="5">
        <v>158.0188</v>
      </c>
      <c r="AH313" s="5">
        <v>186.7495</v>
      </c>
      <c r="AI313" s="5"/>
    </row>
    <row r="314" hidden="1" spans="1:35">
      <c r="A314" s="5" t="s">
        <v>897</v>
      </c>
      <c r="B314" s="5" t="s">
        <v>172</v>
      </c>
      <c r="C314" s="5" t="s">
        <v>171</v>
      </c>
      <c r="D314" s="5" t="s">
        <v>2308</v>
      </c>
      <c r="E314" s="5" t="s">
        <v>899</v>
      </c>
      <c r="F314" s="5" t="s">
        <v>96</v>
      </c>
      <c r="G314" s="5" t="s">
        <v>97</v>
      </c>
      <c r="H314" s="5" t="s">
        <v>2289</v>
      </c>
      <c r="I314" s="5" t="s">
        <v>2202</v>
      </c>
      <c r="J314" s="5" t="s">
        <v>2202</v>
      </c>
      <c r="K314" s="5">
        <v>20</v>
      </c>
      <c r="L314" s="5"/>
      <c r="M314" s="5" t="s">
        <v>919</v>
      </c>
      <c r="N314" s="5" t="s">
        <v>2309</v>
      </c>
      <c r="O314" s="5" t="s">
        <v>2310</v>
      </c>
      <c r="P314" s="5" t="s">
        <v>2311</v>
      </c>
      <c r="Q314" s="5" t="s">
        <v>2302</v>
      </c>
      <c r="R314" s="5">
        <v>1192</v>
      </c>
      <c r="S314" s="5">
        <v>1631</v>
      </c>
      <c r="T314" s="5">
        <v>5</v>
      </c>
      <c r="U314" s="5">
        <v>36.5</v>
      </c>
      <c r="V314" s="5">
        <v>32</v>
      </c>
      <c r="W314" s="5">
        <v>10</v>
      </c>
      <c r="X314" s="5" t="s">
        <v>907</v>
      </c>
      <c r="Y314" s="5" t="s">
        <v>908</v>
      </c>
      <c r="Z314" s="5">
        <v>1</v>
      </c>
      <c r="AA314" s="5" t="s">
        <v>909</v>
      </c>
      <c r="AB314" s="5">
        <v>137.35</v>
      </c>
      <c r="AC314" s="5">
        <v>0.58</v>
      </c>
      <c r="AD314" s="5">
        <v>79.663</v>
      </c>
      <c r="AE314" s="5">
        <v>99.5787</v>
      </c>
      <c r="AF314" s="5">
        <v>106.2173</v>
      </c>
      <c r="AG314" s="5">
        <v>122.5585</v>
      </c>
      <c r="AH314" s="5">
        <v>144.8418</v>
      </c>
      <c r="AI314" s="5"/>
    </row>
    <row r="315" hidden="1" spans="1:35">
      <c r="A315" s="5" t="s">
        <v>897</v>
      </c>
      <c r="B315" s="5" t="s">
        <v>337</v>
      </c>
      <c r="C315" s="5" t="s">
        <v>336</v>
      </c>
      <c r="D315" s="5" t="s">
        <v>2312</v>
      </c>
      <c r="E315" s="5" t="s">
        <v>899</v>
      </c>
      <c r="F315" s="5" t="s">
        <v>96</v>
      </c>
      <c r="G315" s="5" t="s">
        <v>97</v>
      </c>
      <c r="H315" s="5" t="s">
        <v>2289</v>
      </c>
      <c r="I315" s="5" t="s">
        <v>2202</v>
      </c>
      <c r="J315" s="5" t="s">
        <v>2202</v>
      </c>
      <c r="K315" s="5">
        <v>20</v>
      </c>
      <c r="L315" s="5"/>
      <c r="M315" s="5" t="s">
        <v>919</v>
      </c>
      <c r="N315" s="5" t="s">
        <v>2313</v>
      </c>
      <c r="O315" s="5" t="s">
        <v>2314</v>
      </c>
      <c r="P315" s="5" t="s">
        <v>2315</v>
      </c>
      <c r="Q315" s="5" t="s">
        <v>2302</v>
      </c>
      <c r="R315" s="5">
        <v>1120</v>
      </c>
      <c r="S315" s="5">
        <v>1559</v>
      </c>
      <c r="T315" s="5">
        <v>5</v>
      </c>
      <c r="U315" s="5">
        <v>36.5</v>
      </c>
      <c r="V315" s="5">
        <v>32</v>
      </c>
      <c r="W315" s="5">
        <v>10</v>
      </c>
      <c r="X315" s="5" t="s">
        <v>907</v>
      </c>
      <c r="Y315" s="5" t="s">
        <v>908</v>
      </c>
      <c r="Z315" s="5">
        <v>58</v>
      </c>
      <c r="AA315" s="5" t="s">
        <v>909</v>
      </c>
      <c r="AB315" s="5">
        <v>127.61</v>
      </c>
      <c r="AC315" s="5">
        <v>0.58</v>
      </c>
      <c r="AD315" s="5">
        <v>74.0138</v>
      </c>
      <c r="AE315" s="5">
        <v>92.5172</v>
      </c>
      <c r="AF315" s="5">
        <v>98.6851</v>
      </c>
      <c r="AG315" s="5">
        <v>113.8674</v>
      </c>
      <c r="AH315" s="5">
        <v>134.5705</v>
      </c>
      <c r="AI315" s="5"/>
    </row>
    <row r="316" hidden="1" spans="1:35">
      <c r="A316" s="5" t="s">
        <v>897</v>
      </c>
      <c r="B316" s="5" t="s">
        <v>751</v>
      </c>
      <c r="C316" s="5" t="s">
        <v>750</v>
      </c>
      <c r="D316" s="5" t="s">
        <v>2316</v>
      </c>
      <c r="E316" s="5" t="s">
        <v>899</v>
      </c>
      <c r="F316" s="5" t="s">
        <v>96</v>
      </c>
      <c r="G316" s="5" t="s">
        <v>97</v>
      </c>
      <c r="H316" s="5" t="s">
        <v>2317</v>
      </c>
      <c r="I316" s="5" t="s">
        <v>2202</v>
      </c>
      <c r="J316" s="5" t="s">
        <v>2202</v>
      </c>
      <c r="K316" s="5">
        <v>20</v>
      </c>
      <c r="L316" s="5" t="s">
        <v>909</v>
      </c>
      <c r="M316" s="5" t="s">
        <v>919</v>
      </c>
      <c r="N316" s="5" t="s">
        <v>2318</v>
      </c>
      <c r="O316" s="5" t="s">
        <v>2319</v>
      </c>
      <c r="P316" s="5" t="s">
        <v>2320</v>
      </c>
      <c r="Q316" s="5" t="s">
        <v>2321</v>
      </c>
      <c r="R316" s="5">
        <v>317</v>
      </c>
      <c r="S316" s="5">
        <v>335</v>
      </c>
      <c r="T316" s="5">
        <v>0.45</v>
      </c>
      <c r="U316" s="5">
        <v>34.5</v>
      </c>
      <c r="V316" s="5">
        <v>28</v>
      </c>
      <c r="W316" s="5">
        <v>90</v>
      </c>
      <c r="X316" s="5" t="s">
        <v>907</v>
      </c>
      <c r="Y316" s="5" t="s">
        <v>908</v>
      </c>
      <c r="Z316" s="5">
        <v>78</v>
      </c>
      <c r="AA316" s="5" t="s">
        <v>909</v>
      </c>
      <c r="AB316" s="5">
        <v>12.39</v>
      </c>
      <c r="AC316" s="5">
        <v>0.58</v>
      </c>
      <c r="AD316" s="5">
        <v>7.1862</v>
      </c>
      <c r="AE316" s="5">
        <v>8.9827</v>
      </c>
      <c r="AF316" s="5">
        <v>9.5816</v>
      </c>
      <c r="AG316" s="5">
        <v>11.0557</v>
      </c>
      <c r="AH316" s="5">
        <v>13.0658</v>
      </c>
      <c r="AI316" s="5"/>
    </row>
    <row r="317" hidden="1" spans="1:35">
      <c r="A317" s="5" t="s">
        <v>897</v>
      </c>
      <c r="B317" s="5" t="s">
        <v>666</v>
      </c>
      <c r="C317" s="5" t="s">
        <v>665</v>
      </c>
      <c r="D317" s="5" t="s">
        <v>2322</v>
      </c>
      <c r="E317" s="5" t="s">
        <v>899</v>
      </c>
      <c r="F317" s="5" t="s">
        <v>96</v>
      </c>
      <c r="G317" s="5" t="s">
        <v>97</v>
      </c>
      <c r="H317" s="5" t="s">
        <v>2317</v>
      </c>
      <c r="I317" s="5" t="s">
        <v>2202</v>
      </c>
      <c r="J317" s="5" t="s">
        <v>2202</v>
      </c>
      <c r="K317" s="5">
        <v>20</v>
      </c>
      <c r="L317" s="5" t="s">
        <v>909</v>
      </c>
      <c r="M317" s="5" t="s">
        <v>919</v>
      </c>
      <c r="N317" s="5" t="s">
        <v>2323</v>
      </c>
      <c r="O317" s="5" t="s">
        <v>2324</v>
      </c>
      <c r="P317" s="5" t="s">
        <v>2325</v>
      </c>
      <c r="Q317" s="5" t="s">
        <v>2326</v>
      </c>
      <c r="R317" s="5">
        <v>65</v>
      </c>
      <c r="S317" s="5">
        <v>103</v>
      </c>
      <c r="T317" s="5">
        <v>0.24</v>
      </c>
      <c r="U317" s="5">
        <v>30</v>
      </c>
      <c r="V317" s="5">
        <v>26</v>
      </c>
      <c r="W317" s="5">
        <v>200</v>
      </c>
      <c r="X317" s="5" t="s">
        <v>907</v>
      </c>
      <c r="Y317" s="5" t="s">
        <v>908</v>
      </c>
      <c r="Z317" s="5">
        <v>166</v>
      </c>
      <c r="AA317" s="5" t="s">
        <v>909</v>
      </c>
      <c r="AB317" s="5">
        <v>13.91</v>
      </c>
      <c r="AC317" s="5">
        <v>0.58</v>
      </c>
      <c r="AD317" s="5">
        <v>8.0678</v>
      </c>
      <c r="AE317" s="5">
        <v>10.0847</v>
      </c>
      <c r="AF317" s="5">
        <v>10.7571</v>
      </c>
      <c r="AG317" s="5">
        <v>12.412</v>
      </c>
      <c r="AH317" s="5">
        <v>14.6687</v>
      </c>
      <c r="AI317" s="5"/>
    </row>
    <row r="318" hidden="1" spans="1:35">
      <c r="A318" s="5" t="s">
        <v>897</v>
      </c>
      <c r="B318" s="5" t="s">
        <v>588</v>
      </c>
      <c r="C318" s="5" t="s">
        <v>587</v>
      </c>
      <c r="D318" s="5" t="s">
        <v>2327</v>
      </c>
      <c r="E318" s="5" t="s">
        <v>899</v>
      </c>
      <c r="F318" s="5" t="s">
        <v>96</v>
      </c>
      <c r="G318" s="5" t="s">
        <v>97</v>
      </c>
      <c r="H318" s="5" t="s">
        <v>2317</v>
      </c>
      <c r="I318" s="5" t="s">
        <v>2202</v>
      </c>
      <c r="J318" s="5" t="s">
        <v>2202</v>
      </c>
      <c r="K318" s="5">
        <v>20</v>
      </c>
      <c r="L318" s="5" t="s">
        <v>909</v>
      </c>
      <c r="M318" s="5" t="s">
        <v>919</v>
      </c>
      <c r="N318" s="5" t="s">
        <v>2328</v>
      </c>
      <c r="O318" s="5" t="s">
        <v>2329</v>
      </c>
      <c r="P318" s="5" t="s">
        <v>2330</v>
      </c>
      <c r="Q318" s="5" t="s">
        <v>2331</v>
      </c>
      <c r="R318" s="5">
        <v>340</v>
      </c>
      <c r="S318" s="5">
        <v>380</v>
      </c>
      <c r="T318" s="5">
        <v>1.27</v>
      </c>
      <c r="U318" s="5">
        <v>30.5</v>
      </c>
      <c r="V318" s="5">
        <v>16.5</v>
      </c>
      <c r="W318" s="5">
        <v>40</v>
      </c>
      <c r="X318" s="5" t="s">
        <v>907</v>
      </c>
      <c r="Y318" s="5" t="s">
        <v>908</v>
      </c>
      <c r="Z318" s="5">
        <v>81</v>
      </c>
      <c r="AA318" s="5" t="s">
        <v>909</v>
      </c>
      <c r="AB318" s="5">
        <v>28.14</v>
      </c>
      <c r="AC318" s="5">
        <v>0.58</v>
      </c>
      <c r="AD318" s="5">
        <v>16.3212</v>
      </c>
      <c r="AE318" s="5">
        <v>20.4015</v>
      </c>
      <c r="AF318" s="5">
        <v>21.7616</v>
      </c>
      <c r="AG318" s="5">
        <v>25.1095</v>
      </c>
      <c r="AH318" s="5">
        <v>29.6749</v>
      </c>
      <c r="AI318" s="5"/>
    </row>
    <row r="319" hidden="1" spans="1:35">
      <c r="A319" s="5" t="s">
        <v>897</v>
      </c>
      <c r="B319" s="5" t="s">
        <v>423</v>
      </c>
      <c r="C319" s="5" t="s">
        <v>422</v>
      </c>
      <c r="D319" s="5" t="s">
        <v>2332</v>
      </c>
      <c r="E319" s="5" t="s">
        <v>899</v>
      </c>
      <c r="F319" s="5" t="s">
        <v>96</v>
      </c>
      <c r="G319" s="5" t="s">
        <v>97</v>
      </c>
      <c r="H319" s="5" t="s">
        <v>2317</v>
      </c>
      <c r="I319" s="5" t="s">
        <v>2202</v>
      </c>
      <c r="J319" s="5" t="s">
        <v>2202</v>
      </c>
      <c r="K319" s="5">
        <v>20</v>
      </c>
      <c r="L319" s="5" t="s">
        <v>909</v>
      </c>
      <c r="M319" s="5" t="s">
        <v>919</v>
      </c>
      <c r="N319" s="5" t="s">
        <v>2328</v>
      </c>
      <c r="O319" s="5" t="s">
        <v>2333</v>
      </c>
      <c r="P319" s="5" t="s">
        <v>2334</v>
      </c>
      <c r="Q319" s="5" t="s">
        <v>2335</v>
      </c>
      <c r="R319" s="5">
        <v>407</v>
      </c>
      <c r="S319" s="5">
        <v>436</v>
      </c>
      <c r="T319" s="5">
        <v>0.79</v>
      </c>
      <c r="U319" s="5">
        <v>29.5</v>
      </c>
      <c r="V319" s="5">
        <v>22.5</v>
      </c>
      <c r="W319" s="5">
        <v>40</v>
      </c>
      <c r="X319" s="5" t="s">
        <v>907</v>
      </c>
      <c r="Y319" s="5" t="s">
        <v>908</v>
      </c>
      <c r="Z319" s="5">
        <v>109</v>
      </c>
      <c r="AA319" s="5" t="s">
        <v>909</v>
      </c>
      <c r="AB319" s="5">
        <v>32.86</v>
      </c>
      <c r="AC319" s="5">
        <v>0.58</v>
      </c>
      <c r="AD319" s="5">
        <v>19.0588</v>
      </c>
      <c r="AE319" s="5">
        <v>23.8235</v>
      </c>
      <c r="AF319" s="5">
        <v>25.4117</v>
      </c>
      <c r="AG319" s="5">
        <v>29.3212</v>
      </c>
      <c r="AH319" s="5">
        <v>34.6524</v>
      </c>
      <c r="AI319" s="5"/>
    </row>
    <row r="320" hidden="1" spans="1:35">
      <c r="A320" s="5" t="s">
        <v>897</v>
      </c>
      <c r="B320" s="5" t="s">
        <v>755</v>
      </c>
      <c r="C320" s="5" t="s">
        <v>754</v>
      </c>
      <c r="D320" s="5" t="s">
        <v>2336</v>
      </c>
      <c r="E320" s="5" t="s">
        <v>899</v>
      </c>
      <c r="F320" s="5" t="s">
        <v>96</v>
      </c>
      <c r="G320" s="5" t="s">
        <v>97</v>
      </c>
      <c r="H320" s="5" t="s">
        <v>2317</v>
      </c>
      <c r="I320" s="5" t="s">
        <v>2202</v>
      </c>
      <c r="J320" s="5" t="s">
        <v>2202</v>
      </c>
      <c r="K320" s="5">
        <v>20</v>
      </c>
      <c r="L320" s="5" t="s">
        <v>909</v>
      </c>
      <c r="M320" s="5" t="s">
        <v>919</v>
      </c>
      <c r="N320" s="5" t="s">
        <v>2337</v>
      </c>
      <c r="O320" s="5" t="s">
        <v>2338</v>
      </c>
      <c r="P320" s="5" t="s">
        <v>2339</v>
      </c>
      <c r="Q320" s="5" t="s">
        <v>2340</v>
      </c>
      <c r="R320" s="5">
        <v>647</v>
      </c>
      <c r="S320" s="5">
        <v>651</v>
      </c>
      <c r="T320" s="5">
        <v>1.49</v>
      </c>
      <c r="U320" s="5">
        <v>26</v>
      </c>
      <c r="V320" s="5">
        <v>21</v>
      </c>
      <c r="W320" s="5">
        <v>30</v>
      </c>
      <c r="X320" s="5" t="s">
        <v>907</v>
      </c>
      <c r="Y320" s="5" t="s">
        <v>908</v>
      </c>
      <c r="Z320" s="5">
        <v>39</v>
      </c>
      <c r="AA320" s="5" t="s">
        <v>909</v>
      </c>
      <c r="AB320" s="5">
        <v>21.72</v>
      </c>
      <c r="AC320" s="5">
        <v>0.58</v>
      </c>
      <c r="AD320" s="5">
        <v>12.5976</v>
      </c>
      <c r="AE320" s="5">
        <v>15.747</v>
      </c>
      <c r="AF320" s="5">
        <v>16.7968</v>
      </c>
      <c r="AG320" s="5">
        <v>19.3809</v>
      </c>
      <c r="AH320" s="5">
        <v>22.9047</v>
      </c>
      <c r="AI320" s="5"/>
    </row>
    <row r="321" hidden="1" spans="1:35">
      <c r="A321" s="5" t="s">
        <v>897</v>
      </c>
      <c r="B321" s="5" t="s">
        <v>791</v>
      </c>
      <c r="C321" s="5" t="s">
        <v>790</v>
      </c>
      <c r="D321" s="5" t="s">
        <v>2341</v>
      </c>
      <c r="E321" s="5" t="s">
        <v>899</v>
      </c>
      <c r="F321" s="5" t="s">
        <v>96</v>
      </c>
      <c r="G321" s="5" t="s">
        <v>97</v>
      </c>
      <c r="H321" s="5" t="s">
        <v>2342</v>
      </c>
      <c r="I321" s="5" t="s">
        <v>2202</v>
      </c>
      <c r="J321" s="5" t="s">
        <v>2202</v>
      </c>
      <c r="K321" s="5">
        <v>20</v>
      </c>
      <c r="L321" s="5"/>
      <c r="M321" s="5" t="s">
        <v>919</v>
      </c>
      <c r="N321" s="5" t="s">
        <v>2343</v>
      </c>
      <c r="O321" s="5" t="s">
        <v>2344</v>
      </c>
      <c r="P321" s="5" t="s">
        <v>2345</v>
      </c>
      <c r="Q321" s="5" t="s">
        <v>2346</v>
      </c>
      <c r="R321" s="5">
        <v>197</v>
      </c>
      <c r="S321" s="5">
        <v>207</v>
      </c>
      <c r="T321" s="5">
        <v>0.5</v>
      </c>
      <c r="U321" s="5">
        <v>15</v>
      </c>
      <c r="V321" s="5">
        <v>14</v>
      </c>
      <c r="W321" s="5">
        <v>50</v>
      </c>
      <c r="X321" s="5" t="s">
        <v>907</v>
      </c>
      <c r="Y321" s="5" t="s">
        <v>908</v>
      </c>
      <c r="Z321" s="5">
        <v>44</v>
      </c>
      <c r="AA321" s="5" t="s">
        <v>909</v>
      </c>
      <c r="AB321" s="5">
        <v>7</v>
      </c>
      <c r="AC321" s="5">
        <v>0.58</v>
      </c>
      <c r="AD321" s="5">
        <v>4.06</v>
      </c>
      <c r="AE321" s="5">
        <v>5.075</v>
      </c>
      <c r="AF321" s="5">
        <v>5.4133</v>
      </c>
      <c r="AG321" s="5">
        <v>6.2462</v>
      </c>
      <c r="AH321" s="5">
        <v>7.3818</v>
      </c>
      <c r="AI321" s="5"/>
    </row>
    <row r="322" hidden="1" spans="1:35">
      <c r="A322" s="5" t="s">
        <v>897</v>
      </c>
      <c r="B322" s="5" t="s">
        <v>596</v>
      </c>
      <c r="C322" s="5" t="s">
        <v>595</v>
      </c>
      <c r="D322" s="5" t="s">
        <v>2347</v>
      </c>
      <c r="E322" s="5" t="s">
        <v>899</v>
      </c>
      <c r="F322" s="5" t="s">
        <v>96</v>
      </c>
      <c r="G322" s="5" t="s">
        <v>97</v>
      </c>
      <c r="H322" s="5" t="s">
        <v>2348</v>
      </c>
      <c r="I322" s="5" t="s">
        <v>1083</v>
      </c>
      <c r="J322" s="5" t="s">
        <v>1083</v>
      </c>
      <c r="K322" s="5">
        <v>19</v>
      </c>
      <c r="L322" s="5"/>
      <c r="M322" s="5" t="s">
        <v>919</v>
      </c>
      <c r="N322" s="5" t="s">
        <v>2349</v>
      </c>
      <c r="O322" s="5" t="s">
        <v>2350</v>
      </c>
      <c r="P322" s="5" t="s">
        <v>2351</v>
      </c>
      <c r="Q322" s="5" t="s">
        <v>2352</v>
      </c>
      <c r="R322" s="5">
        <v>11</v>
      </c>
      <c r="S322" s="5">
        <v>13</v>
      </c>
      <c r="T322" s="5">
        <v>0.57</v>
      </c>
      <c r="U322" s="5">
        <v>9.5</v>
      </c>
      <c r="V322" s="5">
        <v>6</v>
      </c>
      <c r="W322" s="5">
        <v>40</v>
      </c>
      <c r="X322" s="5" t="s">
        <v>907</v>
      </c>
      <c r="Y322" s="5" t="s">
        <v>908</v>
      </c>
      <c r="Z322" s="5">
        <v>382</v>
      </c>
      <c r="AA322" s="5" t="s">
        <v>909</v>
      </c>
      <c r="AB322" s="5">
        <v>4.47</v>
      </c>
      <c r="AC322" s="5">
        <v>0.58</v>
      </c>
      <c r="AD322" s="5">
        <v>2.5926</v>
      </c>
      <c r="AE322" s="5">
        <v>3.2407</v>
      </c>
      <c r="AF322" s="5">
        <v>3.4568</v>
      </c>
      <c r="AG322" s="5">
        <v>3.9886</v>
      </c>
      <c r="AH322" s="5">
        <v>4.7138</v>
      </c>
      <c r="AI322" s="5"/>
    </row>
    <row r="323" hidden="1" spans="1:35">
      <c r="A323" s="5" t="s">
        <v>897</v>
      </c>
      <c r="B323" s="5" t="s">
        <v>298</v>
      </c>
      <c r="C323" s="5" t="s">
        <v>297</v>
      </c>
      <c r="D323" s="5" t="s">
        <v>2353</v>
      </c>
      <c r="E323" s="5" t="s">
        <v>899</v>
      </c>
      <c r="F323" s="5" t="s">
        <v>96</v>
      </c>
      <c r="G323" s="5" t="s">
        <v>97</v>
      </c>
      <c r="H323" s="5" t="s">
        <v>1919</v>
      </c>
      <c r="I323" s="5" t="s">
        <v>2202</v>
      </c>
      <c r="J323" s="5" t="s">
        <v>2202</v>
      </c>
      <c r="K323" s="5">
        <v>20</v>
      </c>
      <c r="L323" s="5"/>
      <c r="M323" s="5" t="s">
        <v>919</v>
      </c>
      <c r="N323" s="5" t="s">
        <v>2354</v>
      </c>
      <c r="O323" s="5" t="s">
        <v>2355</v>
      </c>
      <c r="P323" s="5" t="s">
        <v>2356</v>
      </c>
      <c r="Q323" s="5" t="s">
        <v>2357</v>
      </c>
      <c r="R323" s="5">
        <v>1260</v>
      </c>
      <c r="S323" s="5">
        <v>1467</v>
      </c>
      <c r="T323" s="5">
        <v>2.97</v>
      </c>
      <c r="U323" s="5">
        <v>32.5</v>
      </c>
      <c r="V323" s="5">
        <v>35</v>
      </c>
      <c r="W323" s="5">
        <v>16</v>
      </c>
      <c r="X323" s="5" t="s">
        <v>907</v>
      </c>
      <c r="Y323" s="5" t="s">
        <v>908</v>
      </c>
      <c r="Z323" s="5">
        <v>60</v>
      </c>
      <c r="AA323" s="5" t="s">
        <v>909</v>
      </c>
      <c r="AB323" s="5">
        <v>94.45</v>
      </c>
      <c r="AC323" s="5">
        <v>0.58</v>
      </c>
      <c r="AD323" s="5">
        <v>54.781</v>
      </c>
      <c r="AE323" s="5">
        <v>68.4762</v>
      </c>
      <c r="AF323" s="5">
        <v>73.0413</v>
      </c>
      <c r="AG323" s="5">
        <v>84.2785</v>
      </c>
      <c r="AH323" s="5">
        <v>99.6018</v>
      </c>
      <c r="AI323" s="5"/>
    </row>
    <row r="324" hidden="1" spans="1:35">
      <c r="A324" s="5" t="s">
        <v>897</v>
      </c>
      <c r="B324" s="5" t="s">
        <v>2358</v>
      </c>
      <c r="C324" s="5" t="s">
        <v>2359</v>
      </c>
      <c r="D324" s="5" t="s">
        <v>2360</v>
      </c>
      <c r="E324" s="5" t="s">
        <v>899</v>
      </c>
      <c r="F324" s="5" t="s">
        <v>96</v>
      </c>
      <c r="G324" s="5" t="s">
        <v>97</v>
      </c>
      <c r="H324" s="5" t="s">
        <v>2361</v>
      </c>
      <c r="I324" s="5" t="s">
        <v>2362</v>
      </c>
      <c r="J324" s="5" t="s">
        <v>2362</v>
      </c>
      <c r="K324" s="5">
        <v>20</v>
      </c>
      <c r="L324" s="5"/>
      <c r="M324" s="5" t="s">
        <v>919</v>
      </c>
      <c r="N324" s="5" t="s">
        <v>2363</v>
      </c>
      <c r="O324" s="5" t="s">
        <v>2364</v>
      </c>
      <c r="P324" s="5" t="s">
        <v>2365</v>
      </c>
      <c r="Q324" s="5" t="s">
        <v>2366</v>
      </c>
      <c r="R324" s="5">
        <v>836</v>
      </c>
      <c r="S324" s="5">
        <v>1036</v>
      </c>
      <c r="T324" s="5">
        <v>5.8</v>
      </c>
      <c r="U324" s="5">
        <v>37.5</v>
      </c>
      <c r="V324" s="5">
        <v>22</v>
      </c>
      <c r="W324" s="5">
        <v>8</v>
      </c>
      <c r="X324" s="5" t="s">
        <v>907</v>
      </c>
      <c r="Y324" s="5" t="s">
        <v>908</v>
      </c>
      <c r="Z324" s="5">
        <v>0</v>
      </c>
      <c r="AA324" s="5" t="s">
        <v>909</v>
      </c>
      <c r="AB324" s="5">
        <v>181.62</v>
      </c>
      <c r="AC324" s="5">
        <v>0.58</v>
      </c>
      <c r="AD324" s="5">
        <v>105.3396</v>
      </c>
      <c r="AE324" s="5">
        <v>131.6745</v>
      </c>
      <c r="AF324" s="5">
        <v>140.4528</v>
      </c>
      <c r="AG324" s="5">
        <v>162.0609</v>
      </c>
      <c r="AH324" s="5">
        <v>191.5265</v>
      </c>
      <c r="AI324" s="5"/>
    </row>
    <row r="325" hidden="1" spans="1:35">
      <c r="A325" s="5" t="s">
        <v>897</v>
      </c>
      <c r="B325" s="5" t="s">
        <v>739</v>
      </c>
      <c r="C325" s="5" t="s">
        <v>738</v>
      </c>
      <c r="D325" s="5" t="s">
        <v>2367</v>
      </c>
      <c r="E325" s="5" t="s">
        <v>899</v>
      </c>
      <c r="F325" s="5" t="s">
        <v>96</v>
      </c>
      <c r="G325" s="5" t="s">
        <v>97</v>
      </c>
      <c r="H325" s="5" t="s">
        <v>2289</v>
      </c>
      <c r="I325" s="5" t="s">
        <v>2362</v>
      </c>
      <c r="J325" s="5" t="s">
        <v>2362</v>
      </c>
      <c r="K325" s="5">
        <v>20</v>
      </c>
      <c r="L325" s="5"/>
      <c r="M325" s="5" t="s">
        <v>919</v>
      </c>
      <c r="N325" s="5" t="s">
        <v>2368</v>
      </c>
      <c r="O325" s="5" t="s">
        <v>2369</v>
      </c>
      <c r="P325" s="5" t="s">
        <v>2370</v>
      </c>
      <c r="Q325" s="5" t="s">
        <v>2371</v>
      </c>
      <c r="R325" s="5">
        <v>315</v>
      </c>
      <c r="S325" s="5">
        <v>376</v>
      </c>
      <c r="T325" s="5">
        <v>0.59</v>
      </c>
      <c r="U325" s="5">
        <v>29.5</v>
      </c>
      <c r="V325" s="5">
        <v>29.1</v>
      </c>
      <c r="W325" s="5">
        <v>50</v>
      </c>
      <c r="X325" s="5" t="s">
        <v>907</v>
      </c>
      <c r="Y325" s="5" t="s">
        <v>908</v>
      </c>
      <c r="Z325" s="5">
        <v>40</v>
      </c>
      <c r="AA325" s="5" t="s">
        <v>909</v>
      </c>
      <c r="AB325" s="5">
        <v>21.28</v>
      </c>
      <c r="AC325" s="5">
        <v>0.58</v>
      </c>
      <c r="AD325" s="5">
        <v>12.3424</v>
      </c>
      <c r="AE325" s="5">
        <v>15.428</v>
      </c>
      <c r="AF325" s="5">
        <v>16.4565</v>
      </c>
      <c r="AG325" s="5">
        <v>18.9883</v>
      </c>
      <c r="AH325" s="5">
        <v>22.4407</v>
      </c>
      <c r="AI325" s="5"/>
    </row>
    <row r="326" hidden="1" spans="1:35">
      <c r="A326" s="5" t="s">
        <v>897</v>
      </c>
      <c r="B326" s="5" t="s">
        <v>235</v>
      </c>
      <c r="C326" s="5" t="s">
        <v>234</v>
      </c>
      <c r="D326" s="5" t="s">
        <v>2372</v>
      </c>
      <c r="E326" s="5" t="s">
        <v>899</v>
      </c>
      <c r="F326" s="5" t="s">
        <v>96</v>
      </c>
      <c r="G326" s="5" t="s">
        <v>97</v>
      </c>
      <c r="H326" s="5" t="s">
        <v>2289</v>
      </c>
      <c r="I326" s="5" t="s">
        <v>2362</v>
      </c>
      <c r="J326" s="5" t="s">
        <v>2362</v>
      </c>
      <c r="K326" s="5">
        <v>20</v>
      </c>
      <c r="L326" s="5"/>
      <c r="M326" s="5" t="s">
        <v>919</v>
      </c>
      <c r="N326" s="5" t="s">
        <v>2373</v>
      </c>
      <c r="O326" s="5" t="s">
        <v>2374</v>
      </c>
      <c r="P326" s="5" t="s">
        <v>2375</v>
      </c>
      <c r="Q326" s="5" t="s">
        <v>2376</v>
      </c>
      <c r="R326" s="5">
        <v>1062</v>
      </c>
      <c r="S326" s="5">
        <v>1260</v>
      </c>
      <c r="T326" s="5">
        <v>2.97</v>
      </c>
      <c r="U326" s="5">
        <v>39</v>
      </c>
      <c r="V326" s="5">
        <v>17</v>
      </c>
      <c r="W326" s="5">
        <v>15</v>
      </c>
      <c r="X326" s="5" t="s">
        <v>907</v>
      </c>
      <c r="Y326" s="5" t="s">
        <v>908</v>
      </c>
      <c r="Z326" s="5">
        <v>1</v>
      </c>
      <c r="AA326" s="5" t="s">
        <v>909</v>
      </c>
      <c r="AB326" s="5">
        <v>28.02</v>
      </c>
      <c r="AC326" s="5">
        <v>0.58</v>
      </c>
      <c r="AD326" s="5">
        <v>16.2516</v>
      </c>
      <c r="AE326" s="5">
        <v>20.3145</v>
      </c>
      <c r="AF326" s="5">
        <v>21.6688</v>
      </c>
      <c r="AG326" s="5">
        <v>25.0025</v>
      </c>
      <c r="AH326" s="5">
        <v>29.5484</v>
      </c>
      <c r="AI326" s="5"/>
    </row>
    <row r="327" hidden="1" spans="1:35">
      <c r="A327" s="5" t="s">
        <v>897</v>
      </c>
      <c r="B327" s="5" t="s">
        <v>646</v>
      </c>
      <c r="C327" s="5" t="s">
        <v>644</v>
      </c>
      <c r="D327" s="5" t="s">
        <v>1569</v>
      </c>
      <c r="E327" s="5" t="s">
        <v>899</v>
      </c>
      <c r="F327" s="5" t="s">
        <v>108</v>
      </c>
      <c r="G327" s="5" t="s">
        <v>168</v>
      </c>
      <c r="H327" s="5" t="s">
        <v>973</v>
      </c>
      <c r="I327" s="5" t="s">
        <v>1079</v>
      </c>
      <c r="J327" s="5" t="s">
        <v>1079</v>
      </c>
      <c r="K327" s="5">
        <v>18</v>
      </c>
      <c r="L327" s="5"/>
      <c r="M327" s="5" t="s">
        <v>919</v>
      </c>
      <c r="N327" s="5" t="s">
        <v>975</v>
      </c>
      <c r="O327" s="5" t="s">
        <v>973</v>
      </c>
      <c r="P327" s="5" t="s">
        <v>2377</v>
      </c>
      <c r="Q327" s="5" t="s">
        <v>1571</v>
      </c>
      <c r="R327" s="5">
        <v>160</v>
      </c>
      <c r="S327" s="5">
        <v>176</v>
      </c>
      <c r="T327" s="5">
        <v>0.54</v>
      </c>
      <c r="U327" s="5">
        <v>49.5</v>
      </c>
      <c r="V327" s="5">
        <v>33</v>
      </c>
      <c r="W327" s="5">
        <v>100</v>
      </c>
      <c r="X327" s="5" t="s">
        <v>907</v>
      </c>
      <c r="Y327" s="5" t="s">
        <v>908</v>
      </c>
      <c r="Z327" s="5">
        <v>1</v>
      </c>
      <c r="AA327" s="5" t="s">
        <v>909</v>
      </c>
      <c r="AB327" s="5">
        <v>58.73</v>
      </c>
      <c r="AC327" s="5">
        <v>0.58</v>
      </c>
      <c r="AD327" s="5">
        <v>34.0634</v>
      </c>
      <c r="AE327" s="5">
        <v>42.5792</v>
      </c>
      <c r="AF327" s="5">
        <v>45.4179</v>
      </c>
      <c r="AG327" s="5">
        <v>52.4052</v>
      </c>
      <c r="AH327" s="5">
        <v>61.9335</v>
      </c>
      <c r="AI327" s="5"/>
    </row>
    <row r="328" hidden="1" spans="1:35">
      <c r="A328" s="5" t="s">
        <v>897</v>
      </c>
      <c r="B328" s="5" t="s">
        <v>664</v>
      </c>
      <c r="C328" s="5" t="s">
        <v>663</v>
      </c>
      <c r="D328" s="5" t="s">
        <v>2378</v>
      </c>
      <c r="E328" s="5" t="s">
        <v>899</v>
      </c>
      <c r="F328" s="5" t="s">
        <v>96</v>
      </c>
      <c r="G328" s="5" t="s">
        <v>115</v>
      </c>
      <c r="H328" s="5" t="s">
        <v>2379</v>
      </c>
      <c r="I328" s="5" t="s">
        <v>1102</v>
      </c>
      <c r="J328" s="5" t="s">
        <v>2362</v>
      </c>
      <c r="K328" s="5">
        <v>20</v>
      </c>
      <c r="L328" s="5" t="s">
        <v>909</v>
      </c>
      <c r="M328" s="5" t="s">
        <v>902</v>
      </c>
      <c r="N328" s="5" t="s">
        <v>2380</v>
      </c>
      <c r="O328" s="5" t="s">
        <v>2381</v>
      </c>
      <c r="P328" s="5" t="s">
        <v>2382</v>
      </c>
      <c r="Q328" s="5" t="s">
        <v>2383</v>
      </c>
      <c r="R328" s="5">
        <v>136</v>
      </c>
      <c r="S328" s="5">
        <v>150</v>
      </c>
      <c r="T328" s="5">
        <v>0.75</v>
      </c>
      <c r="U328" s="5">
        <v>33</v>
      </c>
      <c r="V328" s="5">
        <v>22.2</v>
      </c>
      <c r="W328" s="5">
        <v>80</v>
      </c>
      <c r="X328" s="5" t="s">
        <v>907</v>
      </c>
      <c r="Y328" s="5" t="s">
        <v>908</v>
      </c>
      <c r="Z328" s="5">
        <v>447</v>
      </c>
      <c r="AA328" s="5" t="s">
        <v>909</v>
      </c>
      <c r="AB328" s="5">
        <v>8.53</v>
      </c>
      <c r="AC328" s="5">
        <v>0.58</v>
      </c>
      <c r="AD328" s="5">
        <v>4.9474</v>
      </c>
      <c r="AE328" s="5">
        <v>6.1842</v>
      </c>
      <c r="AF328" s="5">
        <v>6.5965</v>
      </c>
      <c r="AG328" s="5">
        <v>7.6114</v>
      </c>
      <c r="AH328" s="5">
        <v>8.9953</v>
      </c>
      <c r="AI328" s="5"/>
    </row>
    <row r="329" hidden="1" spans="1:35">
      <c r="A329" s="5" t="s">
        <v>897</v>
      </c>
      <c r="B329" s="5" t="s">
        <v>606</v>
      </c>
      <c r="C329" s="5" t="s">
        <v>605</v>
      </c>
      <c r="D329" s="5" t="s">
        <v>2384</v>
      </c>
      <c r="E329" s="5" t="s">
        <v>899</v>
      </c>
      <c r="F329" s="5" t="s">
        <v>96</v>
      </c>
      <c r="G329" s="5" t="s">
        <v>115</v>
      </c>
      <c r="H329" s="5" t="s">
        <v>2385</v>
      </c>
      <c r="I329" s="5" t="s">
        <v>1015</v>
      </c>
      <c r="J329" s="5" t="s">
        <v>1015</v>
      </c>
      <c r="K329" s="5">
        <v>19</v>
      </c>
      <c r="L329" s="5"/>
      <c r="M329" s="5" t="s">
        <v>919</v>
      </c>
      <c r="N329" s="5" t="s">
        <v>2386</v>
      </c>
      <c r="O329" s="5" t="s">
        <v>2385</v>
      </c>
      <c r="P329" s="5" t="s">
        <v>2387</v>
      </c>
      <c r="Q329" s="5" t="s">
        <v>2388</v>
      </c>
      <c r="R329" s="5">
        <v>1350</v>
      </c>
      <c r="S329" s="5">
        <v>1438</v>
      </c>
      <c r="T329" s="5">
        <v>17.63</v>
      </c>
      <c r="U329" s="5">
        <v>34.8</v>
      </c>
      <c r="V329" s="5">
        <v>23</v>
      </c>
      <c r="W329" s="5">
        <v>4</v>
      </c>
      <c r="X329" s="5" t="s">
        <v>907</v>
      </c>
      <c r="Y329" s="5" t="s">
        <v>908</v>
      </c>
      <c r="Z329" s="5">
        <v>29</v>
      </c>
      <c r="AA329" s="5" t="s">
        <v>909</v>
      </c>
      <c r="AB329" s="5">
        <v>66.14</v>
      </c>
      <c r="AC329" s="5">
        <v>0.58</v>
      </c>
      <c r="AD329" s="5">
        <v>38.3612</v>
      </c>
      <c r="AE329" s="5">
        <v>47.9515</v>
      </c>
      <c r="AF329" s="5">
        <v>51.1483</v>
      </c>
      <c r="AG329" s="5">
        <v>59.0172</v>
      </c>
      <c r="AH329" s="5">
        <v>69.7476</v>
      </c>
      <c r="AI329" s="5"/>
    </row>
    <row r="330" hidden="1" spans="1:35">
      <c r="A330" s="5" t="s">
        <v>897</v>
      </c>
      <c r="B330" s="5" t="s">
        <v>134</v>
      </c>
      <c r="C330" s="5" t="s">
        <v>128</v>
      </c>
      <c r="D330" s="5" t="s">
        <v>1681</v>
      </c>
      <c r="E330" s="5" t="s">
        <v>899</v>
      </c>
      <c r="F330" s="5" t="s">
        <v>96</v>
      </c>
      <c r="G330" s="5" t="s">
        <v>127</v>
      </c>
      <c r="H330" s="5" t="s">
        <v>1349</v>
      </c>
      <c r="I330" s="5" t="s">
        <v>1015</v>
      </c>
      <c r="J330" s="5" t="s">
        <v>1015</v>
      </c>
      <c r="K330" s="5">
        <v>19</v>
      </c>
      <c r="L330" s="5"/>
      <c r="M330" s="5" t="s">
        <v>919</v>
      </c>
      <c r="N330" s="5" t="s">
        <v>1682</v>
      </c>
      <c r="O330" s="5" t="s">
        <v>1683</v>
      </c>
      <c r="P330" s="5" t="s">
        <v>1684</v>
      </c>
      <c r="Q330" s="5" t="s">
        <v>1685</v>
      </c>
      <c r="R330" s="5">
        <v>12000</v>
      </c>
      <c r="S330" s="5">
        <v>12500</v>
      </c>
      <c r="T330" s="5">
        <v>60</v>
      </c>
      <c r="U330" s="5">
        <v>43</v>
      </c>
      <c r="V330" s="5">
        <v>39</v>
      </c>
      <c r="W330" s="5">
        <v>1</v>
      </c>
      <c r="X330" s="5" t="s">
        <v>1020</v>
      </c>
      <c r="Y330" s="5" t="s">
        <v>908</v>
      </c>
      <c r="Z330" s="5">
        <v>923</v>
      </c>
      <c r="AA330" s="5" t="s">
        <v>909</v>
      </c>
      <c r="AB330" s="5">
        <v>209.88</v>
      </c>
      <c r="AC330" s="5">
        <v>0.58</v>
      </c>
      <c r="AD330" s="5">
        <v>121.7304</v>
      </c>
      <c r="AE330" s="5">
        <v>152.163</v>
      </c>
      <c r="AF330" s="5">
        <v>162.3072</v>
      </c>
      <c r="AG330" s="5">
        <v>187.2775</v>
      </c>
      <c r="AH330" s="5">
        <v>221.328</v>
      </c>
      <c r="AI330" s="5"/>
    </row>
    <row r="331" hidden="1" spans="1:35">
      <c r="A331" s="5" t="s">
        <v>897</v>
      </c>
      <c r="B331" s="5" t="s">
        <v>159</v>
      </c>
      <c r="C331" s="5" t="s">
        <v>158</v>
      </c>
      <c r="D331" s="5" t="s">
        <v>2389</v>
      </c>
      <c r="E331" s="5" t="s">
        <v>899</v>
      </c>
      <c r="F331" s="5" t="s">
        <v>96</v>
      </c>
      <c r="G331" s="5" t="s">
        <v>127</v>
      </c>
      <c r="H331" s="5" t="s">
        <v>1349</v>
      </c>
      <c r="I331" s="5" t="s">
        <v>1827</v>
      </c>
      <c r="J331" s="5" t="s">
        <v>1083</v>
      </c>
      <c r="K331" s="5">
        <v>19</v>
      </c>
      <c r="L331" s="5"/>
      <c r="M331" s="5" t="s">
        <v>919</v>
      </c>
      <c r="N331" s="5" t="s">
        <v>2390</v>
      </c>
      <c r="O331" s="5" t="s">
        <v>2391</v>
      </c>
      <c r="P331" s="5" t="s">
        <v>2392</v>
      </c>
      <c r="Q331" s="5" t="s">
        <v>2393</v>
      </c>
      <c r="R331" s="5">
        <v>12000</v>
      </c>
      <c r="S331" s="5">
        <v>13950</v>
      </c>
      <c r="T331" s="5">
        <v>52</v>
      </c>
      <c r="U331" s="5">
        <v>45</v>
      </c>
      <c r="V331" s="5">
        <v>37</v>
      </c>
      <c r="W331" s="5">
        <v>1</v>
      </c>
      <c r="X331" s="5" t="s">
        <v>1020</v>
      </c>
      <c r="Y331" s="5" t="s">
        <v>908</v>
      </c>
      <c r="Z331" s="5">
        <v>196</v>
      </c>
      <c r="AA331" s="5" t="s">
        <v>909</v>
      </c>
      <c r="AB331" s="5">
        <v>276.96</v>
      </c>
      <c r="AC331" s="5">
        <v>0.58</v>
      </c>
      <c r="AD331" s="5">
        <v>160.6368</v>
      </c>
      <c r="AE331" s="5">
        <v>200.796</v>
      </c>
      <c r="AF331" s="5">
        <v>214.1824</v>
      </c>
      <c r="AG331" s="5">
        <v>247.1335</v>
      </c>
      <c r="AH331" s="5">
        <v>292.0669</v>
      </c>
      <c r="AI331" s="5"/>
    </row>
    <row r="332" hidden="1" spans="1:35">
      <c r="A332" s="5" t="s">
        <v>897</v>
      </c>
      <c r="B332" s="5" t="s">
        <v>176</v>
      </c>
      <c r="C332" s="5" t="s">
        <v>175</v>
      </c>
      <c r="D332" s="5" t="s">
        <v>2394</v>
      </c>
      <c r="E332" s="5" t="s">
        <v>899</v>
      </c>
      <c r="F332" s="5" t="s">
        <v>96</v>
      </c>
      <c r="G332" s="5" t="s">
        <v>127</v>
      </c>
      <c r="H332" s="5" t="s">
        <v>1349</v>
      </c>
      <c r="I332" s="5" t="s">
        <v>1827</v>
      </c>
      <c r="J332" s="5" t="s">
        <v>1827</v>
      </c>
      <c r="K332" s="5">
        <v>20</v>
      </c>
      <c r="L332" s="5"/>
      <c r="M332" s="5" t="s">
        <v>919</v>
      </c>
      <c r="N332" s="5" t="s">
        <v>2395</v>
      </c>
      <c r="O332" s="5" t="s">
        <v>2396</v>
      </c>
      <c r="P332" s="5" t="s">
        <v>2397</v>
      </c>
      <c r="Q332" s="5" t="s">
        <v>2393</v>
      </c>
      <c r="R332" s="5">
        <v>13600</v>
      </c>
      <c r="S332" s="5">
        <v>15000</v>
      </c>
      <c r="T332" s="5">
        <v>52</v>
      </c>
      <c r="U332" s="5">
        <v>45</v>
      </c>
      <c r="V332" s="5">
        <v>37</v>
      </c>
      <c r="W332" s="5">
        <v>1</v>
      </c>
      <c r="X332" s="5" t="s">
        <v>1020</v>
      </c>
      <c r="Y332" s="5" t="s">
        <v>908</v>
      </c>
      <c r="Z332" s="5">
        <v>205</v>
      </c>
      <c r="AA332" s="5" t="s">
        <v>909</v>
      </c>
      <c r="AB332" s="5">
        <v>232.71</v>
      </c>
      <c r="AC332" s="5">
        <v>0.58</v>
      </c>
      <c r="AD332" s="5">
        <v>134.9718</v>
      </c>
      <c r="AE332" s="5">
        <v>168.7147</v>
      </c>
      <c r="AF332" s="5">
        <v>179.9624</v>
      </c>
      <c r="AG332" s="5">
        <v>207.6489</v>
      </c>
      <c r="AH332" s="5">
        <v>245.4033</v>
      </c>
      <c r="AI332" s="5"/>
    </row>
    <row r="333" hidden="1" spans="1:35">
      <c r="A333" s="5" t="s">
        <v>897</v>
      </c>
      <c r="B333" s="5" t="s">
        <v>610</v>
      </c>
      <c r="C333" s="5" t="s">
        <v>609</v>
      </c>
      <c r="D333" s="5" t="s">
        <v>2398</v>
      </c>
      <c r="E333" s="5" t="s">
        <v>899</v>
      </c>
      <c r="F333" s="5" t="s">
        <v>96</v>
      </c>
      <c r="G333" s="5" t="s">
        <v>127</v>
      </c>
      <c r="H333" s="5" t="s">
        <v>2399</v>
      </c>
      <c r="I333" s="5" t="s">
        <v>1015</v>
      </c>
      <c r="J333" s="5" t="s">
        <v>1015</v>
      </c>
      <c r="K333" s="5">
        <v>19</v>
      </c>
      <c r="L333" s="5"/>
      <c r="M333" s="5" t="s">
        <v>919</v>
      </c>
      <c r="N333" s="5" t="s">
        <v>2400</v>
      </c>
      <c r="O333" s="5" t="s">
        <v>2401</v>
      </c>
      <c r="P333" s="5" t="s">
        <v>2402</v>
      </c>
      <c r="Q333" s="5" t="s">
        <v>2403</v>
      </c>
      <c r="R333" s="5">
        <v>13600</v>
      </c>
      <c r="S333" s="5">
        <v>14450</v>
      </c>
      <c r="T333" s="5">
        <v>55</v>
      </c>
      <c r="U333" s="5">
        <v>48</v>
      </c>
      <c r="V333" s="5">
        <v>41</v>
      </c>
      <c r="W333" s="5">
        <v>1</v>
      </c>
      <c r="X333" s="5" t="s">
        <v>1020</v>
      </c>
      <c r="Y333" s="5" t="s">
        <v>908</v>
      </c>
      <c r="Z333" s="5">
        <v>63</v>
      </c>
      <c r="AA333" s="5" t="s">
        <v>909</v>
      </c>
      <c r="AB333" s="5">
        <v>324.92</v>
      </c>
      <c r="AC333" s="5">
        <v>0.58</v>
      </c>
      <c r="AD333" s="5">
        <v>188.4536</v>
      </c>
      <c r="AE333" s="5">
        <v>235.567</v>
      </c>
      <c r="AF333" s="5">
        <v>251.2715</v>
      </c>
      <c r="AG333" s="5">
        <v>289.9286</v>
      </c>
      <c r="AH333" s="5">
        <v>342.6429</v>
      </c>
      <c r="AI333" s="5"/>
    </row>
    <row r="334" hidden="1" spans="1:35">
      <c r="A334" s="5" t="s">
        <v>897</v>
      </c>
      <c r="B334" s="5" t="s">
        <v>614</v>
      </c>
      <c r="C334" s="5" t="s">
        <v>613</v>
      </c>
      <c r="D334" s="5" t="s">
        <v>2404</v>
      </c>
      <c r="E334" s="5" t="s">
        <v>899</v>
      </c>
      <c r="F334" s="5" t="s">
        <v>96</v>
      </c>
      <c r="G334" s="5" t="s">
        <v>127</v>
      </c>
      <c r="H334" s="5" t="s">
        <v>2399</v>
      </c>
      <c r="I334" s="5" t="s">
        <v>1015</v>
      </c>
      <c r="J334" s="5" t="s">
        <v>1015</v>
      </c>
      <c r="K334" s="5">
        <v>19</v>
      </c>
      <c r="L334" s="5"/>
      <c r="M334" s="5" t="s">
        <v>919</v>
      </c>
      <c r="N334" s="5" t="s">
        <v>2405</v>
      </c>
      <c r="O334" s="5" t="s">
        <v>2406</v>
      </c>
      <c r="P334" s="5" t="s">
        <v>2407</v>
      </c>
      <c r="Q334" s="5" t="s">
        <v>2403</v>
      </c>
      <c r="R334" s="5">
        <v>13600</v>
      </c>
      <c r="S334" s="5">
        <v>14450</v>
      </c>
      <c r="T334" s="5">
        <v>55</v>
      </c>
      <c r="U334" s="5">
        <v>48</v>
      </c>
      <c r="V334" s="5">
        <v>41</v>
      </c>
      <c r="W334" s="5">
        <v>1</v>
      </c>
      <c r="X334" s="5" t="s">
        <v>1020</v>
      </c>
      <c r="Y334" s="5" t="s">
        <v>908</v>
      </c>
      <c r="Z334" s="5">
        <v>3</v>
      </c>
      <c r="AA334" s="5" t="s">
        <v>909</v>
      </c>
      <c r="AB334" s="5">
        <v>395.71</v>
      </c>
      <c r="AC334" s="5">
        <v>0.58</v>
      </c>
      <c r="AD334" s="5">
        <v>229.5118</v>
      </c>
      <c r="AE334" s="5">
        <v>286.8897</v>
      </c>
      <c r="AF334" s="5">
        <v>306.0157</v>
      </c>
      <c r="AG334" s="5">
        <v>353.0951</v>
      </c>
      <c r="AH334" s="5">
        <v>417.2942</v>
      </c>
      <c r="AI334" s="5"/>
    </row>
    <row r="335" hidden="1" spans="1:35">
      <c r="A335" s="5" t="s">
        <v>897</v>
      </c>
      <c r="B335" s="5" t="s">
        <v>170</v>
      </c>
      <c r="C335" s="5" t="s">
        <v>169</v>
      </c>
      <c r="D335" s="5" t="s">
        <v>2408</v>
      </c>
      <c r="E335" s="5" t="s">
        <v>899</v>
      </c>
      <c r="F335" s="5" t="s">
        <v>96</v>
      </c>
      <c r="G335" s="5" t="s">
        <v>127</v>
      </c>
      <c r="H335" s="5" t="s">
        <v>2399</v>
      </c>
      <c r="I335" s="5" t="s">
        <v>1015</v>
      </c>
      <c r="J335" s="5" t="s">
        <v>1015</v>
      </c>
      <c r="K335" s="5">
        <v>19</v>
      </c>
      <c r="L335" s="5"/>
      <c r="M335" s="5" t="s">
        <v>919</v>
      </c>
      <c r="N335" s="5" t="s">
        <v>2409</v>
      </c>
      <c r="O335" s="5" t="s">
        <v>2410</v>
      </c>
      <c r="P335" s="5" t="s">
        <v>2411</v>
      </c>
      <c r="Q335" s="5" t="s">
        <v>2403</v>
      </c>
      <c r="R335" s="5">
        <v>13600</v>
      </c>
      <c r="S335" s="5">
        <v>15000</v>
      </c>
      <c r="T335" s="5">
        <v>55</v>
      </c>
      <c r="U335" s="5">
        <v>48</v>
      </c>
      <c r="V335" s="5">
        <v>41</v>
      </c>
      <c r="W335" s="5">
        <v>1</v>
      </c>
      <c r="X335" s="5" t="s">
        <v>1020</v>
      </c>
      <c r="Y335" s="5" t="s">
        <v>908</v>
      </c>
      <c r="Z335" s="5">
        <v>96</v>
      </c>
      <c r="AA335" s="5" t="s">
        <v>909</v>
      </c>
      <c r="AB335" s="5">
        <v>271.82</v>
      </c>
      <c r="AC335" s="5">
        <v>0.58</v>
      </c>
      <c r="AD335" s="5">
        <v>157.6556</v>
      </c>
      <c r="AE335" s="5">
        <v>197.0695</v>
      </c>
      <c r="AF335" s="5">
        <v>210.2075</v>
      </c>
      <c r="AG335" s="5">
        <v>242.5471</v>
      </c>
      <c r="AH335" s="5">
        <v>286.6465</v>
      </c>
      <c r="AI335" s="5"/>
    </row>
    <row r="336" hidden="1" spans="1:35">
      <c r="A336" s="5" t="s">
        <v>897</v>
      </c>
      <c r="B336" s="5" t="s">
        <v>178</v>
      </c>
      <c r="C336" s="5" t="s">
        <v>177</v>
      </c>
      <c r="D336" s="5" t="s">
        <v>2412</v>
      </c>
      <c r="E336" s="5" t="s">
        <v>899</v>
      </c>
      <c r="F336" s="5" t="s">
        <v>96</v>
      </c>
      <c r="G336" s="5" t="s">
        <v>127</v>
      </c>
      <c r="H336" s="5" t="s">
        <v>2399</v>
      </c>
      <c r="I336" s="5" t="s">
        <v>1015</v>
      </c>
      <c r="J336" s="5" t="s">
        <v>1015</v>
      </c>
      <c r="K336" s="5">
        <v>19</v>
      </c>
      <c r="L336" s="5"/>
      <c r="M336" s="5" t="s">
        <v>919</v>
      </c>
      <c r="N336" s="5" t="s">
        <v>2413</v>
      </c>
      <c r="O336" s="5" t="s">
        <v>2414</v>
      </c>
      <c r="P336" s="5" t="s">
        <v>2415</v>
      </c>
      <c r="Q336" s="5" t="s">
        <v>2403</v>
      </c>
      <c r="R336" s="5">
        <v>13600</v>
      </c>
      <c r="S336" s="5">
        <v>15000</v>
      </c>
      <c r="T336" s="5">
        <v>55</v>
      </c>
      <c r="U336" s="5">
        <v>48</v>
      </c>
      <c r="V336" s="5">
        <v>41</v>
      </c>
      <c r="W336" s="5">
        <v>1</v>
      </c>
      <c r="X336" s="5" t="s">
        <v>1020</v>
      </c>
      <c r="Y336" s="5" t="s">
        <v>908</v>
      </c>
      <c r="Z336" s="5">
        <v>83</v>
      </c>
      <c r="AA336" s="5" t="s">
        <v>909</v>
      </c>
      <c r="AB336" s="5">
        <v>333.77</v>
      </c>
      <c r="AC336" s="5">
        <v>0.58</v>
      </c>
      <c r="AD336" s="5">
        <v>193.5866</v>
      </c>
      <c r="AE336" s="5">
        <v>241.9832</v>
      </c>
      <c r="AF336" s="5">
        <v>258.1155</v>
      </c>
      <c r="AG336" s="5">
        <v>297.8255</v>
      </c>
      <c r="AH336" s="5">
        <v>351.9756</v>
      </c>
      <c r="AI336" s="5"/>
    </row>
    <row r="337" hidden="1" spans="1:35">
      <c r="A337" s="5" t="s">
        <v>897</v>
      </c>
      <c r="B337" s="5" t="s">
        <v>704</v>
      </c>
      <c r="C337" s="5" t="s">
        <v>703</v>
      </c>
      <c r="D337" s="5" t="s">
        <v>1805</v>
      </c>
      <c r="E337" s="5" t="s">
        <v>899</v>
      </c>
      <c r="F337" s="5" t="s">
        <v>96</v>
      </c>
      <c r="G337" s="5" t="s">
        <v>115</v>
      </c>
      <c r="H337" s="5" t="s">
        <v>1454</v>
      </c>
      <c r="I337" s="5" t="s">
        <v>1107</v>
      </c>
      <c r="J337" s="5" t="s">
        <v>1107</v>
      </c>
      <c r="K337" s="5">
        <v>19</v>
      </c>
      <c r="L337" s="5"/>
      <c r="M337" s="5" t="s">
        <v>919</v>
      </c>
      <c r="N337" s="5" t="s">
        <v>1455</v>
      </c>
      <c r="O337" s="5" t="s">
        <v>1456</v>
      </c>
      <c r="P337" s="5" t="s">
        <v>1806</v>
      </c>
      <c r="Q337" s="5" t="s">
        <v>1807</v>
      </c>
      <c r="R337" s="5">
        <v>460</v>
      </c>
      <c r="S337" s="5">
        <v>470</v>
      </c>
      <c r="T337" s="5">
        <v>2.94</v>
      </c>
      <c r="U337" s="5">
        <v>24</v>
      </c>
      <c r="V337" s="5">
        <v>20.5</v>
      </c>
      <c r="W337" s="5">
        <v>16</v>
      </c>
      <c r="X337" s="5" t="s">
        <v>907</v>
      </c>
      <c r="Y337" s="5" t="s">
        <v>908</v>
      </c>
      <c r="Z337" s="5">
        <v>0</v>
      </c>
      <c r="AA337" s="5" t="s">
        <v>909</v>
      </c>
      <c r="AB337" s="5">
        <v>16.31</v>
      </c>
      <c r="AC337" s="5">
        <v>0.58</v>
      </c>
      <c r="AD337" s="5">
        <v>9.4598</v>
      </c>
      <c r="AE337" s="5">
        <v>11.8247</v>
      </c>
      <c r="AF337" s="5">
        <v>12.6131</v>
      </c>
      <c r="AG337" s="5">
        <v>14.5535</v>
      </c>
      <c r="AH337" s="5">
        <v>17.1996</v>
      </c>
      <c r="AI337" s="5"/>
    </row>
    <row r="338" hidden="1" spans="1:35">
      <c r="A338" s="5" t="s">
        <v>897</v>
      </c>
      <c r="B338" s="5" t="s">
        <v>672</v>
      </c>
      <c r="C338" s="5" t="s">
        <v>667</v>
      </c>
      <c r="D338" s="5" t="s">
        <v>1808</v>
      </c>
      <c r="E338" s="5" t="s">
        <v>899</v>
      </c>
      <c r="F338" s="5" t="s">
        <v>96</v>
      </c>
      <c r="G338" s="5" t="s">
        <v>115</v>
      </c>
      <c r="H338" s="5" t="s">
        <v>1454</v>
      </c>
      <c r="I338" s="5" t="s">
        <v>1107</v>
      </c>
      <c r="J338" s="5" t="s">
        <v>1107</v>
      </c>
      <c r="K338" s="5">
        <v>19</v>
      </c>
      <c r="L338" s="5"/>
      <c r="M338" s="5" t="s">
        <v>919</v>
      </c>
      <c r="N338" s="5" t="s">
        <v>1455</v>
      </c>
      <c r="O338" s="5" t="s">
        <v>1456</v>
      </c>
      <c r="P338" s="5" t="s">
        <v>1809</v>
      </c>
      <c r="Q338" s="5" t="s">
        <v>1810</v>
      </c>
      <c r="R338" s="5">
        <v>460</v>
      </c>
      <c r="S338" s="5">
        <v>470</v>
      </c>
      <c r="T338" s="5">
        <v>4.18</v>
      </c>
      <c r="U338" s="5">
        <v>36</v>
      </c>
      <c r="V338" s="5">
        <v>28</v>
      </c>
      <c r="W338" s="5">
        <v>10</v>
      </c>
      <c r="X338" s="5" t="s">
        <v>907</v>
      </c>
      <c r="Y338" s="5" t="s">
        <v>908</v>
      </c>
      <c r="Z338" s="5">
        <v>458</v>
      </c>
      <c r="AA338" s="5" t="s">
        <v>909</v>
      </c>
      <c r="AB338" s="5">
        <v>23.31</v>
      </c>
      <c r="AC338" s="5">
        <v>0.58</v>
      </c>
      <c r="AD338" s="5">
        <v>13.5198</v>
      </c>
      <c r="AE338" s="5">
        <v>16.8997</v>
      </c>
      <c r="AF338" s="5">
        <v>18.0264</v>
      </c>
      <c r="AG338" s="5">
        <v>20.7997</v>
      </c>
      <c r="AH338" s="5">
        <v>24.5815</v>
      </c>
      <c r="AI338" s="5"/>
    </row>
    <row r="339" hidden="1" spans="1:35">
      <c r="A339" s="5" t="s">
        <v>897</v>
      </c>
      <c r="B339" s="5" t="s">
        <v>647</v>
      </c>
      <c r="C339" s="5" t="s">
        <v>634</v>
      </c>
      <c r="D339" s="5" t="s">
        <v>1811</v>
      </c>
      <c r="E339" s="5" t="s">
        <v>899</v>
      </c>
      <c r="F339" s="5" t="s">
        <v>96</v>
      </c>
      <c r="G339" s="5" t="s">
        <v>115</v>
      </c>
      <c r="H339" s="5" t="s">
        <v>1454</v>
      </c>
      <c r="I339" s="5" t="s">
        <v>1107</v>
      </c>
      <c r="J339" s="5" t="s">
        <v>1107</v>
      </c>
      <c r="K339" s="5">
        <v>19</v>
      </c>
      <c r="L339" s="5"/>
      <c r="M339" s="5" t="s">
        <v>919</v>
      </c>
      <c r="N339" s="5" t="s">
        <v>1455</v>
      </c>
      <c r="O339" s="5" t="s">
        <v>1456</v>
      </c>
      <c r="P339" s="5" t="s">
        <v>1812</v>
      </c>
      <c r="Q339" s="5" t="s">
        <v>1807</v>
      </c>
      <c r="R339" s="5">
        <v>1000</v>
      </c>
      <c r="S339" s="5">
        <v>1050</v>
      </c>
      <c r="T339" s="5">
        <v>2.94</v>
      </c>
      <c r="U339" s="5">
        <v>24</v>
      </c>
      <c r="V339" s="5">
        <v>20.5</v>
      </c>
      <c r="W339" s="5">
        <v>16</v>
      </c>
      <c r="X339" s="5" t="s">
        <v>907</v>
      </c>
      <c r="Y339" s="5" t="s">
        <v>908</v>
      </c>
      <c r="Z339" s="5">
        <v>294</v>
      </c>
      <c r="AA339" s="5" t="s">
        <v>909</v>
      </c>
      <c r="AB339" s="5">
        <v>17.7</v>
      </c>
      <c r="AC339" s="5">
        <v>0.58</v>
      </c>
      <c r="AD339" s="5">
        <v>10.266</v>
      </c>
      <c r="AE339" s="5">
        <v>12.8325</v>
      </c>
      <c r="AF339" s="5">
        <v>13.688</v>
      </c>
      <c r="AG339" s="5">
        <v>15.7938</v>
      </c>
      <c r="AH339" s="5">
        <v>18.6655</v>
      </c>
      <c r="AI339" s="5"/>
    </row>
    <row r="340" hidden="1" spans="1:35">
      <c r="A340" s="5" t="s">
        <v>897</v>
      </c>
      <c r="B340" s="5" t="s">
        <v>435</v>
      </c>
      <c r="C340" s="5" t="s">
        <v>434</v>
      </c>
      <c r="D340" s="5" t="s">
        <v>1814</v>
      </c>
      <c r="E340" s="5" t="s">
        <v>899</v>
      </c>
      <c r="F340" s="5" t="s">
        <v>96</v>
      </c>
      <c r="G340" s="5" t="s">
        <v>115</v>
      </c>
      <c r="H340" s="5" t="s">
        <v>1454</v>
      </c>
      <c r="I340" s="5" t="s">
        <v>1107</v>
      </c>
      <c r="J340" s="5" t="s">
        <v>1107</v>
      </c>
      <c r="K340" s="5">
        <v>19</v>
      </c>
      <c r="L340" s="5"/>
      <c r="M340" s="5" t="s">
        <v>919</v>
      </c>
      <c r="N340" s="5" t="s">
        <v>1455</v>
      </c>
      <c r="O340" s="5" t="s">
        <v>1456</v>
      </c>
      <c r="P340" s="5" t="s">
        <v>1815</v>
      </c>
      <c r="Q340" s="5" t="s">
        <v>1810</v>
      </c>
      <c r="R340" s="5">
        <v>1000</v>
      </c>
      <c r="S340" s="5">
        <v>1050</v>
      </c>
      <c r="T340" s="5">
        <v>4.18</v>
      </c>
      <c r="U340" s="5">
        <v>36</v>
      </c>
      <c r="V340" s="5">
        <v>28</v>
      </c>
      <c r="W340" s="5">
        <v>10</v>
      </c>
      <c r="X340" s="5" t="s">
        <v>907</v>
      </c>
      <c r="Y340" s="5" t="s">
        <v>908</v>
      </c>
      <c r="Z340" s="5">
        <v>530</v>
      </c>
      <c r="AA340" s="5" t="s">
        <v>909</v>
      </c>
      <c r="AB340" s="5">
        <v>24.7</v>
      </c>
      <c r="AC340" s="5">
        <v>0.58</v>
      </c>
      <c r="AD340" s="5">
        <v>14.326</v>
      </c>
      <c r="AE340" s="5">
        <v>17.9075</v>
      </c>
      <c r="AF340" s="5">
        <v>19.1013</v>
      </c>
      <c r="AG340" s="5">
        <v>22.04</v>
      </c>
      <c r="AH340" s="5">
        <v>26.0473</v>
      </c>
      <c r="AI340" s="5"/>
    </row>
    <row r="341" hidden="1" spans="1:35">
      <c r="A341" s="5" t="s">
        <v>897</v>
      </c>
      <c r="B341" s="5" t="s">
        <v>24</v>
      </c>
      <c r="C341" s="5" t="s">
        <v>18</v>
      </c>
      <c r="D341" s="5" t="s">
        <v>1453</v>
      </c>
      <c r="E341" s="5" t="s">
        <v>899</v>
      </c>
      <c r="F341" s="5" t="s">
        <v>96</v>
      </c>
      <c r="G341" s="5" t="s">
        <v>115</v>
      </c>
      <c r="H341" s="5" t="s">
        <v>1454</v>
      </c>
      <c r="I341" s="5" t="s">
        <v>1107</v>
      </c>
      <c r="J341" s="5" t="s">
        <v>1107</v>
      </c>
      <c r="K341" s="5">
        <v>19</v>
      </c>
      <c r="L341" s="5"/>
      <c r="M341" s="5" t="s">
        <v>919</v>
      </c>
      <c r="N341" s="5" t="s">
        <v>1455</v>
      </c>
      <c r="O341" s="5" t="s">
        <v>1456</v>
      </c>
      <c r="P341" s="5" t="s">
        <v>1457</v>
      </c>
      <c r="Q341" s="5" t="s">
        <v>1458</v>
      </c>
      <c r="R341" s="5">
        <v>760</v>
      </c>
      <c r="S341" s="5">
        <v>800</v>
      </c>
      <c r="T341" s="5">
        <v>3.3</v>
      </c>
      <c r="U341" s="5">
        <v>29.5</v>
      </c>
      <c r="V341" s="5">
        <v>25.5</v>
      </c>
      <c r="W341" s="5">
        <v>10</v>
      </c>
      <c r="X341" s="5" t="s">
        <v>1020</v>
      </c>
      <c r="Y341" s="5" t="s">
        <v>908</v>
      </c>
      <c r="Z341" s="5">
        <v>0</v>
      </c>
      <c r="AA341" s="5" t="s">
        <v>909</v>
      </c>
      <c r="AB341" s="5">
        <v>17.49</v>
      </c>
      <c r="AC341" s="5">
        <v>0.58</v>
      </c>
      <c r="AD341" s="5">
        <v>10.1442</v>
      </c>
      <c r="AE341" s="5">
        <v>12.6802</v>
      </c>
      <c r="AF341" s="5">
        <v>13.5256</v>
      </c>
      <c r="AG341" s="5">
        <v>15.6065</v>
      </c>
      <c r="AH341" s="5">
        <v>18.444</v>
      </c>
      <c r="AI341" s="5"/>
    </row>
    <row r="342" hidden="1" spans="1:35">
      <c r="A342" s="5" t="s">
        <v>897</v>
      </c>
      <c r="B342" s="5" t="s">
        <v>25</v>
      </c>
      <c r="C342" s="5" t="s">
        <v>22</v>
      </c>
      <c r="D342" s="5" t="s">
        <v>1459</v>
      </c>
      <c r="E342" s="5" t="s">
        <v>899</v>
      </c>
      <c r="F342" s="5" t="s">
        <v>96</v>
      </c>
      <c r="G342" s="5" t="s">
        <v>115</v>
      </c>
      <c r="H342" s="5" t="s">
        <v>1454</v>
      </c>
      <c r="I342" s="5" t="s">
        <v>1107</v>
      </c>
      <c r="J342" s="5" t="s">
        <v>1107</v>
      </c>
      <c r="K342" s="5">
        <v>19</v>
      </c>
      <c r="L342" s="5"/>
      <c r="M342" s="5" t="s">
        <v>919</v>
      </c>
      <c r="N342" s="5" t="s">
        <v>1455</v>
      </c>
      <c r="O342" s="5" t="s">
        <v>1456</v>
      </c>
      <c r="P342" s="5" t="s">
        <v>1460</v>
      </c>
      <c r="Q342" s="5" t="s">
        <v>1458</v>
      </c>
      <c r="R342" s="5">
        <v>760</v>
      </c>
      <c r="S342" s="5">
        <v>800</v>
      </c>
      <c r="T342" s="5">
        <v>3.3</v>
      </c>
      <c r="U342" s="5">
        <v>29.5</v>
      </c>
      <c r="V342" s="5">
        <v>25.5</v>
      </c>
      <c r="W342" s="5">
        <v>10</v>
      </c>
      <c r="X342" s="5" t="s">
        <v>1020</v>
      </c>
      <c r="Y342" s="5" t="s">
        <v>908</v>
      </c>
      <c r="Z342" s="5">
        <v>0</v>
      </c>
      <c r="AA342" s="5" t="s">
        <v>909</v>
      </c>
      <c r="AB342" s="5">
        <v>18.46</v>
      </c>
      <c r="AC342" s="5">
        <v>0.58</v>
      </c>
      <c r="AD342" s="5">
        <v>10.7068</v>
      </c>
      <c r="AE342" s="5">
        <v>13.3835</v>
      </c>
      <c r="AF342" s="5">
        <v>14.2757</v>
      </c>
      <c r="AG342" s="5">
        <v>16.472</v>
      </c>
      <c r="AH342" s="5">
        <v>19.4669</v>
      </c>
      <c r="AI342" s="5"/>
    </row>
    <row r="343" hidden="1" spans="1:35">
      <c r="A343" s="5" t="s">
        <v>897</v>
      </c>
      <c r="B343" s="5" t="s">
        <v>801</v>
      </c>
      <c r="C343" s="5" t="s">
        <v>800</v>
      </c>
      <c r="D343" s="5" t="s">
        <v>2416</v>
      </c>
      <c r="E343" s="5" t="s">
        <v>899</v>
      </c>
      <c r="F343" s="5" t="s">
        <v>96</v>
      </c>
      <c r="G343" s="5" t="s">
        <v>115</v>
      </c>
      <c r="H343" s="5" t="s">
        <v>1454</v>
      </c>
      <c r="I343" s="5" t="s">
        <v>1107</v>
      </c>
      <c r="J343" s="5" t="s">
        <v>1107</v>
      </c>
      <c r="K343" s="5">
        <v>19</v>
      </c>
      <c r="L343" s="5"/>
      <c r="M343" s="5" t="s">
        <v>919</v>
      </c>
      <c r="N343" s="5" t="s">
        <v>1455</v>
      </c>
      <c r="O343" s="5" t="s">
        <v>1456</v>
      </c>
      <c r="P343" s="5" t="s">
        <v>1809</v>
      </c>
      <c r="Q343" s="5" t="s">
        <v>1810</v>
      </c>
      <c r="R343" s="5">
        <v>460</v>
      </c>
      <c r="S343" s="5">
        <v>470</v>
      </c>
      <c r="T343" s="5">
        <v>4.18</v>
      </c>
      <c r="U343" s="5">
        <v>36</v>
      </c>
      <c r="V343" s="5">
        <v>28</v>
      </c>
      <c r="W343" s="5">
        <v>10</v>
      </c>
      <c r="X343" s="5" t="s">
        <v>907</v>
      </c>
      <c r="Y343" s="5" t="s">
        <v>908</v>
      </c>
      <c r="Z343" s="5">
        <v>44</v>
      </c>
      <c r="AA343" s="5" t="s">
        <v>909</v>
      </c>
      <c r="AB343" s="5">
        <v>23.31</v>
      </c>
      <c r="AC343" s="5">
        <v>0.58</v>
      </c>
      <c r="AD343" s="5">
        <v>13.5198</v>
      </c>
      <c r="AE343" s="5">
        <v>16.8997</v>
      </c>
      <c r="AF343" s="5">
        <v>18.0264</v>
      </c>
      <c r="AG343" s="5">
        <v>20.7997</v>
      </c>
      <c r="AH343" s="5">
        <v>24.5815</v>
      </c>
      <c r="AI343" s="5"/>
    </row>
    <row r="344" hidden="1" spans="1:35">
      <c r="A344" s="5" t="s">
        <v>897</v>
      </c>
      <c r="B344" s="5" t="s">
        <v>27</v>
      </c>
      <c r="C344" s="5" t="s">
        <v>26</v>
      </c>
      <c r="D344" s="5" t="s">
        <v>2417</v>
      </c>
      <c r="E344" s="5" t="s">
        <v>899</v>
      </c>
      <c r="F344" s="5" t="s">
        <v>96</v>
      </c>
      <c r="G344" s="5" t="s">
        <v>115</v>
      </c>
      <c r="H344" s="5" t="s">
        <v>1454</v>
      </c>
      <c r="I344" s="5" t="s">
        <v>1107</v>
      </c>
      <c r="J344" s="5" t="s">
        <v>1107</v>
      </c>
      <c r="K344" s="5">
        <v>19</v>
      </c>
      <c r="L344" s="5"/>
      <c r="M344" s="5" t="s">
        <v>919</v>
      </c>
      <c r="N344" s="5" t="s">
        <v>1455</v>
      </c>
      <c r="O344" s="5" t="s">
        <v>1456</v>
      </c>
      <c r="P344" s="5" t="s">
        <v>1457</v>
      </c>
      <c r="Q344" s="5" t="s">
        <v>1458</v>
      </c>
      <c r="R344" s="5">
        <v>760</v>
      </c>
      <c r="S344" s="5">
        <v>800</v>
      </c>
      <c r="T344" s="5">
        <v>3.3</v>
      </c>
      <c r="U344" s="5">
        <v>29.5</v>
      </c>
      <c r="V344" s="5">
        <v>25.5</v>
      </c>
      <c r="W344" s="5">
        <v>10</v>
      </c>
      <c r="X344" s="5" t="s">
        <v>907</v>
      </c>
      <c r="Y344" s="5" t="s">
        <v>908</v>
      </c>
      <c r="Z344" s="5">
        <v>70</v>
      </c>
      <c r="AA344" s="5" t="s">
        <v>909</v>
      </c>
      <c r="AB344" s="5">
        <v>19.2</v>
      </c>
      <c r="AC344" s="5">
        <v>0.58</v>
      </c>
      <c r="AD344" s="5">
        <v>11.136</v>
      </c>
      <c r="AE344" s="5">
        <v>13.92</v>
      </c>
      <c r="AF344" s="5">
        <v>14.848</v>
      </c>
      <c r="AG344" s="5">
        <v>17.1323</v>
      </c>
      <c r="AH344" s="5">
        <v>20.2473</v>
      </c>
      <c r="AI344" s="5"/>
    </row>
    <row r="345" hidden="1" spans="1:35">
      <c r="A345" s="5" t="s">
        <v>897</v>
      </c>
      <c r="B345" s="5" t="s">
        <v>655</v>
      </c>
      <c r="C345" s="5" t="s">
        <v>654</v>
      </c>
      <c r="D345" s="5" t="s">
        <v>2418</v>
      </c>
      <c r="E345" s="5" t="s">
        <v>899</v>
      </c>
      <c r="F345" s="5" t="s">
        <v>96</v>
      </c>
      <c r="G345" s="5" t="s">
        <v>115</v>
      </c>
      <c r="H345" s="5" t="s">
        <v>1454</v>
      </c>
      <c r="I345" s="5" t="s">
        <v>1107</v>
      </c>
      <c r="J345" s="5" t="s">
        <v>1107</v>
      </c>
      <c r="K345" s="5">
        <v>19</v>
      </c>
      <c r="L345" s="5"/>
      <c r="M345" s="5" t="s">
        <v>919</v>
      </c>
      <c r="N345" s="5" t="s">
        <v>1455</v>
      </c>
      <c r="O345" s="5" t="s">
        <v>1456</v>
      </c>
      <c r="P345" s="5" t="s">
        <v>1806</v>
      </c>
      <c r="Q345" s="5" t="s">
        <v>1807</v>
      </c>
      <c r="R345" s="5">
        <v>460</v>
      </c>
      <c r="S345" s="5">
        <v>470</v>
      </c>
      <c r="T345" s="5">
        <v>2.94</v>
      </c>
      <c r="U345" s="5">
        <v>24</v>
      </c>
      <c r="V345" s="5">
        <v>20.5</v>
      </c>
      <c r="W345" s="5">
        <v>16</v>
      </c>
      <c r="X345" s="5" t="s">
        <v>907</v>
      </c>
      <c r="Y345" s="5" t="s">
        <v>908</v>
      </c>
      <c r="Z345" s="5">
        <v>160</v>
      </c>
      <c r="AA345" s="5" t="s">
        <v>909</v>
      </c>
      <c r="AB345" s="5">
        <v>16.31</v>
      </c>
      <c r="AC345" s="5">
        <v>0.58</v>
      </c>
      <c r="AD345" s="5">
        <v>9.4598</v>
      </c>
      <c r="AE345" s="5">
        <v>11.8247</v>
      </c>
      <c r="AF345" s="5">
        <v>12.6131</v>
      </c>
      <c r="AG345" s="5">
        <v>14.5535</v>
      </c>
      <c r="AH345" s="5">
        <v>17.1996</v>
      </c>
      <c r="AI345" s="5"/>
    </row>
    <row r="346" hidden="1" spans="1:35">
      <c r="A346" s="5" t="s">
        <v>897</v>
      </c>
      <c r="B346" s="5" t="s">
        <v>432</v>
      </c>
      <c r="C346" s="5" t="s">
        <v>431</v>
      </c>
      <c r="D346" s="5" t="s">
        <v>2419</v>
      </c>
      <c r="E346" s="5" t="s">
        <v>899</v>
      </c>
      <c r="F346" s="5" t="s">
        <v>96</v>
      </c>
      <c r="G346" s="5" t="s">
        <v>115</v>
      </c>
      <c r="H346" s="5" t="s">
        <v>1454</v>
      </c>
      <c r="I346" s="5" t="s">
        <v>1107</v>
      </c>
      <c r="J346" s="5" t="s">
        <v>1107</v>
      </c>
      <c r="K346" s="5">
        <v>19</v>
      </c>
      <c r="L346" s="5"/>
      <c r="M346" s="5" t="s">
        <v>919</v>
      </c>
      <c r="N346" s="5" t="s">
        <v>1455</v>
      </c>
      <c r="O346" s="5" t="s">
        <v>1456</v>
      </c>
      <c r="P346" s="5" t="s">
        <v>1809</v>
      </c>
      <c r="Q346" s="5" t="s">
        <v>1810</v>
      </c>
      <c r="R346" s="5">
        <v>460</v>
      </c>
      <c r="S346" s="5">
        <v>470</v>
      </c>
      <c r="T346" s="5">
        <v>4.18</v>
      </c>
      <c r="U346" s="5">
        <v>36</v>
      </c>
      <c r="V346" s="5">
        <v>28</v>
      </c>
      <c r="W346" s="5">
        <v>10</v>
      </c>
      <c r="X346" s="5" t="s">
        <v>907</v>
      </c>
      <c r="Y346" s="5" t="s">
        <v>908</v>
      </c>
      <c r="Z346" s="5">
        <v>148</v>
      </c>
      <c r="AA346" s="5" t="s">
        <v>909</v>
      </c>
      <c r="AB346" s="5">
        <v>23.31</v>
      </c>
      <c r="AC346" s="5">
        <v>0.58</v>
      </c>
      <c r="AD346" s="5">
        <v>13.5198</v>
      </c>
      <c r="AE346" s="5">
        <v>16.8997</v>
      </c>
      <c r="AF346" s="5">
        <v>18.0264</v>
      </c>
      <c r="AG346" s="5">
        <v>20.7997</v>
      </c>
      <c r="AH346" s="5">
        <v>24.5815</v>
      </c>
      <c r="AI346" s="5"/>
    </row>
    <row r="347" hidden="1" spans="1:35">
      <c r="A347" s="5" t="s">
        <v>897</v>
      </c>
      <c r="B347" s="5" t="s">
        <v>729</v>
      </c>
      <c r="C347" s="5" t="s">
        <v>728</v>
      </c>
      <c r="D347" s="5" t="s">
        <v>2420</v>
      </c>
      <c r="E347" s="5" t="s">
        <v>899</v>
      </c>
      <c r="F347" s="5" t="s">
        <v>96</v>
      </c>
      <c r="G347" s="5" t="s">
        <v>115</v>
      </c>
      <c r="H347" s="5" t="s">
        <v>1454</v>
      </c>
      <c r="I347" s="5" t="s">
        <v>1107</v>
      </c>
      <c r="J347" s="5" t="s">
        <v>1107</v>
      </c>
      <c r="K347" s="5">
        <v>19</v>
      </c>
      <c r="L347" s="5"/>
      <c r="M347" s="5" t="s">
        <v>919</v>
      </c>
      <c r="N347" s="5" t="s">
        <v>1455</v>
      </c>
      <c r="O347" s="5" t="s">
        <v>1456</v>
      </c>
      <c r="P347" s="5" t="s">
        <v>1457</v>
      </c>
      <c r="Q347" s="5" t="s">
        <v>1458</v>
      </c>
      <c r="R347" s="5">
        <v>760</v>
      </c>
      <c r="S347" s="5">
        <v>800</v>
      </c>
      <c r="T347" s="5">
        <v>3.3</v>
      </c>
      <c r="U347" s="5">
        <v>29.5</v>
      </c>
      <c r="V347" s="5">
        <v>25.5</v>
      </c>
      <c r="W347" s="5">
        <v>10</v>
      </c>
      <c r="X347" s="5" t="s">
        <v>907</v>
      </c>
      <c r="Y347" s="5" t="s">
        <v>908</v>
      </c>
      <c r="Z347" s="5">
        <v>0</v>
      </c>
      <c r="AA347" s="5" t="s">
        <v>909</v>
      </c>
      <c r="AB347" s="5">
        <v>19.2</v>
      </c>
      <c r="AC347" s="5">
        <v>0.58</v>
      </c>
      <c r="AD347" s="5">
        <v>11.136</v>
      </c>
      <c r="AE347" s="5">
        <v>13.92</v>
      </c>
      <c r="AF347" s="5">
        <v>14.848</v>
      </c>
      <c r="AG347" s="5">
        <v>17.1323</v>
      </c>
      <c r="AH347" s="5">
        <v>20.2473</v>
      </c>
      <c r="AI347" s="5"/>
    </row>
    <row r="348" hidden="1" spans="1:35">
      <c r="A348" s="5" t="s">
        <v>897</v>
      </c>
      <c r="B348" s="5" t="s">
        <v>707</v>
      </c>
      <c r="C348" s="5" t="s">
        <v>706</v>
      </c>
      <c r="D348" s="5" t="s">
        <v>2421</v>
      </c>
      <c r="E348" s="5" t="s">
        <v>899</v>
      </c>
      <c r="F348" s="5" t="s">
        <v>96</v>
      </c>
      <c r="G348" s="5" t="s">
        <v>115</v>
      </c>
      <c r="H348" s="5" t="s">
        <v>1454</v>
      </c>
      <c r="I348" s="5" t="s">
        <v>1107</v>
      </c>
      <c r="J348" s="5" t="s">
        <v>1107</v>
      </c>
      <c r="K348" s="5">
        <v>19</v>
      </c>
      <c r="L348" s="5"/>
      <c r="M348" s="5" t="s">
        <v>919</v>
      </c>
      <c r="N348" s="5" t="s">
        <v>1455</v>
      </c>
      <c r="O348" s="5" t="s">
        <v>1456</v>
      </c>
      <c r="P348" s="5" t="s">
        <v>1806</v>
      </c>
      <c r="Q348" s="5" t="s">
        <v>1807</v>
      </c>
      <c r="R348" s="5">
        <v>460</v>
      </c>
      <c r="S348" s="5">
        <v>470</v>
      </c>
      <c r="T348" s="5">
        <v>2.94</v>
      </c>
      <c r="U348" s="5">
        <v>24</v>
      </c>
      <c r="V348" s="5">
        <v>20.5</v>
      </c>
      <c r="W348" s="5">
        <v>16</v>
      </c>
      <c r="X348" s="5" t="s">
        <v>907</v>
      </c>
      <c r="Y348" s="5" t="s">
        <v>908</v>
      </c>
      <c r="Z348" s="5">
        <v>89</v>
      </c>
      <c r="AA348" s="5" t="s">
        <v>909</v>
      </c>
      <c r="AB348" s="5">
        <v>16.31</v>
      </c>
      <c r="AC348" s="5">
        <v>0.58</v>
      </c>
      <c r="AD348" s="5">
        <v>9.4598</v>
      </c>
      <c r="AE348" s="5">
        <v>11.8247</v>
      </c>
      <c r="AF348" s="5">
        <v>12.6131</v>
      </c>
      <c r="AG348" s="5">
        <v>14.5535</v>
      </c>
      <c r="AH348" s="5">
        <v>17.1996</v>
      </c>
      <c r="AI348" s="5"/>
    </row>
    <row r="349" hidden="1" spans="1:35">
      <c r="A349" s="5" t="s">
        <v>897</v>
      </c>
      <c r="B349" s="5" t="s">
        <v>743</v>
      </c>
      <c r="C349" s="5" t="s">
        <v>742</v>
      </c>
      <c r="D349" s="5" t="s">
        <v>2422</v>
      </c>
      <c r="E349" s="5" t="s">
        <v>899</v>
      </c>
      <c r="F349" s="5" t="s">
        <v>96</v>
      </c>
      <c r="G349" s="5" t="s">
        <v>115</v>
      </c>
      <c r="H349" s="5" t="s">
        <v>1454</v>
      </c>
      <c r="I349" s="5" t="s">
        <v>1107</v>
      </c>
      <c r="J349" s="5" t="s">
        <v>1107</v>
      </c>
      <c r="K349" s="5">
        <v>19</v>
      </c>
      <c r="L349" s="5"/>
      <c r="M349" s="5" t="s">
        <v>919</v>
      </c>
      <c r="N349" s="5" t="s">
        <v>1455</v>
      </c>
      <c r="O349" s="5" t="s">
        <v>1456</v>
      </c>
      <c r="P349" s="5" t="s">
        <v>1809</v>
      </c>
      <c r="Q349" s="5" t="s">
        <v>1810</v>
      </c>
      <c r="R349" s="5">
        <v>460</v>
      </c>
      <c r="S349" s="5">
        <v>470</v>
      </c>
      <c r="T349" s="5">
        <v>4.18</v>
      </c>
      <c r="U349" s="5">
        <v>36</v>
      </c>
      <c r="V349" s="5">
        <v>28</v>
      </c>
      <c r="W349" s="5">
        <v>10</v>
      </c>
      <c r="X349" s="5" t="s">
        <v>907</v>
      </c>
      <c r="Y349" s="5" t="s">
        <v>908</v>
      </c>
      <c r="Z349" s="5">
        <v>64</v>
      </c>
      <c r="AA349" s="5" t="s">
        <v>909</v>
      </c>
      <c r="AB349" s="5">
        <v>23.31</v>
      </c>
      <c r="AC349" s="5">
        <v>0.58</v>
      </c>
      <c r="AD349" s="5">
        <v>13.5198</v>
      </c>
      <c r="AE349" s="5">
        <v>16.8997</v>
      </c>
      <c r="AF349" s="5">
        <v>18.0264</v>
      </c>
      <c r="AG349" s="5">
        <v>20.7997</v>
      </c>
      <c r="AH349" s="5">
        <v>24.5815</v>
      </c>
      <c r="AI349" s="5"/>
    </row>
    <row r="350" hidden="1" spans="1:35">
      <c r="A350" s="5" t="s">
        <v>897</v>
      </c>
      <c r="B350" s="5" t="s">
        <v>727</v>
      </c>
      <c r="C350" s="5" t="s">
        <v>726</v>
      </c>
      <c r="D350" s="5" t="s">
        <v>2423</v>
      </c>
      <c r="E350" s="5" t="s">
        <v>899</v>
      </c>
      <c r="F350" s="5" t="s">
        <v>96</v>
      </c>
      <c r="G350" s="5" t="s">
        <v>115</v>
      </c>
      <c r="H350" s="5" t="s">
        <v>1454</v>
      </c>
      <c r="I350" s="5" t="s">
        <v>1107</v>
      </c>
      <c r="J350" s="5" t="s">
        <v>1107</v>
      </c>
      <c r="K350" s="5">
        <v>19</v>
      </c>
      <c r="L350" s="5"/>
      <c r="M350" s="5" t="s">
        <v>919</v>
      </c>
      <c r="N350" s="5" t="s">
        <v>1455</v>
      </c>
      <c r="O350" s="5" t="s">
        <v>1456</v>
      </c>
      <c r="P350" s="5" t="s">
        <v>1457</v>
      </c>
      <c r="Q350" s="5" t="s">
        <v>1458</v>
      </c>
      <c r="R350" s="5">
        <v>760</v>
      </c>
      <c r="S350" s="5">
        <v>800</v>
      </c>
      <c r="T350" s="5">
        <v>3.3</v>
      </c>
      <c r="U350" s="5">
        <v>29.5</v>
      </c>
      <c r="V350" s="5">
        <v>25.5</v>
      </c>
      <c r="W350" s="5">
        <v>10</v>
      </c>
      <c r="X350" s="5" t="s">
        <v>907</v>
      </c>
      <c r="Y350" s="5" t="s">
        <v>908</v>
      </c>
      <c r="Z350" s="5">
        <v>0</v>
      </c>
      <c r="AA350" s="5" t="s">
        <v>909</v>
      </c>
      <c r="AB350" s="5">
        <v>19.2</v>
      </c>
      <c r="AC350" s="5">
        <v>0.58</v>
      </c>
      <c r="AD350" s="5">
        <v>11.136</v>
      </c>
      <c r="AE350" s="5">
        <v>13.92</v>
      </c>
      <c r="AF350" s="5">
        <v>14.848</v>
      </c>
      <c r="AG350" s="5">
        <v>17.1323</v>
      </c>
      <c r="AH350" s="5">
        <v>20.2473</v>
      </c>
      <c r="AI350" s="5"/>
    </row>
    <row r="351" hidden="1" spans="1:35">
      <c r="A351" s="5" t="s">
        <v>897</v>
      </c>
      <c r="B351" s="5" t="s">
        <v>490</v>
      </c>
      <c r="C351" s="5" t="s">
        <v>489</v>
      </c>
      <c r="D351" s="5" t="s">
        <v>2424</v>
      </c>
      <c r="E351" s="5" t="s">
        <v>899</v>
      </c>
      <c r="F351" s="5" t="s">
        <v>96</v>
      </c>
      <c r="G351" s="5" t="s">
        <v>115</v>
      </c>
      <c r="H351" s="5" t="s">
        <v>1454</v>
      </c>
      <c r="I351" s="5" t="s">
        <v>1107</v>
      </c>
      <c r="J351" s="5" t="s">
        <v>1107</v>
      </c>
      <c r="K351" s="5">
        <v>19</v>
      </c>
      <c r="L351" s="5"/>
      <c r="M351" s="5" t="s">
        <v>919</v>
      </c>
      <c r="N351" s="5" t="s">
        <v>1455</v>
      </c>
      <c r="O351" s="5" t="s">
        <v>1456</v>
      </c>
      <c r="P351" s="5" t="s">
        <v>1806</v>
      </c>
      <c r="Q351" s="5" t="s">
        <v>1807</v>
      </c>
      <c r="R351" s="5">
        <v>460</v>
      </c>
      <c r="S351" s="5">
        <v>470</v>
      </c>
      <c r="T351" s="5">
        <v>2.94</v>
      </c>
      <c r="U351" s="5">
        <v>24</v>
      </c>
      <c r="V351" s="5">
        <v>20.5</v>
      </c>
      <c r="W351" s="5">
        <v>16</v>
      </c>
      <c r="X351" s="5" t="s">
        <v>907</v>
      </c>
      <c r="Y351" s="5" t="s">
        <v>908</v>
      </c>
      <c r="Z351" s="5">
        <v>148</v>
      </c>
      <c r="AA351" s="5" t="s">
        <v>909</v>
      </c>
      <c r="AB351" s="5">
        <v>16.31</v>
      </c>
      <c r="AC351" s="5">
        <v>0.58</v>
      </c>
      <c r="AD351" s="5">
        <v>9.4598</v>
      </c>
      <c r="AE351" s="5">
        <v>11.8247</v>
      </c>
      <c r="AF351" s="5">
        <v>12.6131</v>
      </c>
      <c r="AG351" s="5">
        <v>14.5535</v>
      </c>
      <c r="AH351" s="5">
        <v>17.1996</v>
      </c>
      <c r="AI351" s="5"/>
    </row>
    <row r="352" hidden="1" spans="1:35">
      <c r="A352" s="5" t="s">
        <v>897</v>
      </c>
      <c r="B352" s="5" t="s">
        <v>456</v>
      </c>
      <c r="C352" s="5" t="s">
        <v>455</v>
      </c>
      <c r="D352" s="5" t="s">
        <v>2425</v>
      </c>
      <c r="E352" s="5" t="s">
        <v>899</v>
      </c>
      <c r="F352" s="5" t="s">
        <v>108</v>
      </c>
      <c r="G352" s="5" t="s">
        <v>146</v>
      </c>
      <c r="H352" s="5" t="s">
        <v>2426</v>
      </c>
      <c r="I352" s="5" t="s">
        <v>2427</v>
      </c>
      <c r="J352" s="5" t="s">
        <v>2427</v>
      </c>
      <c r="K352" s="5">
        <v>19</v>
      </c>
      <c r="L352" s="5"/>
      <c r="M352" s="5" t="s">
        <v>919</v>
      </c>
      <c r="N352" s="5" t="s">
        <v>2428</v>
      </c>
      <c r="O352" s="5" t="s">
        <v>2429</v>
      </c>
      <c r="P352" s="5" t="s">
        <v>2430</v>
      </c>
      <c r="Q352" s="5" t="s">
        <v>2431</v>
      </c>
      <c r="R352" s="5">
        <v>633</v>
      </c>
      <c r="S352" s="5">
        <v>1026</v>
      </c>
      <c r="T352" s="5">
        <v>4.34</v>
      </c>
      <c r="U352" s="5">
        <v>45</v>
      </c>
      <c r="V352" s="5">
        <v>43.2</v>
      </c>
      <c r="W352" s="5">
        <v>12</v>
      </c>
      <c r="X352" s="5" t="s">
        <v>907</v>
      </c>
      <c r="Y352" s="5" t="s">
        <v>908</v>
      </c>
      <c r="Z352" s="5">
        <v>34</v>
      </c>
      <c r="AA352" s="5" t="s">
        <v>909</v>
      </c>
      <c r="AB352" s="5">
        <v>110.29</v>
      </c>
      <c r="AC352" s="5">
        <v>0.58</v>
      </c>
      <c r="AD352" s="5">
        <v>63.9682</v>
      </c>
      <c r="AE352" s="5">
        <v>79.9602</v>
      </c>
      <c r="AF352" s="5">
        <v>85.2909</v>
      </c>
      <c r="AG352" s="5">
        <v>98.4126</v>
      </c>
      <c r="AH352" s="5">
        <v>116.3058</v>
      </c>
      <c r="AI352" s="5"/>
    </row>
    <row r="353" hidden="1" spans="1:35">
      <c r="A353" s="5" t="s">
        <v>897</v>
      </c>
      <c r="B353" s="5" t="s">
        <v>261</v>
      </c>
      <c r="C353" s="5" t="s">
        <v>260</v>
      </c>
      <c r="D353" s="5" t="s">
        <v>2432</v>
      </c>
      <c r="E353" s="5" t="s">
        <v>899</v>
      </c>
      <c r="F353" s="5" t="s">
        <v>108</v>
      </c>
      <c r="G353" s="5" t="s">
        <v>146</v>
      </c>
      <c r="H353" s="5" t="s">
        <v>2426</v>
      </c>
      <c r="I353" s="5" t="s">
        <v>2427</v>
      </c>
      <c r="J353" s="5" t="s">
        <v>2427</v>
      </c>
      <c r="K353" s="5">
        <v>19</v>
      </c>
      <c r="L353" s="5"/>
      <c r="M353" s="5" t="s">
        <v>919</v>
      </c>
      <c r="N353" s="5" t="s">
        <v>2433</v>
      </c>
      <c r="O353" s="5" t="s">
        <v>2434</v>
      </c>
      <c r="P353" s="5" t="s">
        <v>2435</v>
      </c>
      <c r="Q353" s="5" t="s">
        <v>2436</v>
      </c>
      <c r="R353" s="5">
        <v>1170</v>
      </c>
      <c r="S353" s="5">
        <v>1238</v>
      </c>
      <c r="T353" s="5">
        <v>5.05</v>
      </c>
      <c r="U353" s="5">
        <v>35.9</v>
      </c>
      <c r="V353" s="5">
        <v>28.5</v>
      </c>
      <c r="W353" s="5">
        <v>10</v>
      </c>
      <c r="X353" s="5" t="s">
        <v>907</v>
      </c>
      <c r="Y353" s="5" t="s">
        <v>908</v>
      </c>
      <c r="Z353" s="5">
        <v>65</v>
      </c>
      <c r="AA353" s="5" t="s">
        <v>909</v>
      </c>
      <c r="AB353" s="5">
        <v>152.62</v>
      </c>
      <c r="AC353" s="5">
        <v>0.58</v>
      </c>
      <c r="AD353" s="5">
        <v>88.5196</v>
      </c>
      <c r="AE353" s="5">
        <v>110.6495</v>
      </c>
      <c r="AF353" s="5">
        <v>118.0261</v>
      </c>
      <c r="AG353" s="5">
        <v>136.184</v>
      </c>
      <c r="AH353" s="5">
        <v>160.9447</v>
      </c>
      <c r="AI353" s="5"/>
    </row>
    <row r="354" hidden="1" spans="1:35">
      <c r="A354" s="5" t="s">
        <v>897</v>
      </c>
      <c r="B354" s="5" t="s">
        <v>604</v>
      </c>
      <c r="C354" s="5" t="s">
        <v>603</v>
      </c>
      <c r="D354" s="5" t="s">
        <v>2437</v>
      </c>
      <c r="E354" s="5" t="s">
        <v>899</v>
      </c>
      <c r="F354" s="5" t="s">
        <v>108</v>
      </c>
      <c r="G354" s="5" t="s">
        <v>146</v>
      </c>
      <c r="H354" s="5" t="s">
        <v>2426</v>
      </c>
      <c r="I354" s="5" t="s">
        <v>2427</v>
      </c>
      <c r="J354" s="5" t="s">
        <v>2427</v>
      </c>
      <c r="K354" s="5">
        <v>19</v>
      </c>
      <c r="L354" s="5"/>
      <c r="M354" s="5" t="s">
        <v>919</v>
      </c>
      <c r="N354" s="5" t="s">
        <v>2438</v>
      </c>
      <c r="O354" s="5" t="s">
        <v>2439</v>
      </c>
      <c r="P354" s="5" t="s">
        <v>2440</v>
      </c>
      <c r="Q354" s="5" t="s">
        <v>2441</v>
      </c>
      <c r="R354" s="5">
        <v>565</v>
      </c>
      <c r="S354" s="5">
        <v>813</v>
      </c>
      <c r="T354" s="5">
        <v>3.19</v>
      </c>
      <c r="U354" s="5">
        <v>37.5</v>
      </c>
      <c r="V354" s="5">
        <v>34</v>
      </c>
      <c r="W354" s="5">
        <v>16</v>
      </c>
      <c r="X354" s="5" t="s">
        <v>907</v>
      </c>
      <c r="Y354" s="5" t="s">
        <v>908</v>
      </c>
      <c r="Z354" s="5">
        <v>29</v>
      </c>
      <c r="AA354" s="5" t="s">
        <v>909</v>
      </c>
      <c r="AB354" s="5">
        <v>102.79</v>
      </c>
      <c r="AC354" s="5">
        <v>0.58</v>
      </c>
      <c r="AD354" s="5">
        <v>59.6182</v>
      </c>
      <c r="AE354" s="5">
        <v>74.5227</v>
      </c>
      <c r="AF354" s="5">
        <v>79.4909</v>
      </c>
      <c r="AG354" s="5">
        <v>91.7203</v>
      </c>
      <c r="AH354" s="5">
        <v>108.3967</v>
      </c>
      <c r="AI354" s="5"/>
    </row>
    <row r="355" hidden="1" spans="1:35">
      <c r="A355" s="5" t="s">
        <v>897</v>
      </c>
      <c r="B355" s="5" t="s">
        <v>335</v>
      </c>
      <c r="C355" s="5" t="s">
        <v>334</v>
      </c>
      <c r="D355" s="5" t="s">
        <v>2442</v>
      </c>
      <c r="E355" s="5" t="s">
        <v>899</v>
      </c>
      <c r="F355" s="5" t="s">
        <v>108</v>
      </c>
      <c r="G355" s="5" t="s">
        <v>146</v>
      </c>
      <c r="H355" s="5" t="s">
        <v>2426</v>
      </c>
      <c r="I355" s="5" t="s">
        <v>2427</v>
      </c>
      <c r="J355" s="5" t="s">
        <v>2427</v>
      </c>
      <c r="K355" s="5">
        <v>19</v>
      </c>
      <c r="L355" s="5"/>
      <c r="M355" s="5" t="s">
        <v>919</v>
      </c>
      <c r="N355" s="5" t="s">
        <v>2443</v>
      </c>
      <c r="O355" s="5" t="s">
        <v>2444</v>
      </c>
      <c r="P355" s="5" t="s">
        <v>2445</v>
      </c>
      <c r="Q355" s="5" t="s">
        <v>2446</v>
      </c>
      <c r="R355" s="5">
        <v>370</v>
      </c>
      <c r="S355" s="5">
        <v>569</v>
      </c>
      <c r="T355" s="5">
        <v>2.34</v>
      </c>
      <c r="U355" s="5">
        <v>42.3</v>
      </c>
      <c r="V355" s="5">
        <v>34.5</v>
      </c>
      <c r="W355" s="5">
        <v>24</v>
      </c>
      <c r="X355" s="5" t="s">
        <v>907</v>
      </c>
      <c r="Y355" s="5" t="s">
        <v>908</v>
      </c>
      <c r="Z355" s="5">
        <v>68</v>
      </c>
      <c r="AA355" s="5" t="s">
        <v>909</v>
      </c>
      <c r="AB355" s="5">
        <v>80.27</v>
      </c>
      <c r="AC355" s="5">
        <v>0.58</v>
      </c>
      <c r="AD355" s="5">
        <v>46.5566</v>
      </c>
      <c r="AE355" s="5">
        <v>58.1957</v>
      </c>
      <c r="AF355" s="5">
        <v>62.0755</v>
      </c>
      <c r="AG355" s="5">
        <v>71.6255</v>
      </c>
      <c r="AH355" s="5">
        <v>84.6484</v>
      </c>
      <c r="AI355" s="5"/>
    </row>
    <row r="356" hidden="1" spans="1:35">
      <c r="A356" s="5" t="s">
        <v>897</v>
      </c>
      <c r="B356" s="5" t="s">
        <v>592</v>
      </c>
      <c r="C356" s="5" t="s">
        <v>591</v>
      </c>
      <c r="D356" s="5" t="s">
        <v>2447</v>
      </c>
      <c r="E356" s="5" t="s">
        <v>899</v>
      </c>
      <c r="F356" s="5" t="s">
        <v>108</v>
      </c>
      <c r="G356" s="5" t="s">
        <v>146</v>
      </c>
      <c r="H356" s="5" t="s">
        <v>2448</v>
      </c>
      <c r="I356" s="5" t="s">
        <v>2427</v>
      </c>
      <c r="J356" s="5" t="s">
        <v>2427</v>
      </c>
      <c r="K356" s="5">
        <v>19</v>
      </c>
      <c r="L356" s="5"/>
      <c r="M356" s="5" t="s">
        <v>919</v>
      </c>
      <c r="N356" s="5" t="s">
        <v>2449</v>
      </c>
      <c r="O356" s="5" t="s">
        <v>2448</v>
      </c>
      <c r="P356" s="5" t="s">
        <v>2450</v>
      </c>
      <c r="Q356" s="5" t="s">
        <v>2451</v>
      </c>
      <c r="R356" s="5">
        <v>421</v>
      </c>
      <c r="S356" s="5">
        <v>620</v>
      </c>
      <c r="T356" s="5">
        <v>2.38</v>
      </c>
      <c r="U356" s="5">
        <v>47.5</v>
      </c>
      <c r="V356" s="5">
        <v>33.9</v>
      </c>
      <c r="W356" s="5">
        <v>20</v>
      </c>
      <c r="X356" s="5" t="s">
        <v>907</v>
      </c>
      <c r="Y356" s="5" t="s">
        <v>908</v>
      </c>
      <c r="Z356" s="5">
        <v>16</v>
      </c>
      <c r="AA356" s="5" t="s">
        <v>909</v>
      </c>
      <c r="AB356" s="5">
        <v>115.92</v>
      </c>
      <c r="AC356" s="5">
        <v>0.58</v>
      </c>
      <c r="AD356" s="5">
        <v>67.2336</v>
      </c>
      <c r="AE356" s="5">
        <v>84.042</v>
      </c>
      <c r="AF356" s="5">
        <v>89.6448</v>
      </c>
      <c r="AG356" s="5">
        <v>103.4363</v>
      </c>
      <c r="AH356" s="5">
        <v>122.2429</v>
      </c>
      <c r="AI356" s="5"/>
    </row>
    <row r="357" hidden="1" spans="1:35">
      <c r="A357" s="5" t="s">
        <v>897</v>
      </c>
      <c r="B357" s="5" t="s">
        <v>259</v>
      </c>
      <c r="C357" s="5" t="s">
        <v>258</v>
      </c>
      <c r="D357" s="5" t="s">
        <v>2452</v>
      </c>
      <c r="E357" s="5" t="s">
        <v>899</v>
      </c>
      <c r="F357" s="5" t="s">
        <v>96</v>
      </c>
      <c r="G357" s="5" t="s">
        <v>103</v>
      </c>
      <c r="H357" s="5" t="s">
        <v>2453</v>
      </c>
      <c r="I357" s="5" t="s">
        <v>1124</v>
      </c>
      <c r="J357" s="5" t="s">
        <v>1936</v>
      </c>
      <c r="K357" s="5">
        <v>18</v>
      </c>
      <c r="L357" s="5"/>
      <c r="M357" s="5" t="s">
        <v>919</v>
      </c>
      <c r="N357" s="5" t="s">
        <v>2454</v>
      </c>
      <c r="O357" s="5" t="s">
        <v>2455</v>
      </c>
      <c r="P357" s="5" t="s">
        <v>2456</v>
      </c>
      <c r="Q357" s="5" t="s">
        <v>2457</v>
      </c>
      <c r="R357" s="5">
        <v>675</v>
      </c>
      <c r="S357" s="5">
        <v>845</v>
      </c>
      <c r="T357" s="5">
        <v>2.58</v>
      </c>
      <c r="U357" s="5">
        <v>38.5</v>
      </c>
      <c r="V357" s="5">
        <v>31.5</v>
      </c>
      <c r="W357" s="5">
        <v>20</v>
      </c>
      <c r="X357" s="5" t="s">
        <v>907</v>
      </c>
      <c r="Y357" s="5" t="s">
        <v>908</v>
      </c>
      <c r="Z357" s="5">
        <v>0</v>
      </c>
      <c r="AA357" s="5" t="s">
        <v>909</v>
      </c>
      <c r="AB357" s="5">
        <v>23.0009</v>
      </c>
      <c r="AC357" s="5">
        <v>0.58</v>
      </c>
      <c r="AD357" s="5">
        <v>13.3405</v>
      </c>
      <c r="AE357" s="5">
        <v>16.6757</v>
      </c>
      <c r="AF357" s="5">
        <v>17.7874</v>
      </c>
      <c r="AG357" s="5">
        <v>20.5239</v>
      </c>
      <c r="AH357" s="5">
        <v>24.2555</v>
      </c>
      <c r="AI357" s="5"/>
    </row>
    <row r="358" hidden="1" spans="1:35">
      <c r="A358" s="5" t="s">
        <v>897</v>
      </c>
      <c r="B358" s="5" t="s">
        <v>2458</v>
      </c>
      <c r="C358" s="5" t="s">
        <v>1400</v>
      </c>
      <c r="D358" s="5" t="s">
        <v>1301</v>
      </c>
      <c r="E358" s="5" t="s">
        <v>899</v>
      </c>
      <c r="F358" s="5" t="s">
        <v>108</v>
      </c>
      <c r="G358" s="5" t="s">
        <v>168</v>
      </c>
      <c r="H358" s="5" t="s">
        <v>1401</v>
      </c>
      <c r="I358" s="5" t="s">
        <v>2459</v>
      </c>
      <c r="J358" s="5" t="s">
        <v>2459</v>
      </c>
      <c r="K358" s="5">
        <v>18</v>
      </c>
      <c r="L358" s="5" t="s">
        <v>909</v>
      </c>
      <c r="M358" s="5" t="s">
        <v>902</v>
      </c>
      <c r="N358" s="5" t="s">
        <v>1297</v>
      </c>
      <c r="O358" s="5" t="s">
        <v>1402</v>
      </c>
      <c r="P358" s="5" t="s">
        <v>2460</v>
      </c>
      <c r="Q358" s="5"/>
      <c r="R358" s="5"/>
      <c r="S358" s="5"/>
      <c r="T358" s="5"/>
      <c r="U358" s="5"/>
      <c r="V358" s="5"/>
      <c r="W358" s="5"/>
      <c r="X358" s="5" t="s">
        <v>1020</v>
      </c>
      <c r="Y358" s="5" t="s">
        <v>908</v>
      </c>
      <c r="Z358" s="5">
        <v>12</v>
      </c>
      <c r="AA358" s="5" t="s">
        <v>909</v>
      </c>
      <c r="AB358" s="5">
        <v>0.0001</v>
      </c>
      <c r="AC358" s="5">
        <v>0.58</v>
      </c>
      <c r="AD358" s="5">
        <v>0.0001</v>
      </c>
      <c r="AE358" s="5">
        <v>0.0001</v>
      </c>
      <c r="AF358" s="5">
        <v>0.0001</v>
      </c>
      <c r="AG358" s="5">
        <v>0.0001</v>
      </c>
      <c r="AH358" s="5">
        <v>0.0001</v>
      </c>
      <c r="AI358" s="5"/>
    </row>
    <row r="359" hidden="1" spans="1:35">
      <c r="A359" s="5" t="s">
        <v>897</v>
      </c>
      <c r="B359" s="5" t="s">
        <v>2461</v>
      </c>
      <c r="C359" s="5" t="s">
        <v>1405</v>
      </c>
      <c r="D359" s="5" t="s">
        <v>1301</v>
      </c>
      <c r="E359" s="5" t="s">
        <v>899</v>
      </c>
      <c r="F359" s="5" t="s">
        <v>108</v>
      </c>
      <c r="G359" s="5" t="s">
        <v>168</v>
      </c>
      <c r="H359" s="5" t="s">
        <v>1401</v>
      </c>
      <c r="I359" s="5" t="s">
        <v>2459</v>
      </c>
      <c r="J359" s="5" t="s">
        <v>2459</v>
      </c>
      <c r="K359" s="5">
        <v>18</v>
      </c>
      <c r="L359" s="5" t="s">
        <v>909</v>
      </c>
      <c r="M359" s="5" t="s">
        <v>902</v>
      </c>
      <c r="N359" s="5" t="s">
        <v>1297</v>
      </c>
      <c r="O359" s="5" t="s">
        <v>1402</v>
      </c>
      <c r="P359" s="5" t="s">
        <v>2462</v>
      </c>
      <c r="Q359" s="5"/>
      <c r="R359" s="5"/>
      <c r="S359" s="5"/>
      <c r="T359" s="5"/>
      <c r="U359" s="5"/>
      <c r="V359" s="5"/>
      <c r="W359" s="5"/>
      <c r="X359" s="5" t="s">
        <v>1020</v>
      </c>
      <c r="Y359" s="5" t="s">
        <v>908</v>
      </c>
      <c r="Z359" s="5">
        <v>77</v>
      </c>
      <c r="AA359" s="5" t="s">
        <v>909</v>
      </c>
      <c r="AB359" s="5">
        <v>0.0001</v>
      </c>
      <c r="AC359" s="5">
        <v>0.58</v>
      </c>
      <c r="AD359" s="5">
        <v>0.0001</v>
      </c>
      <c r="AE359" s="5">
        <v>0.0001</v>
      </c>
      <c r="AF359" s="5">
        <v>0.0001</v>
      </c>
      <c r="AG359" s="5">
        <v>0.0001</v>
      </c>
      <c r="AH359" s="5">
        <v>0.0001</v>
      </c>
      <c r="AI359" s="5"/>
    </row>
    <row r="360" hidden="1" spans="1:35">
      <c r="A360" s="5" t="s">
        <v>897</v>
      </c>
      <c r="B360" s="5" t="s">
        <v>842</v>
      </c>
      <c r="C360" s="5" t="s">
        <v>2463</v>
      </c>
      <c r="D360" s="5" t="s">
        <v>1301</v>
      </c>
      <c r="E360" s="5" t="s">
        <v>899</v>
      </c>
      <c r="F360" s="5" t="s">
        <v>96</v>
      </c>
      <c r="G360" s="5" t="s">
        <v>186</v>
      </c>
      <c r="H360" s="5" t="s">
        <v>2464</v>
      </c>
      <c r="I360" s="5" t="s">
        <v>2465</v>
      </c>
      <c r="J360" s="5" t="s">
        <v>2465</v>
      </c>
      <c r="K360" s="5">
        <v>18</v>
      </c>
      <c r="L360" s="5" t="s">
        <v>909</v>
      </c>
      <c r="M360" s="5" t="s">
        <v>919</v>
      </c>
      <c r="N360" s="5" t="s">
        <v>2466</v>
      </c>
      <c r="O360" s="5" t="s">
        <v>2467</v>
      </c>
      <c r="P360" s="5" t="s">
        <v>2468</v>
      </c>
      <c r="Q360" s="5"/>
      <c r="R360" s="5"/>
      <c r="S360" s="5"/>
      <c r="T360" s="5"/>
      <c r="U360" s="5"/>
      <c r="V360" s="5"/>
      <c r="W360" s="5"/>
      <c r="X360" s="5" t="s">
        <v>948</v>
      </c>
      <c r="Y360" s="5" t="s">
        <v>908</v>
      </c>
      <c r="Z360" s="5">
        <v>3117</v>
      </c>
      <c r="AA360" s="5" t="s">
        <v>909</v>
      </c>
      <c r="AB360" s="5">
        <v>0.0001</v>
      </c>
      <c r="AC360" s="5">
        <v>0.58</v>
      </c>
      <c r="AD360" s="5">
        <v>0.0001</v>
      </c>
      <c r="AE360" s="5">
        <v>0.0001</v>
      </c>
      <c r="AF360" s="5">
        <v>0.0001</v>
      </c>
      <c r="AG360" s="5">
        <v>0.0001</v>
      </c>
      <c r="AH360" s="5">
        <v>0.0001</v>
      </c>
      <c r="AI360" s="5"/>
    </row>
    <row r="361" hidden="1" spans="1:35">
      <c r="A361" s="5" t="s">
        <v>897</v>
      </c>
      <c r="B361" s="5" t="s">
        <v>617</v>
      </c>
      <c r="C361" s="5" t="s">
        <v>2469</v>
      </c>
      <c r="D361" s="5" t="s">
        <v>2470</v>
      </c>
      <c r="E361" s="5" t="s">
        <v>899</v>
      </c>
      <c r="F361" s="5" t="s">
        <v>96</v>
      </c>
      <c r="G361" s="5" t="s">
        <v>127</v>
      </c>
      <c r="H361" s="5" t="s">
        <v>1349</v>
      </c>
      <c r="I361" s="5" t="s">
        <v>1345</v>
      </c>
      <c r="J361" s="5" t="s">
        <v>1345</v>
      </c>
      <c r="K361" s="5">
        <v>6</v>
      </c>
      <c r="L361" s="5"/>
      <c r="M361" s="5" t="s">
        <v>1037</v>
      </c>
      <c r="N361" s="5" t="s">
        <v>2471</v>
      </c>
      <c r="O361" s="5" t="s">
        <v>2472</v>
      </c>
      <c r="P361" s="5" t="s">
        <v>2473</v>
      </c>
      <c r="Q361" s="5" t="s">
        <v>2474</v>
      </c>
      <c r="R361" s="5">
        <v>14000</v>
      </c>
      <c r="S361" s="5">
        <v>14500</v>
      </c>
      <c r="T361" s="5">
        <v>51</v>
      </c>
      <c r="U361" s="5">
        <v>43.5</v>
      </c>
      <c r="V361" s="5">
        <v>36</v>
      </c>
      <c r="W361" s="5">
        <v>1</v>
      </c>
      <c r="X361" s="5" t="s">
        <v>1020</v>
      </c>
      <c r="Y361" s="5" t="s">
        <v>908</v>
      </c>
      <c r="Z361" s="5">
        <v>0</v>
      </c>
      <c r="AA361" s="5" t="s">
        <v>909</v>
      </c>
      <c r="AB361" s="5">
        <v>203.32</v>
      </c>
      <c r="AC361" s="5">
        <v>0.58</v>
      </c>
      <c r="AD361" s="5">
        <v>117.9256</v>
      </c>
      <c r="AE361" s="5">
        <v>147.407</v>
      </c>
      <c r="AF361" s="5">
        <v>157.2341</v>
      </c>
      <c r="AG361" s="5">
        <v>181.424</v>
      </c>
      <c r="AH361" s="5">
        <v>214.4102</v>
      </c>
      <c r="AI361" s="5"/>
    </row>
    <row r="362" hidden="1" spans="1:35">
      <c r="A362" s="5" t="s">
        <v>897</v>
      </c>
      <c r="B362" s="5" t="s">
        <v>618</v>
      </c>
      <c r="C362" s="5" t="s">
        <v>2475</v>
      </c>
      <c r="D362" s="5" t="s">
        <v>2476</v>
      </c>
      <c r="E362" s="5" t="s">
        <v>899</v>
      </c>
      <c r="F362" s="5" t="s">
        <v>96</v>
      </c>
      <c r="G362" s="5" t="s">
        <v>127</v>
      </c>
      <c r="H362" s="5" t="s">
        <v>1349</v>
      </c>
      <c r="I362" s="5" t="s">
        <v>1345</v>
      </c>
      <c r="J362" s="5" t="s">
        <v>1345</v>
      </c>
      <c r="K362" s="5">
        <v>6</v>
      </c>
      <c r="L362" s="5"/>
      <c r="M362" s="5" t="s">
        <v>1037</v>
      </c>
      <c r="N362" s="5" t="s">
        <v>2477</v>
      </c>
      <c r="O362" s="5" t="s">
        <v>2478</v>
      </c>
      <c r="P362" s="5" t="s">
        <v>2479</v>
      </c>
      <c r="Q362" s="5" t="s">
        <v>2474</v>
      </c>
      <c r="R362" s="5">
        <v>14000</v>
      </c>
      <c r="S362" s="5">
        <v>14500</v>
      </c>
      <c r="T362" s="5">
        <v>51</v>
      </c>
      <c r="U362" s="5">
        <v>43.5</v>
      </c>
      <c r="V362" s="5">
        <v>36</v>
      </c>
      <c r="W362" s="5">
        <v>1</v>
      </c>
      <c r="X362" s="5" t="s">
        <v>1020</v>
      </c>
      <c r="Y362" s="5" t="s">
        <v>908</v>
      </c>
      <c r="Z362" s="5">
        <v>0</v>
      </c>
      <c r="AA362" s="5" t="s">
        <v>909</v>
      </c>
      <c r="AB362" s="5">
        <v>256.41</v>
      </c>
      <c r="AC362" s="5">
        <v>0.58</v>
      </c>
      <c r="AD362" s="5">
        <v>148.7178</v>
      </c>
      <c r="AE362" s="5">
        <v>185.8972</v>
      </c>
      <c r="AF362" s="5">
        <v>198.2904</v>
      </c>
      <c r="AG362" s="5">
        <v>228.7966</v>
      </c>
      <c r="AH362" s="5">
        <v>270.396</v>
      </c>
      <c r="AI362" s="5"/>
    </row>
    <row r="363" hidden="1" spans="1:35">
      <c r="A363" s="5" t="s">
        <v>897</v>
      </c>
      <c r="B363" s="5" t="s">
        <v>619</v>
      </c>
      <c r="C363" s="5" t="s">
        <v>2480</v>
      </c>
      <c r="D363" s="5" t="s">
        <v>2481</v>
      </c>
      <c r="E363" s="5" t="s">
        <v>899</v>
      </c>
      <c r="F363" s="5" t="s">
        <v>96</v>
      </c>
      <c r="G363" s="5" t="s">
        <v>127</v>
      </c>
      <c r="H363" s="5" t="s">
        <v>1349</v>
      </c>
      <c r="I363" s="5" t="s">
        <v>1345</v>
      </c>
      <c r="J363" s="5" t="s">
        <v>1345</v>
      </c>
      <c r="K363" s="5">
        <v>6</v>
      </c>
      <c r="L363" s="5"/>
      <c r="M363" s="5" t="s">
        <v>1037</v>
      </c>
      <c r="N363" s="5" t="s">
        <v>2482</v>
      </c>
      <c r="O363" s="5" t="s">
        <v>2483</v>
      </c>
      <c r="P363" s="5" t="s">
        <v>2484</v>
      </c>
      <c r="Q363" s="5" t="s">
        <v>2474</v>
      </c>
      <c r="R363" s="5">
        <v>14000</v>
      </c>
      <c r="S363" s="5">
        <v>14500</v>
      </c>
      <c r="T363" s="5">
        <v>51</v>
      </c>
      <c r="U363" s="5">
        <v>43.5</v>
      </c>
      <c r="V363" s="5">
        <v>36</v>
      </c>
      <c r="W363" s="5">
        <v>1</v>
      </c>
      <c r="X363" s="5" t="s">
        <v>1020</v>
      </c>
      <c r="Y363" s="5" t="s">
        <v>908</v>
      </c>
      <c r="Z363" s="5">
        <v>0</v>
      </c>
      <c r="AA363" s="5" t="s">
        <v>909</v>
      </c>
      <c r="AB363" s="5">
        <v>241.37</v>
      </c>
      <c r="AC363" s="5">
        <v>0.58</v>
      </c>
      <c r="AD363" s="5">
        <v>139.9946</v>
      </c>
      <c r="AE363" s="5">
        <v>174.9932</v>
      </c>
      <c r="AF363" s="5">
        <v>186.6595</v>
      </c>
      <c r="AG363" s="5">
        <v>215.3763</v>
      </c>
      <c r="AH363" s="5">
        <v>254.5356</v>
      </c>
      <c r="AI363" s="5"/>
    </row>
    <row r="364" hidden="1" spans="1:35">
      <c r="A364" s="5" t="s">
        <v>897</v>
      </c>
      <c r="B364" s="5" t="s">
        <v>611</v>
      </c>
      <c r="C364" s="5" t="s">
        <v>2485</v>
      </c>
      <c r="D364" s="5" t="s">
        <v>2486</v>
      </c>
      <c r="E364" s="5" t="s">
        <v>899</v>
      </c>
      <c r="F364" s="5" t="s">
        <v>96</v>
      </c>
      <c r="G364" s="5" t="s">
        <v>127</v>
      </c>
      <c r="H364" s="5" t="s">
        <v>1349</v>
      </c>
      <c r="I364" s="5" t="s">
        <v>1345</v>
      </c>
      <c r="J364" s="5" t="s">
        <v>1345</v>
      </c>
      <c r="K364" s="5">
        <v>6</v>
      </c>
      <c r="L364" s="5"/>
      <c r="M364" s="5" t="s">
        <v>1037</v>
      </c>
      <c r="N364" s="5" t="s">
        <v>2487</v>
      </c>
      <c r="O364" s="5" t="s">
        <v>2488</v>
      </c>
      <c r="P364" s="5" t="s">
        <v>2489</v>
      </c>
      <c r="Q364" s="5" t="s">
        <v>2474</v>
      </c>
      <c r="R364" s="5">
        <v>14000</v>
      </c>
      <c r="S364" s="5">
        <v>14500</v>
      </c>
      <c r="T364" s="5">
        <v>51</v>
      </c>
      <c r="U364" s="5">
        <v>43.5</v>
      </c>
      <c r="V364" s="5">
        <v>36</v>
      </c>
      <c r="W364" s="5">
        <v>1</v>
      </c>
      <c r="X364" s="5" t="s">
        <v>1020</v>
      </c>
      <c r="Y364" s="5" t="s">
        <v>908</v>
      </c>
      <c r="Z364" s="5">
        <v>0</v>
      </c>
      <c r="AA364" s="5" t="s">
        <v>909</v>
      </c>
      <c r="AB364" s="5">
        <v>203.32</v>
      </c>
      <c r="AC364" s="5">
        <v>0.58</v>
      </c>
      <c r="AD364" s="5">
        <v>117.9256</v>
      </c>
      <c r="AE364" s="5">
        <v>147.407</v>
      </c>
      <c r="AF364" s="5">
        <v>157.2341</v>
      </c>
      <c r="AG364" s="5">
        <v>181.424</v>
      </c>
      <c r="AH364" s="5">
        <v>214.4102</v>
      </c>
      <c r="AI364" s="5"/>
    </row>
    <row r="365" hidden="1" spans="1:35">
      <c r="A365" s="5" t="s">
        <v>897</v>
      </c>
      <c r="B365" s="5" t="s">
        <v>612</v>
      </c>
      <c r="C365" s="5" t="s">
        <v>2490</v>
      </c>
      <c r="D365" s="5" t="s">
        <v>2491</v>
      </c>
      <c r="E365" s="5" t="s">
        <v>899</v>
      </c>
      <c r="F365" s="5" t="s">
        <v>96</v>
      </c>
      <c r="G365" s="5" t="s">
        <v>127</v>
      </c>
      <c r="H365" s="5" t="s">
        <v>1349</v>
      </c>
      <c r="I365" s="5" t="s">
        <v>1345</v>
      </c>
      <c r="J365" s="5" t="s">
        <v>1345</v>
      </c>
      <c r="K365" s="5">
        <v>6</v>
      </c>
      <c r="L365" s="5"/>
      <c r="M365" s="5" t="s">
        <v>1037</v>
      </c>
      <c r="N365" s="5" t="s">
        <v>2492</v>
      </c>
      <c r="O365" s="5" t="s">
        <v>2493</v>
      </c>
      <c r="P365" s="5" t="s">
        <v>2494</v>
      </c>
      <c r="Q365" s="5" t="s">
        <v>2474</v>
      </c>
      <c r="R365" s="5">
        <v>14000</v>
      </c>
      <c r="S365" s="5">
        <v>14500</v>
      </c>
      <c r="T365" s="5">
        <v>51</v>
      </c>
      <c r="U365" s="5">
        <v>43.5</v>
      </c>
      <c r="V365" s="5">
        <v>36</v>
      </c>
      <c r="W365" s="5">
        <v>1</v>
      </c>
      <c r="X365" s="5" t="s">
        <v>1020</v>
      </c>
      <c r="Y365" s="5" t="s">
        <v>908</v>
      </c>
      <c r="Z365" s="5">
        <v>0</v>
      </c>
      <c r="AA365" s="5" t="s">
        <v>909</v>
      </c>
      <c r="AB365" s="5">
        <v>256.41</v>
      </c>
      <c r="AC365" s="5">
        <v>0.58</v>
      </c>
      <c r="AD365" s="5">
        <v>148.7178</v>
      </c>
      <c r="AE365" s="5">
        <v>185.8972</v>
      </c>
      <c r="AF365" s="5">
        <v>198.2904</v>
      </c>
      <c r="AG365" s="5">
        <v>228.7966</v>
      </c>
      <c r="AH365" s="5">
        <v>270.396</v>
      </c>
      <c r="AI365" s="5"/>
    </row>
    <row r="366" hidden="1" spans="1:35">
      <c r="A366" s="5" t="s">
        <v>897</v>
      </c>
      <c r="B366" s="5" t="s">
        <v>607</v>
      </c>
      <c r="C366" s="5" t="s">
        <v>2495</v>
      </c>
      <c r="D366" s="5" t="s">
        <v>2496</v>
      </c>
      <c r="E366" s="5" t="s">
        <v>899</v>
      </c>
      <c r="F366" s="5" t="s">
        <v>96</v>
      </c>
      <c r="G366" s="5" t="s">
        <v>127</v>
      </c>
      <c r="H366" s="5" t="s">
        <v>1349</v>
      </c>
      <c r="I366" s="5" t="s">
        <v>1345</v>
      </c>
      <c r="J366" s="5" t="s">
        <v>1345</v>
      </c>
      <c r="K366" s="5">
        <v>6</v>
      </c>
      <c r="L366" s="5"/>
      <c r="M366" s="5" t="s">
        <v>1037</v>
      </c>
      <c r="N366" s="5" t="s">
        <v>2497</v>
      </c>
      <c r="O366" s="5" t="s">
        <v>2498</v>
      </c>
      <c r="P366" s="5" t="s">
        <v>2499</v>
      </c>
      <c r="Q366" s="5" t="s">
        <v>2474</v>
      </c>
      <c r="R366" s="5">
        <v>14000</v>
      </c>
      <c r="S366" s="5">
        <v>14500</v>
      </c>
      <c r="T366" s="5">
        <v>51</v>
      </c>
      <c r="U366" s="5">
        <v>43.5</v>
      </c>
      <c r="V366" s="5">
        <v>36</v>
      </c>
      <c r="W366" s="5">
        <v>1</v>
      </c>
      <c r="X366" s="5" t="s">
        <v>1020</v>
      </c>
      <c r="Y366" s="5" t="s">
        <v>908</v>
      </c>
      <c r="Z366" s="5">
        <v>0</v>
      </c>
      <c r="AA366" s="5" t="s">
        <v>909</v>
      </c>
      <c r="AB366" s="5">
        <v>226.33</v>
      </c>
      <c r="AC366" s="5">
        <v>0.58</v>
      </c>
      <c r="AD366" s="5">
        <v>131.2714</v>
      </c>
      <c r="AE366" s="5">
        <v>164.0893</v>
      </c>
      <c r="AF366" s="5">
        <v>175.0285</v>
      </c>
      <c r="AG366" s="5">
        <v>201.956</v>
      </c>
      <c r="AH366" s="5">
        <v>238.6753</v>
      </c>
      <c r="AI366" s="5"/>
    </row>
    <row r="367" hidden="1" spans="1:35">
      <c r="A367" s="5" t="s">
        <v>897</v>
      </c>
      <c r="B367" s="5" t="s">
        <v>608</v>
      </c>
      <c r="C367" s="5" t="s">
        <v>2500</v>
      </c>
      <c r="D367" s="5" t="s">
        <v>2501</v>
      </c>
      <c r="E367" s="5" t="s">
        <v>899</v>
      </c>
      <c r="F367" s="5" t="s">
        <v>96</v>
      </c>
      <c r="G367" s="5" t="s">
        <v>127</v>
      </c>
      <c r="H367" s="5" t="s">
        <v>1349</v>
      </c>
      <c r="I367" s="5" t="s">
        <v>1345</v>
      </c>
      <c r="J367" s="5" t="s">
        <v>1345</v>
      </c>
      <c r="K367" s="5">
        <v>6</v>
      </c>
      <c r="L367" s="5"/>
      <c r="M367" s="5" t="s">
        <v>1037</v>
      </c>
      <c r="N367" s="5" t="s">
        <v>2502</v>
      </c>
      <c r="O367" s="5" t="s">
        <v>2503</v>
      </c>
      <c r="P367" s="5" t="s">
        <v>2504</v>
      </c>
      <c r="Q367" s="5" t="s">
        <v>2474</v>
      </c>
      <c r="R367" s="5">
        <v>14000</v>
      </c>
      <c r="S367" s="5">
        <v>14500</v>
      </c>
      <c r="T367" s="5">
        <v>51</v>
      </c>
      <c r="U367" s="5">
        <v>43.5</v>
      </c>
      <c r="V367" s="5">
        <v>36</v>
      </c>
      <c r="W367" s="5">
        <v>1</v>
      </c>
      <c r="X367" s="5" t="s">
        <v>1020</v>
      </c>
      <c r="Y367" s="5" t="s">
        <v>908</v>
      </c>
      <c r="Z367" s="5">
        <v>0</v>
      </c>
      <c r="AA367" s="5" t="s">
        <v>909</v>
      </c>
      <c r="AB367" s="5">
        <v>256.41</v>
      </c>
      <c r="AC367" s="5">
        <v>0.58</v>
      </c>
      <c r="AD367" s="5">
        <v>148.7178</v>
      </c>
      <c r="AE367" s="5">
        <v>185.8972</v>
      </c>
      <c r="AF367" s="5">
        <v>198.2904</v>
      </c>
      <c r="AG367" s="5">
        <v>228.7966</v>
      </c>
      <c r="AH367" s="5">
        <v>270.396</v>
      </c>
      <c r="AI367" s="5"/>
    </row>
    <row r="368" hidden="1" spans="1:35">
      <c r="A368" s="5" t="s">
        <v>897</v>
      </c>
      <c r="B368" s="5" t="s">
        <v>620</v>
      </c>
      <c r="C368" s="5" t="s">
        <v>2505</v>
      </c>
      <c r="D368" s="5" t="s">
        <v>2506</v>
      </c>
      <c r="E368" s="5" t="s">
        <v>899</v>
      </c>
      <c r="F368" s="5" t="s">
        <v>96</v>
      </c>
      <c r="G368" s="5" t="s">
        <v>127</v>
      </c>
      <c r="H368" s="5" t="s">
        <v>1349</v>
      </c>
      <c r="I368" s="5" t="s">
        <v>1345</v>
      </c>
      <c r="J368" s="5" t="s">
        <v>1345</v>
      </c>
      <c r="K368" s="5">
        <v>6</v>
      </c>
      <c r="L368" s="5"/>
      <c r="M368" s="5" t="s">
        <v>1037</v>
      </c>
      <c r="N368" s="5" t="s">
        <v>2507</v>
      </c>
      <c r="O368" s="5" t="s">
        <v>2508</v>
      </c>
      <c r="P368" s="5" t="s">
        <v>2473</v>
      </c>
      <c r="Q368" s="5" t="s">
        <v>2509</v>
      </c>
      <c r="R368" s="5">
        <v>8000</v>
      </c>
      <c r="S368" s="5">
        <v>8500</v>
      </c>
      <c r="T368" s="5">
        <v>40</v>
      </c>
      <c r="U368" s="5">
        <v>32</v>
      </c>
      <c r="V368" s="5">
        <v>32</v>
      </c>
      <c r="W368" s="5">
        <v>1</v>
      </c>
      <c r="X368" s="5" t="s">
        <v>1020</v>
      </c>
      <c r="Y368" s="5" t="s">
        <v>908</v>
      </c>
      <c r="Z368" s="5">
        <v>0</v>
      </c>
      <c r="AA368" s="5" t="s">
        <v>909</v>
      </c>
      <c r="AB368" s="5">
        <v>151.45</v>
      </c>
      <c r="AC368" s="5">
        <v>0.58</v>
      </c>
      <c r="AD368" s="5">
        <v>87.841</v>
      </c>
      <c r="AE368" s="5">
        <v>109.8012</v>
      </c>
      <c r="AF368" s="5">
        <v>117.1213</v>
      </c>
      <c r="AG368" s="5">
        <v>135.14</v>
      </c>
      <c r="AH368" s="5">
        <v>159.7109</v>
      </c>
      <c r="AI368" s="5"/>
    </row>
    <row r="369" hidden="1" spans="1:35">
      <c r="A369" s="5" t="s">
        <v>897</v>
      </c>
      <c r="B369" s="5" t="s">
        <v>621</v>
      </c>
      <c r="C369" s="5" t="s">
        <v>2510</v>
      </c>
      <c r="D369" s="5" t="s">
        <v>2511</v>
      </c>
      <c r="E369" s="5" t="s">
        <v>899</v>
      </c>
      <c r="F369" s="5" t="s">
        <v>96</v>
      </c>
      <c r="G369" s="5" t="s">
        <v>127</v>
      </c>
      <c r="H369" s="5" t="s">
        <v>1349</v>
      </c>
      <c r="I369" s="5" t="s">
        <v>1345</v>
      </c>
      <c r="J369" s="5" t="s">
        <v>1345</v>
      </c>
      <c r="K369" s="5">
        <v>6</v>
      </c>
      <c r="L369" s="5"/>
      <c r="M369" s="5" t="s">
        <v>1037</v>
      </c>
      <c r="N369" s="5" t="s">
        <v>2512</v>
      </c>
      <c r="O369" s="5" t="s">
        <v>2513</v>
      </c>
      <c r="P369" s="5" t="s">
        <v>2514</v>
      </c>
      <c r="Q369" s="5" t="s">
        <v>2509</v>
      </c>
      <c r="R369" s="5">
        <v>8000</v>
      </c>
      <c r="S369" s="5">
        <v>8500</v>
      </c>
      <c r="T369" s="5">
        <v>40</v>
      </c>
      <c r="U369" s="5">
        <v>32</v>
      </c>
      <c r="V369" s="5">
        <v>32</v>
      </c>
      <c r="W369" s="5">
        <v>1</v>
      </c>
      <c r="X369" s="5" t="s">
        <v>1020</v>
      </c>
      <c r="Y369" s="5" t="s">
        <v>908</v>
      </c>
      <c r="Z369" s="5">
        <v>0</v>
      </c>
      <c r="AA369" s="5" t="s">
        <v>909</v>
      </c>
      <c r="AB369" s="5">
        <v>196.58</v>
      </c>
      <c r="AC369" s="5">
        <v>0.58</v>
      </c>
      <c r="AD369" s="5">
        <v>114.0164</v>
      </c>
      <c r="AE369" s="5">
        <v>142.5205</v>
      </c>
      <c r="AF369" s="5">
        <v>152.0219</v>
      </c>
      <c r="AG369" s="5">
        <v>175.4098</v>
      </c>
      <c r="AH369" s="5">
        <v>207.3025</v>
      </c>
      <c r="AI369" s="5"/>
    </row>
    <row r="370" hidden="1" spans="1:35">
      <c r="A370" s="5" t="s">
        <v>897</v>
      </c>
      <c r="B370" s="5" t="s">
        <v>185</v>
      </c>
      <c r="C370" s="5" t="s">
        <v>2515</v>
      </c>
      <c r="D370" s="5" t="s">
        <v>2516</v>
      </c>
      <c r="E370" s="5" t="s">
        <v>899</v>
      </c>
      <c r="F370" s="5" t="s">
        <v>108</v>
      </c>
      <c r="G370" s="5" t="s">
        <v>168</v>
      </c>
      <c r="H370" s="5" t="s">
        <v>1329</v>
      </c>
      <c r="I370" s="5" t="s">
        <v>2517</v>
      </c>
      <c r="J370" s="5" t="s">
        <v>2518</v>
      </c>
      <c r="K370" s="5">
        <v>6</v>
      </c>
      <c r="L370" s="5"/>
      <c r="M370" s="5" t="s">
        <v>919</v>
      </c>
      <c r="N370" s="5" t="s">
        <v>2519</v>
      </c>
      <c r="O370" s="5" t="s">
        <v>2520</v>
      </c>
      <c r="P370" s="5" t="s">
        <v>2521</v>
      </c>
      <c r="Q370" s="5" t="s">
        <v>2522</v>
      </c>
      <c r="R370" s="5">
        <v>5692</v>
      </c>
      <c r="S370" s="5">
        <v>8675</v>
      </c>
      <c r="T370" s="5">
        <v>92.5</v>
      </c>
      <c r="U370" s="5">
        <v>57.5</v>
      </c>
      <c r="V370" s="5">
        <v>14</v>
      </c>
      <c r="W370" s="5">
        <v>1</v>
      </c>
      <c r="X370" s="5" t="s">
        <v>1020</v>
      </c>
      <c r="Y370" s="5" t="s">
        <v>908</v>
      </c>
      <c r="Z370" s="5">
        <v>116</v>
      </c>
      <c r="AA370" s="5" t="s">
        <v>909</v>
      </c>
      <c r="AB370" s="5">
        <v>150.11</v>
      </c>
      <c r="AC370" s="5">
        <v>0.58</v>
      </c>
      <c r="AD370" s="5">
        <v>87.0638</v>
      </c>
      <c r="AE370" s="5">
        <v>108.8297</v>
      </c>
      <c r="AF370" s="5">
        <v>116.0851</v>
      </c>
      <c r="AG370" s="5">
        <v>133.9443</v>
      </c>
      <c r="AH370" s="5">
        <v>158.2978</v>
      </c>
      <c r="AI370" s="5"/>
    </row>
    <row r="371" hidden="1" spans="1:35">
      <c r="A371" s="5" t="s">
        <v>897</v>
      </c>
      <c r="B371" s="5" t="s">
        <v>244</v>
      </c>
      <c r="C371" s="5" t="s">
        <v>2523</v>
      </c>
      <c r="D371" s="5" t="s">
        <v>2524</v>
      </c>
      <c r="E371" s="5" t="s">
        <v>899</v>
      </c>
      <c r="F371" s="5" t="s">
        <v>108</v>
      </c>
      <c r="G371" s="5" t="s">
        <v>168</v>
      </c>
      <c r="H371" s="5" t="s">
        <v>1329</v>
      </c>
      <c r="I371" s="5" t="s">
        <v>2517</v>
      </c>
      <c r="J371" s="5" t="s">
        <v>2525</v>
      </c>
      <c r="K371" s="5">
        <v>6</v>
      </c>
      <c r="L371" s="5"/>
      <c r="M371" s="5" t="s">
        <v>919</v>
      </c>
      <c r="N371" s="5" t="s">
        <v>2526</v>
      </c>
      <c r="O371" s="5" t="s">
        <v>2527</v>
      </c>
      <c r="P371" s="5" t="s">
        <v>2528</v>
      </c>
      <c r="Q371" s="5" t="s">
        <v>2529</v>
      </c>
      <c r="R371" s="5">
        <v>10400</v>
      </c>
      <c r="S371" s="5">
        <v>12300</v>
      </c>
      <c r="T371" s="5">
        <v>143</v>
      </c>
      <c r="U371" s="5">
        <v>58</v>
      </c>
      <c r="V371" s="5">
        <v>7</v>
      </c>
      <c r="W371" s="5">
        <v>1</v>
      </c>
      <c r="X371" s="5" t="s">
        <v>1020</v>
      </c>
      <c r="Y371" s="5" t="s">
        <v>908</v>
      </c>
      <c r="Z371" s="5">
        <v>107</v>
      </c>
      <c r="AA371" s="5" t="s">
        <v>909</v>
      </c>
      <c r="AB371" s="5">
        <v>135.44</v>
      </c>
      <c r="AC371" s="5">
        <v>0.58</v>
      </c>
      <c r="AD371" s="5">
        <v>78.5552</v>
      </c>
      <c r="AE371" s="5">
        <v>98.194</v>
      </c>
      <c r="AF371" s="5">
        <v>104.7403</v>
      </c>
      <c r="AG371" s="5">
        <v>120.8542</v>
      </c>
      <c r="AH371" s="5">
        <v>142.8276</v>
      </c>
      <c r="AI371" s="5"/>
    </row>
    <row r="372" hidden="1" spans="1:35">
      <c r="A372" s="5" t="s">
        <v>897</v>
      </c>
      <c r="B372" s="5" t="s">
        <v>662</v>
      </c>
      <c r="C372" s="5" t="s">
        <v>2530</v>
      </c>
      <c r="D372" s="5" t="s">
        <v>2531</v>
      </c>
      <c r="E372" s="5" t="s">
        <v>899</v>
      </c>
      <c r="F372" s="5" t="s">
        <v>108</v>
      </c>
      <c r="G372" s="5" t="s">
        <v>168</v>
      </c>
      <c r="H372" s="5" t="s">
        <v>1329</v>
      </c>
      <c r="I372" s="5" t="s">
        <v>2517</v>
      </c>
      <c r="J372" s="5" t="s">
        <v>2518</v>
      </c>
      <c r="K372" s="5">
        <v>6</v>
      </c>
      <c r="L372" s="5"/>
      <c r="M372" s="5" t="s">
        <v>919</v>
      </c>
      <c r="N372" s="5" t="s">
        <v>2532</v>
      </c>
      <c r="O372" s="5" t="s">
        <v>2533</v>
      </c>
      <c r="P372" s="5" t="s">
        <v>2534</v>
      </c>
      <c r="Q372" s="5" t="s">
        <v>2535</v>
      </c>
      <c r="R372" s="5">
        <v>11010</v>
      </c>
      <c r="S372" s="5">
        <v>12000</v>
      </c>
      <c r="T372" s="5">
        <v>82.5</v>
      </c>
      <c r="U372" s="5">
        <v>48</v>
      </c>
      <c r="V372" s="5">
        <v>10.5</v>
      </c>
      <c r="W372" s="5">
        <v>1</v>
      </c>
      <c r="X372" s="5" t="s">
        <v>1020</v>
      </c>
      <c r="Y372" s="5" t="s">
        <v>908</v>
      </c>
      <c r="Z372" s="5">
        <v>32</v>
      </c>
      <c r="AA372" s="5" t="s">
        <v>909</v>
      </c>
      <c r="AB372" s="5">
        <v>120.02</v>
      </c>
      <c r="AC372" s="5">
        <v>0.58</v>
      </c>
      <c r="AD372" s="5">
        <v>69.6116</v>
      </c>
      <c r="AE372" s="5">
        <v>87.0145</v>
      </c>
      <c r="AF372" s="5">
        <v>92.8155</v>
      </c>
      <c r="AG372" s="5">
        <v>107.0948</v>
      </c>
      <c r="AH372" s="5">
        <v>126.5665</v>
      </c>
      <c r="AI372" s="5"/>
    </row>
    <row r="373" hidden="1" spans="1:35">
      <c r="A373" s="5" t="s">
        <v>897</v>
      </c>
      <c r="B373" s="5" t="s">
        <v>628</v>
      </c>
      <c r="C373" s="5" t="s">
        <v>2536</v>
      </c>
      <c r="D373" s="5" t="s">
        <v>2537</v>
      </c>
      <c r="E373" s="5" t="s">
        <v>899</v>
      </c>
      <c r="F373" s="5" t="s">
        <v>108</v>
      </c>
      <c r="G373" s="5" t="s">
        <v>109</v>
      </c>
      <c r="H373" s="5" t="s">
        <v>1371</v>
      </c>
      <c r="I373" s="5" t="s">
        <v>1210</v>
      </c>
      <c r="J373" s="5" t="s">
        <v>1210</v>
      </c>
      <c r="K373" s="5">
        <v>6</v>
      </c>
      <c r="L373" s="5"/>
      <c r="M373" s="5" t="s">
        <v>1037</v>
      </c>
      <c r="N373" s="5" t="s">
        <v>2538</v>
      </c>
      <c r="O373" s="5" t="s">
        <v>2539</v>
      </c>
      <c r="P373" s="5" t="s">
        <v>2540</v>
      </c>
      <c r="Q373" s="5" t="s">
        <v>2541</v>
      </c>
      <c r="R373" s="5">
        <v>2110</v>
      </c>
      <c r="S373" s="5">
        <v>2360</v>
      </c>
      <c r="T373" s="5">
        <v>10.88</v>
      </c>
      <c r="U373" s="5">
        <v>37.5</v>
      </c>
      <c r="V373" s="5">
        <v>30.5</v>
      </c>
      <c r="W373" s="5">
        <v>4</v>
      </c>
      <c r="X373" s="5" t="s">
        <v>1020</v>
      </c>
      <c r="Y373" s="5" t="s">
        <v>908</v>
      </c>
      <c r="Z373" s="5">
        <v>0</v>
      </c>
      <c r="AA373" s="5" t="s">
        <v>909</v>
      </c>
      <c r="AB373" s="5">
        <v>43.46</v>
      </c>
      <c r="AC373" s="5">
        <v>0.58</v>
      </c>
      <c r="AD373" s="5">
        <v>25.2068</v>
      </c>
      <c r="AE373" s="5">
        <v>31.5085</v>
      </c>
      <c r="AF373" s="5">
        <v>33.6091</v>
      </c>
      <c r="AG373" s="5">
        <v>38.7797</v>
      </c>
      <c r="AH373" s="5">
        <v>45.8305</v>
      </c>
      <c r="AI373" s="5"/>
    </row>
    <row r="374" hidden="1" spans="1:35">
      <c r="A374" s="5" t="s">
        <v>897</v>
      </c>
      <c r="B374" s="5" t="s">
        <v>786</v>
      </c>
      <c r="C374" s="5" t="s">
        <v>2542</v>
      </c>
      <c r="D374" s="5" t="s">
        <v>2543</v>
      </c>
      <c r="E374" s="5" t="s">
        <v>899</v>
      </c>
      <c r="F374" s="5" t="s">
        <v>108</v>
      </c>
      <c r="G374" s="5" t="s">
        <v>146</v>
      </c>
      <c r="H374" s="5" t="s">
        <v>2544</v>
      </c>
      <c r="I374" s="5" t="s">
        <v>1210</v>
      </c>
      <c r="J374" s="5" t="s">
        <v>1210</v>
      </c>
      <c r="K374" s="5">
        <v>6</v>
      </c>
      <c r="L374" s="5"/>
      <c r="M374" s="5" t="s">
        <v>1037</v>
      </c>
      <c r="N374" s="5" t="s">
        <v>2545</v>
      </c>
      <c r="O374" s="5" t="s">
        <v>2546</v>
      </c>
      <c r="P374" s="5" t="s">
        <v>2547</v>
      </c>
      <c r="Q374" s="5" t="s">
        <v>2548</v>
      </c>
      <c r="R374" s="5">
        <v>400</v>
      </c>
      <c r="S374" s="5">
        <v>685</v>
      </c>
      <c r="T374" s="5">
        <v>3.55</v>
      </c>
      <c r="U374" s="5">
        <v>56</v>
      </c>
      <c r="V374" s="5">
        <v>42</v>
      </c>
      <c r="W374" s="5">
        <v>20</v>
      </c>
      <c r="X374" s="5" t="s">
        <v>1020</v>
      </c>
      <c r="Y374" s="5" t="s">
        <v>908</v>
      </c>
      <c r="Z374" s="5">
        <v>0</v>
      </c>
      <c r="AA374" s="5" t="s">
        <v>909</v>
      </c>
      <c r="AB374" s="5">
        <v>37.71</v>
      </c>
      <c r="AC374" s="5">
        <v>0.58</v>
      </c>
      <c r="AD374" s="5">
        <v>21.8718</v>
      </c>
      <c r="AE374" s="5">
        <v>27.3397</v>
      </c>
      <c r="AF374" s="5">
        <v>29.1624</v>
      </c>
      <c r="AG374" s="5">
        <v>33.6489</v>
      </c>
      <c r="AH374" s="5">
        <v>39.7669</v>
      </c>
      <c r="AI374" s="5"/>
    </row>
    <row r="375" hidden="1" spans="1:35">
      <c r="A375" s="5" t="s">
        <v>897</v>
      </c>
      <c r="B375" s="5" t="s">
        <v>767</v>
      </c>
      <c r="C375" s="5" t="s">
        <v>2549</v>
      </c>
      <c r="D375" s="5" t="s">
        <v>2550</v>
      </c>
      <c r="E375" s="5" t="s">
        <v>899</v>
      </c>
      <c r="F375" s="5" t="s">
        <v>108</v>
      </c>
      <c r="G375" s="5" t="s">
        <v>146</v>
      </c>
      <c r="H375" s="5" t="s">
        <v>1484</v>
      </c>
      <c r="I375" s="5" t="s">
        <v>1210</v>
      </c>
      <c r="J375" s="5" t="s">
        <v>1210</v>
      </c>
      <c r="K375" s="5">
        <v>6</v>
      </c>
      <c r="L375" s="5"/>
      <c r="M375" s="5" t="s">
        <v>1037</v>
      </c>
      <c r="N375" s="5" t="s">
        <v>2551</v>
      </c>
      <c r="O375" s="5" t="s">
        <v>2552</v>
      </c>
      <c r="P375" s="5" t="s">
        <v>2553</v>
      </c>
      <c r="Q375" s="5" t="s">
        <v>2554</v>
      </c>
      <c r="R375" s="5">
        <v>1700</v>
      </c>
      <c r="S375" s="5">
        <v>3000</v>
      </c>
      <c r="T375" s="5">
        <v>12.75</v>
      </c>
      <c r="U375" s="5">
        <v>55</v>
      </c>
      <c r="V375" s="5">
        <v>64</v>
      </c>
      <c r="W375" s="5">
        <v>8</v>
      </c>
      <c r="X375" s="5" t="s">
        <v>1020</v>
      </c>
      <c r="Y375" s="5" t="s">
        <v>908</v>
      </c>
      <c r="Z375" s="5">
        <v>0</v>
      </c>
      <c r="AA375" s="5" t="s">
        <v>909</v>
      </c>
      <c r="AB375" s="5">
        <v>149.93</v>
      </c>
      <c r="AC375" s="5">
        <v>0.58</v>
      </c>
      <c r="AD375" s="5">
        <v>86.9594</v>
      </c>
      <c r="AE375" s="5">
        <v>108.6992</v>
      </c>
      <c r="AF375" s="5">
        <v>115.9459</v>
      </c>
      <c r="AG375" s="5">
        <v>133.7837</v>
      </c>
      <c r="AH375" s="5">
        <v>158.108</v>
      </c>
      <c r="AI375" s="5"/>
    </row>
    <row r="376" hidden="1" spans="1:35">
      <c r="A376" s="5" t="s">
        <v>897</v>
      </c>
      <c r="B376" s="5" t="s">
        <v>766</v>
      </c>
      <c r="C376" s="5" t="s">
        <v>2555</v>
      </c>
      <c r="D376" s="5" t="s">
        <v>2556</v>
      </c>
      <c r="E376" s="5" t="s">
        <v>899</v>
      </c>
      <c r="F376" s="5" t="s">
        <v>108</v>
      </c>
      <c r="G376" s="5" t="s">
        <v>146</v>
      </c>
      <c r="H376" s="5" t="s">
        <v>1484</v>
      </c>
      <c r="I376" s="5" t="s">
        <v>1210</v>
      </c>
      <c r="J376" s="5" t="s">
        <v>1210</v>
      </c>
      <c r="K376" s="5">
        <v>6</v>
      </c>
      <c r="L376" s="5"/>
      <c r="M376" s="5" t="s">
        <v>1037</v>
      </c>
      <c r="N376" s="5" t="s">
        <v>2557</v>
      </c>
      <c r="O376" s="5" t="s">
        <v>2558</v>
      </c>
      <c r="P376" s="5" t="s">
        <v>2559</v>
      </c>
      <c r="Q376" s="5" t="s">
        <v>2554</v>
      </c>
      <c r="R376" s="5">
        <v>1800</v>
      </c>
      <c r="S376" s="5">
        <v>3100</v>
      </c>
      <c r="T376" s="5">
        <v>12.75</v>
      </c>
      <c r="U376" s="5">
        <v>55</v>
      </c>
      <c r="V376" s="5">
        <v>64</v>
      </c>
      <c r="W376" s="5">
        <v>8</v>
      </c>
      <c r="X376" s="5" t="s">
        <v>1020</v>
      </c>
      <c r="Y376" s="5" t="s">
        <v>908</v>
      </c>
      <c r="Z376" s="5">
        <v>0</v>
      </c>
      <c r="AA376" s="5" t="s">
        <v>909</v>
      </c>
      <c r="AB376" s="5">
        <v>208.84</v>
      </c>
      <c r="AC376" s="5">
        <v>0.58</v>
      </c>
      <c r="AD376" s="5">
        <v>121.1272</v>
      </c>
      <c r="AE376" s="5">
        <v>151.409</v>
      </c>
      <c r="AF376" s="5">
        <v>161.5029</v>
      </c>
      <c r="AG376" s="5">
        <v>186.3495</v>
      </c>
      <c r="AH376" s="5">
        <v>220.2313</v>
      </c>
      <c r="AI376" s="5"/>
    </row>
    <row r="377" hidden="1" spans="1:35">
      <c r="A377" s="5" t="s">
        <v>897</v>
      </c>
      <c r="B377" s="5" t="s">
        <v>818</v>
      </c>
      <c r="C377" s="5" t="s">
        <v>2560</v>
      </c>
      <c r="D377" s="5" t="s">
        <v>2561</v>
      </c>
      <c r="E377" s="5" t="s">
        <v>899</v>
      </c>
      <c r="F377" s="5" t="s">
        <v>108</v>
      </c>
      <c r="G377" s="5" t="s">
        <v>278</v>
      </c>
      <c r="H377" s="5" t="s">
        <v>1503</v>
      </c>
      <c r="I377" s="5" t="s">
        <v>1210</v>
      </c>
      <c r="J377" s="5" t="s">
        <v>1210</v>
      </c>
      <c r="K377" s="5">
        <v>6</v>
      </c>
      <c r="L377" s="5"/>
      <c r="M377" s="5" t="s">
        <v>1037</v>
      </c>
      <c r="N377" s="5" t="s">
        <v>2562</v>
      </c>
      <c r="O377" s="5" t="s">
        <v>2563</v>
      </c>
      <c r="P377" s="5" t="s">
        <v>2564</v>
      </c>
      <c r="Q377" s="5" t="s">
        <v>2565</v>
      </c>
      <c r="R377" s="5">
        <v>168</v>
      </c>
      <c r="S377" s="5">
        <v>230</v>
      </c>
      <c r="T377" s="5">
        <v>1.16</v>
      </c>
      <c r="U377" s="5">
        <v>35.5</v>
      </c>
      <c r="V377" s="5">
        <v>35</v>
      </c>
      <c r="W377" s="5">
        <v>50</v>
      </c>
      <c r="X377" s="5" t="s">
        <v>907</v>
      </c>
      <c r="Y377" s="5" t="s">
        <v>908</v>
      </c>
      <c r="Z377" s="5">
        <v>0</v>
      </c>
      <c r="AA377" s="5" t="s">
        <v>909</v>
      </c>
      <c r="AB377" s="5">
        <v>23.82</v>
      </c>
      <c r="AC377" s="5">
        <v>0.58</v>
      </c>
      <c r="AD377" s="5">
        <v>13.8156</v>
      </c>
      <c r="AE377" s="5">
        <v>17.2695</v>
      </c>
      <c r="AF377" s="5">
        <v>18.4208</v>
      </c>
      <c r="AG377" s="5">
        <v>21.2548</v>
      </c>
      <c r="AH377" s="5">
        <v>25.1193</v>
      </c>
      <c r="AI377" s="5"/>
    </row>
    <row r="378" hidden="1" spans="1:35">
      <c r="A378" s="5" t="s">
        <v>897</v>
      </c>
      <c r="B378" s="5" t="s">
        <v>843</v>
      </c>
      <c r="C378" s="5" t="s">
        <v>2566</v>
      </c>
      <c r="D378" s="5" t="s">
        <v>2567</v>
      </c>
      <c r="E378" s="5" t="s">
        <v>899</v>
      </c>
      <c r="F378" s="5" t="s">
        <v>108</v>
      </c>
      <c r="G378" s="5" t="s">
        <v>109</v>
      </c>
      <c r="H378" s="5" t="s">
        <v>1537</v>
      </c>
      <c r="I378" s="5" t="s">
        <v>1168</v>
      </c>
      <c r="J378" s="5" t="s">
        <v>2568</v>
      </c>
      <c r="K378" s="5">
        <v>6</v>
      </c>
      <c r="L378" s="5"/>
      <c r="M378" s="5" t="s">
        <v>919</v>
      </c>
      <c r="N378" s="5" t="s">
        <v>2569</v>
      </c>
      <c r="O378" s="5" t="s">
        <v>2570</v>
      </c>
      <c r="P378" s="5" t="s">
        <v>2571</v>
      </c>
      <c r="Q378" s="5" t="s">
        <v>2572</v>
      </c>
      <c r="R378" s="5">
        <v>700</v>
      </c>
      <c r="S378" s="5">
        <v>1200</v>
      </c>
      <c r="T378" s="5">
        <v>5.8</v>
      </c>
      <c r="U378" s="5">
        <v>37</v>
      </c>
      <c r="V378" s="5">
        <v>28</v>
      </c>
      <c r="W378" s="5">
        <v>10</v>
      </c>
      <c r="X378" s="5" t="s">
        <v>907</v>
      </c>
      <c r="Y378" s="5" t="s">
        <v>908</v>
      </c>
      <c r="Z378" s="5">
        <v>0</v>
      </c>
      <c r="AA378" s="5" t="s">
        <v>909</v>
      </c>
      <c r="AB378" s="5">
        <v>272.66</v>
      </c>
      <c r="AC378" s="5">
        <v>0.58</v>
      </c>
      <c r="AD378" s="5">
        <v>158.1428</v>
      </c>
      <c r="AE378" s="5">
        <v>197.6785</v>
      </c>
      <c r="AF378" s="5">
        <v>210.8571</v>
      </c>
      <c r="AG378" s="5">
        <v>243.2966</v>
      </c>
      <c r="AH378" s="5">
        <v>287.5324</v>
      </c>
      <c r="AI378" s="5"/>
    </row>
    <row r="379" hidden="1" spans="1:35">
      <c r="A379" s="5" t="s">
        <v>897</v>
      </c>
      <c r="B379" s="5" t="s">
        <v>629</v>
      </c>
      <c r="C379" s="5" t="s">
        <v>2573</v>
      </c>
      <c r="D379" s="5" t="s">
        <v>2574</v>
      </c>
      <c r="E379" s="5" t="s">
        <v>899</v>
      </c>
      <c r="F379" s="5" t="s">
        <v>108</v>
      </c>
      <c r="G379" s="5" t="s">
        <v>109</v>
      </c>
      <c r="H379" s="5" t="s">
        <v>1537</v>
      </c>
      <c r="I379" s="5" t="s">
        <v>1168</v>
      </c>
      <c r="J379" s="5" t="s">
        <v>2568</v>
      </c>
      <c r="K379" s="5">
        <v>6</v>
      </c>
      <c r="L379" s="5"/>
      <c r="M379" s="5" t="s">
        <v>1037</v>
      </c>
      <c r="N379" s="5" t="s">
        <v>2575</v>
      </c>
      <c r="O379" s="5" t="s">
        <v>2576</v>
      </c>
      <c r="P379" s="5" t="s">
        <v>2577</v>
      </c>
      <c r="Q379" s="5" t="s">
        <v>2578</v>
      </c>
      <c r="R379" s="5">
        <v>841</v>
      </c>
      <c r="S379" s="5">
        <v>1444</v>
      </c>
      <c r="T379" s="5">
        <v>5.5</v>
      </c>
      <c r="U379" s="5">
        <v>41.3</v>
      </c>
      <c r="V379" s="5">
        <v>28.5</v>
      </c>
      <c r="W379" s="5">
        <v>10</v>
      </c>
      <c r="X379" s="5" t="s">
        <v>907</v>
      </c>
      <c r="Y379" s="5" t="s">
        <v>908</v>
      </c>
      <c r="Z379" s="5">
        <v>0</v>
      </c>
      <c r="AA379" s="5" t="s">
        <v>909</v>
      </c>
      <c r="AB379" s="5">
        <v>322.49</v>
      </c>
      <c r="AC379" s="5">
        <v>0.58</v>
      </c>
      <c r="AD379" s="5">
        <v>187.0442</v>
      </c>
      <c r="AE379" s="5">
        <v>233.8053</v>
      </c>
      <c r="AF379" s="5">
        <v>249.3923</v>
      </c>
      <c r="AG379" s="5">
        <v>287.7603</v>
      </c>
      <c r="AH379" s="5">
        <v>340.0804</v>
      </c>
      <c r="AI379" s="5"/>
    </row>
    <row r="380" hidden="1" spans="1:35">
      <c r="A380" s="5" t="s">
        <v>897</v>
      </c>
      <c r="B380" s="5" t="s">
        <v>479</v>
      </c>
      <c r="C380" s="5" t="s">
        <v>478</v>
      </c>
      <c r="D380" s="5" t="s">
        <v>2579</v>
      </c>
      <c r="E380" s="5" t="s">
        <v>899</v>
      </c>
      <c r="F380" s="5" t="s">
        <v>96</v>
      </c>
      <c r="G380" s="5" t="s">
        <v>115</v>
      </c>
      <c r="H380" s="5" t="s">
        <v>2580</v>
      </c>
      <c r="I380" s="5" t="s">
        <v>2581</v>
      </c>
      <c r="J380" s="5" t="s">
        <v>2581</v>
      </c>
      <c r="K380" s="5">
        <v>6</v>
      </c>
      <c r="L380" s="5"/>
      <c r="M380" s="5" t="s">
        <v>919</v>
      </c>
      <c r="N380" s="5" t="s">
        <v>2582</v>
      </c>
      <c r="O380" s="5" t="s">
        <v>2583</v>
      </c>
      <c r="P380" s="5" t="s">
        <v>2584</v>
      </c>
      <c r="Q380" s="5" t="s">
        <v>2585</v>
      </c>
      <c r="R380" s="5">
        <v>2350</v>
      </c>
      <c r="S380" s="5">
        <v>2440</v>
      </c>
      <c r="T380" s="5">
        <v>24.2</v>
      </c>
      <c r="U380" s="5">
        <v>93</v>
      </c>
      <c r="V380" s="5">
        <v>12</v>
      </c>
      <c r="W380" s="5">
        <v>5</v>
      </c>
      <c r="X380" s="5" t="s">
        <v>1020</v>
      </c>
      <c r="Y380" s="5" t="s">
        <v>908</v>
      </c>
      <c r="Z380" s="5">
        <v>14</v>
      </c>
      <c r="AA380" s="5" t="s">
        <v>909</v>
      </c>
      <c r="AB380" s="5">
        <v>74.54</v>
      </c>
      <c r="AC380" s="5">
        <v>0.58</v>
      </c>
      <c r="AD380" s="5">
        <v>43.2332</v>
      </c>
      <c r="AE380" s="5">
        <v>54.0415</v>
      </c>
      <c r="AF380" s="5">
        <v>57.6443</v>
      </c>
      <c r="AG380" s="5">
        <v>66.5126</v>
      </c>
      <c r="AH380" s="5">
        <v>78.6058</v>
      </c>
      <c r="AI380" s="5"/>
    </row>
    <row r="381" hidden="1" spans="1:35">
      <c r="A381" s="5" t="s">
        <v>897</v>
      </c>
      <c r="B381" s="5" t="s">
        <v>747</v>
      </c>
      <c r="C381" s="5" t="s">
        <v>746</v>
      </c>
      <c r="D381" s="5" t="s">
        <v>2586</v>
      </c>
      <c r="E381" s="5" t="s">
        <v>899</v>
      </c>
      <c r="F381" s="5" t="s">
        <v>96</v>
      </c>
      <c r="G381" s="5" t="s">
        <v>115</v>
      </c>
      <c r="H381" s="5" t="s">
        <v>2580</v>
      </c>
      <c r="I381" s="5" t="s">
        <v>2581</v>
      </c>
      <c r="J381" s="5" t="s">
        <v>2581</v>
      </c>
      <c r="K381" s="5">
        <v>6</v>
      </c>
      <c r="L381" s="5"/>
      <c r="M381" s="5" t="s">
        <v>919</v>
      </c>
      <c r="N381" s="5" t="s">
        <v>2582</v>
      </c>
      <c r="O381" s="5" t="s">
        <v>2583</v>
      </c>
      <c r="P381" s="5" t="s">
        <v>2584</v>
      </c>
      <c r="Q381" s="5" t="s">
        <v>2587</v>
      </c>
      <c r="R381" s="5">
        <v>1000</v>
      </c>
      <c r="S381" s="5">
        <v>1100</v>
      </c>
      <c r="T381" s="5">
        <v>12.1</v>
      </c>
      <c r="U381" s="5">
        <v>83</v>
      </c>
      <c r="V381" s="5">
        <v>12</v>
      </c>
      <c r="W381" s="5">
        <v>10</v>
      </c>
      <c r="X381" s="5" t="s">
        <v>1020</v>
      </c>
      <c r="Y381" s="5" t="s">
        <v>908</v>
      </c>
      <c r="Z381" s="5">
        <v>47</v>
      </c>
      <c r="AA381" s="5" t="s">
        <v>909</v>
      </c>
      <c r="AB381" s="5">
        <v>42.43</v>
      </c>
      <c r="AC381" s="5">
        <v>0.58</v>
      </c>
      <c r="AD381" s="5">
        <v>24.6094</v>
      </c>
      <c r="AE381" s="5">
        <v>30.7617</v>
      </c>
      <c r="AF381" s="5">
        <v>32.8125</v>
      </c>
      <c r="AG381" s="5">
        <v>37.8606</v>
      </c>
      <c r="AH381" s="5">
        <v>44.7444</v>
      </c>
      <c r="AI381" s="5"/>
    </row>
    <row r="382" hidden="1" spans="1:35">
      <c r="A382" s="5" t="s">
        <v>897</v>
      </c>
      <c r="B382" s="5" t="s">
        <v>711</v>
      </c>
      <c r="C382" s="5" t="s">
        <v>710</v>
      </c>
      <c r="D382" s="5" t="s">
        <v>2588</v>
      </c>
      <c r="E382" s="5" t="s">
        <v>899</v>
      </c>
      <c r="F382" s="5" t="s">
        <v>96</v>
      </c>
      <c r="G382" s="5" t="s">
        <v>115</v>
      </c>
      <c r="H382" s="5" t="s">
        <v>2580</v>
      </c>
      <c r="I382" s="5" t="s">
        <v>2581</v>
      </c>
      <c r="J382" s="5" t="s">
        <v>2581</v>
      </c>
      <c r="K382" s="5">
        <v>6</v>
      </c>
      <c r="L382" s="5"/>
      <c r="M382" s="5" t="s">
        <v>919</v>
      </c>
      <c r="N382" s="5" t="s">
        <v>2582</v>
      </c>
      <c r="O382" s="5" t="s">
        <v>2583</v>
      </c>
      <c r="P382" s="5" t="s">
        <v>2584</v>
      </c>
      <c r="Q382" s="5" t="s">
        <v>2589</v>
      </c>
      <c r="R382" s="5">
        <v>750</v>
      </c>
      <c r="S382" s="5">
        <v>840</v>
      </c>
      <c r="T382" s="5">
        <v>12.1</v>
      </c>
      <c r="U382" s="5">
        <v>63</v>
      </c>
      <c r="V382" s="5">
        <v>12</v>
      </c>
      <c r="W382" s="5">
        <v>10</v>
      </c>
      <c r="X382" s="5" t="s">
        <v>1020</v>
      </c>
      <c r="Y382" s="5" t="s">
        <v>908</v>
      </c>
      <c r="Z382" s="5">
        <v>55</v>
      </c>
      <c r="AA382" s="5" t="s">
        <v>909</v>
      </c>
      <c r="AB382" s="5">
        <v>32.37</v>
      </c>
      <c r="AC382" s="5">
        <v>0.58</v>
      </c>
      <c r="AD382" s="5">
        <v>18.7746</v>
      </c>
      <c r="AE382" s="5">
        <v>23.4682</v>
      </c>
      <c r="AF382" s="5">
        <v>25.0328</v>
      </c>
      <c r="AG382" s="5">
        <v>28.884</v>
      </c>
      <c r="AH382" s="5">
        <v>34.1356</v>
      </c>
      <c r="AI382" s="5"/>
    </row>
    <row r="383" hidden="1" spans="1:35">
      <c r="A383" s="5" t="s">
        <v>897</v>
      </c>
      <c r="B383" s="5" t="s">
        <v>793</v>
      </c>
      <c r="C383" s="5" t="s">
        <v>792</v>
      </c>
      <c r="D383" s="5" t="s">
        <v>2590</v>
      </c>
      <c r="E383" s="5" t="s">
        <v>899</v>
      </c>
      <c r="F383" s="5" t="s">
        <v>96</v>
      </c>
      <c r="G383" s="5" t="s">
        <v>115</v>
      </c>
      <c r="H383" s="5" t="s">
        <v>2580</v>
      </c>
      <c r="I383" s="5" t="s">
        <v>2581</v>
      </c>
      <c r="J383" s="5" t="s">
        <v>2581</v>
      </c>
      <c r="K383" s="5">
        <v>6</v>
      </c>
      <c r="L383" s="5"/>
      <c r="M383" s="5" t="s">
        <v>919</v>
      </c>
      <c r="N383" s="5" t="s">
        <v>2582</v>
      </c>
      <c r="O383" s="5" t="s">
        <v>2583</v>
      </c>
      <c r="P383" s="5" t="s">
        <v>2584</v>
      </c>
      <c r="Q383" s="5" t="s">
        <v>2591</v>
      </c>
      <c r="R383" s="5">
        <v>550</v>
      </c>
      <c r="S383" s="5">
        <v>625</v>
      </c>
      <c r="T383" s="5">
        <v>4.05</v>
      </c>
      <c r="U383" s="5">
        <v>63</v>
      </c>
      <c r="V383" s="5">
        <v>23</v>
      </c>
      <c r="W383" s="5">
        <v>20</v>
      </c>
      <c r="X383" s="5" t="s">
        <v>1020</v>
      </c>
      <c r="Y383" s="5" t="s">
        <v>908</v>
      </c>
      <c r="Z383" s="5">
        <v>94</v>
      </c>
      <c r="AA383" s="5" t="s">
        <v>909</v>
      </c>
      <c r="AB383" s="5">
        <v>20.83</v>
      </c>
      <c r="AC383" s="5">
        <v>0.58</v>
      </c>
      <c r="AD383" s="5">
        <v>12.0814</v>
      </c>
      <c r="AE383" s="5">
        <v>15.1017</v>
      </c>
      <c r="AF383" s="5">
        <v>16.1085</v>
      </c>
      <c r="AG383" s="5">
        <v>18.5868</v>
      </c>
      <c r="AH383" s="5">
        <v>21.9662</v>
      </c>
      <c r="AI383" s="5"/>
    </row>
    <row r="384" hidden="1" spans="1:35">
      <c r="A384" s="5" t="s">
        <v>897</v>
      </c>
      <c r="B384" s="5" t="s">
        <v>805</v>
      </c>
      <c r="C384" s="5" t="s">
        <v>804</v>
      </c>
      <c r="D384" s="5" t="s">
        <v>2592</v>
      </c>
      <c r="E384" s="5" t="s">
        <v>899</v>
      </c>
      <c r="F384" s="5" t="s">
        <v>96</v>
      </c>
      <c r="G384" s="5" t="s">
        <v>115</v>
      </c>
      <c r="H384" s="5" t="s">
        <v>2580</v>
      </c>
      <c r="I384" s="5" t="s">
        <v>2581</v>
      </c>
      <c r="J384" s="5" t="s">
        <v>2581</v>
      </c>
      <c r="K384" s="5">
        <v>6</v>
      </c>
      <c r="L384" s="5"/>
      <c r="M384" s="5" t="s">
        <v>919</v>
      </c>
      <c r="N384" s="5" t="s">
        <v>2582</v>
      </c>
      <c r="O384" s="5" t="s">
        <v>2583</v>
      </c>
      <c r="P384" s="5" t="s">
        <v>2584</v>
      </c>
      <c r="Q384" s="5" t="s">
        <v>2585</v>
      </c>
      <c r="R384" s="5">
        <v>2350</v>
      </c>
      <c r="S384" s="5">
        <v>2440</v>
      </c>
      <c r="T384" s="5">
        <v>24.2</v>
      </c>
      <c r="U384" s="5">
        <v>93</v>
      </c>
      <c r="V384" s="5">
        <v>12</v>
      </c>
      <c r="W384" s="5">
        <v>5</v>
      </c>
      <c r="X384" s="5" t="s">
        <v>1020</v>
      </c>
      <c r="Y384" s="5" t="s">
        <v>908</v>
      </c>
      <c r="Z384" s="5">
        <v>28</v>
      </c>
      <c r="AA384" s="5" t="s">
        <v>909</v>
      </c>
      <c r="AB384" s="5">
        <v>74.54</v>
      </c>
      <c r="AC384" s="5">
        <v>0.58</v>
      </c>
      <c r="AD384" s="5">
        <v>43.2332</v>
      </c>
      <c r="AE384" s="5">
        <v>54.0415</v>
      </c>
      <c r="AF384" s="5">
        <v>57.6443</v>
      </c>
      <c r="AG384" s="5">
        <v>66.5126</v>
      </c>
      <c r="AH384" s="5">
        <v>78.6058</v>
      </c>
      <c r="AI384" s="5"/>
    </row>
    <row r="385" hidden="1" spans="1:35">
      <c r="A385" s="5" t="s">
        <v>897</v>
      </c>
      <c r="B385" s="5" t="s">
        <v>735</v>
      </c>
      <c r="C385" s="5" t="s">
        <v>734</v>
      </c>
      <c r="D385" s="5" t="s">
        <v>2593</v>
      </c>
      <c r="E385" s="5" t="s">
        <v>899</v>
      </c>
      <c r="F385" s="5" t="s">
        <v>96</v>
      </c>
      <c r="G385" s="5" t="s">
        <v>115</v>
      </c>
      <c r="H385" s="5" t="s">
        <v>2580</v>
      </c>
      <c r="I385" s="5" t="s">
        <v>2581</v>
      </c>
      <c r="J385" s="5" t="s">
        <v>2581</v>
      </c>
      <c r="K385" s="5">
        <v>6</v>
      </c>
      <c r="L385" s="5"/>
      <c r="M385" s="5" t="s">
        <v>919</v>
      </c>
      <c r="N385" s="5" t="s">
        <v>2582</v>
      </c>
      <c r="O385" s="5" t="s">
        <v>2583</v>
      </c>
      <c r="P385" s="5" t="s">
        <v>2584</v>
      </c>
      <c r="Q385" s="5" t="s">
        <v>2587</v>
      </c>
      <c r="R385" s="5">
        <v>1000</v>
      </c>
      <c r="S385" s="5">
        <v>1100</v>
      </c>
      <c r="T385" s="5">
        <v>12.1</v>
      </c>
      <c r="U385" s="5">
        <v>83</v>
      </c>
      <c r="V385" s="5">
        <v>12</v>
      </c>
      <c r="W385" s="5">
        <v>10</v>
      </c>
      <c r="X385" s="5" t="s">
        <v>1020</v>
      </c>
      <c r="Y385" s="5" t="s">
        <v>908</v>
      </c>
      <c r="Z385" s="5">
        <v>61</v>
      </c>
      <c r="AA385" s="5" t="s">
        <v>909</v>
      </c>
      <c r="AB385" s="5">
        <v>42.43</v>
      </c>
      <c r="AC385" s="5">
        <v>0.58</v>
      </c>
      <c r="AD385" s="5">
        <v>24.6094</v>
      </c>
      <c r="AE385" s="5">
        <v>30.7617</v>
      </c>
      <c r="AF385" s="5">
        <v>32.8125</v>
      </c>
      <c r="AG385" s="5">
        <v>37.8606</v>
      </c>
      <c r="AH385" s="5">
        <v>44.7444</v>
      </c>
      <c r="AI385" s="5"/>
    </row>
    <row r="386" hidden="1" spans="1:35">
      <c r="A386" s="5" t="s">
        <v>897</v>
      </c>
      <c r="B386" s="5" t="s">
        <v>508</v>
      </c>
      <c r="C386" s="5" t="s">
        <v>507</v>
      </c>
      <c r="D386" s="5" t="s">
        <v>2594</v>
      </c>
      <c r="E386" s="5" t="s">
        <v>899</v>
      </c>
      <c r="F386" s="5" t="s">
        <v>96</v>
      </c>
      <c r="G386" s="5" t="s">
        <v>115</v>
      </c>
      <c r="H386" s="5" t="s">
        <v>2580</v>
      </c>
      <c r="I386" s="5" t="s">
        <v>2581</v>
      </c>
      <c r="J386" s="5" t="s">
        <v>2581</v>
      </c>
      <c r="K386" s="5">
        <v>6</v>
      </c>
      <c r="L386" s="5"/>
      <c r="M386" s="5" t="s">
        <v>919</v>
      </c>
      <c r="N386" s="5" t="s">
        <v>2582</v>
      </c>
      <c r="O386" s="5" t="s">
        <v>2583</v>
      </c>
      <c r="P386" s="5" t="s">
        <v>2584</v>
      </c>
      <c r="Q386" s="5" t="s">
        <v>2589</v>
      </c>
      <c r="R386" s="5">
        <v>750</v>
      </c>
      <c r="S386" s="5">
        <v>840</v>
      </c>
      <c r="T386" s="5">
        <v>12.1</v>
      </c>
      <c r="U386" s="5">
        <v>63</v>
      </c>
      <c r="V386" s="5">
        <v>12</v>
      </c>
      <c r="W386" s="5">
        <v>10</v>
      </c>
      <c r="X386" s="5" t="s">
        <v>1020</v>
      </c>
      <c r="Y386" s="5" t="s">
        <v>908</v>
      </c>
      <c r="Z386" s="5">
        <v>78</v>
      </c>
      <c r="AA386" s="5" t="s">
        <v>909</v>
      </c>
      <c r="AB386" s="5">
        <v>32.37</v>
      </c>
      <c r="AC386" s="5">
        <v>0.58</v>
      </c>
      <c r="AD386" s="5">
        <v>18.7746</v>
      </c>
      <c r="AE386" s="5">
        <v>23.4682</v>
      </c>
      <c r="AF386" s="5">
        <v>25.0328</v>
      </c>
      <c r="AG386" s="5">
        <v>28.884</v>
      </c>
      <c r="AH386" s="5">
        <v>34.1356</v>
      </c>
      <c r="AI386" s="5"/>
    </row>
    <row r="387" hidden="1" spans="1:35">
      <c r="A387" s="5" t="s">
        <v>897</v>
      </c>
      <c r="B387" s="5" t="s">
        <v>697</v>
      </c>
      <c r="C387" s="5" t="s">
        <v>696</v>
      </c>
      <c r="D387" s="5" t="s">
        <v>2595</v>
      </c>
      <c r="E387" s="5" t="s">
        <v>899</v>
      </c>
      <c r="F387" s="5" t="s">
        <v>96</v>
      </c>
      <c r="G387" s="5" t="s">
        <v>115</v>
      </c>
      <c r="H387" s="5" t="s">
        <v>2580</v>
      </c>
      <c r="I387" s="5" t="s">
        <v>2581</v>
      </c>
      <c r="J387" s="5" t="s">
        <v>2581</v>
      </c>
      <c r="K387" s="5">
        <v>6</v>
      </c>
      <c r="L387" s="5"/>
      <c r="M387" s="5" t="s">
        <v>919</v>
      </c>
      <c r="N387" s="5" t="s">
        <v>2582</v>
      </c>
      <c r="O387" s="5" t="s">
        <v>2583</v>
      </c>
      <c r="P387" s="5" t="s">
        <v>2584</v>
      </c>
      <c r="Q387" s="5" t="s">
        <v>2589</v>
      </c>
      <c r="R387" s="5">
        <v>550</v>
      </c>
      <c r="S387" s="5">
        <v>625</v>
      </c>
      <c r="T387" s="5">
        <v>4.05</v>
      </c>
      <c r="U387" s="5">
        <v>63</v>
      </c>
      <c r="V387" s="5">
        <v>23</v>
      </c>
      <c r="W387" s="5">
        <v>20</v>
      </c>
      <c r="X387" s="5" t="s">
        <v>1020</v>
      </c>
      <c r="Y387" s="5" t="s">
        <v>908</v>
      </c>
      <c r="Z387" s="5">
        <v>124</v>
      </c>
      <c r="AA387" s="5" t="s">
        <v>909</v>
      </c>
      <c r="AB387" s="5">
        <v>20.83</v>
      </c>
      <c r="AC387" s="5">
        <v>0.58</v>
      </c>
      <c r="AD387" s="5">
        <v>12.0814</v>
      </c>
      <c r="AE387" s="5">
        <v>15.1017</v>
      </c>
      <c r="AF387" s="5">
        <v>16.1085</v>
      </c>
      <c r="AG387" s="5">
        <v>18.5868</v>
      </c>
      <c r="AH387" s="5">
        <v>21.9662</v>
      </c>
      <c r="AI387" s="5"/>
    </row>
    <row r="388" hidden="1" spans="1:35">
      <c r="A388" s="5" t="s">
        <v>897</v>
      </c>
      <c r="B388" s="5" t="s">
        <v>630</v>
      </c>
      <c r="C388" s="5" t="s">
        <v>2596</v>
      </c>
      <c r="D388" s="5" t="s">
        <v>2597</v>
      </c>
      <c r="E388" s="5" t="s">
        <v>899</v>
      </c>
      <c r="F388" s="5" t="s">
        <v>96</v>
      </c>
      <c r="G388" s="5" t="s">
        <v>186</v>
      </c>
      <c r="H388" s="5" t="s">
        <v>2094</v>
      </c>
      <c r="I388" s="5" t="s">
        <v>1168</v>
      </c>
      <c r="J388" s="5" t="s">
        <v>1168</v>
      </c>
      <c r="K388" s="5">
        <v>6</v>
      </c>
      <c r="L388" s="5"/>
      <c r="M388" s="5" t="s">
        <v>919</v>
      </c>
      <c r="N388" s="5" t="s">
        <v>2598</v>
      </c>
      <c r="O388" s="5" t="s">
        <v>2599</v>
      </c>
      <c r="P388" s="5" t="s">
        <v>2600</v>
      </c>
      <c r="Q388" s="5" t="s">
        <v>2134</v>
      </c>
      <c r="R388" s="5">
        <v>1600</v>
      </c>
      <c r="S388" s="5">
        <v>1800</v>
      </c>
      <c r="T388" s="5">
        <v>10.34</v>
      </c>
      <c r="U388" s="5">
        <v>62</v>
      </c>
      <c r="V388" s="5">
        <v>24</v>
      </c>
      <c r="W388" s="5">
        <v>9</v>
      </c>
      <c r="X388" s="5" t="s">
        <v>1020</v>
      </c>
      <c r="Y388" s="5" t="s">
        <v>908</v>
      </c>
      <c r="Z388" s="5">
        <v>0</v>
      </c>
      <c r="AA388" s="5" t="s">
        <v>909</v>
      </c>
      <c r="AB388" s="5">
        <v>29.66</v>
      </c>
      <c r="AC388" s="5">
        <v>0.58</v>
      </c>
      <c r="AD388" s="5">
        <v>17.2028</v>
      </c>
      <c r="AE388" s="5">
        <v>21.5035</v>
      </c>
      <c r="AF388" s="5">
        <v>22.9371</v>
      </c>
      <c r="AG388" s="5">
        <v>26.4658</v>
      </c>
      <c r="AH388" s="5">
        <v>31.2778</v>
      </c>
      <c r="AI388" s="5"/>
    </row>
    <row r="389" hidden="1" spans="1:35">
      <c r="A389" s="5" t="s">
        <v>897</v>
      </c>
      <c r="B389" s="5" t="s">
        <v>631</v>
      </c>
      <c r="C389" s="5" t="s">
        <v>2601</v>
      </c>
      <c r="D389" s="5" t="s">
        <v>2602</v>
      </c>
      <c r="E389" s="5" t="s">
        <v>899</v>
      </c>
      <c r="F389" s="5" t="s">
        <v>96</v>
      </c>
      <c r="G389" s="5" t="s">
        <v>186</v>
      </c>
      <c r="H389" s="5" t="s">
        <v>2094</v>
      </c>
      <c r="I389" s="5" t="s">
        <v>1168</v>
      </c>
      <c r="J389" s="5" t="s">
        <v>1168</v>
      </c>
      <c r="K389" s="5">
        <v>6</v>
      </c>
      <c r="L389" s="5"/>
      <c r="M389" s="5" t="s">
        <v>919</v>
      </c>
      <c r="N389" s="5" t="s">
        <v>2603</v>
      </c>
      <c r="O389" s="5" t="s">
        <v>2604</v>
      </c>
      <c r="P389" s="5" t="s">
        <v>2600</v>
      </c>
      <c r="Q389" s="5" t="s">
        <v>2134</v>
      </c>
      <c r="R389" s="5">
        <v>1700</v>
      </c>
      <c r="S389" s="5">
        <v>1900</v>
      </c>
      <c r="T389" s="5">
        <v>10.34</v>
      </c>
      <c r="U389" s="5">
        <v>62</v>
      </c>
      <c r="V389" s="5">
        <v>24</v>
      </c>
      <c r="W389" s="5">
        <v>9</v>
      </c>
      <c r="X389" s="5" t="s">
        <v>1020</v>
      </c>
      <c r="Y389" s="5" t="s">
        <v>908</v>
      </c>
      <c r="Z389" s="5">
        <v>0</v>
      </c>
      <c r="AA389" s="5" t="s">
        <v>909</v>
      </c>
      <c r="AB389" s="5">
        <v>29.66</v>
      </c>
      <c r="AC389" s="5">
        <v>0.58</v>
      </c>
      <c r="AD389" s="5">
        <v>17.2028</v>
      </c>
      <c r="AE389" s="5">
        <v>21.5035</v>
      </c>
      <c r="AF389" s="5">
        <v>22.9371</v>
      </c>
      <c r="AG389" s="5">
        <v>26.4658</v>
      </c>
      <c r="AH389" s="5">
        <v>31.2778</v>
      </c>
      <c r="AI389" s="5"/>
    </row>
    <row r="390" hidden="1" spans="1:35">
      <c r="A390" s="5" t="s">
        <v>897</v>
      </c>
      <c r="B390" s="5" t="s">
        <v>404</v>
      </c>
      <c r="C390" s="5" t="s">
        <v>2605</v>
      </c>
      <c r="D390" s="5" t="s">
        <v>2606</v>
      </c>
      <c r="E390" s="5" t="s">
        <v>899</v>
      </c>
      <c r="F390" s="5" t="s">
        <v>108</v>
      </c>
      <c r="G390" s="5" t="s">
        <v>109</v>
      </c>
      <c r="H390" s="5" t="s">
        <v>2159</v>
      </c>
      <c r="I390" s="5" t="s">
        <v>2517</v>
      </c>
      <c r="J390" s="5" t="s">
        <v>2518</v>
      </c>
      <c r="K390" s="5">
        <v>6</v>
      </c>
      <c r="L390" s="5"/>
      <c r="M390" s="5" t="s">
        <v>919</v>
      </c>
      <c r="N390" s="5" t="s">
        <v>2607</v>
      </c>
      <c r="O390" s="5" t="s">
        <v>2608</v>
      </c>
      <c r="P390" s="5" t="s">
        <v>2609</v>
      </c>
      <c r="Q390" s="5" t="s">
        <v>2610</v>
      </c>
      <c r="R390" s="5">
        <v>2760</v>
      </c>
      <c r="S390" s="5">
        <v>3430</v>
      </c>
      <c r="T390" s="5">
        <v>45.5</v>
      </c>
      <c r="U390" s="5">
        <v>42.5</v>
      </c>
      <c r="V390" s="5">
        <v>20</v>
      </c>
      <c r="W390" s="5">
        <v>1</v>
      </c>
      <c r="X390" s="5" t="s">
        <v>1020</v>
      </c>
      <c r="Y390" s="5" t="s">
        <v>908</v>
      </c>
      <c r="Z390" s="5">
        <v>50</v>
      </c>
      <c r="AA390" s="5" t="s">
        <v>909</v>
      </c>
      <c r="AB390" s="5">
        <v>79.16</v>
      </c>
      <c r="AC390" s="5">
        <v>0.58</v>
      </c>
      <c r="AD390" s="5">
        <v>45.9128</v>
      </c>
      <c r="AE390" s="5">
        <v>57.391</v>
      </c>
      <c r="AF390" s="5">
        <v>61.2171</v>
      </c>
      <c r="AG390" s="5">
        <v>70.6351</v>
      </c>
      <c r="AH390" s="5">
        <v>83.4778</v>
      </c>
      <c r="AI390" s="5"/>
    </row>
    <row r="391" hidden="1" spans="1:35">
      <c r="A391" s="5" t="s">
        <v>897</v>
      </c>
      <c r="B391" s="5" t="s">
        <v>632</v>
      </c>
      <c r="C391" s="5" t="s">
        <v>2611</v>
      </c>
      <c r="D391" s="5" t="s">
        <v>2612</v>
      </c>
      <c r="E391" s="5" t="s">
        <v>899</v>
      </c>
      <c r="F391" s="5" t="s">
        <v>108</v>
      </c>
      <c r="G391" s="5" t="s">
        <v>109</v>
      </c>
      <c r="H391" s="5" t="s">
        <v>2159</v>
      </c>
      <c r="I391" s="5" t="s">
        <v>1210</v>
      </c>
      <c r="J391" s="5" t="s">
        <v>1210</v>
      </c>
      <c r="K391" s="5">
        <v>6</v>
      </c>
      <c r="L391" s="5"/>
      <c r="M391" s="5" t="s">
        <v>1037</v>
      </c>
      <c r="N391" s="5" t="s">
        <v>2613</v>
      </c>
      <c r="O391" s="5" t="s">
        <v>2614</v>
      </c>
      <c r="P391" s="5" t="s">
        <v>2615</v>
      </c>
      <c r="Q391" s="5" t="s">
        <v>2616</v>
      </c>
      <c r="R391" s="5">
        <v>5500</v>
      </c>
      <c r="S391" s="5">
        <v>6600</v>
      </c>
      <c r="T391" s="5">
        <v>57.3</v>
      </c>
      <c r="U391" s="5">
        <v>46.3</v>
      </c>
      <c r="V391" s="5">
        <v>26.3</v>
      </c>
      <c r="W391" s="5">
        <v>1</v>
      </c>
      <c r="X391" s="5" t="s">
        <v>1020</v>
      </c>
      <c r="Y391" s="5" t="s">
        <v>908</v>
      </c>
      <c r="Z391" s="5">
        <v>0</v>
      </c>
      <c r="AA391" s="5" t="s">
        <v>909</v>
      </c>
      <c r="AB391" s="5">
        <v>197.43</v>
      </c>
      <c r="AC391" s="5">
        <v>0.58</v>
      </c>
      <c r="AD391" s="5">
        <v>114.5094</v>
      </c>
      <c r="AE391" s="5">
        <v>143.1368</v>
      </c>
      <c r="AF391" s="5">
        <v>152.6792</v>
      </c>
      <c r="AG391" s="5">
        <v>176.1683</v>
      </c>
      <c r="AH391" s="5">
        <v>208.1989</v>
      </c>
      <c r="AI391" s="5"/>
    </row>
    <row r="392" hidden="1" spans="1:35">
      <c r="A392" s="5" t="s">
        <v>897</v>
      </c>
      <c r="B392" s="5" t="s">
        <v>633</v>
      </c>
      <c r="C392" s="5" t="s">
        <v>2617</v>
      </c>
      <c r="D392" s="5" t="s">
        <v>2618</v>
      </c>
      <c r="E392" s="5" t="s">
        <v>899</v>
      </c>
      <c r="F392" s="5" t="s">
        <v>108</v>
      </c>
      <c r="G392" s="5" t="s">
        <v>109</v>
      </c>
      <c r="H392" s="5" t="s">
        <v>2159</v>
      </c>
      <c r="I392" s="5" t="s">
        <v>1210</v>
      </c>
      <c r="J392" s="5" t="s">
        <v>1210</v>
      </c>
      <c r="K392" s="5">
        <v>6</v>
      </c>
      <c r="L392" s="5"/>
      <c r="M392" s="5" t="s">
        <v>1037</v>
      </c>
      <c r="N392" s="5" t="s">
        <v>2619</v>
      </c>
      <c r="O392" s="5" t="s">
        <v>2620</v>
      </c>
      <c r="P392" s="5" t="s">
        <v>2621</v>
      </c>
      <c r="Q392" s="5" t="s">
        <v>2616</v>
      </c>
      <c r="R392" s="5">
        <v>5100</v>
      </c>
      <c r="S392" s="5">
        <v>6200</v>
      </c>
      <c r="T392" s="5">
        <v>57.3</v>
      </c>
      <c r="U392" s="5">
        <v>46.3</v>
      </c>
      <c r="V392" s="5">
        <v>26.3</v>
      </c>
      <c r="W392" s="5">
        <v>1</v>
      </c>
      <c r="X392" s="5" t="s">
        <v>1020</v>
      </c>
      <c r="Y392" s="5" t="s">
        <v>908</v>
      </c>
      <c r="Z392" s="5">
        <v>0</v>
      </c>
      <c r="AA392" s="5" t="s">
        <v>909</v>
      </c>
      <c r="AB392" s="5">
        <v>170.28</v>
      </c>
      <c r="AC392" s="5">
        <v>0.58</v>
      </c>
      <c r="AD392" s="5">
        <v>98.7624</v>
      </c>
      <c r="AE392" s="5">
        <v>123.453</v>
      </c>
      <c r="AF392" s="5">
        <v>131.6832</v>
      </c>
      <c r="AG392" s="5">
        <v>151.9422</v>
      </c>
      <c r="AH392" s="5">
        <v>179.568</v>
      </c>
      <c r="AI392" s="5"/>
    </row>
    <row r="393" hidden="1" spans="1:35">
      <c r="A393" s="5" t="s">
        <v>897</v>
      </c>
      <c r="B393" s="5" t="s">
        <v>440</v>
      </c>
      <c r="C393" s="5" t="s">
        <v>2622</v>
      </c>
      <c r="D393" s="5" t="s">
        <v>2623</v>
      </c>
      <c r="E393" s="5" t="s">
        <v>899</v>
      </c>
      <c r="F393" s="5" t="s">
        <v>108</v>
      </c>
      <c r="G393" s="5" t="s">
        <v>206</v>
      </c>
      <c r="H393" s="5" t="s">
        <v>2237</v>
      </c>
      <c r="I393" s="5" t="s">
        <v>1168</v>
      </c>
      <c r="J393" s="5" t="s">
        <v>2568</v>
      </c>
      <c r="K393" s="5">
        <v>6</v>
      </c>
      <c r="L393" s="5"/>
      <c r="M393" s="5" t="s">
        <v>919</v>
      </c>
      <c r="N393" s="5" t="s">
        <v>2624</v>
      </c>
      <c r="O393" s="5" t="s">
        <v>2625</v>
      </c>
      <c r="P393" s="5" t="s">
        <v>2626</v>
      </c>
      <c r="Q393" s="5" t="s">
        <v>2627</v>
      </c>
      <c r="R393" s="5">
        <v>280</v>
      </c>
      <c r="S393" s="5">
        <v>525</v>
      </c>
      <c r="T393" s="5">
        <v>2.65</v>
      </c>
      <c r="U393" s="5">
        <v>45</v>
      </c>
      <c r="V393" s="5">
        <v>36</v>
      </c>
      <c r="W393" s="5">
        <v>20</v>
      </c>
      <c r="X393" s="5" t="s">
        <v>907</v>
      </c>
      <c r="Y393" s="5" t="s">
        <v>908</v>
      </c>
      <c r="Z393" s="5">
        <v>36</v>
      </c>
      <c r="AA393" s="5" t="s">
        <v>909</v>
      </c>
      <c r="AB393" s="5">
        <v>98.31</v>
      </c>
      <c r="AC393" s="5">
        <v>0.58</v>
      </c>
      <c r="AD393" s="5">
        <v>57.0198</v>
      </c>
      <c r="AE393" s="5">
        <v>71.2747</v>
      </c>
      <c r="AF393" s="5">
        <v>76.0264</v>
      </c>
      <c r="AG393" s="5">
        <v>87.7228</v>
      </c>
      <c r="AH393" s="5">
        <v>103.6724</v>
      </c>
      <c r="AI393" s="5"/>
    </row>
    <row r="394" hidden="1" spans="1:35">
      <c r="A394" s="5" t="s">
        <v>897</v>
      </c>
      <c r="B394" s="5" t="s">
        <v>787</v>
      </c>
      <c r="C394" s="5" t="s">
        <v>2628</v>
      </c>
      <c r="D394" s="5" t="s">
        <v>2629</v>
      </c>
      <c r="E394" s="5" t="s">
        <v>899</v>
      </c>
      <c r="F394" s="5" t="s">
        <v>108</v>
      </c>
      <c r="G394" s="5" t="s">
        <v>146</v>
      </c>
      <c r="H394" s="5" t="s">
        <v>1053</v>
      </c>
      <c r="I394" s="5" t="s">
        <v>1210</v>
      </c>
      <c r="J394" s="5" t="s">
        <v>1210</v>
      </c>
      <c r="K394" s="5">
        <v>6</v>
      </c>
      <c r="L394" s="5"/>
      <c r="M394" s="5" t="s">
        <v>1037</v>
      </c>
      <c r="N394" s="5" t="s">
        <v>2630</v>
      </c>
      <c r="O394" s="5" t="s">
        <v>2631</v>
      </c>
      <c r="P394" s="5" t="s">
        <v>2632</v>
      </c>
      <c r="Q394" s="5" t="s">
        <v>2633</v>
      </c>
      <c r="R394" s="5">
        <v>6400</v>
      </c>
      <c r="S394" s="5">
        <v>7600</v>
      </c>
      <c r="T394" s="5">
        <v>57.5</v>
      </c>
      <c r="U394" s="5">
        <v>32.5</v>
      </c>
      <c r="V394" s="5">
        <v>25</v>
      </c>
      <c r="W394" s="5">
        <v>1</v>
      </c>
      <c r="X394" s="5" t="s">
        <v>907</v>
      </c>
      <c r="Y394" s="5" t="s">
        <v>908</v>
      </c>
      <c r="Z394" s="5">
        <v>0</v>
      </c>
      <c r="AA394" s="5" t="s">
        <v>909</v>
      </c>
      <c r="AB394" s="5">
        <v>209.92</v>
      </c>
      <c r="AC394" s="5">
        <v>0.58</v>
      </c>
      <c r="AD394" s="5">
        <v>121.7536</v>
      </c>
      <c r="AE394" s="5">
        <v>152.192</v>
      </c>
      <c r="AF394" s="5">
        <v>162.3381</v>
      </c>
      <c r="AG394" s="5">
        <v>187.3132</v>
      </c>
      <c r="AH394" s="5">
        <v>221.3702</v>
      </c>
      <c r="AI394" s="5"/>
    </row>
    <row r="395" hidden="1" spans="1:35">
      <c r="A395" s="5" t="s">
        <v>897</v>
      </c>
      <c r="B395" s="5" t="s">
        <v>2634</v>
      </c>
      <c r="C395" s="5" t="s">
        <v>2635</v>
      </c>
      <c r="D395" s="5" t="s">
        <v>2636</v>
      </c>
      <c r="E395" s="5" t="s">
        <v>899</v>
      </c>
      <c r="F395" s="5" t="s">
        <v>96</v>
      </c>
      <c r="G395" s="5" t="s">
        <v>97</v>
      </c>
      <c r="H395" s="5" t="s">
        <v>1662</v>
      </c>
      <c r="I395" s="5" t="s">
        <v>1160</v>
      </c>
      <c r="J395" s="5" t="s">
        <v>1160</v>
      </c>
      <c r="K395" s="5">
        <v>6</v>
      </c>
      <c r="L395" s="5"/>
      <c r="M395" s="5" t="s">
        <v>919</v>
      </c>
      <c r="N395" s="5" t="s">
        <v>2637</v>
      </c>
      <c r="O395" s="5" t="s">
        <v>2638</v>
      </c>
      <c r="P395" s="5" t="s">
        <v>2639</v>
      </c>
      <c r="Q395" s="5" t="s">
        <v>2640</v>
      </c>
      <c r="R395" s="5">
        <v>76</v>
      </c>
      <c r="S395" s="5">
        <v>106</v>
      </c>
      <c r="T395" s="5">
        <v>0.56</v>
      </c>
      <c r="U395" s="5">
        <v>38</v>
      </c>
      <c r="V395" s="5">
        <v>26</v>
      </c>
      <c r="W395" s="5">
        <v>100</v>
      </c>
      <c r="X395" s="5" t="s">
        <v>1020</v>
      </c>
      <c r="Y395" s="5" t="s">
        <v>908</v>
      </c>
      <c r="Z395" s="5">
        <v>0</v>
      </c>
      <c r="AA395" s="5" t="s">
        <v>909</v>
      </c>
      <c r="AB395" s="5">
        <v>27.08</v>
      </c>
      <c r="AC395" s="5">
        <v>0.58</v>
      </c>
      <c r="AD395" s="5">
        <v>15.7064</v>
      </c>
      <c r="AE395" s="5">
        <v>19.633</v>
      </c>
      <c r="AF395" s="5">
        <v>20.9419</v>
      </c>
      <c r="AG395" s="5">
        <v>24.1637</v>
      </c>
      <c r="AH395" s="5">
        <v>28.5571</v>
      </c>
      <c r="AI395" s="5"/>
    </row>
    <row r="396" hidden="1" spans="1:35">
      <c r="A396" s="5" t="s">
        <v>897</v>
      </c>
      <c r="B396" s="5" t="s">
        <v>2641</v>
      </c>
      <c r="C396" s="5" t="s">
        <v>2642</v>
      </c>
      <c r="D396" s="5" t="s">
        <v>2643</v>
      </c>
      <c r="E396" s="5" t="s">
        <v>899</v>
      </c>
      <c r="F396" s="5" t="s">
        <v>96</v>
      </c>
      <c r="G396" s="5" t="s">
        <v>97</v>
      </c>
      <c r="H396" s="5" t="s">
        <v>1662</v>
      </c>
      <c r="I396" s="5" t="s">
        <v>1160</v>
      </c>
      <c r="J396" s="5" t="s">
        <v>1160</v>
      </c>
      <c r="K396" s="5">
        <v>6</v>
      </c>
      <c r="L396" s="5"/>
      <c r="M396" s="5" t="s">
        <v>919</v>
      </c>
      <c r="N396" s="5" t="s">
        <v>2644</v>
      </c>
      <c r="O396" s="5" t="s">
        <v>2645</v>
      </c>
      <c r="P396" s="5" t="s">
        <v>2646</v>
      </c>
      <c r="Q396" s="5" t="s">
        <v>2640</v>
      </c>
      <c r="R396" s="5">
        <v>115</v>
      </c>
      <c r="S396" s="5">
        <v>125</v>
      </c>
      <c r="T396" s="5">
        <v>0.56</v>
      </c>
      <c r="U396" s="5">
        <v>38</v>
      </c>
      <c r="V396" s="5">
        <v>26</v>
      </c>
      <c r="W396" s="5">
        <v>100</v>
      </c>
      <c r="X396" s="5" t="s">
        <v>1020</v>
      </c>
      <c r="Y396" s="5" t="s">
        <v>908</v>
      </c>
      <c r="Z396" s="5">
        <v>0</v>
      </c>
      <c r="AA396" s="5" t="s">
        <v>909</v>
      </c>
      <c r="AB396" s="5">
        <v>44.78</v>
      </c>
      <c r="AC396" s="5">
        <v>0.58</v>
      </c>
      <c r="AD396" s="5">
        <v>25.9724</v>
      </c>
      <c r="AE396" s="5">
        <v>32.4655</v>
      </c>
      <c r="AF396" s="5">
        <v>34.6299</v>
      </c>
      <c r="AG396" s="5">
        <v>39.9575</v>
      </c>
      <c r="AH396" s="5">
        <v>47.2225</v>
      </c>
      <c r="AI396" s="5"/>
    </row>
    <row r="397" hidden="1" spans="1:35">
      <c r="A397" s="5" t="s">
        <v>897</v>
      </c>
      <c r="B397" s="5" t="s">
        <v>623</v>
      </c>
      <c r="C397" s="5" t="s">
        <v>622</v>
      </c>
      <c r="D397" s="5" t="s">
        <v>2647</v>
      </c>
      <c r="E397" s="5" t="s">
        <v>899</v>
      </c>
      <c r="F397" s="5" t="s">
        <v>96</v>
      </c>
      <c r="G397" s="5" t="s">
        <v>127</v>
      </c>
      <c r="H397" s="5" t="s">
        <v>1349</v>
      </c>
      <c r="I397" s="5" t="s">
        <v>2581</v>
      </c>
      <c r="J397" s="5" t="s">
        <v>2581</v>
      </c>
      <c r="K397" s="5">
        <v>6</v>
      </c>
      <c r="L397" s="5"/>
      <c r="M397" s="5" t="s">
        <v>919</v>
      </c>
      <c r="N397" s="5" t="s">
        <v>2648</v>
      </c>
      <c r="O397" s="5" t="s">
        <v>2649</v>
      </c>
      <c r="P397" s="5" t="s">
        <v>2650</v>
      </c>
      <c r="Q397" s="5" t="s">
        <v>2651</v>
      </c>
      <c r="R397" s="5">
        <v>7400</v>
      </c>
      <c r="S397" s="5">
        <v>8000</v>
      </c>
      <c r="T397" s="5">
        <v>43</v>
      </c>
      <c r="U397" s="5">
        <v>33</v>
      </c>
      <c r="V397" s="5">
        <v>34</v>
      </c>
      <c r="W397" s="5">
        <v>1</v>
      </c>
      <c r="X397" s="5" t="s">
        <v>1020</v>
      </c>
      <c r="Y397" s="5" t="s">
        <v>908</v>
      </c>
      <c r="Z397" s="5">
        <v>18</v>
      </c>
      <c r="AA397" s="5" t="s">
        <v>909</v>
      </c>
      <c r="AB397" s="5">
        <v>175.07</v>
      </c>
      <c r="AC397" s="5">
        <v>0.58</v>
      </c>
      <c r="AD397" s="5">
        <v>101.5406</v>
      </c>
      <c r="AE397" s="5">
        <v>126.9257</v>
      </c>
      <c r="AF397" s="5">
        <v>135.3875</v>
      </c>
      <c r="AG397" s="5">
        <v>156.2163</v>
      </c>
      <c r="AH397" s="5">
        <v>184.6193</v>
      </c>
      <c r="AI397" s="5"/>
    </row>
    <row r="398" hidden="1" spans="1:35">
      <c r="A398" s="5" t="s">
        <v>897</v>
      </c>
      <c r="B398" s="5" t="s">
        <v>659</v>
      </c>
      <c r="C398" s="5" t="s">
        <v>658</v>
      </c>
      <c r="D398" s="5" t="s">
        <v>2652</v>
      </c>
      <c r="E398" s="5" t="s">
        <v>899</v>
      </c>
      <c r="F398" s="5" t="s">
        <v>96</v>
      </c>
      <c r="G398" s="5" t="s">
        <v>127</v>
      </c>
      <c r="H398" s="5" t="s">
        <v>1349</v>
      </c>
      <c r="I398" s="5" t="s">
        <v>2581</v>
      </c>
      <c r="J398" s="5" t="s">
        <v>2581</v>
      </c>
      <c r="K398" s="5">
        <v>6</v>
      </c>
      <c r="L398" s="5"/>
      <c r="M398" s="5" t="s">
        <v>919</v>
      </c>
      <c r="N398" s="5" t="s">
        <v>2653</v>
      </c>
      <c r="O398" s="5" t="s">
        <v>2654</v>
      </c>
      <c r="P398" s="5" t="s">
        <v>2650</v>
      </c>
      <c r="Q398" s="5" t="s">
        <v>2651</v>
      </c>
      <c r="R398" s="5">
        <v>7400</v>
      </c>
      <c r="S398" s="5">
        <v>8000</v>
      </c>
      <c r="T398" s="5">
        <v>43</v>
      </c>
      <c r="U398" s="5">
        <v>33</v>
      </c>
      <c r="V398" s="5">
        <v>34</v>
      </c>
      <c r="W398" s="5">
        <v>1</v>
      </c>
      <c r="X398" s="5" t="s">
        <v>1020</v>
      </c>
      <c r="Y398" s="5" t="s">
        <v>908</v>
      </c>
      <c r="Z398" s="5">
        <v>34</v>
      </c>
      <c r="AA398" s="5" t="s">
        <v>909</v>
      </c>
      <c r="AB398" s="5">
        <v>228.17</v>
      </c>
      <c r="AC398" s="5">
        <v>0.58</v>
      </c>
      <c r="AD398" s="5">
        <v>132.3386</v>
      </c>
      <c r="AE398" s="5">
        <v>165.4232</v>
      </c>
      <c r="AF398" s="5">
        <v>176.4515</v>
      </c>
      <c r="AG398" s="5">
        <v>203.5978</v>
      </c>
      <c r="AH398" s="5">
        <v>240.6156</v>
      </c>
      <c r="AI398" s="5"/>
    </row>
    <row r="399" hidden="1" spans="1:35">
      <c r="A399" s="5" t="s">
        <v>897</v>
      </c>
      <c r="B399" s="5" t="s">
        <v>846</v>
      </c>
      <c r="C399" s="5" t="s">
        <v>2655</v>
      </c>
      <c r="D399" s="5" t="s">
        <v>2656</v>
      </c>
      <c r="E399" s="5" t="s">
        <v>899</v>
      </c>
      <c r="F399" s="5" t="s">
        <v>96</v>
      </c>
      <c r="G399" s="5" t="s">
        <v>127</v>
      </c>
      <c r="H399" s="5" t="s">
        <v>1349</v>
      </c>
      <c r="I399" s="5" t="s">
        <v>2657</v>
      </c>
      <c r="J399" s="5" t="s">
        <v>2657</v>
      </c>
      <c r="K399" s="5">
        <v>6</v>
      </c>
      <c r="L399" s="5"/>
      <c r="M399" s="5" t="s">
        <v>1037</v>
      </c>
      <c r="N399" s="5" t="s">
        <v>2658</v>
      </c>
      <c r="O399" s="5" t="s">
        <v>2659</v>
      </c>
      <c r="P399" s="5" t="s">
        <v>2660</v>
      </c>
      <c r="Q399" s="5" t="s">
        <v>2661</v>
      </c>
      <c r="R399" s="5">
        <v>10450</v>
      </c>
      <c r="S399" s="5">
        <v>11600</v>
      </c>
      <c r="T399" s="5">
        <v>50</v>
      </c>
      <c r="U399" s="5">
        <v>43</v>
      </c>
      <c r="V399" s="5">
        <v>39</v>
      </c>
      <c r="W399" s="5">
        <v>1</v>
      </c>
      <c r="X399" s="5" t="s">
        <v>1020</v>
      </c>
      <c r="Y399" s="5" t="s">
        <v>908</v>
      </c>
      <c r="Z399" s="5">
        <v>0</v>
      </c>
      <c r="AA399" s="5" t="s">
        <v>909</v>
      </c>
      <c r="AB399" s="5">
        <v>248.82</v>
      </c>
      <c r="AC399" s="5">
        <v>0.58</v>
      </c>
      <c r="AD399" s="5">
        <v>144.3156</v>
      </c>
      <c r="AE399" s="5">
        <v>180.3945</v>
      </c>
      <c r="AF399" s="5">
        <v>192.4208</v>
      </c>
      <c r="AG399" s="5">
        <v>222.024</v>
      </c>
      <c r="AH399" s="5">
        <v>262.392</v>
      </c>
      <c r="AI399" s="5"/>
    </row>
    <row r="400" hidden="1" spans="1:35">
      <c r="A400" s="5" t="s">
        <v>897</v>
      </c>
      <c r="B400" s="5" t="s">
        <v>847</v>
      </c>
      <c r="C400" s="5" t="s">
        <v>2662</v>
      </c>
      <c r="D400" s="5" t="s">
        <v>2663</v>
      </c>
      <c r="E400" s="5" t="s">
        <v>899</v>
      </c>
      <c r="F400" s="5" t="s">
        <v>96</v>
      </c>
      <c r="G400" s="5" t="s">
        <v>127</v>
      </c>
      <c r="H400" s="5" t="s">
        <v>1349</v>
      </c>
      <c r="I400" s="5" t="s">
        <v>2657</v>
      </c>
      <c r="J400" s="5" t="s">
        <v>2657</v>
      </c>
      <c r="K400" s="5">
        <v>6</v>
      </c>
      <c r="L400" s="5"/>
      <c r="M400" s="5" t="s">
        <v>1037</v>
      </c>
      <c r="N400" s="5" t="s">
        <v>2664</v>
      </c>
      <c r="O400" s="5" t="s">
        <v>2665</v>
      </c>
      <c r="P400" s="5" t="s">
        <v>2666</v>
      </c>
      <c r="Q400" s="5" t="s">
        <v>2403</v>
      </c>
      <c r="R400" s="5">
        <v>13600</v>
      </c>
      <c r="S400" s="5">
        <v>15000</v>
      </c>
      <c r="T400" s="5">
        <v>55</v>
      </c>
      <c r="U400" s="5">
        <v>46</v>
      </c>
      <c r="V400" s="5">
        <v>41</v>
      </c>
      <c r="W400" s="5">
        <v>1</v>
      </c>
      <c r="X400" s="5" t="s">
        <v>1020</v>
      </c>
      <c r="Y400" s="5" t="s">
        <v>908</v>
      </c>
      <c r="Z400" s="5">
        <v>0</v>
      </c>
      <c r="AA400" s="5" t="s">
        <v>909</v>
      </c>
      <c r="AB400" s="5">
        <v>278.05</v>
      </c>
      <c r="AC400" s="5">
        <v>0.58</v>
      </c>
      <c r="AD400" s="5">
        <v>161.269</v>
      </c>
      <c r="AE400" s="5">
        <v>201.5862</v>
      </c>
      <c r="AF400" s="5">
        <v>215.0253</v>
      </c>
      <c r="AG400" s="5">
        <v>248.1062</v>
      </c>
      <c r="AH400" s="5">
        <v>293.2164</v>
      </c>
      <c r="AI400" s="5"/>
    </row>
    <row r="401" hidden="1" spans="1:35">
      <c r="A401" s="5" t="s">
        <v>897</v>
      </c>
      <c r="B401" s="5" t="s">
        <v>226</v>
      </c>
      <c r="C401" s="5" t="s">
        <v>223</v>
      </c>
      <c r="D401" s="5" t="s">
        <v>1933</v>
      </c>
      <c r="E401" s="5" t="s">
        <v>899</v>
      </c>
      <c r="F401" s="5" t="s">
        <v>96</v>
      </c>
      <c r="G401" s="5" t="s">
        <v>115</v>
      </c>
      <c r="H401" s="5" t="s">
        <v>1365</v>
      </c>
      <c r="I401" s="5" t="s">
        <v>2667</v>
      </c>
      <c r="J401" s="5" t="s">
        <v>2667</v>
      </c>
      <c r="K401" s="5">
        <v>6</v>
      </c>
      <c r="L401" s="5"/>
      <c r="M401" s="5" t="s">
        <v>1037</v>
      </c>
      <c r="N401" s="5" t="s">
        <v>1366</v>
      </c>
      <c r="O401" s="5" t="s">
        <v>1367</v>
      </c>
      <c r="P401" s="5" t="s">
        <v>2668</v>
      </c>
      <c r="Q401" s="5" t="s">
        <v>1369</v>
      </c>
      <c r="R401" s="5">
        <v>1700</v>
      </c>
      <c r="S401" s="5">
        <v>1800</v>
      </c>
      <c r="T401" s="5">
        <v>5</v>
      </c>
      <c r="U401" s="5">
        <v>48</v>
      </c>
      <c r="V401" s="5">
        <v>32.3</v>
      </c>
      <c r="W401" s="5">
        <v>10</v>
      </c>
      <c r="X401" s="5" t="s">
        <v>1020</v>
      </c>
      <c r="Y401" s="5" t="s">
        <v>908</v>
      </c>
      <c r="Z401" s="5">
        <v>0</v>
      </c>
      <c r="AA401" s="5" t="s">
        <v>909</v>
      </c>
      <c r="AB401" s="5">
        <v>35.27</v>
      </c>
      <c r="AC401" s="5">
        <v>0.58</v>
      </c>
      <c r="AD401" s="5">
        <v>20.4566</v>
      </c>
      <c r="AE401" s="5">
        <v>25.5707</v>
      </c>
      <c r="AF401" s="5">
        <v>27.2755</v>
      </c>
      <c r="AG401" s="5">
        <v>31.4717</v>
      </c>
      <c r="AH401" s="5">
        <v>37.1938</v>
      </c>
      <c r="AI401" s="5"/>
    </row>
    <row r="402" hidden="1" spans="1:35">
      <c r="A402" s="5" t="s">
        <v>897</v>
      </c>
      <c r="B402" s="5" t="s">
        <v>850</v>
      </c>
      <c r="C402" s="5" t="s">
        <v>304</v>
      </c>
      <c r="D402" s="5" t="s">
        <v>1364</v>
      </c>
      <c r="E402" s="5" t="s">
        <v>899</v>
      </c>
      <c r="F402" s="5" t="s">
        <v>96</v>
      </c>
      <c r="G402" s="5" t="s">
        <v>115</v>
      </c>
      <c r="H402" s="5" t="s">
        <v>1365</v>
      </c>
      <c r="I402" s="5" t="s">
        <v>2667</v>
      </c>
      <c r="J402" s="5" t="s">
        <v>2667</v>
      </c>
      <c r="K402" s="5">
        <v>6</v>
      </c>
      <c r="L402" s="5"/>
      <c r="M402" s="5" t="s">
        <v>1037</v>
      </c>
      <c r="N402" s="5" t="s">
        <v>1366</v>
      </c>
      <c r="O402" s="5" t="s">
        <v>1367</v>
      </c>
      <c r="P402" s="5" t="s">
        <v>2668</v>
      </c>
      <c r="Q402" s="5" t="s">
        <v>1369</v>
      </c>
      <c r="R402" s="5">
        <v>1700</v>
      </c>
      <c r="S402" s="5">
        <v>1800</v>
      </c>
      <c r="T402" s="5">
        <v>5</v>
      </c>
      <c r="U402" s="5">
        <v>48</v>
      </c>
      <c r="V402" s="5">
        <v>32.3</v>
      </c>
      <c r="W402" s="5">
        <v>10</v>
      </c>
      <c r="X402" s="5" t="s">
        <v>1020</v>
      </c>
      <c r="Y402" s="5" t="s">
        <v>908</v>
      </c>
      <c r="Z402" s="5">
        <v>0</v>
      </c>
      <c r="AA402" s="5" t="s">
        <v>909</v>
      </c>
      <c r="AB402" s="5">
        <v>35.27</v>
      </c>
      <c r="AC402" s="5">
        <v>0.58</v>
      </c>
      <c r="AD402" s="5">
        <v>20.4566</v>
      </c>
      <c r="AE402" s="5">
        <v>25.5707</v>
      </c>
      <c r="AF402" s="5">
        <v>27.2755</v>
      </c>
      <c r="AG402" s="5">
        <v>31.4717</v>
      </c>
      <c r="AH402" s="5">
        <v>37.1938</v>
      </c>
      <c r="AI402" s="5"/>
    </row>
    <row r="403" hidden="1" spans="1:35">
      <c r="A403" s="5" t="s">
        <v>897</v>
      </c>
      <c r="B403" s="5" t="s">
        <v>851</v>
      </c>
      <c r="C403" s="5" t="s">
        <v>382</v>
      </c>
      <c r="D403" s="5" t="s">
        <v>1935</v>
      </c>
      <c r="E403" s="5" t="s">
        <v>899</v>
      </c>
      <c r="F403" s="5" t="s">
        <v>96</v>
      </c>
      <c r="G403" s="5" t="s">
        <v>115</v>
      </c>
      <c r="H403" s="5" t="s">
        <v>1365</v>
      </c>
      <c r="I403" s="5" t="s">
        <v>2667</v>
      </c>
      <c r="J403" s="5" t="s">
        <v>2667</v>
      </c>
      <c r="K403" s="5">
        <v>6</v>
      </c>
      <c r="L403" s="5"/>
      <c r="M403" s="5" t="s">
        <v>1037</v>
      </c>
      <c r="N403" s="5" t="s">
        <v>1366</v>
      </c>
      <c r="O403" s="5" t="s">
        <v>1367</v>
      </c>
      <c r="P403" s="5" t="s">
        <v>1937</v>
      </c>
      <c r="Q403" s="5" t="s">
        <v>1369</v>
      </c>
      <c r="R403" s="5">
        <v>1700</v>
      </c>
      <c r="S403" s="5">
        <v>1710</v>
      </c>
      <c r="T403" s="5">
        <v>5</v>
      </c>
      <c r="U403" s="5">
        <v>48</v>
      </c>
      <c r="V403" s="5">
        <v>32.3</v>
      </c>
      <c r="W403" s="5">
        <v>10</v>
      </c>
      <c r="X403" s="5" t="s">
        <v>1020</v>
      </c>
      <c r="Y403" s="5" t="s">
        <v>908</v>
      </c>
      <c r="Z403" s="5">
        <v>0</v>
      </c>
      <c r="AA403" s="5" t="s">
        <v>909</v>
      </c>
      <c r="AB403" s="5">
        <v>36.16</v>
      </c>
      <c r="AC403" s="5">
        <v>0.58</v>
      </c>
      <c r="AD403" s="5">
        <v>20.9728</v>
      </c>
      <c r="AE403" s="5">
        <v>26.216</v>
      </c>
      <c r="AF403" s="5">
        <v>27.9637</v>
      </c>
      <c r="AG403" s="5">
        <v>32.2658</v>
      </c>
      <c r="AH403" s="5">
        <v>38.1324</v>
      </c>
      <c r="AI403" s="5"/>
    </row>
    <row r="404" hidden="1" spans="1:35">
      <c r="A404" s="5" t="s">
        <v>897</v>
      </c>
      <c r="B404" s="5" t="s">
        <v>492</v>
      </c>
      <c r="C404" s="5" t="s">
        <v>491</v>
      </c>
      <c r="D404" s="5" t="s">
        <v>2669</v>
      </c>
      <c r="E404" s="5" t="s">
        <v>899</v>
      </c>
      <c r="F404" s="5" t="s">
        <v>96</v>
      </c>
      <c r="G404" s="5" t="s">
        <v>115</v>
      </c>
      <c r="H404" s="5" t="s">
        <v>1365</v>
      </c>
      <c r="I404" s="5" t="s">
        <v>2581</v>
      </c>
      <c r="J404" s="5" t="s">
        <v>2581</v>
      </c>
      <c r="K404" s="5">
        <v>6</v>
      </c>
      <c r="L404" s="5"/>
      <c r="M404" s="5" t="s">
        <v>919</v>
      </c>
      <c r="N404" s="5" t="s">
        <v>2670</v>
      </c>
      <c r="O404" s="5" t="s">
        <v>2671</v>
      </c>
      <c r="P404" s="5" t="s">
        <v>2672</v>
      </c>
      <c r="Q404" s="5" t="s">
        <v>2673</v>
      </c>
      <c r="R404" s="5">
        <v>500</v>
      </c>
      <c r="S404" s="5">
        <v>550</v>
      </c>
      <c r="T404" s="5">
        <v>2.03</v>
      </c>
      <c r="U404" s="5">
        <v>27</v>
      </c>
      <c r="V404" s="5">
        <v>31.5</v>
      </c>
      <c r="W404" s="5">
        <v>24</v>
      </c>
      <c r="X404" s="5" t="s">
        <v>1020</v>
      </c>
      <c r="Y404" s="5" t="s">
        <v>908</v>
      </c>
      <c r="Z404" s="5">
        <v>0</v>
      </c>
      <c r="AA404" s="5" t="s">
        <v>909</v>
      </c>
      <c r="AB404" s="5">
        <v>15.47</v>
      </c>
      <c r="AC404" s="5">
        <v>0.58</v>
      </c>
      <c r="AD404" s="5">
        <v>8.9726</v>
      </c>
      <c r="AE404" s="5">
        <v>11.2157</v>
      </c>
      <c r="AF404" s="5">
        <v>11.9635</v>
      </c>
      <c r="AG404" s="5">
        <v>13.804</v>
      </c>
      <c r="AH404" s="5">
        <v>16.3138</v>
      </c>
      <c r="AI404" s="5"/>
    </row>
    <row r="405" hidden="1" spans="1:35">
      <c r="A405" s="5" t="s">
        <v>897</v>
      </c>
      <c r="B405" s="5" t="s">
        <v>494</v>
      </c>
      <c r="C405" s="5" t="s">
        <v>493</v>
      </c>
      <c r="D405" s="5" t="s">
        <v>2674</v>
      </c>
      <c r="E405" s="5" t="s">
        <v>899</v>
      </c>
      <c r="F405" s="5" t="s">
        <v>96</v>
      </c>
      <c r="G405" s="5" t="s">
        <v>115</v>
      </c>
      <c r="H405" s="5" t="s">
        <v>1365</v>
      </c>
      <c r="I405" s="5" t="s">
        <v>2581</v>
      </c>
      <c r="J405" s="5" t="s">
        <v>2581</v>
      </c>
      <c r="K405" s="5">
        <v>6</v>
      </c>
      <c r="L405" s="5"/>
      <c r="M405" s="5" t="s">
        <v>919</v>
      </c>
      <c r="N405" s="5" t="s">
        <v>2670</v>
      </c>
      <c r="O405" s="5" t="s">
        <v>2671</v>
      </c>
      <c r="P405" s="5" t="s">
        <v>2672</v>
      </c>
      <c r="Q405" s="5" t="s">
        <v>2673</v>
      </c>
      <c r="R405" s="5">
        <v>500</v>
      </c>
      <c r="S405" s="5">
        <v>550</v>
      </c>
      <c r="T405" s="5">
        <v>2.03</v>
      </c>
      <c r="U405" s="5">
        <v>27</v>
      </c>
      <c r="V405" s="5">
        <v>31.5</v>
      </c>
      <c r="W405" s="5">
        <v>24</v>
      </c>
      <c r="X405" s="5" t="s">
        <v>1020</v>
      </c>
      <c r="Y405" s="5" t="s">
        <v>908</v>
      </c>
      <c r="Z405" s="5">
        <v>61</v>
      </c>
      <c r="AA405" s="5" t="s">
        <v>909</v>
      </c>
      <c r="AB405" s="5">
        <v>15.47</v>
      </c>
      <c r="AC405" s="5">
        <v>0.58</v>
      </c>
      <c r="AD405" s="5">
        <v>8.9726</v>
      </c>
      <c r="AE405" s="5">
        <v>11.2157</v>
      </c>
      <c r="AF405" s="5">
        <v>11.9635</v>
      </c>
      <c r="AG405" s="5">
        <v>13.804</v>
      </c>
      <c r="AH405" s="5">
        <v>16.3138</v>
      </c>
      <c r="AI405" s="5"/>
    </row>
    <row r="406" hidden="1" spans="1:35">
      <c r="A406" s="5" t="s">
        <v>897</v>
      </c>
      <c r="B406" s="5" t="s">
        <v>496</v>
      </c>
      <c r="C406" s="5" t="s">
        <v>495</v>
      </c>
      <c r="D406" s="5" t="s">
        <v>2675</v>
      </c>
      <c r="E406" s="5" t="s">
        <v>899</v>
      </c>
      <c r="F406" s="5" t="s">
        <v>96</v>
      </c>
      <c r="G406" s="5" t="s">
        <v>115</v>
      </c>
      <c r="H406" s="5" t="s">
        <v>1365</v>
      </c>
      <c r="I406" s="5" t="s">
        <v>2581</v>
      </c>
      <c r="J406" s="5" t="s">
        <v>2581</v>
      </c>
      <c r="K406" s="5">
        <v>6</v>
      </c>
      <c r="L406" s="5"/>
      <c r="M406" s="5" t="s">
        <v>919</v>
      </c>
      <c r="N406" s="5" t="s">
        <v>2670</v>
      </c>
      <c r="O406" s="5" t="s">
        <v>2671</v>
      </c>
      <c r="P406" s="5" t="s">
        <v>2672</v>
      </c>
      <c r="Q406" s="5" t="s">
        <v>2676</v>
      </c>
      <c r="R406" s="5">
        <v>800</v>
      </c>
      <c r="S406" s="5">
        <v>860</v>
      </c>
      <c r="T406" s="5">
        <v>2.3</v>
      </c>
      <c r="U406" s="5">
        <v>36</v>
      </c>
      <c r="V406" s="5">
        <v>41.5</v>
      </c>
      <c r="W406" s="5">
        <v>20</v>
      </c>
      <c r="X406" s="5" t="s">
        <v>1020</v>
      </c>
      <c r="Y406" s="5" t="s">
        <v>908</v>
      </c>
      <c r="Z406" s="5">
        <v>62</v>
      </c>
      <c r="AA406" s="5" t="s">
        <v>909</v>
      </c>
      <c r="AB406" s="5">
        <v>20.85</v>
      </c>
      <c r="AC406" s="5">
        <v>0.58</v>
      </c>
      <c r="AD406" s="5">
        <v>12.093</v>
      </c>
      <c r="AE406" s="5">
        <v>15.1162</v>
      </c>
      <c r="AF406" s="5">
        <v>16.124</v>
      </c>
      <c r="AG406" s="5">
        <v>18.6046</v>
      </c>
      <c r="AH406" s="5">
        <v>21.9873</v>
      </c>
      <c r="AI406" s="5"/>
    </row>
    <row r="407" hidden="1" spans="1:35">
      <c r="A407" s="5" t="s">
        <v>897</v>
      </c>
      <c r="B407" s="5" t="s">
        <v>498</v>
      </c>
      <c r="C407" s="5" t="s">
        <v>497</v>
      </c>
      <c r="D407" s="5" t="s">
        <v>2677</v>
      </c>
      <c r="E407" s="5" t="s">
        <v>899</v>
      </c>
      <c r="F407" s="5" t="s">
        <v>96</v>
      </c>
      <c r="G407" s="5" t="s">
        <v>115</v>
      </c>
      <c r="H407" s="5" t="s">
        <v>1365</v>
      </c>
      <c r="I407" s="5" t="s">
        <v>2581</v>
      </c>
      <c r="J407" s="5" t="s">
        <v>2581</v>
      </c>
      <c r="K407" s="5">
        <v>6</v>
      </c>
      <c r="L407" s="5"/>
      <c r="M407" s="5" t="s">
        <v>919</v>
      </c>
      <c r="N407" s="5" t="s">
        <v>2670</v>
      </c>
      <c r="O407" s="5" t="s">
        <v>2671</v>
      </c>
      <c r="P407" s="5" t="s">
        <v>2672</v>
      </c>
      <c r="Q407" s="5" t="s">
        <v>2676</v>
      </c>
      <c r="R407" s="5">
        <v>800</v>
      </c>
      <c r="S407" s="5">
        <v>860</v>
      </c>
      <c r="T407" s="5">
        <v>2.3</v>
      </c>
      <c r="U407" s="5">
        <v>36</v>
      </c>
      <c r="V407" s="5">
        <v>41.5</v>
      </c>
      <c r="W407" s="5">
        <v>20</v>
      </c>
      <c r="X407" s="5" t="s">
        <v>1020</v>
      </c>
      <c r="Y407" s="5" t="s">
        <v>908</v>
      </c>
      <c r="Z407" s="5">
        <v>0</v>
      </c>
      <c r="AA407" s="5" t="s">
        <v>909</v>
      </c>
      <c r="AB407" s="5">
        <v>20.85</v>
      </c>
      <c r="AC407" s="5">
        <v>0.58</v>
      </c>
      <c r="AD407" s="5">
        <v>12.093</v>
      </c>
      <c r="AE407" s="5">
        <v>15.1162</v>
      </c>
      <c r="AF407" s="5">
        <v>16.124</v>
      </c>
      <c r="AG407" s="5">
        <v>18.6046</v>
      </c>
      <c r="AH407" s="5">
        <v>21.9873</v>
      </c>
      <c r="AI407" s="5"/>
    </row>
    <row r="408" hidden="1" spans="1:35">
      <c r="A408" s="5" t="s">
        <v>897</v>
      </c>
      <c r="B408" s="5" t="s">
        <v>500</v>
      </c>
      <c r="C408" s="5" t="s">
        <v>499</v>
      </c>
      <c r="D408" s="5" t="s">
        <v>2678</v>
      </c>
      <c r="E408" s="5" t="s">
        <v>899</v>
      </c>
      <c r="F408" s="5" t="s">
        <v>96</v>
      </c>
      <c r="G408" s="5" t="s">
        <v>115</v>
      </c>
      <c r="H408" s="5" t="s">
        <v>1365</v>
      </c>
      <c r="I408" s="5" t="s">
        <v>2581</v>
      </c>
      <c r="J408" s="5" t="s">
        <v>2581</v>
      </c>
      <c r="K408" s="5">
        <v>6</v>
      </c>
      <c r="L408" s="5"/>
      <c r="M408" s="5" t="s">
        <v>919</v>
      </c>
      <c r="N408" s="5" t="s">
        <v>2670</v>
      </c>
      <c r="O408" s="5" t="s">
        <v>2671</v>
      </c>
      <c r="P408" s="5" t="s">
        <v>2672</v>
      </c>
      <c r="Q408" s="5" t="s">
        <v>2676</v>
      </c>
      <c r="R408" s="5">
        <v>800</v>
      </c>
      <c r="S408" s="5">
        <v>860</v>
      </c>
      <c r="T408" s="5">
        <v>2.3</v>
      </c>
      <c r="U408" s="5">
        <v>36</v>
      </c>
      <c r="V408" s="5">
        <v>41.5</v>
      </c>
      <c r="W408" s="5">
        <v>20</v>
      </c>
      <c r="X408" s="5" t="s">
        <v>1020</v>
      </c>
      <c r="Y408" s="5" t="s">
        <v>908</v>
      </c>
      <c r="Z408" s="5">
        <v>0</v>
      </c>
      <c r="AA408" s="5" t="s">
        <v>909</v>
      </c>
      <c r="AB408" s="5">
        <v>20.85</v>
      </c>
      <c r="AC408" s="5">
        <v>0.58</v>
      </c>
      <c r="AD408" s="5">
        <v>12.093</v>
      </c>
      <c r="AE408" s="5">
        <v>15.1162</v>
      </c>
      <c r="AF408" s="5">
        <v>16.124</v>
      </c>
      <c r="AG408" s="5">
        <v>18.6046</v>
      </c>
      <c r="AH408" s="5">
        <v>21.9873</v>
      </c>
      <c r="AI408" s="5"/>
    </row>
    <row r="409" hidden="1" spans="1:35">
      <c r="A409" s="5" t="s">
        <v>897</v>
      </c>
      <c r="B409" s="5" t="s">
        <v>502</v>
      </c>
      <c r="C409" s="5" t="s">
        <v>501</v>
      </c>
      <c r="D409" s="5" t="s">
        <v>2679</v>
      </c>
      <c r="E409" s="5" t="s">
        <v>899</v>
      </c>
      <c r="F409" s="5" t="s">
        <v>96</v>
      </c>
      <c r="G409" s="5" t="s">
        <v>115</v>
      </c>
      <c r="H409" s="5" t="s">
        <v>1365</v>
      </c>
      <c r="I409" s="5" t="s">
        <v>2581</v>
      </c>
      <c r="J409" s="5" t="s">
        <v>2581</v>
      </c>
      <c r="K409" s="5">
        <v>6</v>
      </c>
      <c r="L409" s="5"/>
      <c r="M409" s="5" t="s">
        <v>919</v>
      </c>
      <c r="N409" s="5" t="s">
        <v>2670</v>
      </c>
      <c r="O409" s="5" t="s">
        <v>2671</v>
      </c>
      <c r="P409" s="5" t="s">
        <v>2672</v>
      </c>
      <c r="Q409" s="5" t="s">
        <v>2680</v>
      </c>
      <c r="R409" s="5">
        <v>1100</v>
      </c>
      <c r="S409" s="5">
        <v>1190</v>
      </c>
      <c r="T409" s="5">
        <v>4.42</v>
      </c>
      <c r="U409" s="5">
        <v>43</v>
      </c>
      <c r="V409" s="5">
        <v>26.5</v>
      </c>
      <c r="W409" s="5">
        <v>12</v>
      </c>
      <c r="X409" s="5" t="s">
        <v>1020</v>
      </c>
      <c r="Y409" s="5" t="s">
        <v>908</v>
      </c>
      <c r="Z409" s="5">
        <v>1</v>
      </c>
      <c r="AA409" s="5" t="s">
        <v>909</v>
      </c>
      <c r="AB409" s="5">
        <v>24.9</v>
      </c>
      <c r="AC409" s="5">
        <v>0.58</v>
      </c>
      <c r="AD409" s="5">
        <v>14.442</v>
      </c>
      <c r="AE409" s="5">
        <v>18.0525</v>
      </c>
      <c r="AF409" s="5">
        <v>19.256</v>
      </c>
      <c r="AG409" s="5">
        <v>22.2185</v>
      </c>
      <c r="AH409" s="5">
        <v>26.2582</v>
      </c>
      <c r="AI409" s="5"/>
    </row>
    <row r="410" hidden="1" spans="1:35">
      <c r="A410" s="5" t="s">
        <v>897</v>
      </c>
      <c r="B410" s="5" t="s">
        <v>504</v>
      </c>
      <c r="C410" s="5" t="s">
        <v>503</v>
      </c>
      <c r="D410" s="5" t="s">
        <v>2681</v>
      </c>
      <c r="E410" s="5" t="s">
        <v>899</v>
      </c>
      <c r="F410" s="5" t="s">
        <v>96</v>
      </c>
      <c r="G410" s="5" t="s">
        <v>115</v>
      </c>
      <c r="H410" s="5" t="s">
        <v>1365</v>
      </c>
      <c r="I410" s="5" t="s">
        <v>2581</v>
      </c>
      <c r="J410" s="5" t="s">
        <v>2581</v>
      </c>
      <c r="K410" s="5">
        <v>6</v>
      </c>
      <c r="L410" s="5"/>
      <c r="M410" s="5" t="s">
        <v>919</v>
      </c>
      <c r="N410" s="5" t="s">
        <v>2670</v>
      </c>
      <c r="O410" s="5" t="s">
        <v>2671</v>
      </c>
      <c r="P410" s="5" t="s">
        <v>2672</v>
      </c>
      <c r="Q410" s="5" t="s">
        <v>2680</v>
      </c>
      <c r="R410" s="5">
        <v>1100</v>
      </c>
      <c r="S410" s="5">
        <v>1190</v>
      </c>
      <c r="T410" s="5">
        <v>4.42</v>
      </c>
      <c r="U410" s="5">
        <v>43</v>
      </c>
      <c r="V410" s="5">
        <v>26.5</v>
      </c>
      <c r="W410" s="5">
        <v>12</v>
      </c>
      <c r="X410" s="5" t="s">
        <v>1020</v>
      </c>
      <c r="Y410" s="5" t="s">
        <v>908</v>
      </c>
      <c r="Z410" s="5">
        <v>1</v>
      </c>
      <c r="AA410" s="5" t="s">
        <v>909</v>
      </c>
      <c r="AB410" s="5">
        <v>24.9</v>
      </c>
      <c r="AC410" s="5">
        <v>0.58</v>
      </c>
      <c r="AD410" s="5">
        <v>14.442</v>
      </c>
      <c r="AE410" s="5">
        <v>18.0525</v>
      </c>
      <c r="AF410" s="5">
        <v>19.256</v>
      </c>
      <c r="AG410" s="5">
        <v>22.2185</v>
      </c>
      <c r="AH410" s="5">
        <v>26.2582</v>
      </c>
      <c r="AI410" s="5"/>
    </row>
    <row r="411" hidden="1" spans="1:35">
      <c r="A411" s="5" t="s">
        <v>897</v>
      </c>
      <c r="B411" s="5" t="s">
        <v>506</v>
      </c>
      <c r="C411" s="5" t="s">
        <v>505</v>
      </c>
      <c r="D411" s="5" t="s">
        <v>2682</v>
      </c>
      <c r="E411" s="5" t="s">
        <v>899</v>
      </c>
      <c r="F411" s="5" t="s">
        <v>96</v>
      </c>
      <c r="G411" s="5" t="s">
        <v>115</v>
      </c>
      <c r="H411" s="5" t="s">
        <v>1365</v>
      </c>
      <c r="I411" s="5" t="s">
        <v>2581</v>
      </c>
      <c r="J411" s="5" t="s">
        <v>2581</v>
      </c>
      <c r="K411" s="5">
        <v>6</v>
      </c>
      <c r="L411" s="5"/>
      <c r="M411" s="5" t="s">
        <v>919</v>
      </c>
      <c r="N411" s="5" t="s">
        <v>2670</v>
      </c>
      <c r="O411" s="5" t="s">
        <v>2671</v>
      </c>
      <c r="P411" s="5" t="s">
        <v>2672</v>
      </c>
      <c r="Q411" s="5" t="s">
        <v>2680</v>
      </c>
      <c r="R411" s="5">
        <v>1100</v>
      </c>
      <c r="S411" s="5">
        <v>1190</v>
      </c>
      <c r="T411" s="5">
        <v>4.42</v>
      </c>
      <c r="U411" s="5">
        <v>43</v>
      </c>
      <c r="V411" s="5">
        <v>26.5</v>
      </c>
      <c r="W411" s="5">
        <v>12</v>
      </c>
      <c r="X411" s="5" t="s">
        <v>1020</v>
      </c>
      <c r="Y411" s="5" t="s">
        <v>908</v>
      </c>
      <c r="Z411" s="5">
        <v>35</v>
      </c>
      <c r="AA411" s="5" t="s">
        <v>909</v>
      </c>
      <c r="AB411" s="5">
        <v>24.9</v>
      </c>
      <c r="AC411" s="5">
        <v>0.58</v>
      </c>
      <c r="AD411" s="5">
        <v>14.442</v>
      </c>
      <c r="AE411" s="5">
        <v>18.0525</v>
      </c>
      <c r="AF411" s="5">
        <v>19.256</v>
      </c>
      <c r="AG411" s="5">
        <v>22.2185</v>
      </c>
      <c r="AH411" s="5">
        <v>26.2582</v>
      </c>
      <c r="AI411" s="5"/>
    </row>
    <row r="412" hidden="1" spans="1:35">
      <c r="A412" s="5" t="s">
        <v>897</v>
      </c>
      <c r="B412" s="5" t="s">
        <v>854</v>
      </c>
      <c r="C412" s="5" t="s">
        <v>853</v>
      </c>
      <c r="D412" s="5" t="s">
        <v>2683</v>
      </c>
      <c r="E412" s="5" t="s">
        <v>899</v>
      </c>
      <c r="F412" s="5" t="s">
        <v>96</v>
      </c>
      <c r="G412" s="5" t="s">
        <v>115</v>
      </c>
      <c r="H412" s="5" t="s">
        <v>1365</v>
      </c>
      <c r="I412" s="5" t="s">
        <v>2581</v>
      </c>
      <c r="J412" s="5" t="s">
        <v>2581</v>
      </c>
      <c r="K412" s="5">
        <v>6</v>
      </c>
      <c r="L412" s="5"/>
      <c r="M412" s="5" t="s">
        <v>919</v>
      </c>
      <c r="N412" s="5" t="s">
        <v>2670</v>
      </c>
      <c r="O412" s="5" t="s">
        <v>2671</v>
      </c>
      <c r="P412" s="5" t="s">
        <v>2672</v>
      </c>
      <c r="Q412" s="5" t="s">
        <v>1369</v>
      </c>
      <c r="R412" s="5">
        <v>1500</v>
      </c>
      <c r="S412" s="5">
        <v>1600</v>
      </c>
      <c r="T412" s="5">
        <v>4.59</v>
      </c>
      <c r="U412" s="5">
        <v>51</v>
      </c>
      <c r="V412" s="5">
        <v>31.5</v>
      </c>
      <c r="W412" s="5">
        <v>12</v>
      </c>
      <c r="X412" s="5" t="s">
        <v>1020</v>
      </c>
      <c r="Y412" s="5" t="s">
        <v>908</v>
      </c>
      <c r="Z412" s="5">
        <v>2</v>
      </c>
      <c r="AA412" s="5" t="s">
        <v>909</v>
      </c>
      <c r="AB412" s="5">
        <v>31.97</v>
      </c>
      <c r="AC412" s="5">
        <v>0.58</v>
      </c>
      <c r="AD412" s="5">
        <v>18.5426</v>
      </c>
      <c r="AE412" s="5">
        <v>23.1782</v>
      </c>
      <c r="AF412" s="5">
        <v>24.7235</v>
      </c>
      <c r="AG412" s="5">
        <v>28.5271</v>
      </c>
      <c r="AH412" s="5">
        <v>33.7138</v>
      </c>
      <c r="AI412" s="5"/>
    </row>
    <row r="413" hidden="1" spans="1:35">
      <c r="A413" s="5" t="s">
        <v>897</v>
      </c>
      <c r="B413" s="5" t="s">
        <v>510</v>
      </c>
      <c r="C413" s="5" t="s">
        <v>509</v>
      </c>
      <c r="D413" s="5" t="s">
        <v>2684</v>
      </c>
      <c r="E413" s="5" t="s">
        <v>899</v>
      </c>
      <c r="F413" s="5" t="s">
        <v>96</v>
      </c>
      <c r="G413" s="5" t="s">
        <v>115</v>
      </c>
      <c r="H413" s="5" t="s">
        <v>1365</v>
      </c>
      <c r="I413" s="5" t="s">
        <v>2581</v>
      </c>
      <c r="J413" s="5" t="s">
        <v>2581</v>
      </c>
      <c r="K413" s="5">
        <v>6</v>
      </c>
      <c r="L413" s="5"/>
      <c r="M413" s="5" t="s">
        <v>919</v>
      </c>
      <c r="N413" s="5" t="s">
        <v>2670</v>
      </c>
      <c r="O413" s="5" t="s">
        <v>2671</v>
      </c>
      <c r="P413" s="5" t="s">
        <v>2672</v>
      </c>
      <c r="Q413" s="5" t="s">
        <v>1369</v>
      </c>
      <c r="R413" s="5">
        <v>1500</v>
      </c>
      <c r="S413" s="5">
        <v>1600</v>
      </c>
      <c r="T413" s="5">
        <v>4.59</v>
      </c>
      <c r="U413" s="5">
        <v>51</v>
      </c>
      <c r="V413" s="5">
        <v>31.5</v>
      </c>
      <c r="W413" s="5">
        <v>12</v>
      </c>
      <c r="X413" s="5" t="s">
        <v>1020</v>
      </c>
      <c r="Y413" s="5" t="s">
        <v>908</v>
      </c>
      <c r="Z413" s="5">
        <v>39</v>
      </c>
      <c r="AA413" s="5" t="s">
        <v>909</v>
      </c>
      <c r="AB413" s="5">
        <v>31.97</v>
      </c>
      <c r="AC413" s="5">
        <v>0.58</v>
      </c>
      <c r="AD413" s="5">
        <v>18.5426</v>
      </c>
      <c r="AE413" s="5">
        <v>23.1782</v>
      </c>
      <c r="AF413" s="5">
        <v>24.7235</v>
      </c>
      <c r="AG413" s="5">
        <v>28.5271</v>
      </c>
      <c r="AH413" s="5">
        <v>33.7138</v>
      </c>
      <c r="AI413" s="5"/>
    </row>
    <row r="414" hidden="1" spans="1:35">
      <c r="A414" s="5" t="s">
        <v>897</v>
      </c>
      <c r="B414" s="5" t="s">
        <v>799</v>
      </c>
      <c r="C414" s="5" t="s">
        <v>798</v>
      </c>
      <c r="D414" s="5" t="s">
        <v>2685</v>
      </c>
      <c r="E414" s="5" t="s">
        <v>899</v>
      </c>
      <c r="F414" s="5" t="s">
        <v>96</v>
      </c>
      <c r="G414" s="5" t="s">
        <v>115</v>
      </c>
      <c r="H414" s="5" t="s">
        <v>1365</v>
      </c>
      <c r="I414" s="5" t="s">
        <v>2581</v>
      </c>
      <c r="J414" s="5" t="s">
        <v>2581</v>
      </c>
      <c r="K414" s="5">
        <v>6</v>
      </c>
      <c r="L414" s="5"/>
      <c r="M414" s="5" t="s">
        <v>919</v>
      </c>
      <c r="N414" s="5" t="s">
        <v>2670</v>
      </c>
      <c r="O414" s="5" t="s">
        <v>2671</v>
      </c>
      <c r="P414" s="5" t="s">
        <v>2672</v>
      </c>
      <c r="Q414" s="5" t="s">
        <v>1369</v>
      </c>
      <c r="R414" s="5">
        <v>1500</v>
      </c>
      <c r="S414" s="5">
        <v>1600</v>
      </c>
      <c r="T414" s="5">
        <v>4.59</v>
      </c>
      <c r="U414" s="5">
        <v>51</v>
      </c>
      <c r="V414" s="5">
        <v>31.5</v>
      </c>
      <c r="W414" s="5">
        <v>12</v>
      </c>
      <c r="X414" s="5" t="s">
        <v>1020</v>
      </c>
      <c r="Y414" s="5" t="s">
        <v>908</v>
      </c>
      <c r="Z414" s="5">
        <v>62</v>
      </c>
      <c r="AA414" s="5" t="s">
        <v>909</v>
      </c>
      <c r="AB414" s="5">
        <v>31.97</v>
      </c>
      <c r="AC414" s="5">
        <v>0.58</v>
      </c>
      <c r="AD414" s="5">
        <v>18.5426</v>
      </c>
      <c r="AE414" s="5">
        <v>23.1782</v>
      </c>
      <c r="AF414" s="5">
        <v>24.7235</v>
      </c>
      <c r="AG414" s="5">
        <v>28.5271</v>
      </c>
      <c r="AH414" s="5">
        <v>33.7138</v>
      </c>
      <c r="AI414" s="5"/>
    </row>
    <row r="415" hidden="1" spans="1:35">
      <c r="A415" s="5" t="s">
        <v>897</v>
      </c>
      <c r="B415" s="5" t="s">
        <v>852</v>
      </c>
      <c r="C415" s="5" t="s">
        <v>2686</v>
      </c>
      <c r="D415" s="5" t="s">
        <v>2687</v>
      </c>
      <c r="E415" s="5" t="s">
        <v>899</v>
      </c>
      <c r="F415" s="5" t="s">
        <v>108</v>
      </c>
      <c r="G415" s="5" t="s">
        <v>146</v>
      </c>
      <c r="H415" s="5" t="s">
        <v>1272</v>
      </c>
      <c r="I415" s="5" t="s">
        <v>1345</v>
      </c>
      <c r="J415" s="5" t="s">
        <v>2667</v>
      </c>
      <c r="K415" s="5">
        <v>6</v>
      </c>
      <c r="L415" s="5"/>
      <c r="M415" s="5" t="s">
        <v>1037</v>
      </c>
      <c r="N415" s="5" t="s">
        <v>2688</v>
      </c>
      <c r="O415" s="5" t="s">
        <v>2689</v>
      </c>
      <c r="P415" s="5" t="s">
        <v>2690</v>
      </c>
      <c r="Q415" s="5" t="s">
        <v>2691</v>
      </c>
      <c r="R415" s="5">
        <v>2128</v>
      </c>
      <c r="S415" s="5">
        <v>2450</v>
      </c>
      <c r="T415" s="5">
        <v>7.54</v>
      </c>
      <c r="U415" s="5">
        <v>42.5</v>
      </c>
      <c r="V415" s="5">
        <v>38.4</v>
      </c>
      <c r="W415" s="5">
        <v>8</v>
      </c>
      <c r="X415" s="5" t="s">
        <v>907</v>
      </c>
      <c r="Y415" s="5" t="s">
        <v>908</v>
      </c>
      <c r="Z415" s="5">
        <v>0</v>
      </c>
      <c r="AA415" s="5" t="s">
        <v>909</v>
      </c>
      <c r="AB415" s="5">
        <v>107.34</v>
      </c>
      <c r="AC415" s="5">
        <v>0.58</v>
      </c>
      <c r="AD415" s="5">
        <v>62.2572</v>
      </c>
      <c r="AE415" s="5">
        <v>77.8215</v>
      </c>
      <c r="AF415" s="5">
        <v>83.0096</v>
      </c>
      <c r="AG415" s="5">
        <v>95.7803</v>
      </c>
      <c r="AH415" s="5">
        <v>113.1949</v>
      </c>
      <c r="AI415" s="5"/>
    </row>
    <row r="416" hidden="1" spans="1:35">
      <c r="A416" s="5" t="s">
        <v>897</v>
      </c>
      <c r="B416" s="5" t="s">
        <v>291</v>
      </c>
      <c r="C416" s="5" t="s">
        <v>290</v>
      </c>
      <c r="D416" s="5" t="s">
        <v>2692</v>
      </c>
      <c r="E416" s="5" t="s">
        <v>899</v>
      </c>
      <c r="F416" s="5" t="s">
        <v>108</v>
      </c>
      <c r="G416" s="5" t="s">
        <v>206</v>
      </c>
      <c r="H416" s="5" t="s">
        <v>2693</v>
      </c>
      <c r="I416" s="5" t="s">
        <v>2694</v>
      </c>
      <c r="J416" s="5" t="s">
        <v>2694</v>
      </c>
      <c r="K416" s="5">
        <v>6</v>
      </c>
      <c r="L416" s="5"/>
      <c r="M416" s="5" t="s">
        <v>919</v>
      </c>
      <c r="N416" s="5" t="s">
        <v>2695</v>
      </c>
      <c r="O416" s="5" t="s">
        <v>2696</v>
      </c>
      <c r="P416" s="5" t="s">
        <v>2697</v>
      </c>
      <c r="Q416" s="5" t="s">
        <v>2698</v>
      </c>
      <c r="R416" s="5">
        <v>580</v>
      </c>
      <c r="S416" s="5">
        <v>851</v>
      </c>
      <c r="T416" s="5">
        <v>1.37</v>
      </c>
      <c r="U416" s="5">
        <v>52.8</v>
      </c>
      <c r="V416" s="5">
        <v>36.3</v>
      </c>
      <c r="W416" s="5">
        <v>40</v>
      </c>
      <c r="X416" s="5" t="s">
        <v>907</v>
      </c>
      <c r="Y416" s="5" t="s">
        <v>908</v>
      </c>
      <c r="Z416" s="5">
        <v>78</v>
      </c>
      <c r="AA416" s="5" t="s">
        <v>909</v>
      </c>
      <c r="AB416" s="5">
        <v>79.73</v>
      </c>
      <c r="AC416" s="5">
        <v>0.58</v>
      </c>
      <c r="AD416" s="5">
        <v>46.2434</v>
      </c>
      <c r="AE416" s="5">
        <v>57.8042</v>
      </c>
      <c r="AF416" s="5">
        <v>61.6579</v>
      </c>
      <c r="AG416" s="5">
        <v>71.1437</v>
      </c>
      <c r="AH416" s="5">
        <v>84.0789</v>
      </c>
      <c r="AI416" s="5"/>
    </row>
    <row r="417" hidden="1" spans="1:35">
      <c r="A417" s="5" t="s">
        <v>897</v>
      </c>
      <c r="B417" s="5" t="s">
        <v>616</v>
      </c>
      <c r="C417" s="5" t="s">
        <v>615</v>
      </c>
      <c r="D417" s="5" t="s">
        <v>2699</v>
      </c>
      <c r="E417" s="5" t="s">
        <v>899</v>
      </c>
      <c r="F417" s="5" t="s">
        <v>108</v>
      </c>
      <c r="G417" s="5" t="s">
        <v>206</v>
      </c>
      <c r="H417" s="5" t="s">
        <v>2693</v>
      </c>
      <c r="I417" s="5" t="s">
        <v>2694</v>
      </c>
      <c r="J417" s="5" t="s">
        <v>2694</v>
      </c>
      <c r="K417" s="5">
        <v>6</v>
      </c>
      <c r="L417" s="5"/>
      <c r="M417" s="5" t="s">
        <v>919</v>
      </c>
      <c r="N417" s="5" t="s">
        <v>2700</v>
      </c>
      <c r="O417" s="5" t="s">
        <v>2701</v>
      </c>
      <c r="P417" s="5" t="s">
        <v>2702</v>
      </c>
      <c r="Q417" s="5" t="s">
        <v>2703</v>
      </c>
      <c r="R417" s="5">
        <v>471</v>
      </c>
      <c r="S417" s="5">
        <v>684</v>
      </c>
      <c r="T417" s="5">
        <v>1.17</v>
      </c>
      <c r="U417" s="5">
        <v>48</v>
      </c>
      <c r="V417" s="5">
        <v>31.6</v>
      </c>
      <c r="W417" s="5">
        <v>50</v>
      </c>
      <c r="X417" s="5" t="s">
        <v>907</v>
      </c>
      <c r="Y417" s="5" t="s">
        <v>908</v>
      </c>
      <c r="Z417" s="5">
        <v>47</v>
      </c>
      <c r="AA417" s="5" t="s">
        <v>909</v>
      </c>
      <c r="AB417" s="5">
        <v>36.17</v>
      </c>
      <c r="AC417" s="5">
        <v>0.58</v>
      </c>
      <c r="AD417" s="5">
        <v>20.9786</v>
      </c>
      <c r="AE417" s="5">
        <v>26.2232</v>
      </c>
      <c r="AF417" s="5">
        <v>27.9715</v>
      </c>
      <c r="AG417" s="5">
        <v>32.2748</v>
      </c>
      <c r="AH417" s="5">
        <v>38.1429</v>
      </c>
      <c r="AI417" s="5"/>
    </row>
    <row r="418" hidden="1" spans="1:35">
      <c r="A418" s="5" t="s">
        <v>897</v>
      </c>
      <c r="B418" s="5" t="s">
        <v>228</v>
      </c>
      <c r="C418" s="5" t="s">
        <v>227</v>
      </c>
      <c r="D418" s="5" t="s">
        <v>2704</v>
      </c>
      <c r="E418" s="5" t="s">
        <v>899</v>
      </c>
      <c r="F418" s="5" t="s">
        <v>96</v>
      </c>
      <c r="G418" s="5" t="s">
        <v>97</v>
      </c>
      <c r="H418" s="5" t="s">
        <v>2705</v>
      </c>
      <c r="I418" s="5" t="s">
        <v>1186</v>
      </c>
      <c r="J418" s="5" t="s">
        <v>1186</v>
      </c>
      <c r="K418" s="5">
        <v>6</v>
      </c>
      <c r="L418" s="5"/>
      <c r="M418" s="5" t="s">
        <v>919</v>
      </c>
      <c r="N418" s="5" t="s">
        <v>2706</v>
      </c>
      <c r="O418" s="5" t="s">
        <v>2707</v>
      </c>
      <c r="P418" s="5" t="s">
        <v>2708</v>
      </c>
      <c r="Q418" s="5" t="s">
        <v>2709</v>
      </c>
      <c r="R418" s="5">
        <v>840</v>
      </c>
      <c r="S418" s="5">
        <v>872</v>
      </c>
      <c r="T418" s="5">
        <v>2.03</v>
      </c>
      <c r="U418" s="5">
        <v>41</v>
      </c>
      <c r="V418" s="5">
        <v>28</v>
      </c>
      <c r="W418" s="5">
        <v>24</v>
      </c>
      <c r="X418" s="5" t="s">
        <v>907</v>
      </c>
      <c r="Y418" s="5" t="s">
        <v>908</v>
      </c>
      <c r="Z418" s="5">
        <v>120</v>
      </c>
      <c r="AA418" s="5" t="s">
        <v>909</v>
      </c>
      <c r="AB418" s="5">
        <v>98.35</v>
      </c>
      <c r="AC418" s="5">
        <v>0.58</v>
      </c>
      <c r="AD418" s="5">
        <v>57.043</v>
      </c>
      <c r="AE418" s="5">
        <v>71.3037</v>
      </c>
      <c r="AF418" s="5">
        <v>76.0573</v>
      </c>
      <c r="AG418" s="5">
        <v>87.7585</v>
      </c>
      <c r="AH418" s="5">
        <v>103.7145</v>
      </c>
      <c r="AI418" s="5"/>
    </row>
    <row r="419" hidden="1" spans="1:35">
      <c r="A419" s="5" t="s">
        <v>897</v>
      </c>
      <c r="B419" s="5" t="s">
        <v>836</v>
      </c>
      <c r="C419" s="5" t="s">
        <v>2710</v>
      </c>
      <c r="D419" s="5" t="s">
        <v>2711</v>
      </c>
      <c r="E419" s="5" t="s">
        <v>899</v>
      </c>
      <c r="F419" s="5" t="s">
        <v>96</v>
      </c>
      <c r="G419" s="5" t="s">
        <v>2712</v>
      </c>
      <c r="H419" s="5" t="s">
        <v>2713</v>
      </c>
      <c r="I419" s="5" t="s">
        <v>1160</v>
      </c>
      <c r="J419" s="5" t="s">
        <v>1160</v>
      </c>
      <c r="K419" s="5">
        <v>6</v>
      </c>
      <c r="L419" s="5"/>
      <c r="M419" s="5" t="s">
        <v>919</v>
      </c>
      <c r="N419" s="5" t="s">
        <v>2714</v>
      </c>
      <c r="O419" s="5" t="s">
        <v>2715</v>
      </c>
      <c r="P419" s="5" t="s">
        <v>2716</v>
      </c>
      <c r="Q419" s="5" t="s">
        <v>2717</v>
      </c>
      <c r="R419" s="5">
        <v>165</v>
      </c>
      <c r="S419" s="5">
        <v>180</v>
      </c>
      <c r="T419" s="5">
        <v>0.45</v>
      </c>
      <c r="U419" s="5">
        <v>41.5</v>
      </c>
      <c r="V419" s="5">
        <v>15</v>
      </c>
      <c r="W419" s="5">
        <v>100</v>
      </c>
      <c r="X419" s="5" t="s">
        <v>907</v>
      </c>
      <c r="Y419" s="5" t="s">
        <v>908</v>
      </c>
      <c r="Z419" s="5">
        <v>33</v>
      </c>
      <c r="AA419" s="5" t="s">
        <v>909</v>
      </c>
      <c r="AB419" s="5">
        <v>50.85</v>
      </c>
      <c r="AC419" s="5">
        <v>0.58</v>
      </c>
      <c r="AD419" s="5">
        <v>29.493</v>
      </c>
      <c r="AE419" s="5">
        <v>36.8662</v>
      </c>
      <c r="AF419" s="5">
        <v>39.324</v>
      </c>
      <c r="AG419" s="5">
        <v>45.3738</v>
      </c>
      <c r="AH419" s="5">
        <v>53.6236</v>
      </c>
      <c r="AI419" s="5"/>
    </row>
    <row r="420" hidden="1" spans="1:35">
      <c r="A420" s="5" t="s">
        <v>897</v>
      </c>
      <c r="B420" s="5" t="s">
        <v>463</v>
      </c>
      <c r="C420" s="5" t="s">
        <v>2718</v>
      </c>
      <c r="D420" s="5" t="s">
        <v>2719</v>
      </c>
      <c r="E420" s="5" t="s">
        <v>899</v>
      </c>
      <c r="F420" s="5" t="s">
        <v>96</v>
      </c>
      <c r="G420" s="5" t="s">
        <v>2712</v>
      </c>
      <c r="H420" s="5" t="s">
        <v>2713</v>
      </c>
      <c r="I420" s="5" t="s">
        <v>1160</v>
      </c>
      <c r="J420" s="5" t="s">
        <v>1160</v>
      </c>
      <c r="K420" s="5">
        <v>6</v>
      </c>
      <c r="L420" s="5"/>
      <c r="M420" s="5" t="s">
        <v>919</v>
      </c>
      <c r="N420" s="5" t="s">
        <v>2720</v>
      </c>
      <c r="O420" s="5" t="s">
        <v>2721</v>
      </c>
      <c r="P420" s="5" t="s">
        <v>2722</v>
      </c>
      <c r="Q420" s="5" t="s">
        <v>2723</v>
      </c>
      <c r="R420" s="5">
        <v>312</v>
      </c>
      <c r="S420" s="5">
        <v>361</v>
      </c>
      <c r="T420" s="5">
        <v>1.38</v>
      </c>
      <c r="U420" s="5">
        <v>32</v>
      </c>
      <c r="V420" s="5">
        <v>22.5</v>
      </c>
      <c r="W420" s="5">
        <v>36</v>
      </c>
      <c r="X420" s="5" t="s">
        <v>907</v>
      </c>
      <c r="Y420" s="5" t="s">
        <v>908</v>
      </c>
      <c r="Z420" s="5">
        <v>33</v>
      </c>
      <c r="AA420" s="5" t="s">
        <v>909</v>
      </c>
      <c r="AB420" s="5">
        <v>91.27</v>
      </c>
      <c r="AC420" s="5">
        <v>0.58</v>
      </c>
      <c r="AD420" s="5">
        <v>52.9366</v>
      </c>
      <c r="AE420" s="5">
        <v>66.1707</v>
      </c>
      <c r="AF420" s="5">
        <v>70.5821</v>
      </c>
      <c r="AG420" s="5">
        <v>81.4409</v>
      </c>
      <c r="AH420" s="5">
        <v>96.2484</v>
      </c>
      <c r="AI420" s="5"/>
    </row>
    <row r="421" hidden="1" spans="1:35">
      <c r="A421" s="5" t="s">
        <v>897</v>
      </c>
      <c r="B421" s="5" t="s">
        <v>413</v>
      </c>
      <c r="C421" s="5" t="s">
        <v>2724</v>
      </c>
      <c r="D421" s="5" t="s">
        <v>2725</v>
      </c>
      <c r="E421" s="5" t="s">
        <v>899</v>
      </c>
      <c r="F421" s="5" t="s">
        <v>96</v>
      </c>
      <c r="G421" s="5" t="s">
        <v>2712</v>
      </c>
      <c r="H421" s="5" t="s">
        <v>2713</v>
      </c>
      <c r="I421" s="5" t="s">
        <v>1160</v>
      </c>
      <c r="J421" s="5" t="s">
        <v>1160</v>
      </c>
      <c r="K421" s="5">
        <v>6</v>
      </c>
      <c r="L421" s="5"/>
      <c r="M421" s="5" t="s">
        <v>919</v>
      </c>
      <c r="N421" s="5" t="s">
        <v>2726</v>
      </c>
      <c r="O421" s="5" t="s">
        <v>2727</v>
      </c>
      <c r="P421" s="5" t="s">
        <v>2728</v>
      </c>
      <c r="Q421" s="5" t="s">
        <v>2729</v>
      </c>
      <c r="R421" s="5">
        <v>105</v>
      </c>
      <c r="S421" s="5">
        <v>120</v>
      </c>
      <c r="T421" s="5">
        <v>0.46</v>
      </c>
      <c r="U421" s="5">
        <v>29.5</v>
      </c>
      <c r="V421" s="5">
        <v>16</v>
      </c>
      <c r="W421" s="5">
        <v>100</v>
      </c>
      <c r="X421" s="5" t="s">
        <v>907</v>
      </c>
      <c r="Y421" s="5" t="s">
        <v>908</v>
      </c>
      <c r="Z421" s="5">
        <v>89</v>
      </c>
      <c r="AA421" s="5" t="s">
        <v>909</v>
      </c>
      <c r="AB421" s="5">
        <v>59.66</v>
      </c>
      <c r="AC421" s="5">
        <v>0.58</v>
      </c>
      <c r="AD421" s="5">
        <v>34.6028</v>
      </c>
      <c r="AE421" s="5">
        <v>43.2535</v>
      </c>
      <c r="AF421" s="5">
        <v>46.1371</v>
      </c>
      <c r="AG421" s="5">
        <v>53.2351</v>
      </c>
      <c r="AH421" s="5">
        <v>62.9142</v>
      </c>
      <c r="AI421" s="5"/>
    </row>
    <row r="422" hidden="1" spans="1:35">
      <c r="A422" s="5" t="s">
        <v>897</v>
      </c>
      <c r="B422" s="5" t="s">
        <v>433</v>
      </c>
      <c r="C422" s="5" t="s">
        <v>2730</v>
      </c>
      <c r="D422" s="5" t="s">
        <v>2731</v>
      </c>
      <c r="E422" s="5" t="s">
        <v>899</v>
      </c>
      <c r="F422" s="5" t="s">
        <v>96</v>
      </c>
      <c r="G422" s="5" t="s">
        <v>2712</v>
      </c>
      <c r="H422" s="5" t="s">
        <v>2713</v>
      </c>
      <c r="I422" s="5" t="s">
        <v>1160</v>
      </c>
      <c r="J422" s="5" t="s">
        <v>1160</v>
      </c>
      <c r="K422" s="5">
        <v>6</v>
      </c>
      <c r="L422" s="5"/>
      <c r="M422" s="5" t="s">
        <v>919</v>
      </c>
      <c r="N422" s="5" t="s">
        <v>2732</v>
      </c>
      <c r="O422" s="5" t="s">
        <v>2733</v>
      </c>
      <c r="P422" s="5" t="s">
        <v>2734</v>
      </c>
      <c r="Q422" s="5" t="s">
        <v>2735</v>
      </c>
      <c r="R422" s="5">
        <v>45</v>
      </c>
      <c r="S422" s="5">
        <v>90</v>
      </c>
      <c r="T422" s="5">
        <v>0.36</v>
      </c>
      <c r="U422" s="5">
        <v>26</v>
      </c>
      <c r="V422" s="5">
        <v>24</v>
      </c>
      <c r="W422" s="5">
        <v>100</v>
      </c>
      <c r="X422" s="5" t="s">
        <v>907</v>
      </c>
      <c r="Y422" s="5" t="s">
        <v>908</v>
      </c>
      <c r="Z422" s="5">
        <v>99</v>
      </c>
      <c r="AA422" s="5" t="s">
        <v>909</v>
      </c>
      <c r="AB422" s="5">
        <v>33.12</v>
      </c>
      <c r="AC422" s="5">
        <v>0.58</v>
      </c>
      <c r="AD422" s="5">
        <v>19.2096</v>
      </c>
      <c r="AE422" s="5">
        <v>24.012</v>
      </c>
      <c r="AF422" s="5">
        <v>25.6128</v>
      </c>
      <c r="AG422" s="5">
        <v>29.5532</v>
      </c>
      <c r="AH422" s="5">
        <v>34.9265</v>
      </c>
      <c r="AI422" s="5"/>
    </row>
    <row r="423" hidden="1" spans="1:35">
      <c r="A423" s="5" t="s">
        <v>897</v>
      </c>
      <c r="B423" s="5" t="s">
        <v>446</v>
      </c>
      <c r="C423" s="5" t="s">
        <v>2736</v>
      </c>
      <c r="D423" s="5" t="s">
        <v>2737</v>
      </c>
      <c r="E423" s="5" t="s">
        <v>899</v>
      </c>
      <c r="F423" s="5" t="s">
        <v>96</v>
      </c>
      <c r="G423" s="5" t="s">
        <v>2712</v>
      </c>
      <c r="H423" s="5" t="s">
        <v>2713</v>
      </c>
      <c r="I423" s="5" t="s">
        <v>1160</v>
      </c>
      <c r="J423" s="5" t="s">
        <v>1160</v>
      </c>
      <c r="K423" s="5">
        <v>6</v>
      </c>
      <c r="L423" s="5"/>
      <c r="M423" s="5" t="s">
        <v>919</v>
      </c>
      <c r="N423" s="5" t="s">
        <v>2738</v>
      </c>
      <c r="O423" s="5" t="s">
        <v>2739</v>
      </c>
      <c r="P423" s="5" t="s">
        <v>2740</v>
      </c>
      <c r="Q423" s="5" t="s">
        <v>2741</v>
      </c>
      <c r="R423" s="5">
        <v>45</v>
      </c>
      <c r="S423" s="5">
        <v>90</v>
      </c>
      <c r="T423" s="5">
        <v>0.36</v>
      </c>
      <c r="U423" s="5">
        <v>26</v>
      </c>
      <c r="V423" s="5">
        <v>24</v>
      </c>
      <c r="W423" s="5">
        <v>100</v>
      </c>
      <c r="X423" s="5" t="s">
        <v>907</v>
      </c>
      <c r="Y423" s="5" t="s">
        <v>908</v>
      </c>
      <c r="Z423" s="5">
        <v>100</v>
      </c>
      <c r="AA423" s="5" t="s">
        <v>909</v>
      </c>
      <c r="AB423" s="5">
        <v>28.7</v>
      </c>
      <c r="AC423" s="5">
        <v>0.58</v>
      </c>
      <c r="AD423" s="5">
        <v>16.646</v>
      </c>
      <c r="AE423" s="5">
        <v>20.8075</v>
      </c>
      <c r="AF423" s="5">
        <v>22.1947</v>
      </c>
      <c r="AG423" s="5">
        <v>25.6092</v>
      </c>
      <c r="AH423" s="5">
        <v>30.2655</v>
      </c>
      <c r="AI423" s="5"/>
    </row>
    <row r="424" hidden="1" spans="1:35">
      <c r="A424" s="5" t="s">
        <v>897</v>
      </c>
      <c r="B424" s="5" t="s">
        <v>513</v>
      </c>
      <c r="C424" s="5" t="s">
        <v>2742</v>
      </c>
      <c r="D424" s="5" t="s">
        <v>2743</v>
      </c>
      <c r="E424" s="5" t="s">
        <v>899</v>
      </c>
      <c r="F424" s="5" t="s">
        <v>96</v>
      </c>
      <c r="G424" s="5" t="s">
        <v>2712</v>
      </c>
      <c r="H424" s="5" t="s">
        <v>2713</v>
      </c>
      <c r="I424" s="5" t="s">
        <v>1160</v>
      </c>
      <c r="J424" s="5" t="s">
        <v>1160</v>
      </c>
      <c r="K424" s="5">
        <v>6</v>
      </c>
      <c r="L424" s="5"/>
      <c r="M424" s="5" t="s">
        <v>919</v>
      </c>
      <c r="N424" s="5" t="s">
        <v>2744</v>
      </c>
      <c r="O424" s="5" t="s">
        <v>2745</v>
      </c>
      <c r="P424" s="5" t="s">
        <v>2746</v>
      </c>
      <c r="Q424" s="5" t="s">
        <v>2747</v>
      </c>
      <c r="R424" s="5">
        <v>100</v>
      </c>
      <c r="S424" s="5">
        <v>120</v>
      </c>
      <c r="T424" s="5">
        <v>0.39</v>
      </c>
      <c r="U424" s="5">
        <v>36</v>
      </c>
      <c r="V424" s="5">
        <v>23</v>
      </c>
      <c r="W424" s="5">
        <v>100</v>
      </c>
      <c r="X424" s="5" t="s">
        <v>907</v>
      </c>
      <c r="Y424" s="5" t="s">
        <v>908</v>
      </c>
      <c r="Z424" s="5">
        <v>99</v>
      </c>
      <c r="AA424" s="5" t="s">
        <v>909</v>
      </c>
      <c r="AB424" s="5">
        <v>19.02</v>
      </c>
      <c r="AC424" s="5">
        <v>0.58</v>
      </c>
      <c r="AD424" s="5">
        <v>11.0316</v>
      </c>
      <c r="AE424" s="5">
        <v>13.7895</v>
      </c>
      <c r="AF424" s="5">
        <v>14.7088</v>
      </c>
      <c r="AG424" s="5">
        <v>16.9717</v>
      </c>
      <c r="AH424" s="5">
        <v>20.0575</v>
      </c>
      <c r="AI424" s="5"/>
    </row>
    <row r="425" hidden="1" spans="1:35">
      <c r="A425" s="5" t="s">
        <v>897</v>
      </c>
      <c r="B425" s="5" t="s">
        <v>840</v>
      </c>
      <c r="C425" s="5" t="s">
        <v>2748</v>
      </c>
      <c r="D425" s="5" t="s">
        <v>2749</v>
      </c>
      <c r="E425" s="5" t="s">
        <v>899</v>
      </c>
      <c r="F425" s="5" t="s">
        <v>96</v>
      </c>
      <c r="G425" s="5" t="s">
        <v>2712</v>
      </c>
      <c r="H425" s="5" t="s">
        <v>2750</v>
      </c>
      <c r="I425" s="5" t="s">
        <v>2657</v>
      </c>
      <c r="J425" s="5" t="s">
        <v>2657</v>
      </c>
      <c r="K425" s="5">
        <v>6</v>
      </c>
      <c r="L425" s="5"/>
      <c r="M425" s="5" t="s">
        <v>1037</v>
      </c>
      <c r="N425" s="5" t="s">
        <v>2751</v>
      </c>
      <c r="O425" s="5" t="s">
        <v>2752</v>
      </c>
      <c r="P425" s="5" t="s">
        <v>2753</v>
      </c>
      <c r="Q425" s="5" t="s">
        <v>2754</v>
      </c>
      <c r="R425" s="5">
        <v>150</v>
      </c>
      <c r="S425" s="5">
        <v>160</v>
      </c>
      <c r="T425" s="5">
        <v>0.45</v>
      </c>
      <c r="U425" s="5">
        <v>41.5</v>
      </c>
      <c r="V425" s="5">
        <v>15</v>
      </c>
      <c r="W425" s="5">
        <v>100</v>
      </c>
      <c r="X425" s="5" t="s">
        <v>907</v>
      </c>
      <c r="Y425" s="5" t="s">
        <v>908</v>
      </c>
      <c r="Z425" s="5">
        <v>0</v>
      </c>
      <c r="AA425" s="5" t="s">
        <v>909</v>
      </c>
      <c r="AB425" s="5">
        <v>41.12</v>
      </c>
      <c r="AC425" s="5">
        <v>0.58</v>
      </c>
      <c r="AD425" s="5">
        <v>23.8496</v>
      </c>
      <c r="AE425" s="5">
        <v>29.812</v>
      </c>
      <c r="AF425" s="5">
        <v>31.7995</v>
      </c>
      <c r="AG425" s="5">
        <v>36.6917</v>
      </c>
      <c r="AH425" s="5">
        <v>43.3629</v>
      </c>
      <c r="AI425" s="5"/>
    </row>
    <row r="426" hidden="1" spans="1:35">
      <c r="A426" s="5" t="s">
        <v>897</v>
      </c>
      <c r="B426" s="5" t="s">
        <v>841</v>
      </c>
      <c r="C426" s="5" t="s">
        <v>2755</v>
      </c>
      <c r="D426" s="5" t="s">
        <v>2756</v>
      </c>
      <c r="E426" s="5" t="s">
        <v>899</v>
      </c>
      <c r="F426" s="5" t="s">
        <v>96</v>
      </c>
      <c r="G426" s="5" t="s">
        <v>2712</v>
      </c>
      <c r="H426" s="5" t="s">
        <v>2750</v>
      </c>
      <c r="I426" s="5" t="s">
        <v>2657</v>
      </c>
      <c r="J426" s="5" t="s">
        <v>2657</v>
      </c>
      <c r="K426" s="5">
        <v>6</v>
      </c>
      <c r="L426" s="5"/>
      <c r="M426" s="5" t="s">
        <v>1037</v>
      </c>
      <c r="N426" s="5" t="s">
        <v>2757</v>
      </c>
      <c r="O426" s="5" t="s">
        <v>2758</v>
      </c>
      <c r="P426" s="5" t="s">
        <v>2759</v>
      </c>
      <c r="Q426" s="5" t="s">
        <v>2754</v>
      </c>
      <c r="R426" s="5">
        <v>160</v>
      </c>
      <c r="S426" s="5">
        <v>170</v>
      </c>
      <c r="T426" s="5">
        <v>0.45</v>
      </c>
      <c r="U426" s="5">
        <v>41.5</v>
      </c>
      <c r="V426" s="5">
        <v>15</v>
      </c>
      <c r="W426" s="5">
        <v>100</v>
      </c>
      <c r="X426" s="5" t="s">
        <v>907</v>
      </c>
      <c r="Y426" s="5" t="s">
        <v>908</v>
      </c>
      <c r="Z426" s="5">
        <v>0</v>
      </c>
      <c r="AA426" s="5" t="s">
        <v>909</v>
      </c>
      <c r="AB426" s="5">
        <v>50.85</v>
      </c>
      <c r="AC426" s="5">
        <v>0.58</v>
      </c>
      <c r="AD426" s="5">
        <v>29.493</v>
      </c>
      <c r="AE426" s="5">
        <v>36.8662</v>
      </c>
      <c r="AF426" s="5">
        <v>39.324</v>
      </c>
      <c r="AG426" s="5">
        <v>45.3738</v>
      </c>
      <c r="AH426" s="5">
        <v>53.6236</v>
      </c>
      <c r="AI426" s="5"/>
    </row>
    <row r="427" hidden="1" spans="1:35">
      <c r="A427" s="5" t="s">
        <v>897</v>
      </c>
      <c r="B427" s="5" t="s">
        <v>225</v>
      </c>
      <c r="C427" s="5" t="s">
        <v>223</v>
      </c>
      <c r="D427" s="5" t="s">
        <v>1933</v>
      </c>
      <c r="E427" s="5" t="s">
        <v>899</v>
      </c>
      <c r="F427" s="5" t="s">
        <v>96</v>
      </c>
      <c r="G427" s="5" t="s">
        <v>115</v>
      </c>
      <c r="H427" s="5" t="s">
        <v>1365</v>
      </c>
      <c r="I427" s="5" t="s">
        <v>1186</v>
      </c>
      <c r="J427" s="5" t="s">
        <v>1221</v>
      </c>
      <c r="K427" s="5">
        <v>6</v>
      </c>
      <c r="L427" s="5"/>
      <c r="M427" s="5" t="s">
        <v>919</v>
      </c>
      <c r="N427" s="5" t="s">
        <v>1366</v>
      </c>
      <c r="O427" s="5" t="s">
        <v>1367</v>
      </c>
      <c r="P427" s="5" t="s">
        <v>1934</v>
      </c>
      <c r="Q427" s="5" t="s">
        <v>1369</v>
      </c>
      <c r="R427" s="5">
        <v>1700</v>
      </c>
      <c r="S427" s="5">
        <v>1800</v>
      </c>
      <c r="T427" s="5">
        <v>5</v>
      </c>
      <c r="U427" s="5">
        <v>48</v>
      </c>
      <c r="V427" s="5">
        <v>32.3</v>
      </c>
      <c r="W427" s="5">
        <v>10</v>
      </c>
      <c r="X427" s="5" t="s">
        <v>907</v>
      </c>
      <c r="Y427" s="5" t="s">
        <v>908</v>
      </c>
      <c r="Z427" s="5">
        <v>0</v>
      </c>
      <c r="AA427" s="5" t="s">
        <v>909</v>
      </c>
      <c r="AB427" s="5">
        <v>39.15</v>
      </c>
      <c r="AC427" s="5">
        <v>0.58</v>
      </c>
      <c r="AD427" s="5">
        <v>22.707</v>
      </c>
      <c r="AE427" s="5">
        <v>28.3837</v>
      </c>
      <c r="AF427" s="5">
        <v>30.276</v>
      </c>
      <c r="AG427" s="5">
        <v>34.9338</v>
      </c>
      <c r="AH427" s="5">
        <v>41.2855</v>
      </c>
      <c r="AI427" s="5"/>
    </row>
    <row r="428" hidden="1" spans="1:35">
      <c r="A428" s="5" t="s">
        <v>897</v>
      </c>
      <c r="B428" s="5" t="s">
        <v>516</v>
      </c>
      <c r="C428" s="5" t="s">
        <v>304</v>
      </c>
      <c r="D428" s="5" t="s">
        <v>1364</v>
      </c>
      <c r="E428" s="5" t="s">
        <v>899</v>
      </c>
      <c r="F428" s="5" t="s">
        <v>96</v>
      </c>
      <c r="G428" s="5" t="s">
        <v>115</v>
      </c>
      <c r="H428" s="5" t="s">
        <v>1365</v>
      </c>
      <c r="I428" s="5" t="s">
        <v>1186</v>
      </c>
      <c r="J428" s="5" t="s">
        <v>1221</v>
      </c>
      <c r="K428" s="5">
        <v>6</v>
      </c>
      <c r="L428" s="5"/>
      <c r="M428" s="5" t="s">
        <v>919</v>
      </c>
      <c r="N428" s="5" t="s">
        <v>1366</v>
      </c>
      <c r="O428" s="5" t="s">
        <v>1367</v>
      </c>
      <c r="P428" s="5" t="s">
        <v>1934</v>
      </c>
      <c r="Q428" s="5" t="s">
        <v>1369</v>
      </c>
      <c r="R428" s="5">
        <v>1700</v>
      </c>
      <c r="S428" s="5">
        <v>1800</v>
      </c>
      <c r="T428" s="5">
        <v>5</v>
      </c>
      <c r="U428" s="5">
        <v>48</v>
      </c>
      <c r="V428" s="5">
        <v>32.3</v>
      </c>
      <c r="W428" s="5">
        <v>10</v>
      </c>
      <c r="X428" s="5" t="s">
        <v>907</v>
      </c>
      <c r="Y428" s="5" t="s">
        <v>908</v>
      </c>
      <c r="Z428" s="5">
        <v>5</v>
      </c>
      <c r="AA428" s="5" t="s">
        <v>909</v>
      </c>
      <c r="AB428" s="5">
        <v>39.15</v>
      </c>
      <c r="AC428" s="5">
        <v>0.58</v>
      </c>
      <c r="AD428" s="5">
        <v>22.707</v>
      </c>
      <c r="AE428" s="5">
        <v>28.3837</v>
      </c>
      <c r="AF428" s="5">
        <v>30.276</v>
      </c>
      <c r="AG428" s="5">
        <v>34.9338</v>
      </c>
      <c r="AH428" s="5">
        <v>41.2855</v>
      </c>
      <c r="AI428" s="5"/>
    </row>
    <row r="429" hidden="1" spans="1:35">
      <c r="A429" s="5" t="s">
        <v>897</v>
      </c>
      <c r="B429" s="5" t="s">
        <v>517</v>
      </c>
      <c r="C429" s="5" t="s">
        <v>382</v>
      </c>
      <c r="D429" s="5" t="s">
        <v>1935</v>
      </c>
      <c r="E429" s="5" t="s">
        <v>899</v>
      </c>
      <c r="F429" s="5" t="s">
        <v>96</v>
      </c>
      <c r="G429" s="5" t="s">
        <v>115</v>
      </c>
      <c r="H429" s="5" t="s">
        <v>1365</v>
      </c>
      <c r="I429" s="5" t="s">
        <v>1186</v>
      </c>
      <c r="J429" s="5" t="s">
        <v>1221</v>
      </c>
      <c r="K429" s="5">
        <v>6</v>
      </c>
      <c r="L429" s="5"/>
      <c r="M429" s="5" t="s">
        <v>919</v>
      </c>
      <c r="N429" s="5" t="s">
        <v>1366</v>
      </c>
      <c r="O429" s="5" t="s">
        <v>1367</v>
      </c>
      <c r="P429" s="5" t="s">
        <v>1937</v>
      </c>
      <c r="Q429" s="5" t="s">
        <v>1369</v>
      </c>
      <c r="R429" s="5">
        <v>1700</v>
      </c>
      <c r="S429" s="5">
        <v>1710</v>
      </c>
      <c r="T429" s="5">
        <v>5</v>
      </c>
      <c r="U429" s="5">
        <v>48</v>
      </c>
      <c r="V429" s="5">
        <v>32.3</v>
      </c>
      <c r="W429" s="5">
        <v>10</v>
      </c>
      <c r="X429" s="5" t="s">
        <v>907</v>
      </c>
      <c r="Y429" s="5" t="s">
        <v>908</v>
      </c>
      <c r="Z429" s="5">
        <v>15</v>
      </c>
      <c r="AA429" s="5" t="s">
        <v>909</v>
      </c>
      <c r="AB429" s="5">
        <v>40.04</v>
      </c>
      <c r="AC429" s="5">
        <v>0.58</v>
      </c>
      <c r="AD429" s="5">
        <v>23.2232</v>
      </c>
      <c r="AE429" s="5">
        <v>29.029</v>
      </c>
      <c r="AF429" s="5">
        <v>30.9643</v>
      </c>
      <c r="AG429" s="5">
        <v>35.728</v>
      </c>
      <c r="AH429" s="5">
        <v>42.224</v>
      </c>
      <c r="AI429" s="5"/>
    </row>
    <row r="430" hidden="1" spans="1:35">
      <c r="A430" s="5" t="s">
        <v>897</v>
      </c>
      <c r="B430" s="5" t="s">
        <v>538</v>
      </c>
      <c r="C430" s="5" t="s">
        <v>258</v>
      </c>
      <c r="D430" s="5" t="s">
        <v>2452</v>
      </c>
      <c r="E430" s="5" t="s">
        <v>899</v>
      </c>
      <c r="F430" s="5" t="s">
        <v>96</v>
      </c>
      <c r="G430" s="5" t="s">
        <v>103</v>
      </c>
      <c r="H430" s="5" t="s">
        <v>2453</v>
      </c>
      <c r="I430" s="5" t="s">
        <v>1210</v>
      </c>
      <c r="J430" s="5" t="s">
        <v>1210</v>
      </c>
      <c r="K430" s="5">
        <v>6</v>
      </c>
      <c r="L430" s="5"/>
      <c r="M430" s="5" t="s">
        <v>919</v>
      </c>
      <c r="N430" s="5" t="s">
        <v>2454</v>
      </c>
      <c r="O430" s="5" t="s">
        <v>2455</v>
      </c>
      <c r="P430" s="5" t="s">
        <v>2456</v>
      </c>
      <c r="Q430" s="5" t="s">
        <v>2457</v>
      </c>
      <c r="R430" s="5">
        <v>560</v>
      </c>
      <c r="S430" s="5">
        <v>845</v>
      </c>
      <c r="T430" s="5">
        <v>2.58</v>
      </c>
      <c r="U430" s="5">
        <v>38.5</v>
      </c>
      <c r="V430" s="5">
        <v>31.5</v>
      </c>
      <c r="W430" s="5">
        <v>20</v>
      </c>
      <c r="X430" s="5" t="s">
        <v>1020</v>
      </c>
      <c r="Y430" s="5" t="s">
        <v>908</v>
      </c>
      <c r="Z430" s="5">
        <v>0</v>
      </c>
      <c r="AA430" s="5" t="s">
        <v>909</v>
      </c>
      <c r="AB430" s="5">
        <v>24.721</v>
      </c>
      <c r="AC430" s="5">
        <v>0.58</v>
      </c>
      <c r="AD430" s="5">
        <v>14.3382</v>
      </c>
      <c r="AE430" s="5">
        <v>17.9227</v>
      </c>
      <c r="AF430" s="5">
        <v>19.1176</v>
      </c>
      <c r="AG430" s="5">
        <v>22.0587</v>
      </c>
      <c r="AH430" s="5">
        <v>26.0694</v>
      </c>
      <c r="AI430" s="5"/>
    </row>
    <row r="431" hidden="1" spans="1:35">
      <c r="A431" s="5" t="s">
        <v>897</v>
      </c>
      <c r="B431" s="5" t="s">
        <v>815</v>
      </c>
      <c r="C431" s="5" t="s">
        <v>2760</v>
      </c>
      <c r="D431" s="5" t="s">
        <v>2761</v>
      </c>
      <c r="E431" s="5" t="s">
        <v>899</v>
      </c>
      <c r="F431" s="5" t="s">
        <v>108</v>
      </c>
      <c r="G431" s="5" t="s">
        <v>146</v>
      </c>
      <c r="H431" s="5" t="s">
        <v>2762</v>
      </c>
      <c r="I431" s="5" t="s">
        <v>2763</v>
      </c>
      <c r="J431" s="5" t="s">
        <v>2763</v>
      </c>
      <c r="K431" s="5">
        <v>6</v>
      </c>
      <c r="L431" s="5"/>
      <c r="M431" s="5" t="s">
        <v>919</v>
      </c>
      <c r="N431" s="5" t="s">
        <v>2764</v>
      </c>
      <c r="O431" s="5" t="s">
        <v>2765</v>
      </c>
      <c r="P431" s="5" t="s">
        <v>2766</v>
      </c>
      <c r="Q431" s="5" t="s">
        <v>2767</v>
      </c>
      <c r="R431" s="5">
        <v>420</v>
      </c>
      <c r="S431" s="5">
        <v>615</v>
      </c>
      <c r="T431" s="5">
        <v>5.77</v>
      </c>
      <c r="U431" s="5">
        <v>26.2</v>
      </c>
      <c r="V431" s="5">
        <v>26</v>
      </c>
      <c r="W431" s="5">
        <v>10</v>
      </c>
      <c r="X431" s="5" t="s">
        <v>907</v>
      </c>
      <c r="Y431" s="5" t="s">
        <v>908</v>
      </c>
      <c r="Z431" s="5">
        <v>0</v>
      </c>
      <c r="AA431" s="5" t="s">
        <v>909</v>
      </c>
      <c r="AB431" s="5">
        <v>44.53</v>
      </c>
      <c r="AC431" s="5">
        <v>0.58</v>
      </c>
      <c r="AD431" s="5">
        <v>25.8274</v>
      </c>
      <c r="AE431" s="5">
        <v>32.2842</v>
      </c>
      <c r="AF431" s="5">
        <v>34.4365</v>
      </c>
      <c r="AG431" s="5">
        <v>39.7345</v>
      </c>
      <c r="AH431" s="5">
        <v>46.9589</v>
      </c>
      <c r="AI431" s="5"/>
    </row>
    <row r="432" hidden="1" spans="1:35">
      <c r="A432" s="5" t="s">
        <v>897</v>
      </c>
      <c r="B432" s="5" t="s">
        <v>811</v>
      </c>
      <c r="C432" s="5" t="s">
        <v>810</v>
      </c>
      <c r="D432" s="5" t="s">
        <v>2768</v>
      </c>
      <c r="E432" s="5" t="s">
        <v>899</v>
      </c>
      <c r="F432" s="5" t="s">
        <v>108</v>
      </c>
      <c r="G432" s="5" t="s">
        <v>146</v>
      </c>
      <c r="H432" s="5" t="s">
        <v>1622</v>
      </c>
      <c r="I432" s="5" t="s">
        <v>2763</v>
      </c>
      <c r="J432" s="5" t="s">
        <v>1210</v>
      </c>
      <c r="K432" s="5">
        <v>6</v>
      </c>
      <c r="L432" s="5"/>
      <c r="M432" s="5" t="s">
        <v>1037</v>
      </c>
      <c r="N432" s="5" t="s">
        <v>2769</v>
      </c>
      <c r="O432" s="5" t="s">
        <v>2770</v>
      </c>
      <c r="P432" s="5" t="s">
        <v>2771</v>
      </c>
      <c r="Q432" s="5" t="s">
        <v>2772</v>
      </c>
      <c r="R432" s="5">
        <v>750</v>
      </c>
      <c r="S432" s="5">
        <v>1360</v>
      </c>
      <c r="T432" s="5">
        <v>5.2</v>
      </c>
      <c r="U432" s="5">
        <v>49</v>
      </c>
      <c r="V432" s="5">
        <v>27</v>
      </c>
      <c r="W432" s="5">
        <v>10</v>
      </c>
      <c r="X432" s="5" t="s">
        <v>907</v>
      </c>
      <c r="Y432" s="5" t="s">
        <v>908</v>
      </c>
      <c r="Z432" s="5">
        <v>0</v>
      </c>
      <c r="AA432" s="5" t="s">
        <v>909</v>
      </c>
      <c r="AB432" s="5">
        <v>154.06</v>
      </c>
      <c r="AC432" s="5">
        <v>0.58</v>
      </c>
      <c r="AD432" s="5">
        <v>89.3548</v>
      </c>
      <c r="AE432" s="5">
        <v>111.6935</v>
      </c>
      <c r="AF432" s="5">
        <v>119.1397</v>
      </c>
      <c r="AG432" s="5">
        <v>137.4689</v>
      </c>
      <c r="AH432" s="5">
        <v>162.4633</v>
      </c>
      <c r="AI432" s="5"/>
    </row>
    <row r="433" hidden="1" spans="1:35">
      <c r="A433" s="5" t="s">
        <v>897</v>
      </c>
      <c r="B433" s="5" t="s">
        <v>768</v>
      </c>
      <c r="C433" s="5" t="s">
        <v>2773</v>
      </c>
      <c r="D433" s="5" t="s">
        <v>2774</v>
      </c>
      <c r="E433" s="5" t="s">
        <v>899</v>
      </c>
      <c r="F433" s="5" t="s">
        <v>108</v>
      </c>
      <c r="G433" s="5" t="s">
        <v>146</v>
      </c>
      <c r="H433" s="5" t="s">
        <v>2775</v>
      </c>
      <c r="I433" s="5" t="s">
        <v>1345</v>
      </c>
      <c r="J433" s="5" t="s">
        <v>1345</v>
      </c>
      <c r="K433" s="5">
        <v>6</v>
      </c>
      <c r="L433" s="5"/>
      <c r="M433" s="5" t="s">
        <v>1037</v>
      </c>
      <c r="N433" s="5" t="s">
        <v>2776</v>
      </c>
      <c r="O433" s="5" t="s">
        <v>2777</v>
      </c>
      <c r="P433" s="5" t="s">
        <v>2778</v>
      </c>
      <c r="Q433" s="5" t="s">
        <v>2779</v>
      </c>
      <c r="R433" s="5">
        <v>37</v>
      </c>
      <c r="S433" s="5">
        <v>54</v>
      </c>
      <c r="T433" s="5">
        <v>0.34</v>
      </c>
      <c r="U433" s="5">
        <v>30</v>
      </c>
      <c r="V433" s="5">
        <v>25</v>
      </c>
      <c r="W433" s="5">
        <v>100</v>
      </c>
      <c r="X433" s="5" t="s">
        <v>907</v>
      </c>
      <c r="Y433" s="5" t="s">
        <v>908</v>
      </c>
      <c r="Z433" s="5">
        <v>0</v>
      </c>
      <c r="AA433" s="5" t="s">
        <v>909</v>
      </c>
      <c r="AB433" s="5">
        <v>8.98</v>
      </c>
      <c r="AC433" s="5">
        <v>0.58</v>
      </c>
      <c r="AD433" s="5">
        <v>5.2084</v>
      </c>
      <c r="AE433" s="5">
        <v>6.5105</v>
      </c>
      <c r="AF433" s="5">
        <v>6.9445</v>
      </c>
      <c r="AG433" s="5">
        <v>8.0129</v>
      </c>
      <c r="AH433" s="5">
        <v>9.4698</v>
      </c>
      <c r="AI433" s="5"/>
    </row>
    <row r="434" hidden="1" spans="1:35">
      <c r="A434" s="5" t="s">
        <v>897</v>
      </c>
      <c r="B434" s="5" t="s">
        <v>769</v>
      </c>
      <c r="C434" s="5" t="s">
        <v>2780</v>
      </c>
      <c r="D434" s="5" t="s">
        <v>2781</v>
      </c>
      <c r="E434" s="5" t="s">
        <v>899</v>
      </c>
      <c r="F434" s="5" t="s">
        <v>108</v>
      </c>
      <c r="G434" s="5" t="s">
        <v>146</v>
      </c>
      <c r="H434" s="5" t="s">
        <v>2782</v>
      </c>
      <c r="I434" s="5" t="s">
        <v>1345</v>
      </c>
      <c r="J434" s="5" t="s">
        <v>1345</v>
      </c>
      <c r="K434" s="5">
        <v>6</v>
      </c>
      <c r="L434" s="5"/>
      <c r="M434" s="5" t="s">
        <v>1037</v>
      </c>
      <c r="N434" s="5" t="s">
        <v>2783</v>
      </c>
      <c r="O434" s="5" t="s">
        <v>2782</v>
      </c>
      <c r="P434" s="5" t="s">
        <v>2784</v>
      </c>
      <c r="Q434" s="5" t="s">
        <v>2785</v>
      </c>
      <c r="R434" s="5">
        <v>76</v>
      </c>
      <c r="S434" s="5">
        <v>95</v>
      </c>
      <c r="T434" s="5">
        <v>0.44</v>
      </c>
      <c r="U434" s="5">
        <v>42.5</v>
      </c>
      <c r="V434" s="5">
        <v>19.8</v>
      </c>
      <c r="W434" s="5">
        <v>100</v>
      </c>
      <c r="X434" s="5" t="s">
        <v>907</v>
      </c>
      <c r="Y434" s="5" t="s">
        <v>908</v>
      </c>
      <c r="Z434" s="5">
        <v>0</v>
      </c>
      <c r="AA434" s="5" t="s">
        <v>909</v>
      </c>
      <c r="AB434" s="5">
        <v>31.44</v>
      </c>
      <c r="AC434" s="5">
        <v>0.58</v>
      </c>
      <c r="AD434" s="5">
        <v>18.2352</v>
      </c>
      <c r="AE434" s="5">
        <v>22.794</v>
      </c>
      <c r="AF434" s="5">
        <v>24.3136</v>
      </c>
      <c r="AG434" s="5">
        <v>28.0542</v>
      </c>
      <c r="AH434" s="5">
        <v>33.1549</v>
      </c>
      <c r="AI434" s="5"/>
    </row>
    <row r="435" hidden="1" spans="1:35">
      <c r="A435" s="5" t="s">
        <v>897</v>
      </c>
      <c r="B435" s="5" t="s">
        <v>770</v>
      </c>
      <c r="C435" s="5" t="s">
        <v>2786</v>
      </c>
      <c r="D435" s="5" t="s">
        <v>2787</v>
      </c>
      <c r="E435" s="5" t="s">
        <v>899</v>
      </c>
      <c r="F435" s="5" t="s">
        <v>108</v>
      </c>
      <c r="G435" s="5" t="s">
        <v>146</v>
      </c>
      <c r="H435" s="5" t="s">
        <v>2788</v>
      </c>
      <c r="I435" s="5" t="s">
        <v>1345</v>
      </c>
      <c r="J435" s="5" t="s">
        <v>1345</v>
      </c>
      <c r="K435" s="5">
        <v>6</v>
      </c>
      <c r="L435" s="5"/>
      <c r="M435" s="5" t="s">
        <v>1037</v>
      </c>
      <c r="N435" s="5" t="s">
        <v>2789</v>
      </c>
      <c r="O435" s="5" t="s">
        <v>2790</v>
      </c>
      <c r="P435" s="5" t="s">
        <v>2791</v>
      </c>
      <c r="Q435" s="5" t="s">
        <v>2792</v>
      </c>
      <c r="R435" s="5">
        <v>91</v>
      </c>
      <c r="S435" s="5">
        <v>95</v>
      </c>
      <c r="T435" s="5">
        <v>0.46</v>
      </c>
      <c r="U435" s="5">
        <v>34</v>
      </c>
      <c r="V435" s="5">
        <v>23</v>
      </c>
      <c r="W435" s="5">
        <v>100</v>
      </c>
      <c r="X435" s="5" t="s">
        <v>907</v>
      </c>
      <c r="Y435" s="5" t="s">
        <v>908</v>
      </c>
      <c r="Z435" s="5">
        <v>0</v>
      </c>
      <c r="AA435" s="5" t="s">
        <v>909</v>
      </c>
      <c r="AB435" s="5">
        <v>16.84</v>
      </c>
      <c r="AC435" s="5">
        <v>0.58</v>
      </c>
      <c r="AD435" s="5">
        <v>9.7672</v>
      </c>
      <c r="AE435" s="5">
        <v>12.209</v>
      </c>
      <c r="AF435" s="5">
        <v>13.0229</v>
      </c>
      <c r="AG435" s="5">
        <v>15.0265</v>
      </c>
      <c r="AH435" s="5">
        <v>17.7585</v>
      </c>
      <c r="AI435" s="5"/>
    </row>
    <row r="436" hidden="1" spans="1:35">
      <c r="A436" s="5" t="s">
        <v>897</v>
      </c>
      <c r="B436" s="5" t="s">
        <v>540</v>
      </c>
      <c r="C436" s="5" t="s">
        <v>539</v>
      </c>
      <c r="D436" s="5" t="s">
        <v>2793</v>
      </c>
      <c r="E436" s="5" t="s">
        <v>899</v>
      </c>
      <c r="F436" s="5" t="s">
        <v>96</v>
      </c>
      <c r="G436" s="5" t="s">
        <v>103</v>
      </c>
      <c r="H436" s="5" t="s">
        <v>2453</v>
      </c>
      <c r="I436" s="5" t="s">
        <v>1210</v>
      </c>
      <c r="J436" s="5" t="s">
        <v>1210</v>
      </c>
      <c r="K436" s="5">
        <v>6</v>
      </c>
      <c r="L436" s="5"/>
      <c r="M436" s="5" t="s">
        <v>919</v>
      </c>
      <c r="N436" s="5" t="s">
        <v>2794</v>
      </c>
      <c r="O436" s="5" t="s">
        <v>2795</v>
      </c>
      <c r="P436" s="5" t="s">
        <v>2796</v>
      </c>
      <c r="Q436" s="5" t="s">
        <v>2797</v>
      </c>
      <c r="R436" s="5">
        <v>252</v>
      </c>
      <c r="S436" s="5">
        <v>260</v>
      </c>
      <c r="T436" s="5">
        <v>1.22</v>
      </c>
      <c r="U436" s="5">
        <v>34</v>
      </c>
      <c r="V436" s="5">
        <v>31</v>
      </c>
      <c r="W436" s="5">
        <v>40</v>
      </c>
      <c r="X436" s="5" t="s">
        <v>1020</v>
      </c>
      <c r="Y436" s="5" t="s">
        <v>908</v>
      </c>
      <c r="Z436" s="5">
        <v>0</v>
      </c>
      <c r="AA436" s="5" t="s">
        <v>909</v>
      </c>
      <c r="AB436" s="5">
        <v>51.7168</v>
      </c>
      <c r="AC436" s="5">
        <v>0.58</v>
      </c>
      <c r="AD436" s="5">
        <v>29.9957</v>
      </c>
      <c r="AE436" s="5">
        <v>37.4947</v>
      </c>
      <c r="AF436" s="5">
        <v>39.9943</v>
      </c>
      <c r="AG436" s="5">
        <v>46.1473</v>
      </c>
      <c r="AH436" s="5">
        <v>54.5377</v>
      </c>
      <c r="AI436" s="5"/>
    </row>
    <row r="437" hidden="1" spans="1:35">
      <c r="A437" s="5" t="s">
        <v>897</v>
      </c>
      <c r="B437" s="5" t="s">
        <v>542</v>
      </c>
      <c r="C437" s="5" t="s">
        <v>541</v>
      </c>
      <c r="D437" s="5" t="s">
        <v>2798</v>
      </c>
      <c r="E437" s="5" t="s">
        <v>899</v>
      </c>
      <c r="F437" s="5" t="s">
        <v>96</v>
      </c>
      <c r="G437" s="5" t="s">
        <v>103</v>
      </c>
      <c r="H437" s="5" t="s">
        <v>2453</v>
      </c>
      <c r="I437" s="5" t="s">
        <v>1210</v>
      </c>
      <c r="J437" s="5" t="s">
        <v>1210</v>
      </c>
      <c r="K437" s="5">
        <v>6</v>
      </c>
      <c r="L437" s="5"/>
      <c r="M437" s="5" t="s">
        <v>919</v>
      </c>
      <c r="N437" s="5" t="s">
        <v>2799</v>
      </c>
      <c r="O437" s="5" t="s">
        <v>2800</v>
      </c>
      <c r="P437" s="5" t="s">
        <v>2801</v>
      </c>
      <c r="Q437" s="5" t="s">
        <v>2802</v>
      </c>
      <c r="R437" s="5">
        <v>781</v>
      </c>
      <c r="S437" s="5">
        <v>800</v>
      </c>
      <c r="T437" s="5">
        <v>4.59</v>
      </c>
      <c r="U437" s="5">
        <v>38</v>
      </c>
      <c r="V437" s="5">
        <v>27</v>
      </c>
      <c r="W437" s="5">
        <v>12</v>
      </c>
      <c r="X437" s="5" t="s">
        <v>1020</v>
      </c>
      <c r="Y437" s="5" t="s">
        <v>908</v>
      </c>
      <c r="Z437" s="5">
        <v>0</v>
      </c>
      <c r="AA437" s="5" t="s">
        <v>909</v>
      </c>
      <c r="AB437" s="5">
        <v>83.6439</v>
      </c>
      <c r="AC437" s="5">
        <v>0.58</v>
      </c>
      <c r="AD437" s="5">
        <v>48.5135</v>
      </c>
      <c r="AE437" s="5">
        <v>60.6418</v>
      </c>
      <c r="AF437" s="5">
        <v>64.6846</v>
      </c>
      <c r="AG437" s="5">
        <v>74.6361</v>
      </c>
      <c r="AH437" s="5">
        <v>88.2063</v>
      </c>
      <c r="AI437" s="5"/>
    </row>
    <row r="438" hidden="1" spans="1:35">
      <c r="A438" s="5" t="s">
        <v>897</v>
      </c>
      <c r="B438" s="5" t="s">
        <v>544</v>
      </c>
      <c r="C438" s="5" t="s">
        <v>543</v>
      </c>
      <c r="D438" s="5" t="s">
        <v>2803</v>
      </c>
      <c r="E438" s="5" t="s">
        <v>899</v>
      </c>
      <c r="F438" s="5" t="s">
        <v>96</v>
      </c>
      <c r="G438" s="5" t="s">
        <v>103</v>
      </c>
      <c r="H438" s="5" t="s">
        <v>2453</v>
      </c>
      <c r="I438" s="5" t="s">
        <v>1210</v>
      </c>
      <c r="J438" s="5" t="s">
        <v>1210</v>
      </c>
      <c r="K438" s="5">
        <v>6</v>
      </c>
      <c r="L438" s="5"/>
      <c r="M438" s="5" t="s">
        <v>1037</v>
      </c>
      <c r="N438" s="5" t="s">
        <v>2804</v>
      </c>
      <c r="O438" s="5" t="s">
        <v>2805</v>
      </c>
      <c r="P438" s="5" t="s">
        <v>2806</v>
      </c>
      <c r="Q438" s="5" t="s">
        <v>2807</v>
      </c>
      <c r="R438" s="5">
        <v>600</v>
      </c>
      <c r="S438" s="5">
        <v>660</v>
      </c>
      <c r="T438" s="5">
        <v>2.68</v>
      </c>
      <c r="U438" s="5">
        <v>36.5</v>
      </c>
      <c r="V438" s="5">
        <v>33.5</v>
      </c>
      <c r="W438" s="5">
        <v>20</v>
      </c>
      <c r="X438" s="5" t="s">
        <v>1020</v>
      </c>
      <c r="Y438" s="5" t="s">
        <v>908</v>
      </c>
      <c r="Z438" s="5">
        <v>0</v>
      </c>
      <c r="AA438" s="5" t="s">
        <v>909</v>
      </c>
      <c r="AB438" s="5">
        <v>103.8393</v>
      </c>
      <c r="AC438" s="5">
        <v>0.58</v>
      </c>
      <c r="AD438" s="5">
        <v>60.2268</v>
      </c>
      <c r="AE438" s="5">
        <v>75.2835</v>
      </c>
      <c r="AF438" s="5">
        <v>80.3024</v>
      </c>
      <c r="AG438" s="5">
        <v>92.6566</v>
      </c>
      <c r="AH438" s="5">
        <v>109.5033</v>
      </c>
      <c r="AI438" s="5"/>
    </row>
    <row r="439" hidden="1" spans="1:35">
      <c r="A439" s="5" t="s">
        <v>897</v>
      </c>
      <c r="B439" s="5" t="s">
        <v>546</v>
      </c>
      <c r="C439" s="5" t="s">
        <v>545</v>
      </c>
      <c r="D439" s="5" t="s">
        <v>2808</v>
      </c>
      <c r="E439" s="5" t="s">
        <v>899</v>
      </c>
      <c r="F439" s="5" t="s">
        <v>96</v>
      </c>
      <c r="G439" s="5" t="s">
        <v>103</v>
      </c>
      <c r="H439" s="5" t="s">
        <v>2453</v>
      </c>
      <c r="I439" s="5" t="s">
        <v>1210</v>
      </c>
      <c r="J439" s="5" t="s">
        <v>1210</v>
      </c>
      <c r="K439" s="5">
        <v>6</v>
      </c>
      <c r="L439" s="5"/>
      <c r="M439" s="5" t="s">
        <v>919</v>
      </c>
      <c r="N439" s="5" t="s">
        <v>2809</v>
      </c>
      <c r="O439" s="5" t="s">
        <v>2810</v>
      </c>
      <c r="P439" s="5" t="s">
        <v>2811</v>
      </c>
      <c r="Q439" s="5" t="s">
        <v>2812</v>
      </c>
      <c r="R439" s="5">
        <v>510</v>
      </c>
      <c r="S439" s="5">
        <v>560</v>
      </c>
      <c r="T439" s="5">
        <v>1.17</v>
      </c>
      <c r="U439" s="5">
        <v>40</v>
      </c>
      <c r="V439" s="5">
        <v>31</v>
      </c>
      <c r="W439" s="5">
        <v>40</v>
      </c>
      <c r="X439" s="5" t="s">
        <v>1020</v>
      </c>
      <c r="Y439" s="5" t="s">
        <v>908</v>
      </c>
      <c r="Z439" s="5">
        <v>0</v>
      </c>
      <c r="AA439" s="5" t="s">
        <v>909</v>
      </c>
      <c r="AB439" s="5">
        <v>95.8146</v>
      </c>
      <c r="AC439" s="5">
        <v>0.58</v>
      </c>
      <c r="AD439" s="5">
        <v>55.5725</v>
      </c>
      <c r="AE439" s="5">
        <v>69.4656</v>
      </c>
      <c r="AF439" s="5">
        <v>74.0966</v>
      </c>
      <c r="AG439" s="5">
        <v>85.4961</v>
      </c>
      <c r="AH439" s="5">
        <v>101.0409</v>
      </c>
      <c r="AI439" s="5"/>
    </row>
    <row r="440" hidden="1" spans="1:35">
      <c r="A440" s="5" t="s">
        <v>897</v>
      </c>
      <c r="B440" s="5" t="s">
        <v>548</v>
      </c>
      <c r="C440" s="5" t="s">
        <v>547</v>
      </c>
      <c r="D440" s="5" t="s">
        <v>2813</v>
      </c>
      <c r="E440" s="5" t="s">
        <v>899</v>
      </c>
      <c r="F440" s="5" t="s">
        <v>96</v>
      </c>
      <c r="G440" s="5" t="s">
        <v>103</v>
      </c>
      <c r="H440" s="5" t="s">
        <v>2453</v>
      </c>
      <c r="I440" s="5" t="s">
        <v>1210</v>
      </c>
      <c r="J440" s="5" t="s">
        <v>1210</v>
      </c>
      <c r="K440" s="5">
        <v>6</v>
      </c>
      <c r="L440" s="5"/>
      <c r="M440" s="5" t="s">
        <v>919</v>
      </c>
      <c r="N440" s="5" t="s">
        <v>2814</v>
      </c>
      <c r="O440" s="5" t="s">
        <v>2815</v>
      </c>
      <c r="P440" s="5" t="s">
        <v>2816</v>
      </c>
      <c r="Q440" s="5" t="s">
        <v>2817</v>
      </c>
      <c r="R440" s="5">
        <v>120</v>
      </c>
      <c r="S440" s="5">
        <v>150</v>
      </c>
      <c r="T440" s="5">
        <v>3</v>
      </c>
      <c r="U440" s="5">
        <v>30</v>
      </c>
      <c r="V440" s="5">
        <v>25</v>
      </c>
      <c r="W440" s="5">
        <v>12</v>
      </c>
      <c r="X440" s="5" t="s">
        <v>1020</v>
      </c>
      <c r="Y440" s="5" t="s">
        <v>908</v>
      </c>
      <c r="Z440" s="5">
        <v>0</v>
      </c>
      <c r="AA440" s="5" t="s">
        <v>909</v>
      </c>
      <c r="AB440" s="5">
        <v>37.2617</v>
      </c>
      <c r="AC440" s="5">
        <v>0.58</v>
      </c>
      <c r="AD440" s="5">
        <v>21.6118</v>
      </c>
      <c r="AE440" s="5">
        <v>27.0147</v>
      </c>
      <c r="AF440" s="5">
        <v>28.8157</v>
      </c>
      <c r="AG440" s="5">
        <v>33.2489</v>
      </c>
      <c r="AH440" s="5">
        <v>39.2942</v>
      </c>
      <c r="AI440" s="5"/>
    </row>
    <row r="441" hidden="1" spans="1:35">
      <c r="A441" s="5" t="s">
        <v>897</v>
      </c>
      <c r="B441" s="5" t="s">
        <v>550</v>
      </c>
      <c r="C441" s="5" t="s">
        <v>549</v>
      </c>
      <c r="D441" s="5" t="s">
        <v>2818</v>
      </c>
      <c r="E441" s="5" t="s">
        <v>899</v>
      </c>
      <c r="F441" s="5" t="s">
        <v>96</v>
      </c>
      <c r="G441" s="5" t="s">
        <v>103</v>
      </c>
      <c r="H441" s="5" t="s">
        <v>2453</v>
      </c>
      <c r="I441" s="5" t="s">
        <v>1210</v>
      </c>
      <c r="J441" s="5" t="s">
        <v>1210</v>
      </c>
      <c r="K441" s="5">
        <v>6</v>
      </c>
      <c r="L441" s="5"/>
      <c r="M441" s="5" t="s">
        <v>919</v>
      </c>
      <c r="N441" s="5" t="s">
        <v>2819</v>
      </c>
      <c r="O441" s="5" t="s">
        <v>2820</v>
      </c>
      <c r="P441" s="5" t="s">
        <v>2821</v>
      </c>
      <c r="Q441" s="5" t="s">
        <v>2822</v>
      </c>
      <c r="R441" s="5">
        <v>3150</v>
      </c>
      <c r="S441" s="5">
        <v>3195</v>
      </c>
      <c r="T441" s="5">
        <v>16.63</v>
      </c>
      <c r="U441" s="5">
        <v>59.5</v>
      </c>
      <c r="V441" s="5">
        <v>42</v>
      </c>
      <c r="W441" s="5">
        <v>4</v>
      </c>
      <c r="X441" s="5" t="s">
        <v>1020</v>
      </c>
      <c r="Y441" s="5" t="s">
        <v>908</v>
      </c>
      <c r="Z441" s="5">
        <v>0</v>
      </c>
      <c r="AA441" s="5" t="s">
        <v>909</v>
      </c>
      <c r="AB441" s="5">
        <v>347.2747</v>
      </c>
      <c r="AC441" s="5">
        <v>0.58</v>
      </c>
      <c r="AD441" s="5">
        <v>201.4193</v>
      </c>
      <c r="AE441" s="5">
        <v>251.7742</v>
      </c>
      <c r="AF441" s="5">
        <v>268.5591</v>
      </c>
      <c r="AG441" s="5">
        <v>309.8759</v>
      </c>
      <c r="AH441" s="5">
        <v>366.217</v>
      </c>
      <c r="AI441" s="5"/>
    </row>
    <row r="442" hidden="1" spans="1:35">
      <c r="A442" s="5" t="s">
        <v>897</v>
      </c>
      <c r="B442" s="5" t="s">
        <v>552</v>
      </c>
      <c r="C442" s="5" t="s">
        <v>551</v>
      </c>
      <c r="D442" s="5" t="s">
        <v>2823</v>
      </c>
      <c r="E442" s="5" t="s">
        <v>899</v>
      </c>
      <c r="F442" s="5" t="s">
        <v>96</v>
      </c>
      <c r="G442" s="5" t="s">
        <v>103</v>
      </c>
      <c r="H442" s="5" t="s">
        <v>2453</v>
      </c>
      <c r="I442" s="5" t="s">
        <v>1210</v>
      </c>
      <c r="J442" s="5" t="s">
        <v>1210</v>
      </c>
      <c r="K442" s="5">
        <v>6</v>
      </c>
      <c r="L442" s="5"/>
      <c r="M442" s="5" t="s">
        <v>919</v>
      </c>
      <c r="N442" s="5" t="s">
        <v>2824</v>
      </c>
      <c r="O442" s="5" t="s">
        <v>2825</v>
      </c>
      <c r="P442" s="5" t="s">
        <v>2826</v>
      </c>
      <c r="Q442" s="5" t="s">
        <v>2827</v>
      </c>
      <c r="R442" s="5">
        <v>4780</v>
      </c>
      <c r="S442" s="5">
        <v>5035</v>
      </c>
      <c r="T442" s="5">
        <v>33</v>
      </c>
      <c r="U442" s="5">
        <v>60</v>
      </c>
      <c r="V442" s="5">
        <v>22</v>
      </c>
      <c r="W442" s="5">
        <v>2</v>
      </c>
      <c r="X442" s="5" t="s">
        <v>1020</v>
      </c>
      <c r="Y442" s="5" t="s">
        <v>908</v>
      </c>
      <c r="Z442" s="5">
        <v>0</v>
      </c>
      <c r="AA442" s="5" t="s">
        <v>909</v>
      </c>
      <c r="AB442" s="5">
        <v>589.8954</v>
      </c>
      <c r="AC442" s="5">
        <v>0.58</v>
      </c>
      <c r="AD442" s="5">
        <v>342.1393</v>
      </c>
      <c r="AE442" s="5">
        <v>427.6742</v>
      </c>
      <c r="AF442" s="5">
        <v>456.1858</v>
      </c>
      <c r="AG442" s="5">
        <v>526.3682</v>
      </c>
      <c r="AH442" s="5">
        <v>622.0715</v>
      </c>
      <c r="AI442" s="5"/>
    </row>
    <row r="443" hidden="1" spans="1:35">
      <c r="A443" s="5" t="s">
        <v>897</v>
      </c>
      <c r="B443" s="5" t="s">
        <v>827</v>
      </c>
      <c r="C443" s="5" t="s">
        <v>825</v>
      </c>
      <c r="D443" s="5" t="s">
        <v>2253</v>
      </c>
      <c r="E443" s="5" t="s">
        <v>899</v>
      </c>
      <c r="F443" s="5" t="s">
        <v>108</v>
      </c>
      <c r="G443" s="5" t="s">
        <v>278</v>
      </c>
      <c r="H443" s="5" t="s">
        <v>1503</v>
      </c>
      <c r="I443" s="5" t="s">
        <v>2525</v>
      </c>
      <c r="J443" s="5" t="s">
        <v>2828</v>
      </c>
      <c r="K443" s="5">
        <v>6</v>
      </c>
      <c r="L443" s="5"/>
      <c r="M443" s="5" t="s">
        <v>1037</v>
      </c>
      <c r="N443" s="5" t="s">
        <v>2254</v>
      </c>
      <c r="O443" s="5" t="s">
        <v>2255</v>
      </c>
      <c r="P443" s="5" t="s">
        <v>2829</v>
      </c>
      <c r="Q443" s="5" t="s">
        <v>2257</v>
      </c>
      <c r="R443" s="5">
        <v>235</v>
      </c>
      <c r="S443" s="5">
        <v>425</v>
      </c>
      <c r="T443" s="5">
        <v>2.1</v>
      </c>
      <c r="U443" s="5">
        <v>36</v>
      </c>
      <c r="V443" s="5">
        <v>28.5</v>
      </c>
      <c r="W443" s="5">
        <v>20</v>
      </c>
      <c r="X443" s="5" t="s">
        <v>907</v>
      </c>
      <c r="Y443" s="5" t="s">
        <v>908</v>
      </c>
      <c r="Z443" s="5">
        <v>0</v>
      </c>
      <c r="AA443" s="5" t="s">
        <v>909</v>
      </c>
      <c r="AB443" s="5">
        <v>60.88</v>
      </c>
      <c r="AC443" s="5">
        <v>0.58</v>
      </c>
      <c r="AD443" s="5">
        <v>35.3104</v>
      </c>
      <c r="AE443" s="5">
        <v>44.138</v>
      </c>
      <c r="AF443" s="5">
        <v>47.0805</v>
      </c>
      <c r="AG443" s="5">
        <v>54.3237</v>
      </c>
      <c r="AH443" s="5">
        <v>64.2007</v>
      </c>
      <c r="AI443" s="5"/>
    </row>
    <row r="444" hidden="1" spans="1:35">
      <c r="A444" s="5" t="s">
        <v>897</v>
      </c>
      <c r="B444" s="5" t="s">
        <v>586</v>
      </c>
      <c r="C444" s="5" t="s">
        <v>584</v>
      </c>
      <c r="D444" s="5" t="s">
        <v>2258</v>
      </c>
      <c r="E444" s="5" t="s">
        <v>899</v>
      </c>
      <c r="F444" s="5" t="s">
        <v>108</v>
      </c>
      <c r="G444" s="5" t="s">
        <v>278</v>
      </c>
      <c r="H444" s="5" t="s">
        <v>1503</v>
      </c>
      <c r="I444" s="5" t="s">
        <v>2525</v>
      </c>
      <c r="J444" s="5" t="s">
        <v>2830</v>
      </c>
      <c r="K444" s="5">
        <v>6</v>
      </c>
      <c r="L444" s="5"/>
      <c r="M444" s="5" t="s">
        <v>1037</v>
      </c>
      <c r="N444" s="5" t="s">
        <v>2259</v>
      </c>
      <c r="O444" s="5" t="s">
        <v>2260</v>
      </c>
      <c r="P444" s="5" t="s">
        <v>2831</v>
      </c>
      <c r="Q444" s="5" t="s">
        <v>2262</v>
      </c>
      <c r="R444" s="5">
        <v>232</v>
      </c>
      <c r="S444" s="5">
        <v>490</v>
      </c>
      <c r="T444" s="5">
        <v>2.15</v>
      </c>
      <c r="U444" s="5">
        <v>36</v>
      </c>
      <c r="V444" s="5">
        <v>30</v>
      </c>
      <c r="W444" s="5">
        <v>20</v>
      </c>
      <c r="X444" s="5" t="s">
        <v>1020</v>
      </c>
      <c r="Y444" s="5" t="s">
        <v>908</v>
      </c>
      <c r="Z444" s="5">
        <v>0</v>
      </c>
      <c r="AA444" s="5" t="s">
        <v>909</v>
      </c>
      <c r="AB444" s="5">
        <v>91.91</v>
      </c>
      <c r="AC444" s="5">
        <v>0.58</v>
      </c>
      <c r="AD444" s="5">
        <v>53.3078</v>
      </c>
      <c r="AE444" s="5">
        <v>66.6347</v>
      </c>
      <c r="AF444" s="5">
        <v>71.0771</v>
      </c>
      <c r="AG444" s="5">
        <v>82.012</v>
      </c>
      <c r="AH444" s="5">
        <v>96.9233</v>
      </c>
      <c r="AI444" s="5"/>
    </row>
    <row r="445" hidden="1" spans="1:35">
      <c r="A445" s="5" t="s">
        <v>897</v>
      </c>
      <c r="B445" s="5" t="s">
        <v>327</v>
      </c>
      <c r="C445" s="5" t="s">
        <v>321</v>
      </c>
      <c r="D445" s="5" t="s">
        <v>2263</v>
      </c>
      <c r="E445" s="5" t="s">
        <v>899</v>
      </c>
      <c r="F445" s="5" t="s">
        <v>108</v>
      </c>
      <c r="G445" s="5" t="s">
        <v>278</v>
      </c>
      <c r="H445" s="5" t="s">
        <v>1503</v>
      </c>
      <c r="I445" s="5" t="s">
        <v>2525</v>
      </c>
      <c r="J445" s="5" t="s">
        <v>2828</v>
      </c>
      <c r="K445" s="5">
        <v>6</v>
      </c>
      <c r="L445" s="5"/>
      <c r="M445" s="5" t="s">
        <v>919</v>
      </c>
      <c r="N445" s="5" t="s">
        <v>2264</v>
      </c>
      <c r="O445" s="5" t="s">
        <v>2265</v>
      </c>
      <c r="P445" s="5" t="s">
        <v>2832</v>
      </c>
      <c r="Q445" s="5" t="s">
        <v>2267</v>
      </c>
      <c r="R445" s="5">
        <v>320</v>
      </c>
      <c r="S445" s="5">
        <v>600</v>
      </c>
      <c r="T445" s="5">
        <v>2.65</v>
      </c>
      <c r="U445" s="5">
        <v>34.5</v>
      </c>
      <c r="V445" s="5">
        <v>29</v>
      </c>
      <c r="W445" s="5">
        <v>20</v>
      </c>
      <c r="X445" s="5" t="s">
        <v>907</v>
      </c>
      <c r="Y445" s="5" t="s">
        <v>908</v>
      </c>
      <c r="Z445" s="5">
        <v>108</v>
      </c>
      <c r="AA445" s="5" t="s">
        <v>909</v>
      </c>
      <c r="AB445" s="5">
        <v>100.15</v>
      </c>
      <c r="AC445" s="5">
        <v>0.58</v>
      </c>
      <c r="AD445" s="5">
        <v>58.087</v>
      </c>
      <c r="AE445" s="5">
        <v>72.6088</v>
      </c>
      <c r="AF445" s="5">
        <v>77.4493</v>
      </c>
      <c r="AG445" s="5">
        <v>89.3646</v>
      </c>
      <c r="AH445" s="5">
        <v>105.6127</v>
      </c>
      <c r="AI445" s="5"/>
    </row>
    <row r="446" hidden="1" spans="1:35">
      <c r="A446" s="5" t="s">
        <v>897</v>
      </c>
      <c r="B446" s="5" t="s">
        <v>824</v>
      </c>
      <c r="C446" s="5" t="s">
        <v>823</v>
      </c>
      <c r="D446" s="5" t="s">
        <v>2833</v>
      </c>
      <c r="E446" s="5" t="s">
        <v>899</v>
      </c>
      <c r="F446" s="5" t="s">
        <v>108</v>
      </c>
      <c r="G446" s="5" t="s">
        <v>278</v>
      </c>
      <c r="H446" s="5" t="s">
        <v>1503</v>
      </c>
      <c r="I446" s="5" t="s">
        <v>2525</v>
      </c>
      <c r="J446" s="5" t="s">
        <v>2525</v>
      </c>
      <c r="K446" s="5">
        <v>6</v>
      </c>
      <c r="L446" s="5"/>
      <c r="M446" s="5" t="s">
        <v>1037</v>
      </c>
      <c r="N446" s="5" t="s">
        <v>2834</v>
      </c>
      <c r="O446" s="5" t="s">
        <v>2835</v>
      </c>
      <c r="P446" s="5" t="s">
        <v>2836</v>
      </c>
      <c r="Q446" s="5" t="s">
        <v>2837</v>
      </c>
      <c r="R446" s="5">
        <v>240</v>
      </c>
      <c r="S446" s="5">
        <v>304</v>
      </c>
      <c r="T446" s="5">
        <v>1.1</v>
      </c>
      <c r="U446" s="5">
        <v>47.5</v>
      </c>
      <c r="V446" s="5">
        <v>26</v>
      </c>
      <c r="W446" s="5">
        <v>48</v>
      </c>
      <c r="X446" s="5" t="s">
        <v>907</v>
      </c>
      <c r="Y446" s="5" t="s">
        <v>908</v>
      </c>
      <c r="Z446" s="5">
        <v>0</v>
      </c>
      <c r="AA446" s="5" t="s">
        <v>909</v>
      </c>
      <c r="AB446" s="5">
        <v>39.92</v>
      </c>
      <c r="AC446" s="5">
        <v>0.58</v>
      </c>
      <c r="AD446" s="5">
        <v>23.1536</v>
      </c>
      <c r="AE446" s="5">
        <v>28.942</v>
      </c>
      <c r="AF446" s="5">
        <v>30.8715</v>
      </c>
      <c r="AG446" s="5">
        <v>35.6209</v>
      </c>
      <c r="AH446" s="5">
        <v>42.0975</v>
      </c>
      <c r="AI446" s="5"/>
    </row>
    <row r="447" hidden="1" spans="1:35">
      <c r="A447" s="5" t="s">
        <v>897</v>
      </c>
      <c r="B447" s="5" t="s">
        <v>859</v>
      </c>
      <c r="C447" s="5" t="s">
        <v>2838</v>
      </c>
      <c r="D447" s="5" t="s">
        <v>2839</v>
      </c>
      <c r="E447" s="5" t="s">
        <v>899</v>
      </c>
      <c r="F447" s="5" t="s">
        <v>108</v>
      </c>
      <c r="G447" s="5" t="s">
        <v>278</v>
      </c>
      <c r="H447" s="5" t="s">
        <v>1503</v>
      </c>
      <c r="I447" s="5" t="s">
        <v>1345</v>
      </c>
      <c r="J447" s="5" t="s">
        <v>2667</v>
      </c>
      <c r="K447" s="5">
        <v>6</v>
      </c>
      <c r="L447" s="5"/>
      <c r="M447" s="5" t="s">
        <v>1037</v>
      </c>
      <c r="N447" s="5" t="s">
        <v>2840</v>
      </c>
      <c r="O447" s="5" t="s">
        <v>2841</v>
      </c>
      <c r="P447" s="5" t="s">
        <v>2842</v>
      </c>
      <c r="Q447" s="5" t="s">
        <v>2843</v>
      </c>
      <c r="R447" s="5">
        <v>204</v>
      </c>
      <c r="S447" s="5">
        <v>276</v>
      </c>
      <c r="T447" s="5">
        <v>1.24</v>
      </c>
      <c r="U447" s="5">
        <v>37</v>
      </c>
      <c r="V447" s="5">
        <v>36</v>
      </c>
      <c r="W447" s="5">
        <v>40</v>
      </c>
      <c r="X447" s="5" t="s">
        <v>907</v>
      </c>
      <c r="Y447" s="5" t="s">
        <v>908</v>
      </c>
      <c r="Z447" s="5">
        <v>0</v>
      </c>
      <c r="AA447" s="5" t="s">
        <v>909</v>
      </c>
      <c r="AB447" s="5">
        <v>47.87</v>
      </c>
      <c r="AC447" s="5">
        <v>0.58</v>
      </c>
      <c r="AD447" s="5">
        <v>27.7646</v>
      </c>
      <c r="AE447" s="5">
        <v>34.7057</v>
      </c>
      <c r="AF447" s="5">
        <v>37.0195</v>
      </c>
      <c r="AG447" s="5">
        <v>42.7148</v>
      </c>
      <c r="AH447" s="5">
        <v>50.4811</v>
      </c>
      <c r="AI447" s="5"/>
    </row>
    <row r="448" hidden="1" spans="1:35">
      <c r="A448" s="5" t="s">
        <v>897</v>
      </c>
      <c r="B448" s="5" t="s">
        <v>220</v>
      </c>
      <c r="C448" s="5" t="s">
        <v>218</v>
      </c>
      <c r="D448" s="5" t="s">
        <v>1620</v>
      </c>
      <c r="E448" s="5" t="s">
        <v>899</v>
      </c>
      <c r="F448" s="5" t="s">
        <v>108</v>
      </c>
      <c r="G448" s="5" t="s">
        <v>146</v>
      </c>
      <c r="H448" s="5" t="s">
        <v>1070</v>
      </c>
      <c r="I448" s="5" t="s">
        <v>2525</v>
      </c>
      <c r="J448" s="5" t="s">
        <v>2828</v>
      </c>
      <c r="K448" s="5">
        <v>6</v>
      </c>
      <c r="L448" s="5"/>
      <c r="M448" s="5" t="s">
        <v>919</v>
      </c>
      <c r="N448" s="5" t="s">
        <v>1621</v>
      </c>
      <c r="O448" s="5" t="s">
        <v>1622</v>
      </c>
      <c r="P448" s="5" t="s">
        <v>2844</v>
      </c>
      <c r="Q448" s="5" t="s">
        <v>2845</v>
      </c>
      <c r="R448" s="5">
        <v>942</v>
      </c>
      <c r="S448" s="5">
        <v>1000</v>
      </c>
      <c r="T448" s="5">
        <v>3.71</v>
      </c>
      <c r="U448" s="5">
        <v>44</v>
      </c>
      <c r="V448" s="5">
        <v>32</v>
      </c>
      <c r="W448" s="5">
        <v>12</v>
      </c>
      <c r="X448" s="5" t="s">
        <v>907</v>
      </c>
      <c r="Y448" s="5" t="s">
        <v>908</v>
      </c>
      <c r="Z448" s="5">
        <v>449</v>
      </c>
      <c r="AA448" s="5" t="s">
        <v>909</v>
      </c>
      <c r="AB448" s="5">
        <v>94.06</v>
      </c>
      <c r="AC448" s="5">
        <v>0.58</v>
      </c>
      <c r="AD448" s="5">
        <v>54.5548</v>
      </c>
      <c r="AE448" s="5">
        <v>68.1935</v>
      </c>
      <c r="AF448" s="5">
        <v>72.7397</v>
      </c>
      <c r="AG448" s="5">
        <v>83.9305</v>
      </c>
      <c r="AH448" s="5">
        <v>99.1905</v>
      </c>
      <c r="AI448" s="5"/>
    </row>
    <row r="449" hidden="1" spans="1:35">
      <c r="A449" s="5" t="s">
        <v>897</v>
      </c>
      <c r="B449" s="5" t="s">
        <v>860</v>
      </c>
      <c r="C449" s="5" t="s">
        <v>2846</v>
      </c>
      <c r="D449" s="5" t="s">
        <v>2847</v>
      </c>
      <c r="E449" s="5" t="s">
        <v>899</v>
      </c>
      <c r="F449" s="5" t="s">
        <v>108</v>
      </c>
      <c r="G449" s="5" t="s">
        <v>146</v>
      </c>
      <c r="H449" s="5" t="s">
        <v>1070</v>
      </c>
      <c r="I449" s="5" t="s">
        <v>1345</v>
      </c>
      <c r="J449" s="5" t="s">
        <v>2667</v>
      </c>
      <c r="K449" s="5">
        <v>6</v>
      </c>
      <c r="L449" s="5"/>
      <c r="M449" s="5" t="s">
        <v>1037</v>
      </c>
      <c r="N449" s="5" t="s">
        <v>2848</v>
      </c>
      <c r="O449" s="5" t="s">
        <v>2849</v>
      </c>
      <c r="P449" s="5" t="s">
        <v>2850</v>
      </c>
      <c r="Q449" s="5" t="s">
        <v>2851</v>
      </c>
      <c r="R449" s="5">
        <v>980</v>
      </c>
      <c r="S449" s="5">
        <v>1042</v>
      </c>
      <c r="T449" s="5">
        <v>3.71</v>
      </c>
      <c r="U449" s="5">
        <v>44</v>
      </c>
      <c r="V449" s="5">
        <v>32</v>
      </c>
      <c r="W449" s="5">
        <v>12</v>
      </c>
      <c r="X449" s="5" t="s">
        <v>1020</v>
      </c>
      <c r="Y449" s="5" t="s">
        <v>908</v>
      </c>
      <c r="Z449" s="5">
        <v>0</v>
      </c>
      <c r="AA449" s="5" t="s">
        <v>909</v>
      </c>
      <c r="AB449" s="5">
        <v>111.56</v>
      </c>
      <c r="AC449" s="5">
        <v>0.58</v>
      </c>
      <c r="AD449" s="5">
        <v>64.7048</v>
      </c>
      <c r="AE449" s="5">
        <v>80.881</v>
      </c>
      <c r="AF449" s="5">
        <v>86.2731</v>
      </c>
      <c r="AG449" s="5">
        <v>99.5458</v>
      </c>
      <c r="AH449" s="5">
        <v>117.6451</v>
      </c>
      <c r="AI449" s="5"/>
    </row>
    <row r="450" hidden="1" spans="1:35">
      <c r="A450" s="5" t="s">
        <v>897</v>
      </c>
      <c r="B450" s="5" t="s">
        <v>554</v>
      </c>
      <c r="C450" s="5" t="s">
        <v>553</v>
      </c>
      <c r="D450" s="5" t="s">
        <v>2852</v>
      </c>
      <c r="E450" s="5" t="s">
        <v>899</v>
      </c>
      <c r="F450" s="5" t="s">
        <v>96</v>
      </c>
      <c r="G450" s="5" t="s">
        <v>103</v>
      </c>
      <c r="H450" s="5" t="s">
        <v>2853</v>
      </c>
      <c r="I450" s="5" t="s">
        <v>1210</v>
      </c>
      <c r="J450" s="5" t="s">
        <v>1210</v>
      </c>
      <c r="K450" s="5">
        <v>6</v>
      </c>
      <c r="L450" s="5"/>
      <c r="M450" s="5" t="s">
        <v>1037</v>
      </c>
      <c r="N450" s="5" t="s">
        <v>2854</v>
      </c>
      <c r="O450" s="5" t="s">
        <v>2855</v>
      </c>
      <c r="P450" s="5" t="s">
        <v>2856</v>
      </c>
      <c r="Q450" s="5" t="s">
        <v>2857</v>
      </c>
      <c r="R450" s="5">
        <v>2900</v>
      </c>
      <c r="S450" s="5">
        <v>3110</v>
      </c>
      <c r="T450" s="5">
        <v>7.8</v>
      </c>
      <c r="U450" s="5">
        <v>26</v>
      </c>
      <c r="V450" s="5">
        <v>21</v>
      </c>
      <c r="W450" s="5">
        <v>5</v>
      </c>
      <c r="X450" s="5" t="s">
        <v>1020</v>
      </c>
      <c r="Y450" s="5" t="s">
        <v>908</v>
      </c>
      <c r="Z450" s="5">
        <v>0</v>
      </c>
      <c r="AA450" s="5" t="s">
        <v>909</v>
      </c>
      <c r="AB450" s="5">
        <v>235.9895</v>
      </c>
      <c r="AC450" s="5">
        <v>0.58</v>
      </c>
      <c r="AD450" s="5">
        <v>136.8739</v>
      </c>
      <c r="AE450" s="5">
        <v>171.0924</v>
      </c>
      <c r="AF450" s="5">
        <v>182.4985</v>
      </c>
      <c r="AG450" s="5">
        <v>210.5752</v>
      </c>
      <c r="AH450" s="5">
        <v>248.8617</v>
      </c>
      <c r="AI450" s="5"/>
    </row>
    <row r="451" hidden="1" spans="1:35">
      <c r="A451" s="5" t="s">
        <v>897</v>
      </c>
      <c r="B451" s="5" t="s">
        <v>556</v>
      </c>
      <c r="C451" s="5" t="s">
        <v>555</v>
      </c>
      <c r="D451" s="5" t="s">
        <v>2858</v>
      </c>
      <c r="E451" s="5" t="s">
        <v>899</v>
      </c>
      <c r="F451" s="5" t="s">
        <v>96</v>
      </c>
      <c r="G451" s="5" t="s">
        <v>103</v>
      </c>
      <c r="H451" s="5" t="s">
        <v>2853</v>
      </c>
      <c r="I451" s="5" t="s">
        <v>1210</v>
      </c>
      <c r="J451" s="5" t="s">
        <v>1210</v>
      </c>
      <c r="K451" s="5">
        <v>6</v>
      </c>
      <c r="L451" s="5"/>
      <c r="M451" s="5" t="s">
        <v>1037</v>
      </c>
      <c r="N451" s="5" t="s">
        <v>2859</v>
      </c>
      <c r="O451" s="5" t="s">
        <v>2860</v>
      </c>
      <c r="P451" s="5" t="s">
        <v>2861</v>
      </c>
      <c r="Q451" s="5" t="s">
        <v>2862</v>
      </c>
      <c r="R451" s="5">
        <v>9000</v>
      </c>
      <c r="S451" s="5">
        <v>9140</v>
      </c>
      <c r="T451" s="5">
        <v>51</v>
      </c>
      <c r="U451" s="5">
        <v>42.3</v>
      </c>
      <c r="V451" s="5">
        <v>27</v>
      </c>
      <c r="W451" s="5">
        <v>1</v>
      </c>
      <c r="X451" s="5" t="s">
        <v>1020</v>
      </c>
      <c r="Y451" s="5" t="s">
        <v>908</v>
      </c>
      <c r="Z451" s="5">
        <v>0</v>
      </c>
      <c r="AA451" s="5" t="s">
        <v>909</v>
      </c>
      <c r="AB451" s="5">
        <v>879.5072</v>
      </c>
      <c r="AC451" s="5">
        <v>0.58</v>
      </c>
      <c r="AD451" s="5">
        <v>510.1142</v>
      </c>
      <c r="AE451" s="5">
        <v>637.6427</v>
      </c>
      <c r="AF451" s="5">
        <v>680.1522</v>
      </c>
      <c r="AG451" s="5">
        <v>784.791</v>
      </c>
      <c r="AH451" s="5">
        <v>927.4803</v>
      </c>
      <c r="AI451" s="5"/>
    </row>
    <row r="452" hidden="1" spans="1:35">
      <c r="A452" s="5" t="s">
        <v>897</v>
      </c>
      <c r="B452" s="5" t="s">
        <v>636</v>
      </c>
      <c r="C452" s="5" t="s">
        <v>258</v>
      </c>
      <c r="D452" s="5" t="s">
        <v>2452</v>
      </c>
      <c r="E452" s="5" t="s">
        <v>899</v>
      </c>
      <c r="F452" s="5" t="s">
        <v>96</v>
      </c>
      <c r="G452" s="5" t="s">
        <v>103</v>
      </c>
      <c r="H452" s="5" t="s">
        <v>2453</v>
      </c>
      <c r="I452" s="5" t="s">
        <v>2525</v>
      </c>
      <c r="J452" s="5" t="s">
        <v>2525</v>
      </c>
      <c r="K452" s="5">
        <v>6</v>
      </c>
      <c r="L452" s="5"/>
      <c r="M452" s="5" t="s">
        <v>919</v>
      </c>
      <c r="N452" s="5" t="s">
        <v>2454</v>
      </c>
      <c r="O452" s="5" t="s">
        <v>2455</v>
      </c>
      <c r="P452" s="5" t="s">
        <v>2863</v>
      </c>
      <c r="Q452" s="5" t="s">
        <v>2864</v>
      </c>
      <c r="R452" s="5">
        <v>677</v>
      </c>
      <c r="S452" s="5">
        <v>770</v>
      </c>
      <c r="T452" s="5">
        <v>1.35</v>
      </c>
      <c r="U452" s="5">
        <v>50.5</v>
      </c>
      <c r="V452" s="5">
        <v>37</v>
      </c>
      <c r="W452" s="5">
        <v>40</v>
      </c>
      <c r="X452" s="5" t="s">
        <v>907</v>
      </c>
      <c r="Y452" s="5" t="s">
        <v>908</v>
      </c>
      <c r="Z452" s="5">
        <v>0</v>
      </c>
      <c r="AA452" s="5" t="s">
        <v>909</v>
      </c>
      <c r="AB452" s="5">
        <v>22.4575</v>
      </c>
      <c r="AC452" s="5">
        <v>0.58</v>
      </c>
      <c r="AD452" s="5">
        <v>13.0253</v>
      </c>
      <c r="AE452" s="5">
        <v>16.2817</v>
      </c>
      <c r="AF452" s="5">
        <v>17.3671</v>
      </c>
      <c r="AG452" s="5">
        <v>20.039</v>
      </c>
      <c r="AH452" s="5">
        <v>23.6825</v>
      </c>
      <c r="AI452" s="5"/>
    </row>
    <row r="453" hidden="1" spans="1:35">
      <c r="A453" s="5" t="s">
        <v>897</v>
      </c>
      <c r="B453" s="5" t="s">
        <v>637</v>
      </c>
      <c r="C453" s="5" t="s">
        <v>2865</v>
      </c>
      <c r="D453" s="5" t="s">
        <v>2866</v>
      </c>
      <c r="E453" s="5" t="s">
        <v>899</v>
      </c>
      <c r="F453" s="5" t="s">
        <v>96</v>
      </c>
      <c r="G453" s="5" t="s">
        <v>103</v>
      </c>
      <c r="H453" s="5" t="s">
        <v>2453</v>
      </c>
      <c r="I453" s="5" t="s">
        <v>2525</v>
      </c>
      <c r="J453" s="5" t="s">
        <v>2525</v>
      </c>
      <c r="K453" s="5">
        <v>6</v>
      </c>
      <c r="L453" s="5"/>
      <c r="M453" s="5" t="s">
        <v>919</v>
      </c>
      <c r="N453" s="5" t="s">
        <v>2454</v>
      </c>
      <c r="O453" s="5" t="s">
        <v>2455</v>
      </c>
      <c r="P453" s="5" t="s">
        <v>2867</v>
      </c>
      <c r="Q453" s="5" t="s">
        <v>2864</v>
      </c>
      <c r="R453" s="5">
        <v>677</v>
      </c>
      <c r="S453" s="5">
        <v>770</v>
      </c>
      <c r="T453" s="5">
        <v>1.35</v>
      </c>
      <c r="U453" s="5">
        <v>50.5</v>
      </c>
      <c r="V453" s="5">
        <v>37</v>
      </c>
      <c r="W453" s="5">
        <v>40</v>
      </c>
      <c r="X453" s="5" t="s">
        <v>1020</v>
      </c>
      <c r="Y453" s="5" t="s">
        <v>908</v>
      </c>
      <c r="Z453" s="5">
        <v>0</v>
      </c>
      <c r="AA453" s="5" t="s">
        <v>909</v>
      </c>
      <c r="AB453" s="5">
        <v>22.2075</v>
      </c>
      <c r="AC453" s="5">
        <v>0.58</v>
      </c>
      <c r="AD453" s="5">
        <v>12.8803</v>
      </c>
      <c r="AE453" s="5">
        <v>16.1004</v>
      </c>
      <c r="AF453" s="5">
        <v>17.1738</v>
      </c>
      <c r="AG453" s="5">
        <v>19.8159</v>
      </c>
      <c r="AH453" s="5">
        <v>23.4188</v>
      </c>
      <c r="AI453" s="5"/>
    </row>
    <row r="454" hidden="1" spans="1:35">
      <c r="A454" s="5" t="s">
        <v>897</v>
      </c>
      <c r="B454" s="5" t="s">
        <v>233</v>
      </c>
      <c r="C454" s="5" t="s">
        <v>229</v>
      </c>
      <c r="D454" s="5" t="s">
        <v>2146</v>
      </c>
      <c r="E454" s="5" t="s">
        <v>899</v>
      </c>
      <c r="F454" s="5" t="s">
        <v>96</v>
      </c>
      <c r="G454" s="5" t="s">
        <v>186</v>
      </c>
      <c r="H454" s="5" t="s">
        <v>2094</v>
      </c>
      <c r="I454" s="5" t="s">
        <v>2868</v>
      </c>
      <c r="J454" s="5" t="s">
        <v>1345</v>
      </c>
      <c r="K454" s="5">
        <v>6</v>
      </c>
      <c r="L454" s="5"/>
      <c r="M454" s="5" t="s">
        <v>1037</v>
      </c>
      <c r="N454" s="5" t="s">
        <v>2147</v>
      </c>
      <c r="O454" s="5" t="s">
        <v>2148</v>
      </c>
      <c r="P454" s="5" t="s">
        <v>2149</v>
      </c>
      <c r="Q454" s="5" t="s">
        <v>2077</v>
      </c>
      <c r="R454" s="5">
        <v>3360</v>
      </c>
      <c r="S454" s="5">
        <v>3461</v>
      </c>
      <c r="T454" s="5">
        <v>10.34</v>
      </c>
      <c r="U454" s="5">
        <v>62</v>
      </c>
      <c r="V454" s="5">
        <v>24</v>
      </c>
      <c r="W454" s="5">
        <v>9</v>
      </c>
      <c r="X454" s="5" t="s">
        <v>1020</v>
      </c>
      <c r="Y454" s="5" t="s">
        <v>908</v>
      </c>
      <c r="Z454" s="5">
        <v>0</v>
      </c>
      <c r="AA454" s="5" t="s">
        <v>909</v>
      </c>
      <c r="AB454" s="5">
        <v>33.86</v>
      </c>
      <c r="AC454" s="5">
        <v>0.58</v>
      </c>
      <c r="AD454" s="5">
        <v>19.6388</v>
      </c>
      <c r="AE454" s="5">
        <v>24.5485</v>
      </c>
      <c r="AF454" s="5">
        <v>26.1851</v>
      </c>
      <c r="AG454" s="5">
        <v>30.2135</v>
      </c>
      <c r="AH454" s="5">
        <v>35.7069</v>
      </c>
      <c r="AI454" s="5"/>
    </row>
    <row r="455" hidden="1" spans="1:35">
      <c r="A455" s="5" t="s">
        <v>897</v>
      </c>
      <c r="B455" s="5" t="s">
        <v>215</v>
      </c>
      <c r="C455" s="5" t="s">
        <v>213</v>
      </c>
      <c r="D455" s="5" t="s">
        <v>2150</v>
      </c>
      <c r="E455" s="5" t="s">
        <v>899</v>
      </c>
      <c r="F455" s="5" t="s">
        <v>96</v>
      </c>
      <c r="G455" s="5" t="s">
        <v>186</v>
      </c>
      <c r="H455" s="5" t="s">
        <v>2094</v>
      </c>
      <c r="I455" s="5" t="s">
        <v>2868</v>
      </c>
      <c r="J455" s="5" t="s">
        <v>1345</v>
      </c>
      <c r="K455" s="5">
        <v>6</v>
      </c>
      <c r="L455" s="5"/>
      <c r="M455" s="5" t="s">
        <v>1037</v>
      </c>
      <c r="N455" s="5" t="s">
        <v>2147</v>
      </c>
      <c r="O455" s="5" t="s">
        <v>2148</v>
      </c>
      <c r="P455" s="5" t="s">
        <v>2151</v>
      </c>
      <c r="Q455" s="5" t="s">
        <v>2065</v>
      </c>
      <c r="R455" s="5">
        <v>4240</v>
      </c>
      <c r="S455" s="5">
        <v>4345</v>
      </c>
      <c r="T455" s="5">
        <v>11.45</v>
      </c>
      <c r="U455" s="5">
        <v>72</v>
      </c>
      <c r="V455" s="5">
        <v>24</v>
      </c>
      <c r="W455" s="5">
        <v>9</v>
      </c>
      <c r="X455" s="5" t="s">
        <v>1020</v>
      </c>
      <c r="Y455" s="5" t="s">
        <v>908</v>
      </c>
      <c r="Z455" s="5">
        <v>0</v>
      </c>
      <c r="AA455" s="5" t="s">
        <v>909</v>
      </c>
      <c r="AB455" s="5">
        <v>43.4</v>
      </c>
      <c r="AC455" s="5">
        <v>0.58</v>
      </c>
      <c r="AD455" s="5">
        <v>25.172</v>
      </c>
      <c r="AE455" s="5">
        <v>31.465</v>
      </c>
      <c r="AF455" s="5">
        <v>33.5627</v>
      </c>
      <c r="AG455" s="5">
        <v>38.7262</v>
      </c>
      <c r="AH455" s="5">
        <v>45.7673</v>
      </c>
      <c r="AI455" s="5"/>
    </row>
    <row r="456" hidden="1" spans="1:35">
      <c r="A456" s="5" t="s">
        <v>897</v>
      </c>
      <c r="B456" s="5" t="s">
        <v>255</v>
      </c>
      <c r="C456" s="5" t="s">
        <v>252</v>
      </c>
      <c r="D456" s="5" t="s">
        <v>2152</v>
      </c>
      <c r="E456" s="5" t="s">
        <v>899</v>
      </c>
      <c r="F456" s="5" t="s">
        <v>96</v>
      </c>
      <c r="G456" s="5" t="s">
        <v>186</v>
      </c>
      <c r="H456" s="5" t="s">
        <v>2094</v>
      </c>
      <c r="I456" s="5" t="s">
        <v>1140</v>
      </c>
      <c r="J456" s="5" t="s">
        <v>2869</v>
      </c>
      <c r="K456" s="5">
        <v>6</v>
      </c>
      <c r="L456" s="5"/>
      <c r="M456" s="5" t="s">
        <v>1037</v>
      </c>
      <c r="N456" s="5" t="s">
        <v>2147</v>
      </c>
      <c r="O456" s="5" t="s">
        <v>2148</v>
      </c>
      <c r="P456" s="5" t="s">
        <v>2153</v>
      </c>
      <c r="Q456" s="5" t="s">
        <v>2082</v>
      </c>
      <c r="R456" s="5">
        <v>6560</v>
      </c>
      <c r="S456" s="5">
        <v>6660</v>
      </c>
      <c r="T456" s="5">
        <v>24.4</v>
      </c>
      <c r="U456" s="5">
        <v>12</v>
      </c>
      <c r="V456" s="5">
        <v>92</v>
      </c>
      <c r="W456" s="5">
        <v>5</v>
      </c>
      <c r="X456" s="5" t="s">
        <v>1020</v>
      </c>
      <c r="Y456" s="5" t="s">
        <v>908</v>
      </c>
      <c r="Z456" s="5">
        <v>0</v>
      </c>
      <c r="AA456" s="5" t="s">
        <v>909</v>
      </c>
      <c r="AB456" s="5">
        <v>76.34</v>
      </c>
      <c r="AC456" s="5">
        <v>0.58</v>
      </c>
      <c r="AD456" s="5">
        <v>44.2772</v>
      </c>
      <c r="AE456" s="5">
        <v>55.3465</v>
      </c>
      <c r="AF456" s="5">
        <v>59.0363</v>
      </c>
      <c r="AG456" s="5">
        <v>68.1188</v>
      </c>
      <c r="AH456" s="5">
        <v>80.504</v>
      </c>
      <c r="AI456" s="5"/>
    </row>
    <row r="457" hidden="1" spans="1:35">
      <c r="A457" s="5" t="s">
        <v>897</v>
      </c>
      <c r="B457" s="5" t="s">
        <v>189</v>
      </c>
      <c r="C457" s="5" t="s">
        <v>187</v>
      </c>
      <c r="D457" s="5" t="s">
        <v>2154</v>
      </c>
      <c r="E457" s="5" t="s">
        <v>899</v>
      </c>
      <c r="F457" s="5" t="s">
        <v>96</v>
      </c>
      <c r="G457" s="5" t="s">
        <v>186</v>
      </c>
      <c r="H457" s="5" t="s">
        <v>2094</v>
      </c>
      <c r="I457" s="5" t="s">
        <v>1140</v>
      </c>
      <c r="J457" s="5" t="s">
        <v>2869</v>
      </c>
      <c r="K457" s="5">
        <v>6</v>
      </c>
      <c r="L457" s="5"/>
      <c r="M457" s="5" t="s">
        <v>1037</v>
      </c>
      <c r="N457" s="5" t="s">
        <v>2147</v>
      </c>
      <c r="O457" s="5" t="s">
        <v>2148</v>
      </c>
      <c r="P457" s="5" t="s">
        <v>2155</v>
      </c>
      <c r="Q457" s="5" t="s">
        <v>2087</v>
      </c>
      <c r="R457" s="5">
        <v>8220</v>
      </c>
      <c r="S457" s="5">
        <v>8320</v>
      </c>
      <c r="T457" s="5">
        <v>30.4</v>
      </c>
      <c r="U457" s="5">
        <v>12</v>
      </c>
      <c r="V457" s="5">
        <v>92</v>
      </c>
      <c r="W457" s="5">
        <v>5</v>
      </c>
      <c r="X457" s="5" t="s">
        <v>1020</v>
      </c>
      <c r="Y457" s="5" t="s">
        <v>908</v>
      </c>
      <c r="Z457" s="5">
        <v>0</v>
      </c>
      <c r="AA457" s="5" t="s">
        <v>909</v>
      </c>
      <c r="AB457" s="5">
        <v>84.84</v>
      </c>
      <c r="AC457" s="5">
        <v>0.58</v>
      </c>
      <c r="AD457" s="5">
        <v>49.2072</v>
      </c>
      <c r="AE457" s="5">
        <v>61.509</v>
      </c>
      <c r="AF457" s="5">
        <v>65.6096</v>
      </c>
      <c r="AG457" s="5">
        <v>75.7034</v>
      </c>
      <c r="AH457" s="5">
        <v>89.4676</v>
      </c>
      <c r="AI457" s="5"/>
    </row>
    <row r="458" hidden="1" spans="1:35">
      <c r="A458" s="5" t="s">
        <v>897</v>
      </c>
      <c r="B458" s="5" t="s">
        <v>701</v>
      </c>
      <c r="C458" s="5" t="s">
        <v>698</v>
      </c>
      <c r="D458" s="5" t="s">
        <v>2156</v>
      </c>
      <c r="E458" s="5" t="s">
        <v>899</v>
      </c>
      <c r="F458" s="5" t="s">
        <v>96</v>
      </c>
      <c r="G458" s="5" t="s">
        <v>186</v>
      </c>
      <c r="H458" s="5" t="s">
        <v>2094</v>
      </c>
      <c r="I458" s="5" t="s">
        <v>1140</v>
      </c>
      <c r="J458" s="5" t="s">
        <v>2869</v>
      </c>
      <c r="K458" s="5">
        <v>6</v>
      </c>
      <c r="L458" s="5"/>
      <c r="M458" s="5" t="s">
        <v>1037</v>
      </c>
      <c r="N458" s="5" t="s">
        <v>2147</v>
      </c>
      <c r="O458" s="5" t="s">
        <v>2148</v>
      </c>
      <c r="P458" s="5" t="s">
        <v>2157</v>
      </c>
      <c r="Q458" s="5" t="s">
        <v>2092</v>
      </c>
      <c r="R458" s="5">
        <v>9740</v>
      </c>
      <c r="S458" s="5">
        <v>9840</v>
      </c>
      <c r="T458" s="5">
        <v>36.4</v>
      </c>
      <c r="U458" s="5">
        <v>12</v>
      </c>
      <c r="V458" s="5">
        <v>92</v>
      </c>
      <c r="W458" s="5">
        <v>5</v>
      </c>
      <c r="X458" s="5" t="s">
        <v>1020</v>
      </c>
      <c r="Y458" s="5" t="s">
        <v>908</v>
      </c>
      <c r="Z458" s="5">
        <v>0</v>
      </c>
      <c r="AA458" s="5" t="s">
        <v>909</v>
      </c>
      <c r="AB458" s="5">
        <v>98.09</v>
      </c>
      <c r="AC458" s="5">
        <v>0.58</v>
      </c>
      <c r="AD458" s="5">
        <v>56.8922</v>
      </c>
      <c r="AE458" s="5">
        <v>71.1152</v>
      </c>
      <c r="AF458" s="5">
        <v>75.8563</v>
      </c>
      <c r="AG458" s="5">
        <v>87.5265</v>
      </c>
      <c r="AH458" s="5">
        <v>103.4404</v>
      </c>
      <c r="AI458" s="5"/>
    </row>
    <row r="459" hidden="1" spans="1:35">
      <c r="A459" s="5" t="s">
        <v>897</v>
      </c>
      <c r="B459" s="5" t="s">
        <v>861</v>
      </c>
      <c r="C459" s="5" t="s">
        <v>2870</v>
      </c>
      <c r="D459" s="5" t="s">
        <v>2871</v>
      </c>
      <c r="E459" s="5" t="s">
        <v>899</v>
      </c>
      <c r="F459" s="5" t="s">
        <v>108</v>
      </c>
      <c r="G459" s="5" t="s">
        <v>109</v>
      </c>
      <c r="H459" s="5" t="s">
        <v>1371</v>
      </c>
      <c r="I459" s="5" t="s">
        <v>1345</v>
      </c>
      <c r="J459" s="5" t="s">
        <v>2667</v>
      </c>
      <c r="K459" s="5">
        <v>6</v>
      </c>
      <c r="L459" s="5"/>
      <c r="M459" s="5" t="s">
        <v>1037</v>
      </c>
      <c r="N459" s="5" t="s">
        <v>2872</v>
      </c>
      <c r="O459" s="5" t="s">
        <v>2873</v>
      </c>
      <c r="P459" s="5" t="s">
        <v>2874</v>
      </c>
      <c r="Q459" s="5" t="s">
        <v>2875</v>
      </c>
      <c r="R459" s="5">
        <v>2755</v>
      </c>
      <c r="S459" s="5">
        <v>3670</v>
      </c>
      <c r="T459" s="5">
        <v>12.16</v>
      </c>
      <c r="U459" s="5">
        <v>43</v>
      </c>
      <c r="V459" s="5">
        <v>37.2</v>
      </c>
      <c r="W459" s="5">
        <v>5</v>
      </c>
      <c r="X459" s="5" t="s">
        <v>1020</v>
      </c>
      <c r="Y459" s="5" t="s">
        <v>908</v>
      </c>
      <c r="Z459" s="5">
        <v>0</v>
      </c>
      <c r="AA459" s="5" t="s">
        <v>909</v>
      </c>
      <c r="AB459" s="5">
        <v>159.89</v>
      </c>
      <c r="AC459" s="5">
        <v>0.58</v>
      </c>
      <c r="AD459" s="5">
        <v>92.7362</v>
      </c>
      <c r="AE459" s="5">
        <v>115.9202</v>
      </c>
      <c r="AF459" s="5">
        <v>123.6483</v>
      </c>
      <c r="AG459" s="5">
        <v>142.6711</v>
      </c>
      <c r="AH459" s="5">
        <v>168.6113</v>
      </c>
      <c r="AI459" s="5"/>
    </row>
    <row r="460" hidden="1" spans="1:35">
      <c r="A460" s="5" t="s">
        <v>897</v>
      </c>
      <c r="B460" s="5" t="s">
        <v>862</v>
      </c>
      <c r="C460" s="5" t="s">
        <v>2876</v>
      </c>
      <c r="D460" s="5" t="s">
        <v>2877</v>
      </c>
      <c r="E460" s="5" t="s">
        <v>899</v>
      </c>
      <c r="F460" s="5" t="s">
        <v>108</v>
      </c>
      <c r="G460" s="5" t="s">
        <v>109</v>
      </c>
      <c r="H460" s="5" t="s">
        <v>1371</v>
      </c>
      <c r="I460" s="5" t="s">
        <v>1345</v>
      </c>
      <c r="J460" s="5" t="s">
        <v>2667</v>
      </c>
      <c r="K460" s="5">
        <v>6</v>
      </c>
      <c r="L460" s="5"/>
      <c r="M460" s="5" t="s">
        <v>1037</v>
      </c>
      <c r="N460" s="5" t="s">
        <v>2878</v>
      </c>
      <c r="O460" s="5" t="s">
        <v>2879</v>
      </c>
      <c r="P460" s="5" t="s">
        <v>2880</v>
      </c>
      <c r="Q460" s="5" t="s">
        <v>2881</v>
      </c>
      <c r="R460" s="5">
        <v>2370</v>
      </c>
      <c r="S460" s="5">
        <v>2946</v>
      </c>
      <c r="T460" s="5">
        <v>7.5</v>
      </c>
      <c r="U460" s="5">
        <v>45</v>
      </c>
      <c r="V460" s="5">
        <v>32</v>
      </c>
      <c r="W460" s="5">
        <v>6</v>
      </c>
      <c r="X460" s="5" t="s">
        <v>1020</v>
      </c>
      <c r="Y460" s="5" t="s">
        <v>908</v>
      </c>
      <c r="Z460" s="5">
        <v>0</v>
      </c>
      <c r="AA460" s="5" t="s">
        <v>909</v>
      </c>
      <c r="AB460" s="5">
        <v>100.55</v>
      </c>
      <c r="AC460" s="5">
        <v>0.58</v>
      </c>
      <c r="AD460" s="5">
        <v>58.319</v>
      </c>
      <c r="AE460" s="5">
        <v>72.8987</v>
      </c>
      <c r="AF460" s="5">
        <v>77.7587</v>
      </c>
      <c r="AG460" s="5">
        <v>89.7215</v>
      </c>
      <c r="AH460" s="5">
        <v>106.0345</v>
      </c>
      <c r="AI460" s="5"/>
    </row>
    <row r="461" hidden="1" spans="1:35">
      <c r="A461" s="5" t="s">
        <v>897</v>
      </c>
      <c r="B461" s="5" t="s">
        <v>638</v>
      </c>
      <c r="C461" s="5" t="s">
        <v>2882</v>
      </c>
      <c r="D461" s="5" t="s">
        <v>2883</v>
      </c>
      <c r="E461" s="5" t="s">
        <v>899</v>
      </c>
      <c r="F461" s="5" t="s">
        <v>108</v>
      </c>
      <c r="G461" s="5" t="s">
        <v>109</v>
      </c>
      <c r="H461" s="5" t="s">
        <v>1371</v>
      </c>
      <c r="I461" s="5" t="s">
        <v>1345</v>
      </c>
      <c r="J461" s="5" t="s">
        <v>1345</v>
      </c>
      <c r="K461" s="5">
        <v>6</v>
      </c>
      <c r="L461" s="5"/>
      <c r="M461" s="5" t="s">
        <v>1037</v>
      </c>
      <c r="N461" s="5" t="s">
        <v>2884</v>
      </c>
      <c r="O461" s="5" t="s">
        <v>2885</v>
      </c>
      <c r="P461" s="5" t="s">
        <v>2886</v>
      </c>
      <c r="Q461" s="5" t="s">
        <v>2887</v>
      </c>
      <c r="R461" s="5">
        <v>1975</v>
      </c>
      <c r="S461" s="5">
        <v>2507</v>
      </c>
      <c r="T461" s="5">
        <v>7.75</v>
      </c>
      <c r="U461" s="5">
        <v>41</v>
      </c>
      <c r="V461" s="5">
        <v>28</v>
      </c>
      <c r="W461" s="5">
        <v>8</v>
      </c>
      <c r="X461" s="5" t="s">
        <v>907</v>
      </c>
      <c r="Y461" s="5" t="s">
        <v>908</v>
      </c>
      <c r="Z461" s="5">
        <v>0</v>
      </c>
      <c r="AA461" s="5" t="s">
        <v>909</v>
      </c>
      <c r="AB461" s="5">
        <v>58.37</v>
      </c>
      <c r="AC461" s="5">
        <v>0.58</v>
      </c>
      <c r="AD461" s="5">
        <v>33.8546</v>
      </c>
      <c r="AE461" s="5">
        <v>42.3182</v>
      </c>
      <c r="AF461" s="5">
        <v>45.1395</v>
      </c>
      <c r="AG461" s="5">
        <v>52.084</v>
      </c>
      <c r="AH461" s="5">
        <v>61.5538</v>
      </c>
      <c r="AI461" s="5"/>
    </row>
    <row r="462" hidden="1" spans="1:35">
      <c r="A462" s="5" t="s">
        <v>897</v>
      </c>
      <c r="B462" s="5" t="s">
        <v>863</v>
      </c>
      <c r="C462" s="5" t="s">
        <v>2888</v>
      </c>
      <c r="D462" s="5" t="s">
        <v>2889</v>
      </c>
      <c r="E462" s="5" t="s">
        <v>899</v>
      </c>
      <c r="F462" s="5" t="s">
        <v>108</v>
      </c>
      <c r="G462" s="5" t="s">
        <v>109</v>
      </c>
      <c r="H462" s="5" t="s">
        <v>1371</v>
      </c>
      <c r="I462" s="5" t="s">
        <v>1345</v>
      </c>
      <c r="J462" s="5" t="s">
        <v>2667</v>
      </c>
      <c r="K462" s="5">
        <v>6</v>
      </c>
      <c r="L462" s="5"/>
      <c r="M462" s="5" t="s">
        <v>1037</v>
      </c>
      <c r="N462" s="5" t="s">
        <v>2890</v>
      </c>
      <c r="O462" s="5" t="s">
        <v>2891</v>
      </c>
      <c r="P462" s="5" t="s">
        <v>2892</v>
      </c>
      <c r="Q462" s="5" t="s">
        <v>2893</v>
      </c>
      <c r="R462" s="5">
        <v>4615</v>
      </c>
      <c r="S462" s="5">
        <v>5461</v>
      </c>
      <c r="T462" s="5">
        <v>14.2</v>
      </c>
      <c r="U462" s="5">
        <v>44</v>
      </c>
      <c r="V462" s="5">
        <v>33.5</v>
      </c>
      <c r="W462" s="5">
        <v>4</v>
      </c>
      <c r="X462" s="5" t="s">
        <v>1020</v>
      </c>
      <c r="Y462" s="5" t="s">
        <v>908</v>
      </c>
      <c r="Z462" s="5">
        <v>0</v>
      </c>
      <c r="AA462" s="5" t="s">
        <v>909</v>
      </c>
      <c r="AB462" s="5">
        <v>131.22</v>
      </c>
      <c r="AC462" s="5">
        <v>0.58</v>
      </c>
      <c r="AD462" s="5">
        <v>76.1076</v>
      </c>
      <c r="AE462" s="5">
        <v>95.1345</v>
      </c>
      <c r="AF462" s="5">
        <v>101.4768</v>
      </c>
      <c r="AG462" s="5">
        <v>117.0886</v>
      </c>
      <c r="AH462" s="5">
        <v>138.3775</v>
      </c>
      <c r="AI462" s="5"/>
    </row>
    <row r="463" spans="1:35">
      <c r="A463" s="5" t="s">
        <v>897</v>
      </c>
      <c r="B463" s="5" t="s">
        <v>639</v>
      </c>
      <c r="C463" s="5" t="s">
        <v>2894</v>
      </c>
      <c r="D463" s="5" t="s">
        <v>2895</v>
      </c>
      <c r="E463" s="5" t="s">
        <v>899</v>
      </c>
      <c r="F463" s="5" t="s">
        <v>108</v>
      </c>
      <c r="G463" s="5" t="s">
        <v>927</v>
      </c>
      <c r="H463" s="5" t="s">
        <v>1001</v>
      </c>
      <c r="I463" s="5" t="s">
        <v>1345</v>
      </c>
      <c r="J463" s="5" t="s">
        <v>1345</v>
      </c>
      <c r="K463" s="5">
        <v>6</v>
      </c>
      <c r="L463" s="5"/>
      <c r="M463" s="5" t="s">
        <v>1037</v>
      </c>
      <c r="N463" s="5" t="s">
        <v>2896</v>
      </c>
      <c r="O463" s="5" t="s">
        <v>2897</v>
      </c>
      <c r="P463" s="5" t="s">
        <v>2898</v>
      </c>
      <c r="Q463" s="5" t="s">
        <v>2899</v>
      </c>
      <c r="R463" s="5">
        <v>3300</v>
      </c>
      <c r="S463" s="5">
        <v>4800</v>
      </c>
      <c r="T463" s="5">
        <v>13.34</v>
      </c>
      <c r="U463" s="5">
        <v>43</v>
      </c>
      <c r="V463" s="5">
        <v>41</v>
      </c>
      <c r="W463" s="5">
        <v>6</v>
      </c>
      <c r="X463" s="5" t="s">
        <v>1020</v>
      </c>
      <c r="Y463" s="5" t="s">
        <v>908</v>
      </c>
      <c r="Z463" s="5">
        <v>0</v>
      </c>
      <c r="AA463" s="5" t="s">
        <v>909</v>
      </c>
      <c r="AB463" s="5">
        <v>121.59</v>
      </c>
      <c r="AC463" s="5">
        <v>0.58</v>
      </c>
      <c r="AD463" s="5">
        <v>70.5222</v>
      </c>
      <c r="AE463" s="5">
        <v>88.1527</v>
      </c>
      <c r="AF463" s="5">
        <v>94.0296</v>
      </c>
      <c r="AG463" s="5">
        <v>108.4957</v>
      </c>
      <c r="AH463" s="5">
        <v>128.2222</v>
      </c>
      <c r="AI463" s="5"/>
    </row>
    <row r="464" spans="1:35">
      <c r="A464" s="5" t="s">
        <v>897</v>
      </c>
      <c r="B464" s="5" t="s">
        <v>640</v>
      </c>
      <c r="C464" s="5" t="s">
        <v>2900</v>
      </c>
      <c r="D464" s="5" t="s">
        <v>2901</v>
      </c>
      <c r="E464" s="5" t="s">
        <v>899</v>
      </c>
      <c r="F464" s="5" t="s">
        <v>108</v>
      </c>
      <c r="G464" s="5" t="s">
        <v>927</v>
      </c>
      <c r="H464" s="5" t="s">
        <v>1001</v>
      </c>
      <c r="I464" s="5" t="s">
        <v>1345</v>
      </c>
      <c r="J464" s="5" t="s">
        <v>1345</v>
      </c>
      <c r="K464" s="5">
        <v>6</v>
      </c>
      <c r="L464" s="5"/>
      <c r="M464" s="5" t="s">
        <v>1037</v>
      </c>
      <c r="N464" s="5" t="s">
        <v>2902</v>
      </c>
      <c r="O464" s="5" t="s">
        <v>2903</v>
      </c>
      <c r="P464" s="5" t="s">
        <v>2904</v>
      </c>
      <c r="Q464" s="5" t="s">
        <v>2905</v>
      </c>
      <c r="R464" s="5">
        <v>3200</v>
      </c>
      <c r="S464" s="5">
        <v>4700</v>
      </c>
      <c r="T464" s="5">
        <v>8</v>
      </c>
      <c r="U464" s="5">
        <v>26</v>
      </c>
      <c r="V464" s="5">
        <v>25</v>
      </c>
      <c r="W464" s="5">
        <v>20</v>
      </c>
      <c r="X464" s="5" t="s">
        <v>1020</v>
      </c>
      <c r="Y464" s="5" t="s">
        <v>908</v>
      </c>
      <c r="Z464" s="5">
        <v>0</v>
      </c>
      <c r="AA464" s="5" t="s">
        <v>909</v>
      </c>
      <c r="AB464" s="5">
        <v>67.09</v>
      </c>
      <c r="AC464" s="5">
        <v>0.58</v>
      </c>
      <c r="AD464" s="5">
        <v>38.9122</v>
      </c>
      <c r="AE464" s="5">
        <v>48.6402</v>
      </c>
      <c r="AF464" s="5">
        <v>51.8829</v>
      </c>
      <c r="AG464" s="5">
        <v>59.8649</v>
      </c>
      <c r="AH464" s="5">
        <v>70.7495</v>
      </c>
      <c r="AI464" s="5"/>
    </row>
    <row r="465" spans="1:35">
      <c r="A465" s="5" t="s">
        <v>897</v>
      </c>
      <c r="B465" s="5" t="s">
        <v>641</v>
      </c>
      <c r="C465" s="5" t="s">
        <v>2906</v>
      </c>
      <c r="D465" s="5" t="s">
        <v>2907</v>
      </c>
      <c r="E465" s="5" t="s">
        <v>899</v>
      </c>
      <c r="F465" s="5" t="s">
        <v>108</v>
      </c>
      <c r="G465" s="5" t="s">
        <v>927</v>
      </c>
      <c r="H465" s="5" t="s">
        <v>1001</v>
      </c>
      <c r="I465" s="5" t="s">
        <v>1345</v>
      </c>
      <c r="J465" s="5" t="s">
        <v>1345</v>
      </c>
      <c r="K465" s="5">
        <v>6</v>
      </c>
      <c r="L465" s="5"/>
      <c r="M465" s="5" t="s">
        <v>1037</v>
      </c>
      <c r="N465" s="5" t="s">
        <v>2902</v>
      </c>
      <c r="O465" s="5" t="s">
        <v>2903</v>
      </c>
      <c r="P465" s="5" t="s">
        <v>2908</v>
      </c>
      <c r="Q465" s="5" t="s">
        <v>2909</v>
      </c>
      <c r="R465" s="5">
        <v>3800</v>
      </c>
      <c r="S465" s="5">
        <v>5300</v>
      </c>
      <c r="T465" s="5">
        <v>9</v>
      </c>
      <c r="U465" s="5">
        <v>26</v>
      </c>
      <c r="V465" s="5">
        <v>25</v>
      </c>
      <c r="W465" s="5">
        <v>20</v>
      </c>
      <c r="X465" s="5" t="s">
        <v>1020</v>
      </c>
      <c r="Y465" s="5" t="s">
        <v>908</v>
      </c>
      <c r="Z465" s="5">
        <v>0</v>
      </c>
      <c r="AA465" s="5" t="s">
        <v>909</v>
      </c>
      <c r="AB465" s="5">
        <v>86.66</v>
      </c>
      <c r="AC465" s="5">
        <v>0.58</v>
      </c>
      <c r="AD465" s="5">
        <v>50.2628</v>
      </c>
      <c r="AE465" s="5">
        <v>62.8285</v>
      </c>
      <c r="AF465" s="5">
        <v>67.0171</v>
      </c>
      <c r="AG465" s="5">
        <v>77.3274</v>
      </c>
      <c r="AH465" s="5">
        <v>91.3869</v>
      </c>
      <c r="AI465" s="5"/>
    </row>
    <row r="466" spans="1:35">
      <c r="A466" s="5" t="s">
        <v>897</v>
      </c>
      <c r="B466" s="5" t="s">
        <v>642</v>
      </c>
      <c r="C466" s="5" t="s">
        <v>2910</v>
      </c>
      <c r="D466" s="5" t="s">
        <v>2911</v>
      </c>
      <c r="E466" s="5" t="s">
        <v>899</v>
      </c>
      <c r="F466" s="5" t="s">
        <v>108</v>
      </c>
      <c r="G466" s="5" t="s">
        <v>927</v>
      </c>
      <c r="H466" s="5" t="s">
        <v>1001</v>
      </c>
      <c r="I466" s="5" t="s">
        <v>1345</v>
      </c>
      <c r="J466" s="5" t="s">
        <v>1345</v>
      </c>
      <c r="K466" s="5">
        <v>6</v>
      </c>
      <c r="L466" s="5"/>
      <c r="M466" s="5" t="s">
        <v>1037</v>
      </c>
      <c r="N466" s="5" t="s">
        <v>2912</v>
      </c>
      <c r="O466" s="5" t="s">
        <v>2913</v>
      </c>
      <c r="P466" s="5" t="s">
        <v>2914</v>
      </c>
      <c r="Q466" s="5" t="s">
        <v>2915</v>
      </c>
      <c r="R466" s="5">
        <v>5030</v>
      </c>
      <c r="S466" s="5">
        <v>5660</v>
      </c>
      <c r="T466" s="5">
        <v>166.8</v>
      </c>
      <c r="U466" s="5">
        <v>12.6</v>
      </c>
      <c r="V466" s="5">
        <v>12.5</v>
      </c>
      <c r="W466" s="5">
        <v>1</v>
      </c>
      <c r="X466" s="5" t="s">
        <v>1020</v>
      </c>
      <c r="Y466" s="5" t="s">
        <v>908</v>
      </c>
      <c r="Z466" s="5">
        <v>0</v>
      </c>
      <c r="AA466" s="5" t="s">
        <v>909</v>
      </c>
      <c r="AB466" s="5">
        <v>115.79</v>
      </c>
      <c r="AC466" s="5">
        <v>0.58</v>
      </c>
      <c r="AD466" s="5">
        <v>67.1582</v>
      </c>
      <c r="AE466" s="5">
        <v>83.9477</v>
      </c>
      <c r="AF466" s="5">
        <v>89.5443</v>
      </c>
      <c r="AG466" s="5">
        <v>103.3203</v>
      </c>
      <c r="AH466" s="5">
        <v>122.1058</v>
      </c>
      <c r="AI466" s="5"/>
    </row>
    <row r="467" spans="1:35">
      <c r="A467" s="5" t="s">
        <v>897</v>
      </c>
      <c r="B467" s="5" t="s">
        <v>643</v>
      </c>
      <c r="C467" s="5" t="s">
        <v>2916</v>
      </c>
      <c r="D467" s="5" t="s">
        <v>2917</v>
      </c>
      <c r="E467" s="5" t="s">
        <v>899</v>
      </c>
      <c r="F467" s="5" t="s">
        <v>108</v>
      </c>
      <c r="G467" s="5" t="s">
        <v>927</v>
      </c>
      <c r="H467" s="5" t="s">
        <v>1001</v>
      </c>
      <c r="I467" s="5" t="s">
        <v>1345</v>
      </c>
      <c r="J467" s="5" t="s">
        <v>1345</v>
      </c>
      <c r="K467" s="5">
        <v>6</v>
      </c>
      <c r="L467" s="5"/>
      <c r="M467" s="5" t="s">
        <v>1037</v>
      </c>
      <c r="N467" s="5" t="s">
        <v>2912</v>
      </c>
      <c r="O467" s="5" t="s">
        <v>2913</v>
      </c>
      <c r="P467" s="5" t="s">
        <v>2918</v>
      </c>
      <c r="Q467" s="5" t="s">
        <v>2919</v>
      </c>
      <c r="R467" s="5">
        <v>5230</v>
      </c>
      <c r="S467" s="5">
        <v>6120</v>
      </c>
      <c r="T467" s="5">
        <v>172</v>
      </c>
      <c r="U467" s="5">
        <v>12.6</v>
      </c>
      <c r="V467" s="5">
        <v>12.5</v>
      </c>
      <c r="W467" s="5">
        <v>1</v>
      </c>
      <c r="X467" s="5" t="s">
        <v>1020</v>
      </c>
      <c r="Y467" s="5" t="s">
        <v>908</v>
      </c>
      <c r="Z467" s="5">
        <v>0</v>
      </c>
      <c r="AA467" s="5" t="s">
        <v>909</v>
      </c>
      <c r="AB467" s="5">
        <v>125.09</v>
      </c>
      <c r="AC467" s="5">
        <v>0.58</v>
      </c>
      <c r="AD467" s="5">
        <v>72.5522</v>
      </c>
      <c r="AE467" s="5">
        <v>90.6902</v>
      </c>
      <c r="AF467" s="5">
        <v>96.7363</v>
      </c>
      <c r="AG467" s="5">
        <v>111.6188</v>
      </c>
      <c r="AH467" s="5">
        <v>131.9131</v>
      </c>
      <c r="AI467" s="5"/>
    </row>
    <row r="468" spans="1:35">
      <c r="A468" s="5" t="s">
        <v>897</v>
      </c>
      <c r="B468" s="5" t="s">
        <v>864</v>
      </c>
      <c r="C468" s="5" t="s">
        <v>2920</v>
      </c>
      <c r="D468" s="5" t="s">
        <v>2921</v>
      </c>
      <c r="E468" s="5" t="s">
        <v>899</v>
      </c>
      <c r="F468" s="5" t="s">
        <v>108</v>
      </c>
      <c r="G468" s="5" t="s">
        <v>927</v>
      </c>
      <c r="H468" s="5" t="s">
        <v>1001</v>
      </c>
      <c r="I468" s="5" t="s">
        <v>1345</v>
      </c>
      <c r="J468" s="5" t="s">
        <v>2667</v>
      </c>
      <c r="K468" s="5">
        <v>6</v>
      </c>
      <c r="L468" s="5"/>
      <c r="M468" s="5" t="s">
        <v>1037</v>
      </c>
      <c r="N468" s="5" t="s">
        <v>2922</v>
      </c>
      <c r="O468" s="5" t="s">
        <v>2923</v>
      </c>
      <c r="P468" s="5" t="s">
        <v>2924</v>
      </c>
      <c r="Q468" s="5" t="s">
        <v>2925</v>
      </c>
      <c r="R468" s="5">
        <v>6250</v>
      </c>
      <c r="S468" s="5">
        <v>7130</v>
      </c>
      <c r="T468" s="5">
        <v>158.3</v>
      </c>
      <c r="U468" s="5">
        <v>17.5</v>
      </c>
      <c r="V468" s="5">
        <v>13</v>
      </c>
      <c r="W468" s="5">
        <v>1</v>
      </c>
      <c r="X468" s="5" t="s">
        <v>1020</v>
      </c>
      <c r="Y468" s="5" t="s">
        <v>908</v>
      </c>
      <c r="Z468" s="5">
        <v>0</v>
      </c>
      <c r="AA468" s="5" t="s">
        <v>909</v>
      </c>
      <c r="AB468" s="5">
        <v>74.34</v>
      </c>
      <c r="AC468" s="5">
        <v>0.58</v>
      </c>
      <c r="AD468" s="5">
        <v>43.1172</v>
      </c>
      <c r="AE468" s="5">
        <v>53.8965</v>
      </c>
      <c r="AF468" s="5">
        <v>57.4896</v>
      </c>
      <c r="AG468" s="5">
        <v>66.3342</v>
      </c>
      <c r="AH468" s="5">
        <v>78.3949</v>
      </c>
      <c r="AI468" s="5"/>
    </row>
    <row r="469" spans="1:35">
      <c r="A469" s="5" t="s">
        <v>897</v>
      </c>
      <c r="B469" s="5" t="s">
        <v>865</v>
      </c>
      <c r="C469" s="5" t="s">
        <v>2926</v>
      </c>
      <c r="D469" s="5" t="s">
        <v>2927</v>
      </c>
      <c r="E469" s="5" t="s">
        <v>899</v>
      </c>
      <c r="F469" s="5" t="s">
        <v>108</v>
      </c>
      <c r="G469" s="5" t="s">
        <v>927</v>
      </c>
      <c r="H469" s="5" t="s">
        <v>1001</v>
      </c>
      <c r="I469" s="5" t="s">
        <v>1345</v>
      </c>
      <c r="J469" s="5" t="s">
        <v>2667</v>
      </c>
      <c r="K469" s="5">
        <v>6</v>
      </c>
      <c r="L469" s="5"/>
      <c r="M469" s="5" t="s">
        <v>1037</v>
      </c>
      <c r="N469" s="5" t="s">
        <v>2922</v>
      </c>
      <c r="O469" s="5" t="s">
        <v>2923</v>
      </c>
      <c r="P469" s="5" t="s">
        <v>2928</v>
      </c>
      <c r="Q469" s="5" t="s">
        <v>2929</v>
      </c>
      <c r="R469" s="5">
        <v>6860</v>
      </c>
      <c r="S469" s="5">
        <v>7640</v>
      </c>
      <c r="T469" s="5">
        <v>180.5</v>
      </c>
      <c r="U469" s="5">
        <v>17.5</v>
      </c>
      <c r="V469" s="5">
        <v>13</v>
      </c>
      <c r="W469" s="5">
        <v>1</v>
      </c>
      <c r="X469" s="5" t="s">
        <v>1020</v>
      </c>
      <c r="Y469" s="5" t="s">
        <v>908</v>
      </c>
      <c r="Z469" s="5">
        <v>0</v>
      </c>
      <c r="AA469" s="5" t="s">
        <v>909</v>
      </c>
      <c r="AB469" s="5">
        <v>84.25</v>
      </c>
      <c r="AC469" s="5">
        <v>0.58</v>
      </c>
      <c r="AD469" s="5">
        <v>48.865</v>
      </c>
      <c r="AE469" s="5">
        <v>61.0812</v>
      </c>
      <c r="AF469" s="5">
        <v>65.1533</v>
      </c>
      <c r="AG469" s="5">
        <v>75.1769</v>
      </c>
      <c r="AH469" s="5">
        <v>88.8455</v>
      </c>
      <c r="AI469" s="5"/>
    </row>
    <row r="470" hidden="1" spans="1:35">
      <c r="A470" s="5" t="s">
        <v>897</v>
      </c>
      <c r="B470" s="5" t="s">
        <v>771</v>
      </c>
      <c r="C470" s="5" t="s">
        <v>2930</v>
      </c>
      <c r="D470" s="5" t="s">
        <v>2931</v>
      </c>
      <c r="E470" s="5" t="s">
        <v>899</v>
      </c>
      <c r="F470" s="5" t="s">
        <v>108</v>
      </c>
      <c r="G470" s="5" t="s">
        <v>146</v>
      </c>
      <c r="H470" s="5" t="s">
        <v>2932</v>
      </c>
      <c r="I470" s="5" t="s">
        <v>1345</v>
      </c>
      <c r="J470" s="5" t="s">
        <v>1345</v>
      </c>
      <c r="K470" s="5">
        <v>6</v>
      </c>
      <c r="L470" s="5"/>
      <c r="M470" s="5" t="s">
        <v>1037</v>
      </c>
      <c r="N470" s="5" t="s">
        <v>2933</v>
      </c>
      <c r="O470" s="5" t="s">
        <v>2934</v>
      </c>
      <c r="P470" s="5" t="s">
        <v>2935</v>
      </c>
      <c r="Q470" s="5" t="s">
        <v>2936</v>
      </c>
      <c r="R470" s="5">
        <v>2700</v>
      </c>
      <c r="S470" s="5">
        <v>3666</v>
      </c>
      <c r="T470" s="5">
        <v>17.67</v>
      </c>
      <c r="U470" s="5">
        <v>26</v>
      </c>
      <c r="V470" s="5">
        <v>60</v>
      </c>
      <c r="W470" s="5">
        <v>6</v>
      </c>
      <c r="X470" s="5" t="s">
        <v>907</v>
      </c>
      <c r="Y470" s="5" t="s">
        <v>908</v>
      </c>
      <c r="Z470" s="5">
        <v>0</v>
      </c>
      <c r="AA470" s="5" t="s">
        <v>909</v>
      </c>
      <c r="AB470" s="5">
        <v>234.58</v>
      </c>
      <c r="AC470" s="5">
        <v>0.58</v>
      </c>
      <c r="AD470" s="5">
        <v>136.0564</v>
      </c>
      <c r="AE470" s="5">
        <v>170.0705</v>
      </c>
      <c r="AF470" s="5">
        <v>181.4085</v>
      </c>
      <c r="AG470" s="5">
        <v>209.3175</v>
      </c>
      <c r="AH470" s="5">
        <v>247.3753</v>
      </c>
      <c r="AI470" s="5"/>
    </row>
    <row r="471" hidden="1" spans="1:35">
      <c r="A471" s="5" t="s">
        <v>897</v>
      </c>
      <c r="B471" s="5" t="s">
        <v>2937</v>
      </c>
      <c r="C471" s="5" t="s">
        <v>2463</v>
      </c>
      <c r="D471" s="5" t="s">
        <v>1301</v>
      </c>
      <c r="E471" s="5" t="s">
        <v>899</v>
      </c>
      <c r="F471" s="5" t="s">
        <v>96</v>
      </c>
      <c r="G471" s="5" t="s">
        <v>186</v>
      </c>
      <c r="H471" s="5" t="s">
        <v>2464</v>
      </c>
      <c r="I471" s="5" t="s">
        <v>2657</v>
      </c>
      <c r="J471" s="5" t="s">
        <v>2657</v>
      </c>
      <c r="K471" s="5">
        <v>6</v>
      </c>
      <c r="L471" s="5" t="s">
        <v>909</v>
      </c>
      <c r="M471" s="5" t="s">
        <v>1037</v>
      </c>
      <c r="N471" s="5" t="s">
        <v>2466</v>
      </c>
      <c r="O471" s="5" t="s">
        <v>2467</v>
      </c>
      <c r="P471" s="5" t="s">
        <v>2468</v>
      </c>
      <c r="Q471" s="5" t="s">
        <v>2938</v>
      </c>
      <c r="R471" s="5"/>
      <c r="S471" s="5"/>
      <c r="T471" s="5"/>
      <c r="U471" s="5"/>
      <c r="V471" s="5"/>
      <c r="W471" s="5"/>
      <c r="X471" s="5" t="s">
        <v>1020</v>
      </c>
      <c r="Y471" s="5" t="s">
        <v>908</v>
      </c>
      <c r="Z471" s="5">
        <v>0</v>
      </c>
      <c r="AA471" s="5" t="s">
        <v>909</v>
      </c>
      <c r="AB471" s="5">
        <v>0.0001</v>
      </c>
      <c r="AC471" s="5">
        <v>0.58</v>
      </c>
      <c r="AD471" s="5">
        <v>0.0001</v>
      </c>
      <c r="AE471" s="5">
        <v>0.0001</v>
      </c>
      <c r="AF471" s="5">
        <v>0.0001</v>
      </c>
      <c r="AG471" s="5">
        <v>0.0001</v>
      </c>
      <c r="AH471" s="5">
        <v>0.0001</v>
      </c>
      <c r="AI471" s="5"/>
    </row>
    <row r="472" hidden="1" spans="1:35">
      <c r="A472" s="5" t="s">
        <v>897</v>
      </c>
      <c r="B472" s="5" t="s">
        <v>1311</v>
      </c>
      <c r="C472" s="5" t="s">
        <v>1312</v>
      </c>
      <c r="D472" s="5" t="s">
        <v>1301</v>
      </c>
      <c r="E472" s="5" t="s">
        <v>899</v>
      </c>
      <c r="F472" s="5" t="s">
        <v>108</v>
      </c>
      <c r="G472" s="5" t="s">
        <v>168</v>
      </c>
      <c r="H472" s="5" t="s">
        <v>1313</v>
      </c>
      <c r="I472" s="5" t="s">
        <v>1314</v>
      </c>
      <c r="J472" s="5" t="s">
        <v>1290</v>
      </c>
      <c r="K472" s="5">
        <v>30</v>
      </c>
      <c r="L472" s="5" t="s">
        <v>909</v>
      </c>
      <c r="M472" s="5" t="s">
        <v>919</v>
      </c>
      <c r="N472" s="5" t="s">
        <v>1315</v>
      </c>
      <c r="O472" s="5" t="s">
        <v>1316</v>
      </c>
      <c r="P472" s="5" t="s">
        <v>1317</v>
      </c>
      <c r="Q472" s="5" t="s">
        <v>1318</v>
      </c>
      <c r="R472" s="5">
        <v>350</v>
      </c>
      <c r="S472" s="5">
        <v>358</v>
      </c>
      <c r="T472" s="5">
        <v>0.7</v>
      </c>
      <c r="U472" s="5">
        <v>43</v>
      </c>
      <c r="V472" s="5">
        <v>18</v>
      </c>
      <c r="W472" s="5">
        <v>75</v>
      </c>
      <c r="X472" s="5" t="s">
        <v>907</v>
      </c>
      <c r="Y472" s="5" t="s">
        <v>2939</v>
      </c>
      <c r="Z472" s="5">
        <v>7045</v>
      </c>
      <c r="AA472" s="5" t="s">
        <v>909</v>
      </c>
      <c r="AB472" s="5">
        <v>4.76</v>
      </c>
      <c r="AC472" s="5">
        <v>0.58</v>
      </c>
      <c r="AD472" s="5">
        <v>2.7608</v>
      </c>
      <c r="AE472" s="5">
        <v>3.451</v>
      </c>
      <c r="AF472" s="5">
        <v>3.6811</v>
      </c>
      <c r="AG472" s="5">
        <v>4.2474</v>
      </c>
      <c r="AH472" s="5">
        <v>5.0196</v>
      </c>
      <c r="AI472" s="5"/>
    </row>
    <row r="473" hidden="1" spans="1:35">
      <c r="A473" s="5" t="s">
        <v>897</v>
      </c>
      <c r="B473" s="5" t="s">
        <v>1319</v>
      </c>
      <c r="C473" s="5" t="s">
        <v>1320</v>
      </c>
      <c r="D473" s="5" t="s">
        <v>1301</v>
      </c>
      <c r="E473" s="5" t="s">
        <v>899</v>
      </c>
      <c r="F473" s="5" t="s">
        <v>108</v>
      </c>
      <c r="G473" s="5" t="s">
        <v>168</v>
      </c>
      <c r="H473" s="5" t="s">
        <v>1313</v>
      </c>
      <c r="I473" s="5" t="s">
        <v>1314</v>
      </c>
      <c r="J473" s="5" t="s">
        <v>1290</v>
      </c>
      <c r="K473" s="5">
        <v>30</v>
      </c>
      <c r="L473" s="5" t="s">
        <v>909</v>
      </c>
      <c r="M473" s="5" t="s">
        <v>919</v>
      </c>
      <c r="N473" s="5" t="s">
        <v>1315</v>
      </c>
      <c r="O473" s="5" t="s">
        <v>1316</v>
      </c>
      <c r="P473" s="5" t="s">
        <v>1321</v>
      </c>
      <c r="Q473" s="5" t="s">
        <v>1322</v>
      </c>
      <c r="R473" s="5">
        <v>400</v>
      </c>
      <c r="S473" s="5">
        <v>496</v>
      </c>
      <c r="T473" s="5">
        <v>1.1</v>
      </c>
      <c r="U473" s="5">
        <v>43</v>
      </c>
      <c r="V473" s="5">
        <v>18</v>
      </c>
      <c r="W473" s="5">
        <v>50</v>
      </c>
      <c r="X473" s="5" t="s">
        <v>907</v>
      </c>
      <c r="Y473" s="5" t="s">
        <v>2939</v>
      </c>
      <c r="Z473" s="5">
        <v>4496</v>
      </c>
      <c r="AA473" s="5" t="s">
        <v>909</v>
      </c>
      <c r="AB473" s="5">
        <v>6.46</v>
      </c>
      <c r="AC473" s="5">
        <v>0.58</v>
      </c>
      <c r="AD473" s="5">
        <v>3.7468</v>
      </c>
      <c r="AE473" s="5">
        <v>4.6835</v>
      </c>
      <c r="AF473" s="5">
        <v>4.9957</v>
      </c>
      <c r="AG473" s="5">
        <v>5.7643</v>
      </c>
      <c r="AH473" s="5">
        <v>6.8124</v>
      </c>
      <c r="AI473" s="5"/>
    </row>
    <row r="474" hidden="1" spans="1:35">
      <c r="A474" s="5" t="s">
        <v>897</v>
      </c>
      <c r="B474" s="5" t="s">
        <v>1323</v>
      </c>
      <c r="C474" s="5" t="s">
        <v>1324</v>
      </c>
      <c r="D474" s="5" t="s">
        <v>1301</v>
      </c>
      <c r="E474" s="5" t="s">
        <v>899</v>
      </c>
      <c r="F474" s="5" t="s">
        <v>108</v>
      </c>
      <c r="G474" s="5" t="s">
        <v>168</v>
      </c>
      <c r="H474" s="5" t="s">
        <v>1313</v>
      </c>
      <c r="I474" s="5" t="s">
        <v>1325</v>
      </c>
      <c r="J474" s="5" t="s">
        <v>1290</v>
      </c>
      <c r="K474" s="5">
        <v>30</v>
      </c>
      <c r="L474" s="5" t="s">
        <v>909</v>
      </c>
      <c r="M474" s="5" t="s">
        <v>919</v>
      </c>
      <c r="N474" s="5" t="s">
        <v>1315</v>
      </c>
      <c r="O474" s="5" t="s">
        <v>1316</v>
      </c>
      <c r="P474" s="5" t="s">
        <v>1326</v>
      </c>
      <c r="Q474" s="5" t="s">
        <v>1327</v>
      </c>
      <c r="R474" s="5">
        <v>500</v>
      </c>
      <c r="S474" s="5">
        <v>540</v>
      </c>
      <c r="T474" s="5">
        <v>1.2</v>
      </c>
      <c r="U474" s="5">
        <v>43</v>
      </c>
      <c r="V474" s="5">
        <v>13</v>
      </c>
      <c r="W474" s="5">
        <v>50</v>
      </c>
      <c r="X474" s="5" t="s">
        <v>1020</v>
      </c>
      <c r="Y474" s="5" t="s">
        <v>2939</v>
      </c>
      <c r="Z474" s="5">
        <v>300</v>
      </c>
      <c r="AA474" s="5" t="s">
        <v>909</v>
      </c>
      <c r="AB474" s="5">
        <v>7.97</v>
      </c>
      <c r="AC474" s="5">
        <v>0.58</v>
      </c>
      <c r="AD474" s="5">
        <v>4.6226</v>
      </c>
      <c r="AE474" s="5">
        <v>5.7782</v>
      </c>
      <c r="AF474" s="5">
        <v>6.1635</v>
      </c>
      <c r="AG474" s="5">
        <v>7.1117</v>
      </c>
      <c r="AH474" s="5">
        <v>8.4047</v>
      </c>
      <c r="AI474" s="5"/>
    </row>
    <row r="475" hidden="1" spans="1:35">
      <c r="A475" s="5" t="s">
        <v>897</v>
      </c>
      <c r="B475" s="5" t="s">
        <v>348</v>
      </c>
      <c r="C475" s="5" t="s">
        <v>347</v>
      </c>
      <c r="D475" s="5" t="s">
        <v>1339</v>
      </c>
      <c r="E475" s="5" t="s">
        <v>899</v>
      </c>
      <c r="F475" s="5" t="s">
        <v>108</v>
      </c>
      <c r="G475" s="5" t="s">
        <v>168</v>
      </c>
      <c r="H475" s="5" t="s">
        <v>1329</v>
      </c>
      <c r="I475" s="5" t="s">
        <v>1330</v>
      </c>
      <c r="J475" s="5" t="s">
        <v>1290</v>
      </c>
      <c r="K475" s="5">
        <v>30</v>
      </c>
      <c r="L475" s="5" t="s">
        <v>909</v>
      </c>
      <c r="M475" s="5" t="s">
        <v>919</v>
      </c>
      <c r="N475" s="5" t="s">
        <v>1336</v>
      </c>
      <c r="O475" s="5" t="s">
        <v>1332</v>
      </c>
      <c r="P475" s="5" t="s">
        <v>1340</v>
      </c>
      <c r="Q475" s="5" t="s">
        <v>1341</v>
      </c>
      <c r="R475" s="5">
        <v>350</v>
      </c>
      <c r="S475" s="5">
        <v>470</v>
      </c>
      <c r="T475" s="5">
        <v>2.65</v>
      </c>
      <c r="U475" s="5">
        <v>31</v>
      </c>
      <c r="V475" s="5">
        <v>21</v>
      </c>
      <c r="W475" s="5">
        <v>20</v>
      </c>
      <c r="X475" s="5" t="s">
        <v>1020</v>
      </c>
      <c r="Y475" s="5" t="s">
        <v>2939</v>
      </c>
      <c r="Z475" s="5">
        <v>48</v>
      </c>
      <c r="AA475" s="5" t="s">
        <v>909</v>
      </c>
      <c r="AB475" s="5">
        <v>6.5</v>
      </c>
      <c r="AC475" s="5">
        <v>0.58</v>
      </c>
      <c r="AD475" s="5">
        <v>3.77</v>
      </c>
      <c r="AE475" s="5">
        <v>4.7125</v>
      </c>
      <c r="AF475" s="5">
        <v>5.0267</v>
      </c>
      <c r="AG475" s="5">
        <v>5.8</v>
      </c>
      <c r="AH475" s="5">
        <v>6.8545</v>
      </c>
      <c r="AI475" s="5"/>
    </row>
    <row r="476" hidden="1" spans="1:35">
      <c r="A476" s="5" t="s">
        <v>897</v>
      </c>
      <c r="B476" s="5" t="s">
        <v>1427</v>
      </c>
      <c r="C476" s="5" t="s">
        <v>1428</v>
      </c>
      <c r="D476" s="5" t="s">
        <v>1301</v>
      </c>
      <c r="E476" s="5" t="s">
        <v>899</v>
      </c>
      <c r="F476" s="5" t="s">
        <v>108</v>
      </c>
      <c r="G476" s="5" t="s">
        <v>168</v>
      </c>
      <c r="H476" s="5" t="s">
        <v>1313</v>
      </c>
      <c r="I476" s="5" t="s">
        <v>1429</v>
      </c>
      <c r="J476" s="5" t="s">
        <v>1430</v>
      </c>
      <c r="K476" s="5">
        <v>43</v>
      </c>
      <c r="L476" s="5" t="s">
        <v>909</v>
      </c>
      <c r="M476" s="5" t="s">
        <v>902</v>
      </c>
      <c r="N476" s="5" t="s">
        <v>1315</v>
      </c>
      <c r="O476" s="5" t="s">
        <v>1316</v>
      </c>
      <c r="P476" s="5" t="s">
        <v>1431</v>
      </c>
      <c r="Q476" s="5" t="s">
        <v>1432</v>
      </c>
      <c r="R476" s="5">
        <v>240</v>
      </c>
      <c r="S476" s="5">
        <v>245</v>
      </c>
      <c r="T476" s="5">
        <v>1.1</v>
      </c>
      <c r="U476" s="5">
        <v>41</v>
      </c>
      <c r="V476" s="5">
        <v>17</v>
      </c>
      <c r="W476" s="5">
        <v>50</v>
      </c>
      <c r="X476" s="5" t="s">
        <v>1020</v>
      </c>
      <c r="Y476" s="5" t="s">
        <v>2939</v>
      </c>
      <c r="Z476" s="5">
        <v>750</v>
      </c>
      <c r="AA476" s="5" t="s">
        <v>909</v>
      </c>
      <c r="AB476" s="5">
        <v>8.37</v>
      </c>
      <c r="AC476" s="5">
        <v>0.58</v>
      </c>
      <c r="AD476" s="5">
        <v>4.8546</v>
      </c>
      <c r="AE476" s="5">
        <v>6.0682</v>
      </c>
      <c r="AF476" s="5">
        <v>6.4728</v>
      </c>
      <c r="AG476" s="5">
        <v>7.4686</v>
      </c>
      <c r="AH476" s="5">
        <v>8.8265</v>
      </c>
      <c r="AI476" s="5"/>
    </row>
    <row r="477" hidden="1" spans="1:35">
      <c r="A477" s="5" t="s">
        <v>897</v>
      </c>
      <c r="B477" s="5" t="s">
        <v>1433</v>
      </c>
      <c r="C477" s="5" t="s">
        <v>1434</v>
      </c>
      <c r="D477" s="5" t="s">
        <v>1301</v>
      </c>
      <c r="E477" s="5" t="s">
        <v>899</v>
      </c>
      <c r="F477" s="5" t="s">
        <v>108</v>
      </c>
      <c r="G477" s="5" t="s">
        <v>168</v>
      </c>
      <c r="H477" s="5" t="s">
        <v>1313</v>
      </c>
      <c r="I477" s="5" t="s">
        <v>1435</v>
      </c>
      <c r="J477" s="5" t="s">
        <v>1435</v>
      </c>
      <c r="K477" s="5">
        <v>30</v>
      </c>
      <c r="L477" s="5" t="s">
        <v>909</v>
      </c>
      <c r="M477" s="5" t="s">
        <v>919</v>
      </c>
      <c r="N477" s="5" t="s">
        <v>1436</v>
      </c>
      <c r="O477" s="5" t="s">
        <v>1437</v>
      </c>
      <c r="P477" s="5" t="s">
        <v>1438</v>
      </c>
      <c r="Q477" s="5" t="s">
        <v>1439</v>
      </c>
      <c r="R477" s="5">
        <v>17300</v>
      </c>
      <c r="S477" s="5">
        <v>19600</v>
      </c>
      <c r="T477" s="5">
        <v>100</v>
      </c>
      <c r="U477" s="5">
        <v>20</v>
      </c>
      <c r="V477" s="5">
        <v>20</v>
      </c>
      <c r="W477" s="5">
        <v>1</v>
      </c>
      <c r="X477" s="5" t="s">
        <v>1020</v>
      </c>
      <c r="Y477" s="5" t="s">
        <v>2939</v>
      </c>
      <c r="Z477" s="5">
        <v>50</v>
      </c>
      <c r="AA477" s="5" t="s">
        <v>909</v>
      </c>
      <c r="AB477" s="5">
        <v>292.4</v>
      </c>
      <c r="AC477" s="5">
        <v>0.58</v>
      </c>
      <c r="AD477" s="5">
        <v>169.592</v>
      </c>
      <c r="AE477" s="5">
        <v>211.99</v>
      </c>
      <c r="AF477" s="5">
        <v>226.1227</v>
      </c>
      <c r="AG477" s="5">
        <v>260.9108</v>
      </c>
      <c r="AH477" s="5">
        <v>308.3491</v>
      </c>
      <c r="AI477" s="5"/>
    </row>
    <row r="478" hidden="1" spans="1:35">
      <c r="A478" s="5" t="s">
        <v>897</v>
      </c>
      <c r="B478" s="5" t="s">
        <v>120</v>
      </c>
      <c r="C478" s="5" t="s">
        <v>119</v>
      </c>
      <c r="D478" s="5" t="s">
        <v>1536</v>
      </c>
      <c r="E478" s="5" t="s">
        <v>899</v>
      </c>
      <c r="F478" s="5" t="s">
        <v>108</v>
      </c>
      <c r="G478" s="5" t="s">
        <v>109</v>
      </c>
      <c r="H478" s="5" t="s">
        <v>1537</v>
      </c>
      <c r="I478" s="5" t="s">
        <v>1538</v>
      </c>
      <c r="J478" s="5" t="s">
        <v>1538</v>
      </c>
      <c r="K478" s="5">
        <v>30</v>
      </c>
      <c r="L478" s="5"/>
      <c r="M478" s="5" t="s">
        <v>919</v>
      </c>
      <c r="N478" s="5" t="s">
        <v>1539</v>
      </c>
      <c r="O478" s="5" t="s">
        <v>1540</v>
      </c>
      <c r="P478" s="5" t="s">
        <v>1541</v>
      </c>
      <c r="Q478" s="5" t="s">
        <v>1542</v>
      </c>
      <c r="R478" s="5">
        <v>929</v>
      </c>
      <c r="S478" s="5">
        <v>1480</v>
      </c>
      <c r="T478" s="5">
        <v>5.5</v>
      </c>
      <c r="U478" s="5">
        <v>42</v>
      </c>
      <c r="V478" s="5">
        <v>29</v>
      </c>
      <c r="W478" s="5">
        <v>10</v>
      </c>
      <c r="X478" s="5" t="s">
        <v>907</v>
      </c>
      <c r="Y478" s="5" t="s">
        <v>2939</v>
      </c>
      <c r="Z478" s="5">
        <v>0</v>
      </c>
      <c r="AA478" s="5" t="s">
        <v>909</v>
      </c>
      <c r="AB478" s="5">
        <v>347.03</v>
      </c>
      <c r="AC478" s="5">
        <v>0.58</v>
      </c>
      <c r="AD478" s="5">
        <v>201.2774</v>
      </c>
      <c r="AE478" s="5">
        <v>251.5967</v>
      </c>
      <c r="AF478" s="5">
        <v>268.3699</v>
      </c>
      <c r="AG478" s="5">
        <v>309.6575</v>
      </c>
      <c r="AH478" s="5">
        <v>365.9589</v>
      </c>
      <c r="AI478" s="5"/>
    </row>
    <row r="479" hidden="1" spans="1:35">
      <c r="A479" s="5" t="s">
        <v>897</v>
      </c>
      <c r="B479" s="5" t="s">
        <v>111</v>
      </c>
      <c r="C479" s="5" t="s">
        <v>110</v>
      </c>
      <c r="D479" s="5" t="s">
        <v>1543</v>
      </c>
      <c r="E479" s="5" t="s">
        <v>899</v>
      </c>
      <c r="F479" s="5" t="s">
        <v>108</v>
      </c>
      <c r="G479" s="5" t="s">
        <v>109</v>
      </c>
      <c r="H479" s="5" t="s">
        <v>1537</v>
      </c>
      <c r="I479" s="5" t="s">
        <v>1538</v>
      </c>
      <c r="J479" s="5" t="s">
        <v>1331</v>
      </c>
      <c r="K479" s="5">
        <v>30</v>
      </c>
      <c r="L479" s="5"/>
      <c r="M479" s="5" t="s">
        <v>919</v>
      </c>
      <c r="N479" s="5" t="s">
        <v>1544</v>
      </c>
      <c r="O479" s="5" t="s">
        <v>1545</v>
      </c>
      <c r="P479" s="5" t="s">
        <v>1546</v>
      </c>
      <c r="Q479" s="5" t="s">
        <v>1542</v>
      </c>
      <c r="R479" s="5">
        <v>830</v>
      </c>
      <c r="S479" s="5">
        <v>1378</v>
      </c>
      <c r="T479" s="5">
        <v>5.5</v>
      </c>
      <c r="U479" s="5">
        <v>42</v>
      </c>
      <c r="V479" s="5">
        <v>29</v>
      </c>
      <c r="W479" s="5">
        <v>10</v>
      </c>
      <c r="X479" s="5" t="s">
        <v>907</v>
      </c>
      <c r="Y479" s="5" t="s">
        <v>2939</v>
      </c>
      <c r="Z479" s="5">
        <v>0</v>
      </c>
      <c r="AA479" s="5" t="s">
        <v>909</v>
      </c>
      <c r="AB479" s="5">
        <v>248.8</v>
      </c>
      <c r="AC479" s="5">
        <v>0.58</v>
      </c>
      <c r="AD479" s="5">
        <v>144.304</v>
      </c>
      <c r="AE479" s="5">
        <v>180.38</v>
      </c>
      <c r="AF479" s="5">
        <v>192.4053</v>
      </c>
      <c r="AG479" s="5">
        <v>222.0062</v>
      </c>
      <c r="AH479" s="5">
        <v>262.3709</v>
      </c>
      <c r="AI479" s="5"/>
    </row>
    <row r="480" hidden="1" spans="1:35">
      <c r="A480" s="5" t="s">
        <v>897</v>
      </c>
      <c r="B480" s="5" t="s">
        <v>131</v>
      </c>
      <c r="C480" s="5" t="s">
        <v>130</v>
      </c>
      <c r="D480" s="5" t="s">
        <v>1547</v>
      </c>
      <c r="E480" s="5" t="s">
        <v>899</v>
      </c>
      <c r="F480" s="5" t="s">
        <v>108</v>
      </c>
      <c r="G480" s="5" t="s">
        <v>109</v>
      </c>
      <c r="H480" s="5" t="s">
        <v>1537</v>
      </c>
      <c r="I480" s="5" t="s">
        <v>1548</v>
      </c>
      <c r="J480" s="5" t="s">
        <v>1548</v>
      </c>
      <c r="K480" s="5">
        <v>30</v>
      </c>
      <c r="L480" s="5"/>
      <c r="M480" s="5" t="s">
        <v>919</v>
      </c>
      <c r="N480" s="5" t="s">
        <v>1549</v>
      </c>
      <c r="O480" s="5" t="s">
        <v>1550</v>
      </c>
      <c r="P480" s="5" t="s">
        <v>1551</v>
      </c>
      <c r="Q480" s="5" t="s">
        <v>1552</v>
      </c>
      <c r="R480" s="5">
        <v>722</v>
      </c>
      <c r="S480" s="5">
        <v>940</v>
      </c>
      <c r="T480" s="5">
        <v>2.45</v>
      </c>
      <c r="U480" s="5">
        <v>44</v>
      </c>
      <c r="V480" s="5">
        <v>36</v>
      </c>
      <c r="W480" s="5">
        <v>20</v>
      </c>
      <c r="X480" s="5" t="s">
        <v>907</v>
      </c>
      <c r="Y480" s="5" t="s">
        <v>2939</v>
      </c>
      <c r="Z480" s="5">
        <v>0</v>
      </c>
      <c r="AA480" s="5" t="s">
        <v>909</v>
      </c>
      <c r="AB480" s="5">
        <v>154.04</v>
      </c>
      <c r="AC480" s="5">
        <v>0.58</v>
      </c>
      <c r="AD480" s="5">
        <v>89.3432</v>
      </c>
      <c r="AE480" s="5">
        <v>111.679</v>
      </c>
      <c r="AF480" s="5">
        <v>119.1243</v>
      </c>
      <c r="AG480" s="5">
        <v>137.4511</v>
      </c>
      <c r="AH480" s="5">
        <v>162.4422</v>
      </c>
      <c r="AI480" s="5"/>
    </row>
    <row r="481" hidden="1" spans="1:35">
      <c r="A481" s="5" t="s">
        <v>897</v>
      </c>
      <c r="B481" s="5" t="s">
        <v>645</v>
      </c>
      <c r="C481" s="5" t="s">
        <v>644</v>
      </c>
      <c r="D481" s="5" t="s">
        <v>1569</v>
      </c>
      <c r="E481" s="5" t="s">
        <v>899</v>
      </c>
      <c r="F481" s="5" t="s">
        <v>108</v>
      </c>
      <c r="G481" s="5" t="s">
        <v>168</v>
      </c>
      <c r="H481" s="5" t="s">
        <v>973</v>
      </c>
      <c r="I481" s="5" t="s">
        <v>974</v>
      </c>
      <c r="J481" s="5" t="s">
        <v>1510</v>
      </c>
      <c r="K481" s="5">
        <v>30</v>
      </c>
      <c r="L481" s="5"/>
      <c r="M481" s="5" t="s">
        <v>919</v>
      </c>
      <c r="N481" s="5" t="s">
        <v>975</v>
      </c>
      <c r="O481" s="5" t="s">
        <v>973</v>
      </c>
      <c r="P481" s="5" t="s">
        <v>1570</v>
      </c>
      <c r="Q481" s="5" t="s">
        <v>1571</v>
      </c>
      <c r="R481" s="5">
        <v>155</v>
      </c>
      <c r="S481" s="5">
        <v>163</v>
      </c>
      <c r="T481" s="5">
        <v>0.46</v>
      </c>
      <c r="U481" s="5">
        <v>42.5</v>
      </c>
      <c r="V481" s="5">
        <v>32.5</v>
      </c>
      <c r="W481" s="5">
        <v>100</v>
      </c>
      <c r="X481" s="5" t="s">
        <v>907</v>
      </c>
      <c r="Y481" s="5" t="s">
        <v>2939</v>
      </c>
      <c r="Z481" s="5">
        <v>0</v>
      </c>
      <c r="AA481" s="5" t="s">
        <v>909</v>
      </c>
      <c r="AB481" s="5">
        <v>80.78</v>
      </c>
      <c r="AC481" s="5">
        <v>0.58</v>
      </c>
      <c r="AD481" s="5">
        <v>46.8524</v>
      </c>
      <c r="AE481" s="5">
        <v>58.5655</v>
      </c>
      <c r="AF481" s="5">
        <v>62.4699</v>
      </c>
      <c r="AG481" s="5">
        <v>72.0806</v>
      </c>
      <c r="AH481" s="5">
        <v>85.1862</v>
      </c>
      <c r="AI481" s="5"/>
    </row>
  </sheetData>
  <sheetProtection formatCells="0" formatColumns="0" formatRows="0" insertRows="0" insertColumns="0" insertHyperlinks="0" deleteColumns="0" deleteRows="0" sort="0" autoFilter="0" pivotTables="0"/>
  <protectedRanges>
    <protectedRange sqref="AJ$1:AO$1048576" name="Range1"/>
  </protectedRanges>
  <autoFilter xmlns:etc="http://www.wps.cn/officeDocument/2017/etCustomData" ref="A1:AI481" etc:filterBottomFollowUsedRange="0">
    <filterColumn colId="7">
      <customFilters>
        <customFilter operator="equal" val="投影幕布"/>
        <customFilter operator="equal" val="家用音视频设备*投影仪"/>
      </custom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496"/>
  <sheetViews>
    <sheetView workbookViewId="0">
      <selection activeCell="K40" sqref="K40"/>
    </sheetView>
  </sheetViews>
  <sheetFormatPr defaultColWidth="9" defaultRowHeight="13.5"/>
  <cols>
    <col min="16" max="16" width="9.625"/>
    <col min="27" max="29" width="9.625"/>
  </cols>
  <sheetData>
    <row r="1" s="1" customFormat="1" ht="11.25" spans="1:30">
      <c r="A1" s="2" t="s">
        <v>2940</v>
      </c>
      <c r="B1" s="2" t="s">
        <v>2941</v>
      </c>
      <c r="C1" s="2" t="s">
        <v>2942</v>
      </c>
      <c r="D1" s="2" t="s">
        <v>2943</v>
      </c>
      <c r="E1" s="2" t="s">
        <v>2944</v>
      </c>
      <c r="F1" s="2" t="s">
        <v>2945</v>
      </c>
      <c r="G1" s="2" t="s">
        <v>2946</v>
      </c>
      <c r="H1" s="2" t="s">
        <v>2947</v>
      </c>
      <c r="I1" s="2" t="s">
        <v>2948</v>
      </c>
      <c r="J1" s="2" t="s">
        <v>2949</v>
      </c>
      <c r="K1" s="2" t="s">
        <v>2950</v>
      </c>
      <c r="L1" s="2" t="s">
        <v>2951</v>
      </c>
      <c r="M1" s="2" t="s">
        <v>2952</v>
      </c>
      <c r="N1" s="2" t="s">
        <v>886</v>
      </c>
      <c r="O1" s="2" t="s">
        <v>2953</v>
      </c>
      <c r="P1" s="2" t="s">
        <v>2954</v>
      </c>
      <c r="Q1" s="2" t="s">
        <v>2955</v>
      </c>
      <c r="R1" s="2" t="s">
        <v>2956</v>
      </c>
      <c r="S1" s="2" t="s">
        <v>2957</v>
      </c>
      <c r="T1" s="2" t="s">
        <v>2958</v>
      </c>
      <c r="U1" s="2" t="s">
        <v>2959</v>
      </c>
      <c r="V1" s="2" t="s">
        <v>2960</v>
      </c>
      <c r="W1" s="2" t="s">
        <v>2961</v>
      </c>
      <c r="X1" s="2" t="s">
        <v>2962</v>
      </c>
      <c r="Y1" s="2" t="s">
        <v>2963</v>
      </c>
      <c r="Z1" s="2" t="s">
        <v>2964</v>
      </c>
      <c r="AA1" s="2" t="s">
        <v>2965</v>
      </c>
      <c r="AB1" s="2" t="s">
        <v>2966</v>
      </c>
      <c r="AC1" s="2" t="s">
        <v>2967</v>
      </c>
      <c r="AD1" s="2" t="s">
        <v>2968</v>
      </c>
    </row>
    <row r="2" s="1" customFormat="1" ht="11.25" spans="1:30">
      <c r="A2" s="2" t="s">
        <v>2969</v>
      </c>
      <c r="B2" s="2" t="s">
        <v>2970</v>
      </c>
      <c r="C2" s="2"/>
      <c r="D2" s="2" t="s">
        <v>813</v>
      </c>
      <c r="E2" s="2" t="s">
        <v>2971</v>
      </c>
      <c r="F2" s="2"/>
      <c r="G2" s="2"/>
      <c r="H2" s="2" t="s">
        <v>2972</v>
      </c>
      <c r="I2" s="2"/>
      <c r="J2" s="2"/>
      <c r="K2" s="2" t="s">
        <v>2973</v>
      </c>
      <c r="L2" s="2" t="s">
        <v>2973</v>
      </c>
      <c r="M2" s="2" t="s">
        <v>2974</v>
      </c>
      <c r="N2" s="2" t="s">
        <v>908</v>
      </c>
      <c r="O2" s="2" t="s">
        <v>2975</v>
      </c>
      <c r="P2" s="2" t="s">
        <v>2976</v>
      </c>
      <c r="Q2" s="2">
        <v>0.63</v>
      </c>
      <c r="R2" s="2">
        <v>28351</v>
      </c>
      <c r="S2" s="2">
        <v>45002</v>
      </c>
      <c r="T2" s="2">
        <v>0</v>
      </c>
      <c r="U2" s="2">
        <v>0</v>
      </c>
      <c r="V2" s="2">
        <v>0</v>
      </c>
      <c r="W2" s="2">
        <v>0</v>
      </c>
      <c r="X2" s="2">
        <v>0</v>
      </c>
      <c r="Y2" s="2">
        <v>0</v>
      </c>
      <c r="Z2" s="2">
        <v>0</v>
      </c>
      <c r="AA2" s="2">
        <v>28351</v>
      </c>
      <c r="AB2" s="2" t="s">
        <v>2977</v>
      </c>
      <c r="AC2" s="2" t="s">
        <v>2978</v>
      </c>
      <c r="AD2" s="2"/>
    </row>
    <row r="3" s="1" customFormat="1" ht="11.25" spans="1:30">
      <c r="A3" s="2" t="s">
        <v>1311</v>
      </c>
      <c r="B3" s="2" t="s">
        <v>919</v>
      </c>
      <c r="C3" s="2" t="s">
        <v>2979</v>
      </c>
      <c r="D3" s="2" t="s">
        <v>813</v>
      </c>
      <c r="E3" s="2" t="s">
        <v>108</v>
      </c>
      <c r="F3" s="2" t="s">
        <v>168</v>
      </c>
      <c r="G3" s="2"/>
      <c r="H3" s="2" t="s">
        <v>2980</v>
      </c>
      <c r="I3" s="2"/>
      <c r="J3" s="2"/>
      <c r="K3" s="2" t="s">
        <v>1312</v>
      </c>
      <c r="L3" s="2" t="s">
        <v>2981</v>
      </c>
      <c r="M3" s="2" t="s">
        <v>2974</v>
      </c>
      <c r="N3" s="2" t="s">
        <v>908</v>
      </c>
      <c r="O3" s="2" t="s">
        <v>2975</v>
      </c>
      <c r="P3" s="2" t="s">
        <v>2982</v>
      </c>
      <c r="Q3" s="2">
        <v>0</v>
      </c>
      <c r="R3" s="2">
        <v>11027</v>
      </c>
      <c r="S3" s="2">
        <v>0</v>
      </c>
      <c r="T3" s="2">
        <v>0</v>
      </c>
      <c r="U3" s="2">
        <v>0</v>
      </c>
      <c r="V3" s="2">
        <v>0</v>
      </c>
      <c r="W3" s="2">
        <v>0</v>
      </c>
      <c r="X3" s="2">
        <v>0</v>
      </c>
      <c r="Y3" s="2">
        <v>0</v>
      </c>
      <c r="Z3" s="2">
        <v>0</v>
      </c>
      <c r="AA3" s="2">
        <v>11027</v>
      </c>
      <c r="AB3" s="2" t="s">
        <v>2983</v>
      </c>
      <c r="AC3" s="2" t="s">
        <v>2984</v>
      </c>
      <c r="AD3" s="2" t="s">
        <v>2985</v>
      </c>
    </row>
    <row r="4" s="1" customFormat="1" ht="11.25" spans="1:30">
      <c r="A4" s="2" t="s">
        <v>1319</v>
      </c>
      <c r="B4" s="2" t="s">
        <v>919</v>
      </c>
      <c r="C4" s="2" t="s">
        <v>2979</v>
      </c>
      <c r="D4" s="2" t="s">
        <v>813</v>
      </c>
      <c r="E4" s="2" t="s">
        <v>108</v>
      </c>
      <c r="F4" s="2" t="s">
        <v>168</v>
      </c>
      <c r="G4" s="2"/>
      <c r="H4" s="2" t="s">
        <v>2980</v>
      </c>
      <c r="I4" s="2"/>
      <c r="J4" s="2"/>
      <c r="K4" s="2" t="s">
        <v>1320</v>
      </c>
      <c r="L4" s="2" t="s">
        <v>2986</v>
      </c>
      <c r="M4" s="2" t="s">
        <v>2974</v>
      </c>
      <c r="N4" s="2" t="s">
        <v>908</v>
      </c>
      <c r="O4" s="2" t="s">
        <v>2975</v>
      </c>
      <c r="P4" s="2" t="s">
        <v>2982</v>
      </c>
      <c r="Q4" s="2">
        <v>0</v>
      </c>
      <c r="R4" s="2">
        <v>8999</v>
      </c>
      <c r="S4" s="2">
        <v>0</v>
      </c>
      <c r="T4" s="2">
        <v>0</v>
      </c>
      <c r="U4" s="2">
        <v>0</v>
      </c>
      <c r="V4" s="2">
        <v>0</v>
      </c>
      <c r="W4" s="2">
        <v>0</v>
      </c>
      <c r="X4" s="2">
        <v>0</v>
      </c>
      <c r="Y4" s="2">
        <v>0</v>
      </c>
      <c r="Z4" s="2">
        <v>0</v>
      </c>
      <c r="AA4" s="2">
        <v>8999</v>
      </c>
      <c r="AB4" s="2" t="s">
        <v>2987</v>
      </c>
      <c r="AC4" s="2" t="s">
        <v>2984</v>
      </c>
      <c r="AD4" s="2" t="s">
        <v>2988</v>
      </c>
    </row>
    <row r="5" s="1" customFormat="1" ht="11.25" spans="1:30">
      <c r="A5" s="2" t="s">
        <v>2989</v>
      </c>
      <c r="B5" s="2" t="s">
        <v>2970</v>
      </c>
      <c r="C5" s="2" t="s">
        <v>2979</v>
      </c>
      <c r="D5" s="2" t="s">
        <v>813</v>
      </c>
      <c r="E5" s="2" t="s">
        <v>2990</v>
      </c>
      <c r="F5" s="2"/>
      <c r="G5" s="2"/>
      <c r="H5" s="2" t="s">
        <v>2972</v>
      </c>
      <c r="I5" s="2"/>
      <c r="J5" s="2"/>
      <c r="K5" s="2" t="s">
        <v>2991</v>
      </c>
      <c r="L5" s="2" t="s">
        <v>2991</v>
      </c>
      <c r="M5" s="2" t="s">
        <v>2974</v>
      </c>
      <c r="N5" s="2" t="s">
        <v>908</v>
      </c>
      <c r="O5" s="2" t="s">
        <v>2975</v>
      </c>
      <c r="P5" s="2" t="s">
        <v>2992</v>
      </c>
      <c r="Q5" s="2">
        <v>5.51</v>
      </c>
      <c r="R5" s="2">
        <v>8506</v>
      </c>
      <c r="S5" s="2">
        <v>1544</v>
      </c>
      <c r="T5" s="2">
        <v>0</v>
      </c>
      <c r="U5" s="2">
        <v>0</v>
      </c>
      <c r="V5" s="2">
        <v>0</v>
      </c>
      <c r="W5" s="2">
        <v>0</v>
      </c>
      <c r="X5" s="2">
        <v>0</v>
      </c>
      <c r="Y5" s="2">
        <v>4</v>
      </c>
      <c r="Z5" s="2">
        <v>0</v>
      </c>
      <c r="AA5" s="2">
        <v>8502</v>
      </c>
      <c r="AB5" s="2" t="s">
        <v>2993</v>
      </c>
      <c r="AC5" s="2" t="s">
        <v>2994</v>
      </c>
      <c r="AD5" s="2"/>
    </row>
    <row r="6" s="1" customFormat="1" ht="11.25" spans="1:30">
      <c r="A6" s="2" t="s">
        <v>125</v>
      </c>
      <c r="B6" s="2" t="s">
        <v>919</v>
      </c>
      <c r="C6" s="2"/>
      <c r="D6" s="2" t="s">
        <v>813</v>
      </c>
      <c r="E6" s="2" t="s">
        <v>96</v>
      </c>
      <c r="F6" s="2" t="s">
        <v>115</v>
      </c>
      <c r="G6" s="2"/>
      <c r="H6" s="2" t="s">
        <v>2980</v>
      </c>
      <c r="I6" s="2"/>
      <c r="J6" s="2"/>
      <c r="K6" s="2" t="s">
        <v>124</v>
      </c>
      <c r="L6" s="2" t="s">
        <v>2995</v>
      </c>
      <c r="M6" s="2" t="s">
        <v>2974</v>
      </c>
      <c r="N6" s="2" t="s">
        <v>908</v>
      </c>
      <c r="O6" s="2" t="s">
        <v>2975</v>
      </c>
      <c r="P6" s="2" t="s">
        <v>2996</v>
      </c>
      <c r="Q6" s="2">
        <v>87.06</v>
      </c>
      <c r="R6" s="2">
        <v>4730</v>
      </c>
      <c r="S6" s="2">
        <v>54</v>
      </c>
      <c r="T6" s="2">
        <v>0</v>
      </c>
      <c r="U6" s="2">
        <v>0</v>
      </c>
      <c r="V6" s="2">
        <v>0</v>
      </c>
      <c r="W6" s="2">
        <v>0</v>
      </c>
      <c r="X6" s="2">
        <v>0</v>
      </c>
      <c r="Y6" s="2">
        <v>28</v>
      </c>
      <c r="Z6" s="2">
        <v>0</v>
      </c>
      <c r="AA6" s="2">
        <v>4702</v>
      </c>
      <c r="AB6" s="2" t="s">
        <v>2997</v>
      </c>
      <c r="AC6" s="2" t="s">
        <v>2997</v>
      </c>
      <c r="AD6" s="2" t="s">
        <v>2998</v>
      </c>
    </row>
    <row r="7" s="1" customFormat="1" ht="11.25" spans="1:30">
      <c r="A7" s="2" t="s">
        <v>645</v>
      </c>
      <c r="B7" s="2" t="s">
        <v>919</v>
      </c>
      <c r="C7" s="2"/>
      <c r="D7" s="2" t="s">
        <v>813</v>
      </c>
      <c r="E7" s="2" t="s">
        <v>108</v>
      </c>
      <c r="F7" s="2" t="s">
        <v>168</v>
      </c>
      <c r="G7" s="2"/>
      <c r="H7" s="2" t="s">
        <v>2980</v>
      </c>
      <c r="I7" s="2"/>
      <c r="J7" s="2"/>
      <c r="K7" s="2" t="s">
        <v>644</v>
      </c>
      <c r="L7" s="2" t="s">
        <v>2999</v>
      </c>
      <c r="M7" s="2" t="s">
        <v>2974</v>
      </c>
      <c r="N7" s="2" t="s">
        <v>908</v>
      </c>
      <c r="O7" s="2" t="s">
        <v>2975</v>
      </c>
      <c r="P7" s="2" t="s">
        <v>3000</v>
      </c>
      <c r="Q7" s="2">
        <v>134.74</v>
      </c>
      <c r="R7" s="2">
        <v>3071</v>
      </c>
      <c r="S7" s="2">
        <v>23</v>
      </c>
      <c r="T7" s="2">
        <v>9000</v>
      </c>
      <c r="U7" s="2">
        <v>0</v>
      </c>
      <c r="V7" s="2">
        <v>0</v>
      </c>
      <c r="W7" s="2">
        <v>0</v>
      </c>
      <c r="X7" s="2">
        <v>0</v>
      </c>
      <c r="Y7" s="2">
        <v>60</v>
      </c>
      <c r="Z7" s="2">
        <v>0</v>
      </c>
      <c r="AA7" s="2">
        <v>3011</v>
      </c>
      <c r="AB7" s="2" t="s">
        <v>2997</v>
      </c>
      <c r="AC7" s="2" t="s">
        <v>2997</v>
      </c>
      <c r="AD7" s="2" t="s">
        <v>3001</v>
      </c>
    </row>
    <row r="8" s="1" customFormat="1" ht="11.25" spans="1:30">
      <c r="A8" s="2" t="s">
        <v>842</v>
      </c>
      <c r="B8" s="2" t="s">
        <v>919</v>
      </c>
      <c r="C8" s="2"/>
      <c r="D8" s="2" t="s">
        <v>813</v>
      </c>
      <c r="E8" s="2" t="s">
        <v>96</v>
      </c>
      <c r="F8" s="2" t="s">
        <v>186</v>
      </c>
      <c r="G8" s="2"/>
      <c r="H8" s="2" t="s">
        <v>2980</v>
      </c>
      <c r="I8" s="2"/>
      <c r="J8" s="2"/>
      <c r="K8" s="2" t="s">
        <v>2463</v>
      </c>
      <c r="L8" s="2" t="s">
        <v>3002</v>
      </c>
      <c r="M8" s="2" t="s">
        <v>2974</v>
      </c>
      <c r="N8" s="2" t="s">
        <v>908</v>
      </c>
      <c r="O8" s="2" t="s">
        <v>2975</v>
      </c>
      <c r="P8" s="2" t="s">
        <v>3003</v>
      </c>
      <c r="Q8" s="2">
        <v>102.64</v>
      </c>
      <c r="R8" s="2">
        <v>3055</v>
      </c>
      <c r="S8" s="2">
        <v>30</v>
      </c>
      <c r="T8" s="2">
        <v>0</v>
      </c>
      <c r="U8" s="2">
        <v>0</v>
      </c>
      <c r="V8" s="2">
        <v>0</v>
      </c>
      <c r="W8" s="2">
        <v>0</v>
      </c>
      <c r="X8" s="2">
        <v>0</v>
      </c>
      <c r="Y8" s="2">
        <v>57</v>
      </c>
      <c r="Z8" s="2">
        <v>0</v>
      </c>
      <c r="AA8" s="2">
        <v>2998</v>
      </c>
      <c r="AB8" s="2" t="s">
        <v>2997</v>
      </c>
      <c r="AC8" s="2" t="s">
        <v>2997</v>
      </c>
      <c r="AD8" s="2"/>
    </row>
    <row r="9" s="1" customFormat="1" ht="11.25" spans="1:30">
      <c r="A9" s="2" t="s">
        <v>137</v>
      </c>
      <c r="B9" s="2" t="s">
        <v>919</v>
      </c>
      <c r="C9" s="2" t="s">
        <v>3004</v>
      </c>
      <c r="D9" s="2" t="s">
        <v>813</v>
      </c>
      <c r="E9" s="2" t="s">
        <v>96</v>
      </c>
      <c r="F9" s="2" t="s">
        <v>115</v>
      </c>
      <c r="G9" s="2"/>
      <c r="H9" s="2" t="s">
        <v>2980</v>
      </c>
      <c r="I9" s="2"/>
      <c r="J9" s="2"/>
      <c r="K9" s="2" t="s">
        <v>136</v>
      </c>
      <c r="L9" s="2" t="s">
        <v>3005</v>
      </c>
      <c r="M9" s="2" t="s">
        <v>2974</v>
      </c>
      <c r="N9" s="2" t="s">
        <v>908</v>
      </c>
      <c r="O9" s="2" t="s">
        <v>2975</v>
      </c>
      <c r="P9" s="2" t="s">
        <v>3006</v>
      </c>
      <c r="Q9" s="2">
        <v>12.2</v>
      </c>
      <c r="R9" s="2">
        <v>2237</v>
      </c>
      <c r="S9" s="2">
        <v>183</v>
      </c>
      <c r="T9" s="2">
        <v>860</v>
      </c>
      <c r="U9" s="2">
        <v>0</v>
      </c>
      <c r="V9" s="2">
        <v>0</v>
      </c>
      <c r="W9" s="2">
        <v>0</v>
      </c>
      <c r="X9" s="2">
        <v>0</v>
      </c>
      <c r="Y9" s="2">
        <v>5</v>
      </c>
      <c r="Z9" s="2">
        <v>0</v>
      </c>
      <c r="AA9" s="2">
        <v>2232</v>
      </c>
      <c r="AB9" s="2" t="s">
        <v>2997</v>
      </c>
      <c r="AC9" s="2" t="s">
        <v>2997</v>
      </c>
      <c r="AD9" s="2" t="s">
        <v>3007</v>
      </c>
    </row>
    <row r="10" s="1" customFormat="1" ht="11.25" spans="1:30">
      <c r="A10" s="2" t="s">
        <v>224</v>
      </c>
      <c r="B10" s="2" t="s">
        <v>919</v>
      </c>
      <c r="C10" s="2" t="s">
        <v>3008</v>
      </c>
      <c r="D10" s="2" t="s">
        <v>813</v>
      </c>
      <c r="E10" s="2" t="s">
        <v>96</v>
      </c>
      <c r="F10" s="2" t="s">
        <v>115</v>
      </c>
      <c r="G10" s="2"/>
      <c r="H10" s="2" t="s">
        <v>2980</v>
      </c>
      <c r="I10" s="2"/>
      <c r="J10" s="2"/>
      <c r="K10" s="2" t="s">
        <v>223</v>
      </c>
      <c r="L10" s="2" t="s">
        <v>3009</v>
      </c>
      <c r="M10" s="2" t="s">
        <v>2974</v>
      </c>
      <c r="N10" s="2" t="s">
        <v>908</v>
      </c>
      <c r="O10" s="2" t="s">
        <v>2975</v>
      </c>
      <c r="P10" s="2" t="s">
        <v>3010</v>
      </c>
      <c r="Q10" s="2">
        <v>25.65</v>
      </c>
      <c r="R10" s="2">
        <v>1886</v>
      </c>
      <c r="S10" s="2">
        <v>74</v>
      </c>
      <c r="T10" s="2">
        <v>0</v>
      </c>
      <c r="U10" s="2">
        <v>0</v>
      </c>
      <c r="V10" s="2">
        <v>0</v>
      </c>
      <c r="W10" s="2">
        <v>0</v>
      </c>
      <c r="X10" s="2">
        <v>0</v>
      </c>
      <c r="Y10" s="2">
        <v>12</v>
      </c>
      <c r="Z10" s="2">
        <v>0</v>
      </c>
      <c r="AA10" s="2">
        <v>1874</v>
      </c>
      <c r="AB10" s="2" t="s">
        <v>2997</v>
      </c>
      <c r="AC10" s="2" t="s">
        <v>3011</v>
      </c>
      <c r="AD10" s="2" t="s">
        <v>3012</v>
      </c>
    </row>
    <row r="11" s="1" customFormat="1" ht="11.25" spans="1:30">
      <c r="A11" s="2" t="s">
        <v>214</v>
      </c>
      <c r="B11" s="2" t="s">
        <v>919</v>
      </c>
      <c r="C11" s="2" t="s">
        <v>3008</v>
      </c>
      <c r="D11" s="2" t="s">
        <v>813</v>
      </c>
      <c r="E11" s="2" t="s">
        <v>96</v>
      </c>
      <c r="F11" s="2" t="s">
        <v>186</v>
      </c>
      <c r="G11" s="2"/>
      <c r="H11" s="2" t="s">
        <v>2980</v>
      </c>
      <c r="I11" s="2"/>
      <c r="J11" s="2"/>
      <c r="K11" s="2" t="s">
        <v>213</v>
      </c>
      <c r="L11" s="2" t="s">
        <v>3013</v>
      </c>
      <c r="M11" s="2" t="s">
        <v>2974</v>
      </c>
      <c r="N11" s="2" t="s">
        <v>908</v>
      </c>
      <c r="O11" s="2" t="s">
        <v>2975</v>
      </c>
      <c r="P11" s="2" t="s">
        <v>3014</v>
      </c>
      <c r="Q11" s="2">
        <v>22.91</v>
      </c>
      <c r="R11" s="2">
        <v>1801</v>
      </c>
      <c r="S11" s="2">
        <v>79</v>
      </c>
      <c r="T11" s="2">
        <v>0</v>
      </c>
      <c r="U11" s="2">
        <v>0</v>
      </c>
      <c r="V11" s="2">
        <v>0</v>
      </c>
      <c r="W11" s="2">
        <v>0</v>
      </c>
      <c r="X11" s="2">
        <v>0</v>
      </c>
      <c r="Y11" s="2">
        <v>8</v>
      </c>
      <c r="Z11" s="2">
        <v>0</v>
      </c>
      <c r="AA11" s="2">
        <v>1793</v>
      </c>
      <c r="AB11" s="2" t="s">
        <v>2997</v>
      </c>
      <c r="AC11" s="2" t="s">
        <v>3015</v>
      </c>
      <c r="AD11" s="2" t="s">
        <v>3016</v>
      </c>
    </row>
    <row r="12" s="1" customFormat="1" ht="11.25" spans="1:30">
      <c r="A12" s="2" t="s">
        <v>230</v>
      </c>
      <c r="B12" s="2" t="s">
        <v>919</v>
      </c>
      <c r="C12" s="2" t="s">
        <v>3008</v>
      </c>
      <c r="D12" s="2" t="s">
        <v>813</v>
      </c>
      <c r="E12" s="2" t="s">
        <v>96</v>
      </c>
      <c r="F12" s="2" t="s">
        <v>186</v>
      </c>
      <c r="G12" s="2"/>
      <c r="H12" s="2" t="s">
        <v>2980</v>
      </c>
      <c r="I12" s="2"/>
      <c r="J12" s="2"/>
      <c r="K12" s="2" t="s">
        <v>229</v>
      </c>
      <c r="L12" s="2" t="s">
        <v>3017</v>
      </c>
      <c r="M12" s="2" t="s">
        <v>2974</v>
      </c>
      <c r="N12" s="2" t="s">
        <v>908</v>
      </c>
      <c r="O12" s="2" t="s">
        <v>2975</v>
      </c>
      <c r="P12" s="2" t="s">
        <v>3018</v>
      </c>
      <c r="Q12" s="2">
        <v>22.18</v>
      </c>
      <c r="R12" s="2">
        <v>1788</v>
      </c>
      <c r="S12" s="2">
        <v>81</v>
      </c>
      <c r="T12" s="2">
        <v>0</v>
      </c>
      <c r="U12" s="2">
        <v>0</v>
      </c>
      <c r="V12" s="2">
        <v>0</v>
      </c>
      <c r="W12" s="2">
        <v>0</v>
      </c>
      <c r="X12" s="2">
        <v>0</v>
      </c>
      <c r="Y12" s="2">
        <v>14</v>
      </c>
      <c r="Z12" s="2">
        <v>0</v>
      </c>
      <c r="AA12" s="2">
        <v>1774</v>
      </c>
      <c r="AB12" s="2" t="s">
        <v>2997</v>
      </c>
      <c r="AC12" s="2" t="s">
        <v>3015</v>
      </c>
      <c r="AD12" s="2" t="s">
        <v>3019</v>
      </c>
    </row>
    <row r="13" s="1" customFormat="1" ht="11.25" spans="1:30">
      <c r="A13" s="2" t="s">
        <v>42</v>
      </c>
      <c r="B13" s="2" t="s">
        <v>2970</v>
      </c>
      <c r="C13" s="2" t="s">
        <v>3004</v>
      </c>
      <c r="D13" s="2" t="s">
        <v>813</v>
      </c>
      <c r="E13" s="2" t="s">
        <v>96</v>
      </c>
      <c r="F13" s="2" t="s">
        <v>103</v>
      </c>
      <c r="G13" s="2"/>
      <c r="H13" s="2" t="s">
        <v>2980</v>
      </c>
      <c r="I13" s="2"/>
      <c r="J13" s="2"/>
      <c r="K13" s="2" t="s">
        <v>113</v>
      </c>
      <c r="L13" s="2" t="s">
        <v>3020</v>
      </c>
      <c r="M13" s="2" t="s">
        <v>2974</v>
      </c>
      <c r="N13" s="2" t="s">
        <v>908</v>
      </c>
      <c r="O13" s="2" t="s">
        <v>2975</v>
      </c>
      <c r="P13" s="2" t="s">
        <v>3021</v>
      </c>
      <c r="Q13" s="2">
        <v>14.7</v>
      </c>
      <c r="R13" s="2">
        <v>1753</v>
      </c>
      <c r="S13" s="2">
        <v>119</v>
      </c>
      <c r="T13" s="2">
        <v>0</v>
      </c>
      <c r="U13" s="2">
        <v>0</v>
      </c>
      <c r="V13" s="2">
        <v>0</v>
      </c>
      <c r="W13" s="2">
        <v>0</v>
      </c>
      <c r="X13" s="2">
        <v>0</v>
      </c>
      <c r="Y13" s="2">
        <v>28</v>
      </c>
      <c r="Z13" s="2">
        <v>0</v>
      </c>
      <c r="AA13" s="2">
        <v>1725</v>
      </c>
      <c r="AB13" s="2" t="s">
        <v>2997</v>
      </c>
      <c r="AC13" s="2" t="s">
        <v>2993</v>
      </c>
      <c r="AD13" s="2" t="s">
        <v>3022</v>
      </c>
    </row>
    <row r="14" s="1" customFormat="1" ht="11.25" spans="1:30">
      <c r="A14" s="2" t="s">
        <v>1323</v>
      </c>
      <c r="B14" s="2" t="s">
        <v>919</v>
      </c>
      <c r="C14" s="2" t="s">
        <v>3023</v>
      </c>
      <c r="D14" s="2" t="s">
        <v>813</v>
      </c>
      <c r="E14" s="2" t="s">
        <v>108</v>
      </c>
      <c r="F14" s="2" t="s">
        <v>168</v>
      </c>
      <c r="G14" s="2"/>
      <c r="H14" s="2" t="s">
        <v>2980</v>
      </c>
      <c r="I14" s="2"/>
      <c r="J14" s="2"/>
      <c r="K14" s="2" t="s">
        <v>1324</v>
      </c>
      <c r="L14" s="2" t="s">
        <v>3024</v>
      </c>
      <c r="M14" s="2" t="s">
        <v>2974</v>
      </c>
      <c r="N14" s="2" t="s">
        <v>908</v>
      </c>
      <c r="O14" s="2" t="s">
        <v>2975</v>
      </c>
      <c r="P14" s="2" t="s">
        <v>2982</v>
      </c>
      <c r="Q14" s="2">
        <v>0</v>
      </c>
      <c r="R14" s="2">
        <v>1700</v>
      </c>
      <c r="S14" s="2">
        <v>0</v>
      </c>
      <c r="T14" s="2">
        <v>0</v>
      </c>
      <c r="U14" s="2">
        <v>0</v>
      </c>
      <c r="V14" s="2">
        <v>0</v>
      </c>
      <c r="W14" s="2">
        <v>0</v>
      </c>
      <c r="X14" s="2">
        <v>0</v>
      </c>
      <c r="Y14" s="2">
        <v>0</v>
      </c>
      <c r="Z14" s="2">
        <v>0</v>
      </c>
      <c r="AA14" s="2">
        <v>1700</v>
      </c>
      <c r="AB14" s="2" t="s">
        <v>3025</v>
      </c>
      <c r="AC14" s="2" t="s">
        <v>3026</v>
      </c>
      <c r="AD14" s="2" t="s">
        <v>3027</v>
      </c>
    </row>
    <row r="15" s="1" customFormat="1" ht="11.25" spans="1:30">
      <c r="A15" s="2" t="s">
        <v>264</v>
      </c>
      <c r="B15" s="2" t="s">
        <v>919</v>
      </c>
      <c r="C15" s="2" t="s">
        <v>3008</v>
      </c>
      <c r="D15" s="2" t="s">
        <v>813</v>
      </c>
      <c r="E15" s="2" t="s">
        <v>108</v>
      </c>
      <c r="F15" s="2" t="s">
        <v>146</v>
      </c>
      <c r="G15" s="2"/>
      <c r="H15" s="2" t="s">
        <v>2980</v>
      </c>
      <c r="I15" s="2"/>
      <c r="J15" s="2"/>
      <c r="K15" s="2" t="s">
        <v>263</v>
      </c>
      <c r="L15" s="2" t="s">
        <v>3028</v>
      </c>
      <c r="M15" s="2" t="s">
        <v>2974</v>
      </c>
      <c r="N15" s="2" t="s">
        <v>908</v>
      </c>
      <c r="O15" s="2" t="s">
        <v>2975</v>
      </c>
      <c r="P15" s="2" t="s">
        <v>3029</v>
      </c>
      <c r="Q15" s="2">
        <v>24.93</v>
      </c>
      <c r="R15" s="2">
        <v>1612</v>
      </c>
      <c r="S15" s="2">
        <v>65</v>
      </c>
      <c r="T15" s="2">
        <v>1540</v>
      </c>
      <c r="U15" s="2">
        <v>0</v>
      </c>
      <c r="V15" s="2">
        <v>0</v>
      </c>
      <c r="W15" s="2">
        <v>0</v>
      </c>
      <c r="X15" s="2">
        <v>0</v>
      </c>
      <c r="Y15" s="2">
        <v>9</v>
      </c>
      <c r="Z15" s="2">
        <v>0</v>
      </c>
      <c r="AA15" s="2">
        <v>1603</v>
      </c>
      <c r="AB15" s="2" t="s">
        <v>2997</v>
      </c>
      <c r="AC15" s="2" t="s">
        <v>2993</v>
      </c>
      <c r="AD15" s="2" t="s">
        <v>3030</v>
      </c>
    </row>
    <row r="16" s="1" customFormat="1" ht="11.25" spans="1:30">
      <c r="A16" s="2" t="s">
        <v>163</v>
      </c>
      <c r="B16" s="2" t="s">
        <v>919</v>
      </c>
      <c r="C16" s="2"/>
      <c r="D16" s="2" t="s">
        <v>813</v>
      </c>
      <c r="E16" s="2" t="s">
        <v>108</v>
      </c>
      <c r="F16" s="2" t="s">
        <v>109</v>
      </c>
      <c r="G16" s="2"/>
      <c r="H16" s="2" t="s">
        <v>2980</v>
      </c>
      <c r="I16" s="2"/>
      <c r="J16" s="2"/>
      <c r="K16" s="2" t="s">
        <v>162</v>
      </c>
      <c r="L16" s="2" t="s">
        <v>3031</v>
      </c>
      <c r="M16" s="2" t="s">
        <v>2974</v>
      </c>
      <c r="N16" s="2" t="s">
        <v>908</v>
      </c>
      <c r="O16" s="2" t="s">
        <v>2975</v>
      </c>
      <c r="P16" s="2" t="s">
        <v>3032</v>
      </c>
      <c r="Q16" s="2">
        <v>43.07</v>
      </c>
      <c r="R16" s="2">
        <v>1582</v>
      </c>
      <c r="S16" s="2">
        <v>37</v>
      </c>
      <c r="T16" s="2">
        <v>1016</v>
      </c>
      <c r="U16" s="2">
        <v>0</v>
      </c>
      <c r="V16" s="2">
        <v>0</v>
      </c>
      <c r="W16" s="2">
        <v>0</v>
      </c>
      <c r="X16" s="2">
        <v>0</v>
      </c>
      <c r="Y16" s="2">
        <v>11</v>
      </c>
      <c r="Z16" s="2">
        <v>0</v>
      </c>
      <c r="AA16" s="2">
        <v>1571</v>
      </c>
      <c r="AB16" s="2" t="s">
        <v>2997</v>
      </c>
      <c r="AC16" s="2" t="s">
        <v>2997</v>
      </c>
      <c r="AD16" s="2" t="s">
        <v>3033</v>
      </c>
    </row>
    <row r="17" s="1" customFormat="1" ht="11.25" spans="1:30">
      <c r="A17" s="2" t="s">
        <v>19</v>
      </c>
      <c r="B17" s="2" t="s">
        <v>2970</v>
      </c>
      <c r="C17" s="2" t="s">
        <v>2979</v>
      </c>
      <c r="D17" s="2" t="s">
        <v>813</v>
      </c>
      <c r="E17" s="2" t="s">
        <v>96</v>
      </c>
      <c r="F17" s="2" t="s">
        <v>115</v>
      </c>
      <c r="G17" s="2"/>
      <c r="H17" s="2" t="s">
        <v>2980</v>
      </c>
      <c r="I17" s="2"/>
      <c r="J17" s="2"/>
      <c r="K17" s="2" t="s">
        <v>18</v>
      </c>
      <c r="L17" s="2" t="s">
        <v>3034</v>
      </c>
      <c r="M17" s="2" t="s">
        <v>2974</v>
      </c>
      <c r="N17" s="2" t="s">
        <v>908</v>
      </c>
      <c r="O17" s="2" t="s">
        <v>2975</v>
      </c>
      <c r="P17" s="2" t="s">
        <v>3035</v>
      </c>
      <c r="Q17" s="2">
        <v>6.12</v>
      </c>
      <c r="R17" s="2">
        <v>1251</v>
      </c>
      <c r="S17" s="2">
        <v>204</v>
      </c>
      <c r="T17" s="2">
        <v>0</v>
      </c>
      <c r="U17" s="2">
        <v>0</v>
      </c>
      <c r="V17" s="2">
        <v>0</v>
      </c>
      <c r="W17" s="2">
        <v>0</v>
      </c>
      <c r="X17" s="2">
        <v>0</v>
      </c>
      <c r="Y17" s="2">
        <v>1</v>
      </c>
      <c r="Z17" s="2">
        <v>0</v>
      </c>
      <c r="AA17" s="2">
        <v>1250</v>
      </c>
      <c r="AB17" s="2" t="s">
        <v>2997</v>
      </c>
      <c r="AC17" s="2" t="s">
        <v>2997</v>
      </c>
      <c r="AD17" s="2" t="s">
        <v>3036</v>
      </c>
    </row>
    <row r="18" s="1" customFormat="1" ht="11.25" spans="1:30">
      <c r="A18" s="2" t="s">
        <v>348</v>
      </c>
      <c r="B18" s="2" t="s">
        <v>919</v>
      </c>
      <c r="C18" s="2" t="s">
        <v>3008</v>
      </c>
      <c r="D18" s="2" t="s">
        <v>813</v>
      </c>
      <c r="E18" s="2" t="s">
        <v>108</v>
      </c>
      <c r="F18" s="2" t="s">
        <v>168</v>
      </c>
      <c r="G18" s="2"/>
      <c r="H18" s="2" t="s">
        <v>2980</v>
      </c>
      <c r="I18" s="2"/>
      <c r="J18" s="2"/>
      <c r="K18" s="2" t="s">
        <v>347</v>
      </c>
      <c r="L18" s="2" t="s">
        <v>3037</v>
      </c>
      <c r="M18" s="2" t="s">
        <v>2974</v>
      </c>
      <c r="N18" s="2" t="s">
        <v>908</v>
      </c>
      <c r="O18" s="2" t="s">
        <v>2975</v>
      </c>
      <c r="P18" s="2" t="s">
        <v>3038</v>
      </c>
      <c r="Q18" s="2">
        <v>10.41</v>
      </c>
      <c r="R18" s="2">
        <v>1224</v>
      </c>
      <c r="S18" s="2">
        <v>118</v>
      </c>
      <c r="T18" s="2">
        <v>0</v>
      </c>
      <c r="U18" s="2">
        <v>0</v>
      </c>
      <c r="V18" s="2">
        <v>0</v>
      </c>
      <c r="W18" s="2">
        <v>0</v>
      </c>
      <c r="X18" s="2">
        <v>0</v>
      </c>
      <c r="Y18" s="2">
        <v>4</v>
      </c>
      <c r="Z18" s="2">
        <v>0</v>
      </c>
      <c r="AA18" s="2">
        <v>1220</v>
      </c>
      <c r="AB18" s="2" t="s">
        <v>2997</v>
      </c>
      <c r="AC18" s="2" t="s">
        <v>3015</v>
      </c>
      <c r="AD18" s="2" t="s">
        <v>3039</v>
      </c>
    </row>
    <row r="19" s="1" customFormat="1" ht="11.25" spans="1:30">
      <c r="A19" s="2" t="s">
        <v>426</v>
      </c>
      <c r="B19" s="2" t="s">
        <v>919</v>
      </c>
      <c r="C19" s="2" t="s">
        <v>3004</v>
      </c>
      <c r="D19" s="2" t="s">
        <v>813</v>
      </c>
      <c r="E19" s="2" t="s">
        <v>96</v>
      </c>
      <c r="F19" s="2" t="s">
        <v>115</v>
      </c>
      <c r="G19" s="2"/>
      <c r="H19" s="2" t="s">
        <v>2980</v>
      </c>
      <c r="I19" s="2"/>
      <c r="J19" s="2"/>
      <c r="K19" s="2" t="s">
        <v>300</v>
      </c>
      <c r="L19" s="2" t="s">
        <v>3040</v>
      </c>
      <c r="M19" s="2" t="s">
        <v>2974</v>
      </c>
      <c r="N19" s="2" t="s">
        <v>908</v>
      </c>
      <c r="O19" s="2" t="s">
        <v>2975</v>
      </c>
      <c r="P19" s="2" t="s">
        <v>3041</v>
      </c>
      <c r="Q19" s="2">
        <v>28.75</v>
      </c>
      <c r="R19" s="2">
        <v>1170</v>
      </c>
      <c r="S19" s="2">
        <v>41</v>
      </c>
      <c r="T19" s="2">
        <v>960</v>
      </c>
      <c r="U19" s="2">
        <v>0</v>
      </c>
      <c r="V19" s="2">
        <v>0</v>
      </c>
      <c r="W19" s="2">
        <v>0</v>
      </c>
      <c r="X19" s="2">
        <v>0</v>
      </c>
      <c r="Y19" s="2">
        <v>9</v>
      </c>
      <c r="Z19" s="2">
        <v>0</v>
      </c>
      <c r="AA19" s="2">
        <v>1161</v>
      </c>
      <c r="AB19" s="2" t="s">
        <v>2997</v>
      </c>
      <c r="AC19" s="2" t="s">
        <v>2997</v>
      </c>
      <c r="AD19" s="2" t="s">
        <v>3042</v>
      </c>
    </row>
    <row r="20" s="1" customFormat="1" ht="11.25" spans="1:30">
      <c r="A20" s="2" t="s">
        <v>653</v>
      </c>
      <c r="B20" s="2" t="s">
        <v>919</v>
      </c>
      <c r="C20" s="2" t="s">
        <v>3008</v>
      </c>
      <c r="D20" s="2" t="s">
        <v>813</v>
      </c>
      <c r="E20" s="2" t="s">
        <v>108</v>
      </c>
      <c r="F20" s="2" t="s">
        <v>168</v>
      </c>
      <c r="G20" s="2"/>
      <c r="H20" s="2" t="s">
        <v>2980</v>
      </c>
      <c r="I20" s="2"/>
      <c r="J20" s="2"/>
      <c r="K20" s="2" t="s">
        <v>652</v>
      </c>
      <c r="L20" s="2" t="s">
        <v>3043</v>
      </c>
      <c r="M20" s="2" t="s">
        <v>2974</v>
      </c>
      <c r="N20" s="2" t="s">
        <v>908</v>
      </c>
      <c r="O20" s="2" t="s">
        <v>2975</v>
      </c>
      <c r="P20" s="2" t="s">
        <v>3044</v>
      </c>
      <c r="Q20" s="2">
        <v>25.94</v>
      </c>
      <c r="R20" s="2">
        <v>1114</v>
      </c>
      <c r="S20" s="2">
        <v>43</v>
      </c>
      <c r="T20" s="2">
        <v>1445</v>
      </c>
      <c r="U20" s="2">
        <v>0</v>
      </c>
      <c r="V20" s="2">
        <v>0</v>
      </c>
      <c r="W20" s="2">
        <v>0</v>
      </c>
      <c r="X20" s="2">
        <v>0</v>
      </c>
      <c r="Y20" s="2">
        <v>5</v>
      </c>
      <c r="Z20" s="2">
        <v>0</v>
      </c>
      <c r="AA20" s="2">
        <v>1109</v>
      </c>
      <c r="AB20" s="2" t="s">
        <v>2997</v>
      </c>
      <c r="AC20" s="2" t="s">
        <v>2997</v>
      </c>
      <c r="AD20" s="2" t="s">
        <v>3045</v>
      </c>
    </row>
    <row r="21" s="1" customFormat="1" ht="11.25" spans="1:30">
      <c r="A21" s="2" t="s">
        <v>419</v>
      </c>
      <c r="B21" s="2" t="s">
        <v>919</v>
      </c>
      <c r="C21" s="2" t="s">
        <v>3008</v>
      </c>
      <c r="D21" s="2" t="s">
        <v>813</v>
      </c>
      <c r="E21" s="2" t="s">
        <v>108</v>
      </c>
      <c r="F21" s="2" t="s">
        <v>168</v>
      </c>
      <c r="G21" s="2"/>
      <c r="H21" s="2" t="s">
        <v>2980</v>
      </c>
      <c r="I21" s="2"/>
      <c r="J21" s="2"/>
      <c r="K21" s="2" t="s">
        <v>418</v>
      </c>
      <c r="L21" s="2" t="s">
        <v>3046</v>
      </c>
      <c r="M21" s="2" t="s">
        <v>2974</v>
      </c>
      <c r="N21" s="2" t="s">
        <v>908</v>
      </c>
      <c r="O21" s="2" t="s">
        <v>2975</v>
      </c>
      <c r="P21" s="2" t="s">
        <v>3047</v>
      </c>
      <c r="Q21" s="2">
        <v>15.91</v>
      </c>
      <c r="R21" s="2">
        <v>1093</v>
      </c>
      <c r="S21" s="2">
        <v>69</v>
      </c>
      <c r="T21" s="2">
        <v>500</v>
      </c>
      <c r="U21" s="2">
        <v>0</v>
      </c>
      <c r="V21" s="2">
        <v>0</v>
      </c>
      <c r="W21" s="2">
        <v>0</v>
      </c>
      <c r="X21" s="2">
        <v>0</v>
      </c>
      <c r="Y21" s="2">
        <v>1</v>
      </c>
      <c r="Z21" s="2">
        <v>0</v>
      </c>
      <c r="AA21" s="2">
        <v>1092</v>
      </c>
      <c r="AB21" s="2" t="s">
        <v>2997</v>
      </c>
      <c r="AC21" s="2" t="s">
        <v>2993</v>
      </c>
      <c r="AD21" s="2" t="s">
        <v>3048</v>
      </c>
    </row>
    <row r="22" s="1" customFormat="1" ht="11.25" spans="1:30">
      <c r="A22" s="2" t="s">
        <v>151</v>
      </c>
      <c r="B22" s="2" t="s">
        <v>2970</v>
      </c>
      <c r="C22" s="2" t="s">
        <v>3004</v>
      </c>
      <c r="D22" s="2" t="s">
        <v>813</v>
      </c>
      <c r="E22" s="2" t="s">
        <v>96</v>
      </c>
      <c r="F22" s="2" t="s">
        <v>115</v>
      </c>
      <c r="G22" s="2"/>
      <c r="H22" s="2" t="s">
        <v>2980</v>
      </c>
      <c r="I22" s="2"/>
      <c r="J22" s="2"/>
      <c r="K22" s="2" t="s">
        <v>150</v>
      </c>
      <c r="L22" s="2" t="s">
        <v>3049</v>
      </c>
      <c r="M22" s="2" t="s">
        <v>2974</v>
      </c>
      <c r="N22" s="2" t="s">
        <v>908</v>
      </c>
      <c r="O22" s="2" t="s">
        <v>2975</v>
      </c>
      <c r="P22" s="2" t="s">
        <v>3050</v>
      </c>
      <c r="Q22" s="2">
        <v>12.45</v>
      </c>
      <c r="R22" s="2">
        <v>1057</v>
      </c>
      <c r="S22" s="2">
        <v>85</v>
      </c>
      <c r="T22" s="2">
        <v>0</v>
      </c>
      <c r="U22" s="2">
        <v>0</v>
      </c>
      <c r="V22" s="2">
        <v>0</v>
      </c>
      <c r="W22" s="2">
        <v>0</v>
      </c>
      <c r="X22" s="2">
        <v>0</v>
      </c>
      <c r="Y22" s="2">
        <v>3</v>
      </c>
      <c r="Z22" s="2">
        <v>0</v>
      </c>
      <c r="AA22" s="2">
        <v>1054</v>
      </c>
      <c r="AB22" s="2" t="s">
        <v>2997</v>
      </c>
      <c r="AC22" s="2" t="s">
        <v>2997</v>
      </c>
      <c r="AD22" s="2" t="s">
        <v>3051</v>
      </c>
    </row>
    <row r="23" s="1" customFormat="1" ht="11.25" spans="1:30">
      <c r="A23" s="2" t="s">
        <v>23</v>
      </c>
      <c r="B23" s="2" t="s">
        <v>2970</v>
      </c>
      <c r="C23" s="2" t="s">
        <v>2979</v>
      </c>
      <c r="D23" s="2" t="s">
        <v>813</v>
      </c>
      <c r="E23" s="2" t="s">
        <v>96</v>
      </c>
      <c r="F23" s="2" t="s">
        <v>115</v>
      </c>
      <c r="G23" s="2"/>
      <c r="H23" s="2" t="s">
        <v>2980</v>
      </c>
      <c r="I23" s="2"/>
      <c r="J23" s="2"/>
      <c r="K23" s="2" t="s">
        <v>22</v>
      </c>
      <c r="L23" s="2" t="s">
        <v>3052</v>
      </c>
      <c r="M23" s="2" t="s">
        <v>2974</v>
      </c>
      <c r="N23" s="2" t="s">
        <v>908</v>
      </c>
      <c r="O23" s="2" t="s">
        <v>2975</v>
      </c>
      <c r="P23" s="2" t="s">
        <v>3053</v>
      </c>
      <c r="Q23" s="2">
        <v>5.45</v>
      </c>
      <c r="R23" s="2">
        <v>1006</v>
      </c>
      <c r="S23" s="2">
        <v>185</v>
      </c>
      <c r="T23" s="2">
        <v>0</v>
      </c>
      <c r="U23" s="2">
        <v>0</v>
      </c>
      <c r="V23" s="2">
        <v>0</v>
      </c>
      <c r="W23" s="2">
        <v>0</v>
      </c>
      <c r="X23" s="2">
        <v>0</v>
      </c>
      <c r="Y23" s="2">
        <v>3</v>
      </c>
      <c r="Z23" s="2">
        <v>0</v>
      </c>
      <c r="AA23" s="2">
        <v>1003</v>
      </c>
      <c r="AB23" s="2" t="s">
        <v>2997</v>
      </c>
      <c r="AC23" s="2" t="s">
        <v>3054</v>
      </c>
      <c r="AD23" s="2" t="s">
        <v>3036</v>
      </c>
    </row>
    <row r="24" s="1" customFormat="1" ht="11.25" spans="1:30">
      <c r="A24" s="2" t="s">
        <v>280</v>
      </c>
      <c r="B24" s="2" t="s">
        <v>919</v>
      </c>
      <c r="C24" s="2" t="s">
        <v>3004</v>
      </c>
      <c r="D24" s="2" t="s">
        <v>813</v>
      </c>
      <c r="E24" s="2" t="s">
        <v>108</v>
      </c>
      <c r="F24" s="2" t="s">
        <v>278</v>
      </c>
      <c r="G24" s="2"/>
      <c r="H24" s="2" t="s">
        <v>2980</v>
      </c>
      <c r="I24" s="2"/>
      <c r="J24" s="2"/>
      <c r="K24" s="2" t="s">
        <v>279</v>
      </c>
      <c r="L24" s="2" t="s">
        <v>3055</v>
      </c>
      <c r="M24" s="2" t="s">
        <v>2974</v>
      </c>
      <c r="N24" s="2" t="s">
        <v>908</v>
      </c>
      <c r="O24" s="2" t="s">
        <v>2975</v>
      </c>
      <c r="P24" s="2" t="s">
        <v>3056</v>
      </c>
      <c r="Q24" s="2">
        <v>13.87</v>
      </c>
      <c r="R24" s="2">
        <v>998</v>
      </c>
      <c r="S24" s="2">
        <v>72</v>
      </c>
      <c r="T24" s="2">
        <v>0</v>
      </c>
      <c r="U24" s="2">
        <v>0</v>
      </c>
      <c r="V24" s="2">
        <v>0</v>
      </c>
      <c r="W24" s="2">
        <v>0</v>
      </c>
      <c r="X24" s="2">
        <v>0</v>
      </c>
      <c r="Y24" s="2">
        <v>10</v>
      </c>
      <c r="Z24" s="2">
        <v>0</v>
      </c>
      <c r="AA24" s="2">
        <v>988</v>
      </c>
      <c r="AB24" s="2" t="s">
        <v>2997</v>
      </c>
      <c r="AC24" s="2" t="s">
        <v>2997</v>
      </c>
      <c r="AD24" s="2" t="s">
        <v>3057</v>
      </c>
    </row>
    <row r="25" s="1" customFormat="1" ht="11.25" spans="1:30">
      <c r="A25" s="2" t="s">
        <v>1433</v>
      </c>
      <c r="B25" s="2" t="s">
        <v>919</v>
      </c>
      <c r="C25" s="2" t="s">
        <v>3023</v>
      </c>
      <c r="D25" s="2" t="s">
        <v>813</v>
      </c>
      <c r="E25" s="2" t="s">
        <v>108</v>
      </c>
      <c r="F25" s="2" t="s">
        <v>168</v>
      </c>
      <c r="G25" s="2"/>
      <c r="H25" s="2" t="s">
        <v>2980</v>
      </c>
      <c r="I25" s="2"/>
      <c r="J25" s="2"/>
      <c r="K25" s="2" t="s">
        <v>1434</v>
      </c>
      <c r="L25" s="2" t="s">
        <v>3058</v>
      </c>
      <c r="M25" s="2" t="s">
        <v>2974</v>
      </c>
      <c r="N25" s="2" t="s">
        <v>908</v>
      </c>
      <c r="O25" s="2" t="s">
        <v>2975</v>
      </c>
      <c r="P25" s="2" t="s">
        <v>2982</v>
      </c>
      <c r="Q25" s="2">
        <v>0</v>
      </c>
      <c r="R25" s="2">
        <v>986</v>
      </c>
      <c r="S25" s="2">
        <v>0</v>
      </c>
      <c r="T25" s="2">
        <v>0</v>
      </c>
      <c r="U25" s="2">
        <v>0</v>
      </c>
      <c r="V25" s="2">
        <v>0</v>
      </c>
      <c r="W25" s="2">
        <v>0</v>
      </c>
      <c r="X25" s="2">
        <v>0</v>
      </c>
      <c r="Y25" s="2">
        <v>0</v>
      </c>
      <c r="Z25" s="2">
        <v>0</v>
      </c>
      <c r="AA25" s="2">
        <v>986</v>
      </c>
      <c r="AB25" s="2" t="s">
        <v>2997</v>
      </c>
      <c r="AC25" s="2" t="s">
        <v>3026</v>
      </c>
      <c r="AD25" s="2" t="s">
        <v>3059</v>
      </c>
    </row>
    <row r="26" s="1" customFormat="1" ht="11.25" spans="1:30">
      <c r="A26" s="2" t="s">
        <v>134</v>
      </c>
      <c r="B26" s="2" t="s">
        <v>919</v>
      </c>
      <c r="C26" s="2" t="s">
        <v>3008</v>
      </c>
      <c r="D26" s="2" t="s">
        <v>813</v>
      </c>
      <c r="E26" s="2" t="s">
        <v>96</v>
      </c>
      <c r="F26" s="2" t="s">
        <v>127</v>
      </c>
      <c r="G26" s="2"/>
      <c r="H26" s="2" t="s">
        <v>2980</v>
      </c>
      <c r="I26" s="2"/>
      <c r="J26" s="2"/>
      <c r="K26" s="2" t="s">
        <v>128</v>
      </c>
      <c r="L26" s="2" t="s">
        <v>3060</v>
      </c>
      <c r="M26" s="2" t="s">
        <v>2974</v>
      </c>
      <c r="N26" s="2" t="s">
        <v>908</v>
      </c>
      <c r="O26" s="2" t="s">
        <v>2975</v>
      </c>
      <c r="P26" s="2" t="s">
        <v>3061</v>
      </c>
      <c r="Q26" s="2">
        <v>4.86</v>
      </c>
      <c r="R26" s="2">
        <v>918</v>
      </c>
      <c r="S26" s="2">
        <v>189</v>
      </c>
      <c r="T26" s="2">
        <v>0</v>
      </c>
      <c r="U26" s="2">
        <v>0</v>
      </c>
      <c r="V26" s="2">
        <v>0</v>
      </c>
      <c r="W26" s="2">
        <v>0</v>
      </c>
      <c r="X26" s="2">
        <v>0</v>
      </c>
      <c r="Y26" s="2">
        <v>4</v>
      </c>
      <c r="Z26" s="2">
        <v>0</v>
      </c>
      <c r="AA26" s="2">
        <v>914</v>
      </c>
      <c r="AB26" s="2" t="s">
        <v>2997</v>
      </c>
      <c r="AC26" s="2" t="s">
        <v>2993</v>
      </c>
      <c r="AD26" s="2" t="s">
        <v>3062</v>
      </c>
    </row>
    <row r="27" s="1" customFormat="1" ht="11.25" spans="1:30">
      <c r="A27" s="2" t="s">
        <v>361</v>
      </c>
      <c r="B27" s="2" t="s">
        <v>919</v>
      </c>
      <c r="C27" s="2" t="s">
        <v>3023</v>
      </c>
      <c r="D27" s="2" t="s">
        <v>813</v>
      </c>
      <c r="E27" s="2" t="s">
        <v>96</v>
      </c>
      <c r="F27" s="2" t="s">
        <v>115</v>
      </c>
      <c r="G27" s="2"/>
      <c r="H27" s="2" t="s">
        <v>2980</v>
      </c>
      <c r="I27" s="2"/>
      <c r="J27" s="2"/>
      <c r="K27" s="2" t="s">
        <v>360</v>
      </c>
      <c r="L27" s="2" t="s">
        <v>3063</v>
      </c>
      <c r="M27" s="2" t="s">
        <v>2974</v>
      </c>
      <c r="N27" s="2" t="s">
        <v>908</v>
      </c>
      <c r="O27" s="2" t="s">
        <v>2975</v>
      </c>
      <c r="P27" s="2" t="s">
        <v>2982</v>
      </c>
      <c r="Q27" s="2">
        <v>0</v>
      </c>
      <c r="R27" s="2">
        <v>900</v>
      </c>
      <c r="S27" s="2">
        <v>0</v>
      </c>
      <c r="T27" s="2">
        <v>0</v>
      </c>
      <c r="U27" s="2">
        <v>0</v>
      </c>
      <c r="V27" s="2">
        <v>0</v>
      </c>
      <c r="W27" s="2">
        <v>0</v>
      </c>
      <c r="X27" s="2">
        <v>0</v>
      </c>
      <c r="Y27" s="2">
        <v>0</v>
      </c>
      <c r="Z27" s="2">
        <v>0</v>
      </c>
      <c r="AA27" s="2">
        <v>900</v>
      </c>
      <c r="AB27" s="2" t="s">
        <v>3064</v>
      </c>
      <c r="AC27" s="2" t="s">
        <v>3065</v>
      </c>
      <c r="AD27" s="2" t="s">
        <v>3066</v>
      </c>
    </row>
    <row r="28" s="1" customFormat="1" ht="11.25" spans="1:30">
      <c r="A28" s="2" t="s">
        <v>1427</v>
      </c>
      <c r="B28" s="2" t="s">
        <v>2970</v>
      </c>
      <c r="C28" s="2" t="s">
        <v>3023</v>
      </c>
      <c r="D28" s="2" t="s">
        <v>813</v>
      </c>
      <c r="E28" s="2" t="s">
        <v>108</v>
      </c>
      <c r="F28" s="2" t="s">
        <v>168</v>
      </c>
      <c r="G28" s="2"/>
      <c r="H28" s="2" t="s">
        <v>2980</v>
      </c>
      <c r="I28" s="2"/>
      <c r="J28" s="2"/>
      <c r="K28" s="2" t="s">
        <v>1428</v>
      </c>
      <c r="L28" s="2" t="s">
        <v>3067</v>
      </c>
      <c r="M28" s="2" t="s">
        <v>2974</v>
      </c>
      <c r="N28" s="2" t="s">
        <v>908</v>
      </c>
      <c r="O28" s="2" t="s">
        <v>2975</v>
      </c>
      <c r="P28" s="2" t="s">
        <v>2982</v>
      </c>
      <c r="Q28" s="2">
        <v>0</v>
      </c>
      <c r="R28" s="2">
        <v>896</v>
      </c>
      <c r="S28" s="2">
        <v>0</v>
      </c>
      <c r="T28" s="2">
        <v>0</v>
      </c>
      <c r="U28" s="2">
        <v>0</v>
      </c>
      <c r="V28" s="2">
        <v>0</v>
      </c>
      <c r="W28" s="2">
        <v>0</v>
      </c>
      <c r="X28" s="2">
        <v>0</v>
      </c>
      <c r="Y28" s="2">
        <v>0</v>
      </c>
      <c r="Z28" s="2">
        <v>0</v>
      </c>
      <c r="AA28" s="2">
        <v>896</v>
      </c>
      <c r="AB28" s="2" t="s">
        <v>2987</v>
      </c>
      <c r="AC28" s="2" t="s">
        <v>3068</v>
      </c>
      <c r="AD28" s="2" t="s">
        <v>3069</v>
      </c>
    </row>
    <row r="29" s="1" customFormat="1" ht="11.25" spans="1:30">
      <c r="A29" s="2" t="s">
        <v>253</v>
      </c>
      <c r="B29" s="2" t="s">
        <v>919</v>
      </c>
      <c r="C29" s="2" t="s">
        <v>3008</v>
      </c>
      <c r="D29" s="2" t="s">
        <v>813</v>
      </c>
      <c r="E29" s="2" t="s">
        <v>96</v>
      </c>
      <c r="F29" s="2" t="s">
        <v>186</v>
      </c>
      <c r="G29" s="2"/>
      <c r="H29" s="2" t="s">
        <v>2980</v>
      </c>
      <c r="I29" s="2"/>
      <c r="J29" s="2"/>
      <c r="K29" s="2" t="s">
        <v>252</v>
      </c>
      <c r="L29" s="2" t="s">
        <v>3070</v>
      </c>
      <c r="M29" s="2" t="s">
        <v>2974</v>
      </c>
      <c r="N29" s="2" t="s">
        <v>908</v>
      </c>
      <c r="O29" s="2" t="s">
        <v>2975</v>
      </c>
      <c r="P29" s="2" t="s">
        <v>3071</v>
      </c>
      <c r="Q29" s="2">
        <v>11.17</v>
      </c>
      <c r="R29" s="2">
        <v>838</v>
      </c>
      <c r="S29" s="2">
        <v>75</v>
      </c>
      <c r="T29" s="2">
        <v>0</v>
      </c>
      <c r="U29" s="2">
        <v>0</v>
      </c>
      <c r="V29" s="2">
        <v>0</v>
      </c>
      <c r="W29" s="2">
        <v>0</v>
      </c>
      <c r="X29" s="2">
        <v>0</v>
      </c>
      <c r="Y29" s="2">
        <v>8</v>
      </c>
      <c r="Z29" s="2">
        <v>0</v>
      </c>
      <c r="AA29" s="2">
        <v>830</v>
      </c>
      <c r="AB29" s="2" t="s">
        <v>2997</v>
      </c>
      <c r="AC29" s="2" t="s">
        <v>2997</v>
      </c>
      <c r="AD29" s="2" t="s">
        <v>3072</v>
      </c>
    </row>
    <row r="30" s="1" customFormat="1" ht="11.25" spans="1:30">
      <c r="A30" s="2" t="s">
        <v>184</v>
      </c>
      <c r="B30" s="2" t="s">
        <v>919</v>
      </c>
      <c r="C30" s="2" t="s">
        <v>2979</v>
      </c>
      <c r="D30" s="2" t="s">
        <v>813</v>
      </c>
      <c r="E30" s="2" t="s">
        <v>108</v>
      </c>
      <c r="F30" s="2" t="s">
        <v>146</v>
      </c>
      <c r="G30" s="2"/>
      <c r="H30" s="2" t="s">
        <v>2980</v>
      </c>
      <c r="I30" s="2"/>
      <c r="J30" s="2"/>
      <c r="K30" s="2" t="s">
        <v>183</v>
      </c>
      <c r="L30" s="2" t="s">
        <v>3073</v>
      </c>
      <c r="M30" s="2" t="s">
        <v>2974</v>
      </c>
      <c r="N30" s="2" t="s">
        <v>908</v>
      </c>
      <c r="O30" s="2" t="s">
        <v>2975</v>
      </c>
      <c r="P30" s="2" t="s">
        <v>3074</v>
      </c>
      <c r="Q30" s="2">
        <v>6.73</v>
      </c>
      <c r="R30" s="2">
        <v>794</v>
      </c>
      <c r="S30" s="2">
        <v>118</v>
      </c>
      <c r="T30" s="2">
        <v>40</v>
      </c>
      <c r="U30" s="2">
        <v>0</v>
      </c>
      <c r="V30" s="2">
        <v>0</v>
      </c>
      <c r="W30" s="2">
        <v>0</v>
      </c>
      <c r="X30" s="2">
        <v>0</v>
      </c>
      <c r="Y30" s="2">
        <v>2</v>
      </c>
      <c r="Z30" s="2">
        <v>0</v>
      </c>
      <c r="AA30" s="2">
        <v>792</v>
      </c>
      <c r="AB30" s="2" t="s">
        <v>2997</v>
      </c>
      <c r="AC30" s="2" t="s">
        <v>2997</v>
      </c>
      <c r="AD30" s="2" t="s">
        <v>3075</v>
      </c>
    </row>
    <row r="31" s="1" customFormat="1" ht="11.25" spans="1:30">
      <c r="A31" s="2" t="s">
        <v>1511</v>
      </c>
      <c r="B31" s="2" t="s">
        <v>2970</v>
      </c>
      <c r="C31" s="2" t="s">
        <v>3004</v>
      </c>
      <c r="D31" s="2" t="s">
        <v>813</v>
      </c>
      <c r="E31" s="2" t="s">
        <v>108</v>
      </c>
      <c r="F31" s="2" t="s">
        <v>278</v>
      </c>
      <c r="G31" s="2"/>
      <c r="H31" s="2" t="s">
        <v>2980</v>
      </c>
      <c r="I31" s="2"/>
      <c r="J31" s="2"/>
      <c r="K31" s="2" t="s">
        <v>1512</v>
      </c>
      <c r="L31" s="2" t="s">
        <v>3076</v>
      </c>
      <c r="M31" s="2" t="s">
        <v>2974</v>
      </c>
      <c r="N31" s="2" t="s">
        <v>908</v>
      </c>
      <c r="O31" s="2" t="s">
        <v>2975</v>
      </c>
      <c r="P31" s="2" t="s">
        <v>3077</v>
      </c>
      <c r="Q31" s="2">
        <v>11.73</v>
      </c>
      <c r="R31" s="2">
        <v>760</v>
      </c>
      <c r="S31" s="2">
        <v>65</v>
      </c>
      <c r="T31" s="2">
        <v>0</v>
      </c>
      <c r="U31" s="2">
        <v>0</v>
      </c>
      <c r="V31" s="2">
        <v>0</v>
      </c>
      <c r="W31" s="2">
        <v>0</v>
      </c>
      <c r="X31" s="2">
        <v>0</v>
      </c>
      <c r="Y31" s="2">
        <v>9</v>
      </c>
      <c r="Z31" s="2">
        <v>0</v>
      </c>
      <c r="AA31" s="2">
        <v>751</v>
      </c>
      <c r="AB31" s="2" t="s">
        <v>2997</v>
      </c>
      <c r="AC31" s="2" t="s">
        <v>2997</v>
      </c>
      <c r="AD31" s="2" t="s">
        <v>3078</v>
      </c>
    </row>
    <row r="32" s="1" customFormat="1" ht="11.25" spans="1:30">
      <c r="A32" s="2" t="s">
        <v>205</v>
      </c>
      <c r="B32" s="2" t="s">
        <v>919</v>
      </c>
      <c r="C32" s="2" t="s">
        <v>3004</v>
      </c>
      <c r="D32" s="2" t="s">
        <v>813</v>
      </c>
      <c r="E32" s="2" t="s">
        <v>96</v>
      </c>
      <c r="F32" s="2" t="s">
        <v>97</v>
      </c>
      <c r="G32" s="2"/>
      <c r="H32" s="2" t="s">
        <v>2980</v>
      </c>
      <c r="I32" s="2"/>
      <c r="J32" s="2"/>
      <c r="K32" s="2" t="s">
        <v>204</v>
      </c>
      <c r="L32" s="2" t="s">
        <v>3079</v>
      </c>
      <c r="M32" s="2" t="s">
        <v>2974</v>
      </c>
      <c r="N32" s="2" t="s">
        <v>908</v>
      </c>
      <c r="O32" s="2" t="s">
        <v>2975</v>
      </c>
      <c r="P32" s="2" t="s">
        <v>3080</v>
      </c>
      <c r="Q32" s="2">
        <v>9.25</v>
      </c>
      <c r="R32" s="2">
        <v>699</v>
      </c>
      <c r="S32" s="2">
        <v>76</v>
      </c>
      <c r="T32" s="2">
        <v>0</v>
      </c>
      <c r="U32" s="2">
        <v>0</v>
      </c>
      <c r="V32" s="2">
        <v>0</v>
      </c>
      <c r="W32" s="2">
        <v>0</v>
      </c>
      <c r="X32" s="2">
        <v>0</v>
      </c>
      <c r="Y32" s="2">
        <v>3</v>
      </c>
      <c r="Z32" s="2">
        <v>0</v>
      </c>
      <c r="AA32" s="2">
        <v>696</v>
      </c>
      <c r="AB32" s="2" t="s">
        <v>2997</v>
      </c>
      <c r="AC32" s="2" t="s">
        <v>2997</v>
      </c>
      <c r="AD32" s="2" t="s">
        <v>3081</v>
      </c>
    </row>
    <row r="33" s="1" customFormat="1" ht="11.25" spans="1:30">
      <c r="A33" s="2" t="s">
        <v>785</v>
      </c>
      <c r="B33" s="2" t="s">
        <v>919</v>
      </c>
      <c r="C33" s="2" t="s">
        <v>3008</v>
      </c>
      <c r="D33" s="2" t="s">
        <v>813</v>
      </c>
      <c r="E33" s="2" t="s">
        <v>108</v>
      </c>
      <c r="F33" s="2" t="s">
        <v>146</v>
      </c>
      <c r="G33" s="2"/>
      <c r="H33" s="2" t="s">
        <v>2980</v>
      </c>
      <c r="I33" s="2"/>
      <c r="J33" s="2"/>
      <c r="K33" s="2" t="s">
        <v>784</v>
      </c>
      <c r="L33" s="2" t="s">
        <v>3082</v>
      </c>
      <c r="M33" s="2" t="s">
        <v>2974</v>
      </c>
      <c r="N33" s="2" t="s">
        <v>908</v>
      </c>
      <c r="O33" s="2" t="s">
        <v>2975</v>
      </c>
      <c r="P33" s="2" t="s">
        <v>3083</v>
      </c>
      <c r="Q33" s="2">
        <v>24.39</v>
      </c>
      <c r="R33" s="2">
        <v>618</v>
      </c>
      <c r="S33" s="2">
        <v>25</v>
      </c>
      <c r="T33" s="2">
        <v>1460</v>
      </c>
      <c r="U33" s="2">
        <v>0</v>
      </c>
      <c r="V33" s="2">
        <v>0</v>
      </c>
      <c r="W33" s="2">
        <v>0</v>
      </c>
      <c r="X33" s="2">
        <v>0</v>
      </c>
      <c r="Y33" s="2">
        <v>3</v>
      </c>
      <c r="Z33" s="2">
        <v>0</v>
      </c>
      <c r="AA33" s="2">
        <v>615</v>
      </c>
      <c r="AB33" s="2" t="s">
        <v>2997</v>
      </c>
      <c r="AC33" s="2" t="s">
        <v>2997</v>
      </c>
      <c r="AD33" s="2" t="s">
        <v>3084</v>
      </c>
    </row>
    <row r="34" s="1" customFormat="1" ht="11.25" spans="1:30">
      <c r="A34" s="2" t="s">
        <v>1394</v>
      </c>
      <c r="B34" s="2" t="s">
        <v>2970</v>
      </c>
      <c r="C34" s="2" t="s">
        <v>3023</v>
      </c>
      <c r="D34" s="2" t="s">
        <v>813</v>
      </c>
      <c r="E34" s="2" t="s">
        <v>108</v>
      </c>
      <c r="F34" s="2" t="s">
        <v>927</v>
      </c>
      <c r="G34" s="2"/>
      <c r="H34" s="2" t="s">
        <v>2980</v>
      </c>
      <c r="I34" s="2"/>
      <c r="J34" s="2"/>
      <c r="K34" s="2" t="s">
        <v>1395</v>
      </c>
      <c r="L34" s="2" t="s">
        <v>3085</v>
      </c>
      <c r="M34" s="2" t="s">
        <v>2974</v>
      </c>
      <c r="N34" s="2" t="s">
        <v>908</v>
      </c>
      <c r="O34" s="2" t="s">
        <v>2975</v>
      </c>
      <c r="P34" s="2" t="s">
        <v>2982</v>
      </c>
      <c r="Q34" s="2">
        <v>0</v>
      </c>
      <c r="R34" s="2">
        <v>606</v>
      </c>
      <c r="S34" s="2">
        <v>0</v>
      </c>
      <c r="T34" s="2">
        <v>0</v>
      </c>
      <c r="U34" s="2">
        <v>0</v>
      </c>
      <c r="V34" s="2">
        <v>0</v>
      </c>
      <c r="W34" s="2">
        <v>0</v>
      </c>
      <c r="X34" s="2">
        <v>0</v>
      </c>
      <c r="Y34" s="2">
        <v>0</v>
      </c>
      <c r="Z34" s="2">
        <v>0</v>
      </c>
      <c r="AA34" s="2">
        <v>606</v>
      </c>
      <c r="AB34" s="2"/>
      <c r="AC34" s="2" t="s">
        <v>1083</v>
      </c>
      <c r="AD34" s="2"/>
    </row>
    <row r="35" s="1" customFormat="1" ht="11.25" spans="1:30">
      <c r="A35" s="2" t="s">
        <v>381</v>
      </c>
      <c r="B35" s="2" t="s">
        <v>919</v>
      </c>
      <c r="C35" s="2" t="s">
        <v>3008</v>
      </c>
      <c r="D35" s="2" t="s">
        <v>813</v>
      </c>
      <c r="E35" s="2" t="s">
        <v>96</v>
      </c>
      <c r="F35" s="2" t="s">
        <v>115</v>
      </c>
      <c r="G35" s="2"/>
      <c r="H35" s="2" t="s">
        <v>2980</v>
      </c>
      <c r="I35" s="2"/>
      <c r="J35" s="2"/>
      <c r="K35" s="2" t="s">
        <v>304</v>
      </c>
      <c r="L35" s="2" t="s">
        <v>3086</v>
      </c>
      <c r="M35" s="2" t="s">
        <v>2974</v>
      </c>
      <c r="N35" s="2" t="s">
        <v>908</v>
      </c>
      <c r="O35" s="2" t="s">
        <v>2975</v>
      </c>
      <c r="P35" s="2" t="s">
        <v>3087</v>
      </c>
      <c r="Q35" s="2">
        <v>10.15</v>
      </c>
      <c r="R35" s="2">
        <v>558</v>
      </c>
      <c r="S35" s="2">
        <v>55</v>
      </c>
      <c r="T35" s="2">
        <v>0</v>
      </c>
      <c r="U35" s="2">
        <v>0</v>
      </c>
      <c r="V35" s="2">
        <v>0</v>
      </c>
      <c r="W35" s="2">
        <v>0</v>
      </c>
      <c r="X35" s="2">
        <v>0</v>
      </c>
      <c r="Y35" s="2">
        <v>3</v>
      </c>
      <c r="Z35" s="2">
        <v>0</v>
      </c>
      <c r="AA35" s="2">
        <v>555</v>
      </c>
      <c r="AB35" s="2" t="s">
        <v>2997</v>
      </c>
      <c r="AC35" s="2" t="s">
        <v>2997</v>
      </c>
      <c r="AD35" s="2" t="s">
        <v>3012</v>
      </c>
    </row>
    <row r="36" s="1" customFormat="1" ht="11.25" spans="1:30">
      <c r="A36" s="2" t="s">
        <v>435</v>
      </c>
      <c r="B36" s="2" t="s">
        <v>919</v>
      </c>
      <c r="C36" s="2" t="s">
        <v>3004</v>
      </c>
      <c r="D36" s="2" t="s">
        <v>813</v>
      </c>
      <c r="E36" s="2" t="s">
        <v>96</v>
      </c>
      <c r="F36" s="2" t="s">
        <v>115</v>
      </c>
      <c r="G36" s="2"/>
      <c r="H36" s="2" t="s">
        <v>2980</v>
      </c>
      <c r="I36" s="2"/>
      <c r="J36" s="2"/>
      <c r="K36" s="2" t="s">
        <v>434</v>
      </c>
      <c r="L36" s="2" t="s">
        <v>3088</v>
      </c>
      <c r="M36" s="2" t="s">
        <v>2974</v>
      </c>
      <c r="N36" s="2" t="s">
        <v>908</v>
      </c>
      <c r="O36" s="2" t="s">
        <v>2975</v>
      </c>
      <c r="P36" s="2" t="s">
        <v>3089</v>
      </c>
      <c r="Q36" s="2">
        <v>6.53</v>
      </c>
      <c r="R36" s="2">
        <v>528</v>
      </c>
      <c r="S36" s="2">
        <v>81</v>
      </c>
      <c r="T36" s="2">
        <v>880</v>
      </c>
      <c r="U36" s="2">
        <v>0</v>
      </c>
      <c r="V36" s="2">
        <v>0</v>
      </c>
      <c r="W36" s="2">
        <v>0</v>
      </c>
      <c r="X36" s="2">
        <v>0</v>
      </c>
      <c r="Y36" s="2">
        <v>3</v>
      </c>
      <c r="Z36" s="2">
        <v>0</v>
      </c>
      <c r="AA36" s="2">
        <v>525</v>
      </c>
      <c r="AB36" s="2" t="s">
        <v>2997</v>
      </c>
      <c r="AC36" s="2" t="s">
        <v>2997</v>
      </c>
      <c r="AD36" s="2" t="s">
        <v>3090</v>
      </c>
    </row>
    <row r="37" s="1" customFormat="1" ht="11.25" spans="1:30">
      <c r="A37" s="2" t="s">
        <v>342</v>
      </c>
      <c r="B37" s="2" t="s">
        <v>919</v>
      </c>
      <c r="C37" s="2"/>
      <c r="D37" s="2" t="s">
        <v>813</v>
      </c>
      <c r="E37" s="2" t="s">
        <v>96</v>
      </c>
      <c r="F37" s="2" t="s">
        <v>115</v>
      </c>
      <c r="G37" s="2"/>
      <c r="H37" s="2" t="s">
        <v>2980</v>
      </c>
      <c r="I37" s="2"/>
      <c r="J37" s="2"/>
      <c r="K37" s="2" t="s">
        <v>341</v>
      </c>
      <c r="L37" s="2" t="s">
        <v>3091</v>
      </c>
      <c r="M37" s="2" t="s">
        <v>2974</v>
      </c>
      <c r="N37" s="2" t="s">
        <v>908</v>
      </c>
      <c r="O37" s="2" t="s">
        <v>2975</v>
      </c>
      <c r="P37" s="2" t="s">
        <v>3092</v>
      </c>
      <c r="Q37" s="2">
        <v>16.44</v>
      </c>
      <c r="R37" s="2">
        <v>520</v>
      </c>
      <c r="S37" s="2">
        <v>32</v>
      </c>
      <c r="T37" s="2">
        <v>1526</v>
      </c>
      <c r="U37" s="2">
        <v>0</v>
      </c>
      <c r="V37" s="2">
        <v>0</v>
      </c>
      <c r="W37" s="2">
        <v>0</v>
      </c>
      <c r="X37" s="2">
        <v>0</v>
      </c>
      <c r="Y37" s="2">
        <v>5</v>
      </c>
      <c r="Z37" s="2">
        <v>0</v>
      </c>
      <c r="AA37" s="2">
        <v>515</v>
      </c>
      <c r="AB37" s="2" t="s">
        <v>2997</v>
      </c>
      <c r="AC37" s="2" t="s">
        <v>2997</v>
      </c>
      <c r="AD37" s="2" t="s">
        <v>3093</v>
      </c>
    </row>
    <row r="38" s="1" customFormat="1" ht="11.25" spans="1:30">
      <c r="A38" s="2" t="s">
        <v>365</v>
      </c>
      <c r="B38" s="2" t="s">
        <v>919</v>
      </c>
      <c r="C38" s="2" t="s">
        <v>3004</v>
      </c>
      <c r="D38" s="2" t="s">
        <v>813</v>
      </c>
      <c r="E38" s="2" t="s">
        <v>96</v>
      </c>
      <c r="F38" s="2" t="s">
        <v>115</v>
      </c>
      <c r="G38" s="2"/>
      <c r="H38" s="2" t="s">
        <v>2980</v>
      </c>
      <c r="I38" s="2"/>
      <c r="J38" s="2"/>
      <c r="K38" s="2" t="s">
        <v>360</v>
      </c>
      <c r="L38" s="2" t="s">
        <v>3063</v>
      </c>
      <c r="M38" s="2" t="s">
        <v>2974</v>
      </c>
      <c r="N38" s="2" t="s">
        <v>908</v>
      </c>
      <c r="O38" s="2" t="s">
        <v>2975</v>
      </c>
      <c r="P38" s="2" t="s">
        <v>3094</v>
      </c>
      <c r="Q38" s="2">
        <v>24.73</v>
      </c>
      <c r="R38" s="2">
        <v>520</v>
      </c>
      <c r="S38" s="2">
        <v>21</v>
      </c>
      <c r="T38" s="2">
        <v>1776</v>
      </c>
      <c r="U38" s="2">
        <v>0</v>
      </c>
      <c r="V38" s="2">
        <v>0</v>
      </c>
      <c r="W38" s="2">
        <v>0</v>
      </c>
      <c r="X38" s="2">
        <v>0</v>
      </c>
      <c r="Y38" s="2">
        <v>11</v>
      </c>
      <c r="Z38" s="2">
        <v>0</v>
      </c>
      <c r="AA38" s="2">
        <v>509</v>
      </c>
      <c r="AB38" s="2" t="s">
        <v>2997</v>
      </c>
      <c r="AC38" s="2" t="s">
        <v>2997</v>
      </c>
      <c r="AD38" s="2" t="s">
        <v>3095</v>
      </c>
    </row>
    <row r="39" s="1" customFormat="1" ht="11.25" spans="1:30">
      <c r="A39" s="2" t="s">
        <v>783</v>
      </c>
      <c r="B39" s="2" t="s">
        <v>919</v>
      </c>
      <c r="C39" s="2" t="s">
        <v>3008</v>
      </c>
      <c r="D39" s="2" t="s">
        <v>813</v>
      </c>
      <c r="E39" s="2" t="s">
        <v>108</v>
      </c>
      <c r="F39" s="2" t="s">
        <v>146</v>
      </c>
      <c r="G39" s="2"/>
      <c r="H39" s="2" t="s">
        <v>2980</v>
      </c>
      <c r="I39" s="2"/>
      <c r="J39" s="2"/>
      <c r="K39" s="2" t="s">
        <v>782</v>
      </c>
      <c r="L39" s="2" t="s">
        <v>3096</v>
      </c>
      <c r="M39" s="2" t="s">
        <v>2974</v>
      </c>
      <c r="N39" s="2" t="s">
        <v>908</v>
      </c>
      <c r="O39" s="2" t="s">
        <v>2975</v>
      </c>
      <c r="P39" s="2" t="s">
        <v>3097</v>
      </c>
      <c r="Q39" s="2">
        <v>15.69</v>
      </c>
      <c r="R39" s="2">
        <v>519</v>
      </c>
      <c r="S39" s="2">
        <v>33</v>
      </c>
      <c r="T39" s="2">
        <v>700</v>
      </c>
      <c r="U39" s="2">
        <v>0</v>
      </c>
      <c r="V39" s="2">
        <v>0</v>
      </c>
      <c r="W39" s="2">
        <v>0</v>
      </c>
      <c r="X39" s="2">
        <v>0</v>
      </c>
      <c r="Y39" s="2">
        <v>2</v>
      </c>
      <c r="Z39" s="2">
        <v>0</v>
      </c>
      <c r="AA39" s="2">
        <v>517</v>
      </c>
      <c r="AB39" s="2" t="s">
        <v>2997</v>
      </c>
      <c r="AC39" s="2" t="s">
        <v>2997</v>
      </c>
      <c r="AD39" s="2" t="s">
        <v>3098</v>
      </c>
    </row>
    <row r="40" s="1" customFormat="1" ht="11.25" spans="1:30">
      <c r="A40" s="2" t="s">
        <v>397</v>
      </c>
      <c r="B40" s="2" t="s">
        <v>919</v>
      </c>
      <c r="C40" s="2"/>
      <c r="D40" s="2" t="s">
        <v>813</v>
      </c>
      <c r="E40" s="2" t="s">
        <v>96</v>
      </c>
      <c r="F40" s="2" t="s">
        <v>186</v>
      </c>
      <c r="G40" s="2"/>
      <c r="H40" s="2" t="s">
        <v>2980</v>
      </c>
      <c r="I40" s="2"/>
      <c r="J40" s="2"/>
      <c r="K40" s="2" t="s">
        <v>396</v>
      </c>
      <c r="L40" s="2" t="s">
        <v>3099</v>
      </c>
      <c r="M40" s="2" t="s">
        <v>2974</v>
      </c>
      <c r="N40" s="2" t="s">
        <v>908</v>
      </c>
      <c r="O40" s="2" t="s">
        <v>2975</v>
      </c>
      <c r="P40" s="2" t="s">
        <v>3100</v>
      </c>
      <c r="Q40" s="2">
        <v>20.48</v>
      </c>
      <c r="R40" s="2">
        <v>495</v>
      </c>
      <c r="S40" s="2">
        <v>24</v>
      </c>
      <c r="T40" s="2">
        <v>1809</v>
      </c>
      <c r="U40" s="2">
        <v>0</v>
      </c>
      <c r="V40" s="2">
        <v>0</v>
      </c>
      <c r="W40" s="2">
        <v>0</v>
      </c>
      <c r="X40" s="2">
        <v>0</v>
      </c>
      <c r="Y40" s="2">
        <v>4</v>
      </c>
      <c r="Z40" s="2">
        <v>0</v>
      </c>
      <c r="AA40" s="2">
        <v>491</v>
      </c>
      <c r="AB40" s="2" t="s">
        <v>2997</v>
      </c>
      <c r="AC40" s="2" t="s">
        <v>3054</v>
      </c>
      <c r="AD40" s="2" t="s">
        <v>3101</v>
      </c>
    </row>
    <row r="41" s="1" customFormat="1" ht="11.25" spans="1:30">
      <c r="A41" s="2" t="s">
        <v>188</v>
      </c>
      <c r="B41" s="2" t="s">
        <v>919</v>
      </c>
      <c r="C41" s="2" t="s">
        <v>3004</v>
      </c>
      <c r="D41" s="2" t="s">
        <v>813</v>
      </c>
      <c r="E41" s="2" t="s">
        <v>96</v>
      </c>
      <c r="F41" s="2" t="s">
        <v>186</v>
      </c>
      <c r="G41" s="2"/>
      <c r="H41" s="2" t="s">
        <v>2980</v>
      </c>
      <c r="I41" s="2"/>
      <c r="J41" s="2"/>
      <c r="K41" s="2" t="s">
        <v>187</v>
      </c>
      <c r="L41" s="2" t="s">
        <v>3102</v>
      </c>
      <c r="M41" s="2" t="s">
        <v>2974</v>
      </c>
      <c r="N41" s="2" t="s">
        <v>908</v>
      </c>
      <c r="O41" s="2" t="s">
        <v>2975</v>
      </c>
      <c r="P41" s="2" t="s">
        <v>3103</v>
      </c>
      <c r="Q41" s="2">
        <v>5.37</v>
      </c>
      <c r="R41" s="2">
        <v>495</v>
      </c>
      <c r="S41" s="2">
        <v>92</v>
      </c>
      <c r="T41" s="2">
        <v>0</v>
      </c>
      <c r="U41" s="2">
        <v>0</v>
      </c>
      <c r="V41" s="2">
        <v>0</v>
      </c>
      <c r="W41" s="2">
        <v>0</v>
      </c>
      <c r="X41" s="2">
        <v>0</v>
      </c>
      <c r="Y41" s="2">
        <v>5</v>
      </c>
      <c r="Z41" s="2">
        <v>0</v>
      </c>
      <c r="AA41" s="2">
        <v>490</v>
      </c>
      <c r="AB41" s="2" t="s">
        <v>2997</v>
      </c>
      <c r="AC41" s="2" t="s">
        <v>3015</v>
      </c>
      <c r="AD41" s="2" t="s">
        <v>3104</v>
      </c>
    </row>
    <row r="42" s="1" customFormat="1" ht="11.25" spans="1:30">
      <c r="A42" s="2" t="s">
        <v>399</v>
      </c>
      <c r="B42" s="2" t="s">
        <v>919</v>
      </c>
      <c r="C42" s="2" t="s">
        <v>3008</v>
      </c>
      <c r="D42" s="2" t="s">
        <v>813</v>
      </c>
      <c r="E42" s="2" t="s">
        <v>96</v>
      </c>
      <c r="F42" s="2" t="s">
        <v>186</v>
      </c>
      <c r="G42" s="2"/>
      <c r="H42" s="2" t="s">
        <v>2980</v>
      </c>
      <c r="I42" s="2"/>
      <c r="J42" s="2"/>
      <c r="K42" s="2" t="s">
        <v>398</v>
      </c>
      <c r="L42" s="2" t="s">
        <v>3105</v>
      </c>
      <c r="M42" s="2" t="s">
        <v>2974</v>
      </c>
      <c r="N42" s="2" t="s">
        <v>908</v>
      </c>
      <c r="O42" s="2" t="s">
        <v>2975</v>
      </c>
      <c r="P42" s="2" t="s">
        <v>3106</v>
      </c>
      <c r="Q42" s="2">
        <v>12.6</v>
      </c>
      <c r="R42" s="2">
        <v>482</v>
      </c>
      <c r="S42" s="2">
        <v>38</v>
      </c>
      <c r="T42" s="2">
        <v>720</v>
      </c>
      <c r="U42" s="2">
        <v>0</v>
      </c>
      <c r="V42" s="2">
        <v>0</v>
      </c>
      <c r="W42" s="2">
        <v>0</v>
      </c>
      <c r="X42" s="2">
        <v>0</v>
      </c>
      <c r="Y42" s="2">
        <v>7</v>
      </c>
      <c r="Z42" s="2">
        <v>0</v>
      </c>
      <c r="AA42" s="2">
        <v>475</v>
      </c>
      <c r="AB42" s="2" t="s">
        <v>2997</v>
      </c>
      <c r="AC42" s="2" t="s">
        <v>2997</v>
      </c>
      <c r="AD42" s="2" t="s">
        <v>3107</v>
      </c>
    </row>
    <row r="43" s="1" customFormat="1" ht="11.25" spans="1:30">
      <c r="A43" s="2" t="s">
        <v>602</v>
      </c>
      <c r="B43" s="2" t="s">
        <v>919</v>
      </c>
      <c r="C43" s="2" t="s">
        <v>3008</v>
      </c>
      <c r="D43" s="2" t="s">
        <v>813</v>
      </c>
      <c r="E43" s="2" t="s">
        <v>96</v>
      </c>
      <c r="F43" s="2" t="s">
        <v>115</v>
      </c>
      <c r="G43" s="2"/>
      <c r="H43" s="2" t="s">
        <v>2980</v>
      </c>
      <c r="I43" s="2"/>
      <c r="J43" s="2"/>
      <c r="K43" s="2" t="s">
        <v>601</v>
      </c>
      <c r="L43" s="2" t="s">
        <v>3108</v>
      </c>
      <c r="M43" s="2" t="s">
        <v>2974</v>
      </c>
      <c r="N43" s="2" t="s">
        <v>908</v>
      </c>
      <c r="O43" s="2" t="s">
        <v>2975</v>
      </c>
      <c r="P43" s="2" t="s">
        <v>3109</v>
      </c>
      <c r="Q43" s="2">
        <v>3.6</v>
      </c>
      <c r="R43" s="2">
        <v>462</v>
      </c>
      <c r="S43" s="2">
        <v>128</v>
      </c>
      <c r="T43" s="2">
        <v>0</v>
      </c>
      <c r="U43" s="2">
        <v>0</v>
      </c>
      <c r="V43" s="2">
        <v>0</v>
      </c>
      <c r="W43" s="2">
        <v>0</v>
      </c>
      <c r="X43" s="2">
        <v>0</v>
      </c>
      <c r="Y43" s="2">
        <v>2</v>
      </c>
      <c r="Z43" s="2">
        <v>0</v>
      </c>
      <c r="AA43" s="2">
        <v>460</v>
      </c>
      <c r="AB43" s="2" t="s">
        <v>2993</v>
      </c>
      <c r="AC43" s="2" t="s">
        <v>2997</v>
      </c>
      <c r="AD43" s="2" t="s">
        <v>3110</v>
      </c>
    </row>
    <row r="44" s="1" customFormat="1" ht="11.25" spans="1:30">
      <c r="A44" s="2" t="s">
        <v>439</v>
      </c>
      <c r="B44" s="2" t="s">
        <v>919</v>
      </c>
      <c r="C44" s="2" t="s">
        <v>3008</v>
      </c>
      <c r="D44" s="2" t="s">
        <v>813</v>
      </c>
      <c r="E44" s="2" t="s">
        <v>96</v>
      </c>
      <c r="F44" s="2" t="s">
        <v>115</v>
      </c>
      <c r="G44" s="2"/>
      <c r="H44" s="2" t="s">
        <v>2980</v>
      </c>
      <c r="I44" s="2"/>
      <c r="J44" s="2"/>
      <c r="K44" s="2" t="s">
        <v>343</v>
      </c>
      <c r="L44" s="2" t="s">
        <v>3111</v>
      </c>
      <c r="M44" s="2" t="s">
        <v>2974</v>
      </c>
      <c r="N44" s="2" t="s">
        <v>908</v>
      </c>
      <c r="O44" s="2" t="s">
        <v>2975</v>
      </c>
      <c r="P44" s="2" t="s">
        <v>3112</v>
      </c>
      <c r="Q44" s="2">
        <v>15.16</v>
      </c>
      <c r="R44" s="2">
        <v>461</v>
      </c>
      <c r="S44" s="2">
        <v>30</v>
      </c>
      <c r="T44" s="2">
        <v>0</v>
      </c>
      <c r="U44" s="2">
        <v>0</v>
      </c>
      <c r="V44" s="2">
        <v>0</v>
      </c>
      <c r="W44" s="2">
        <v>0</v>
      </c>
      <c r="X44" s="2">
        <v>0</v>
      </c>
      <c r="Y44" s="2">
        <v>6</v>
      </c>
      <c r="Z44" s="2">
        <v>0</v>
      </c>
      <c r="AA44" s="2">
        <v>455</v>
      </c>
      <c r="AB44" s="2" t="s">
        <v>2997</v>
      </c>
      <c r="AC44" s="2" t="s">
        <v>2997</v>
      </c>
      <c r="AD44" s="2" t="s">
        <v>3113</v>
      </c>
    </row>
    <row r="45" s="1" customFormat="1" ht="11.25" spans="1:30">
      <c r="A45" s="2" t="s">
        <v>672</v>
      </c>
      <c r="B45" s="2" t="s">
        <v>919</v>
      </c>
      <c r="C45" s="2" t="s">
        <v>3004</v>
      </c>
      <c r="D45" s="2" t="s">
        <v>813</v>
      </c>
      <c r="E45" s="2" t="s">
        <v>96</v>
      </c>
      <c r="F45" s="2" t="s">
        <v>115</v>
      </c>
      <c r="G45" s="2"/>
      <c r="H45" s="2" t="s">
        <v>2980</v>
      </c>
      <c r="I45" s="2"/>
      <c r="J45" s="2"/>
      <c r="K45" s="2" t="s">
        <v>667</v>
      </c>
      <c r="L45" s="2" t="s">
        <v>3114</v>
      </c>
      <c r="M45" s="2" t="s">
        <v>2974</v>
      </c>
      <c r="N45" s="2" t="s">
        <v>908</v>
      </c>
      <c r="O45" s="2" t="s">
        <v>2975</v>
      </c>
      <c r="P45" s="2" t="s">
        <v>3115</v>
      </c>
      <c r="Q45" s="2">
        <v>5.56</v>
      </c>
      <c r="R45" s="2">
        <v>458</v>
      </c>
      <c r="S45" s="2">
        <v>82</v>
      </c>
      <c r="T45" s="2">
        <v>630</v>
      </c>
      <c r="U45" s="2">
        <v>0</v>
      </c>
      <c r="V45" s="2">
        <v>0</v>
      </c>
      <c r="W45" s="2">
        <v>0</v>
      </c>
      <c r="X45" s="2">
        <v>0</v>
      </c>
      <c r="Y45" s="2">
        <v>2</v>
      </c>
      <c r="Z45" s="2">
        <v>0</v>
      </c>
      <c r="AA45" s="2">
        <v>456</v>
      </c>
      <c r="AB45" s="2" t="s">
        <v>2993</v>
      </c>
      <c r="AC45" s="2" t="s">
        <v>2997</v>
      </c>
      <c r="AD45" s="2" t="s">
        <v>3116</v>
      </c>
    </row>
    <row r="46" s="1" customFormat="1" ht="11.25" spans="1:30">
      <c r="A46" s="2" t="s">
        <v>15</v>
      </c>
      <c r="B46" s="2" t="s">
        <v>919</v>
      </c>
      <c r="C46" s="2" t="s">
        <v>2979</v>
      </c>
      <c r="D46" s="2" t="s">
        <v>813</v>
      </c>
      <c r="E46" s="2" t="s">
        <v>108</v>
      </c>
      <c r="F46" s="2" t="s">
        <v>168</v>
      </c>
      <c r="G46" s="2"/>
      <c r="H46" s="2" t="s">
        <v>2980</v>
      </c>
      <c r="I46" s="2"/>
      <c r="J46" s="2"/>
      <c r="K46" s="2" t="s">
        <v>14</v>
      </c>
      <c r="L46" s="2" t="s">
        <v>3117</v>
      </c>
      <c r="M46" s="2" t="s">
        <v>2974</v>
      </c>
      <c r="N46" s="2" t="s">
        <v>908</v>
      </c>
      <c r="O46" s="2" t="s">
        <v>2975</v>
      </c>
      <c r="P46" s="2" t="s">
        <v>3118</v>
      </c>
      <c r="Q46" s="2">
        <v>3.3</v>
      </c>
      <c r="R46" s="2">
        <v>453</v>
      </c>
      <c r="S46" s="2">
        <v>137</v>
      </c>
      <c r="T46" s="2">
        <v>300</v>
      </c>
      <c r="U46" s="2">
        <v>0</v>
      </c>
      <c r="V46" s="2">
        <v>0</v>
      </c>
      <c r="W46" s="2">
        <v>0</v>
      </c>
      <c r="X46" s="2">
        <v>0</v>
      </c>
      <c r="Y46" s="2">
        <v>1</v>
      </c>
      <c r="Z46" s="2">
        <v>0</v>
      </c>
      <c r="AA46" s="2">
        <v>452</v>
      </c>
      <c r="AB46" s="2" t="s">
        <v>2997</v>
      </c>
      <c r="AC46" s="2" t="s">
        <v>3119</v>
      </c>
      <c r="AD46" s="2" t="s">
        <v>3120</v>
      </c>
    </row>
    <row r="47" s="1" customFormat="1" ht="11.25" spans="1:30">
      <c r="A47" s="2" t="s">
        <v>664</v>
      </c>
      <c r="B47" s="2" t="s">
        <v>2970</v>
      </c>
      <c r="C47" s="2" t="s">
        <v>3004</v>
      </c>
      <c r="D47" s="2" t="s">
        <v>813</v>
      </c>
      <c r="E47" s="2" t="s">
        <v>96</v>
      </c>
      <c r="F47" s="2" t="s">
        <v>115</v>
      </c>
      <c r="G47" s="2"/>
      <c r="H47" s="2" t="s">
        <v>2980</v>
      </c>
      <c r="I47" s="2"/>
      <c r="J47" s="2"/>
      <c r="K47" s="2" t="s">
        <v>663</v>
      </c>
      <c r="L47" s="2" t="s">
        <v>3121</v>
      </c>
      <c r="M47" s="2" t="s">
        <v>2974</v>
      </c>
      <c r="N47" s="2" t="s">
        <v>908</v>
      </c>
      <c r="O47" s="2" t="s">
        <v>2975</v>
      </c>
      <c r="P47" s="2" t="s">
        <v>3122</v>
      </c>
      <c r="Q47" s="2">
        <v>4.17</v>
      </c>
      <c r="R47" s="2">
        <v>447</v>
      </c>
      <c r="S47" s="2">
        <v>107</v>
      </c>
      <c r="T47" s="2">
        <v>0</v>
      </c>
      <c r="U47" s="2">
        <v>0</v>
      </c>
      <c r="V47" s="2">
        <v>0</v>
      </c>
      <c r="W47" s="2">
        <v>0</v>
      </c>
      <c r="X47" s="2">
        <v>0</v>
      </c>
      <c r="Y47" s="2">
        <v>3</v>
      </c>
      <c r="Z47" s="2">
        <v>0</v>
      </c>
      <c r="AA47" s="2">
        <v>444</v>
      </c>
      <c r="AB47" s="2" t="s">
        <v>2993</v>
      </c>
      <c r="AC47" s="2" t="s">
        <v>2997</v>
      </c>
      <c r="AD47" s="2" t="s">
        <v>3123</v>
      </c>
    </row>
    <row r="48" s="1" customFormat="1" ht="11.25" spans="1:30">
      <c r="A48" s="2" t="s">
        <v>220</v>
      </c>
      <c r="B48" s="2" t="s">
        <v>919</v>
      </c>
      <c r="C48" s="2" t="s">
        <v>3004</v>
      </c>
      <c r="D48" s="2" t="s">
        <v>813</v>
      </c>
      <c r="E48" s="2" t="s">
        <v>108</v>
      </c>
      <c r="F48" s="2" t="s">
        <v>146</v>
      </c>
      <c r="G48" s="2"/>
      <c r="H48" s="2" t="s">
        <v>2980</v>
      </c>
      <c r="I48" s="2"/>
      <c r="J48" s="2"/>
      <c r="K48" s="2" t="s">
        <v>218</v>
      </c>
      <c r="L48" s="2" t="s">
        <v>3124</v>
      </c>
      <c r="M48" s="2" t="s">
        <v>2974</v>
      </c>
      <c r="N48" s="2" t="s">
        <v>908</v>
      </c>
      <c r="O48" s="2" t="s">
        <v>3125</v>
      </c>
      <c r="P48" s="2" t="s">
        <v>3126</v>
      </c>
      <c r="Q48" s="2">
        <v>7.9</v>
      </c>
      <c r="R48" s="2">
        <v>445</v>
      </c>
      <c r="S48" s="2">
        <v>56</v>
      </c>
      <c r="T48" s="2">
        <v>1800</v>
      </c>
      <c r="U48" s="2">
        <v>0</v>
      </c>
      <c r="V48" s="2">
        <v>0</v>
      </c>
      <c r="W48" s="2">
        <v>0</v>
      </c>
      <c r="X48" s="2">
        <v>0</v>
      </c>
      <c r="Y48" s="2">
        <v>33</v>
      </c>
      <c r="Z48" s="2">
        <v>0</v>
      </c>
      <c r="AA48" s="2">
        <v>412</v>
      </c>
      <c r="AB48" s="2" t="s">
        <v>2997</v>
      </c>
      <c r="AC48" s="2" t="s">
        <v>2993</v>
      </c>
      <c r="AD48" s="2" t="s">
        <v>3127</v>
      </c>
    </row>
    <row r="49" s="1" customFormat="1" ht="11.25" spans="1:30">
      <c r="A49" s="2" t="s">
        <v>344</v>
      </c>
      <c r="B49" s="2" t="s">
        <v>919</v>
      </c>
      <c r="C49" s="2" t="s">
        <v>3004</v>
      </c>
      <c r="D49" s="2" t="s">
        <v>813</v>
      </c>
      <c r="E49" s="2" t="s">
        <v>96</v>
      </c>
      <c r="F49" s="2" t="s">
        <v>115</v>
      </c>
      <c r="G49" s="2"/>
      <c r="H49" s="2" t="s">
        <v>2980</v>
      </c>
      <c r="I49" s="2"/>
      <c r="J49" s="2"/>
      <c r="K49" s="2" t="s">
        <v>343</v>
      </c>
      <c r="L49" s="2" t="s">
        <v>3111</v>
      </c>
      <c r="M49" s="2" t="s">
        <v>2974</v>
      </c>
      <c r="N49" s="2" t="s">
        <v>908</v>
      </c>
      <c r="O49" s="2" t="s">
        <v>2975</v>
      </c>
      <c r="P49" s="2" t="s">
        <v>3128</v>
      </c>
      <c r="Q49" s="2">
        <v>4.61</v>
      </c>
      <c r="R49" s="2">
        <v>428</v>
      </c>
      <c r="S49" s="2">
        <v>93</v>
      </c>
      <c r="T49" s="2">
        <v>550</v>
      </c>
      <c r="U49" s="2">
        <v>0</v>
      </c>
      <c r="V49" s="2">
        <v>0</v>
      </c>
      <c r="W49" s="2">
        <v>0</v>
      </c>
      <c r="X49" s="2">
        <v>0</v>
      </c>
      <c r="Y49" s="2">
        <v>0</v>
      </c>
      <c r="Z49" s="2">
        <v>0</v>
      </c>
      <c r="AA49" s="2">
        <v>428</v>
      </c>
      <c r="AB49" s="2" t="s">
        <v>2997</v>
      </c>
      <c r="AC49" s="2" t="s">
        <v>2997</v>
      </c>
      <c r="AD49" s="2" t="s">
        <v>3129</v>
      </c>
    </row>
    <row r="50" s="1" customFormat="1" ht="11.25" spans="1:30">
      <c r="A50" s="2" t="s">
        <v>687</v>
      </c>
      <c r="B50" s="2" t="s">
        <v>919</v>
      </c>
      <c r="C50" s="2" t="s">
        <v>3004</v>
      </c>
      <c r="D50" s="2" t="s">
        <v>813</v>
      </c>
      <c r="E50" s="2" t="s">
        <v>108</v>
      </c>
      <c r="F50" s="2" t="s">
        <v>206</v>
      </c>
      <c r="G50" s="2"/>
      <c r="H50" s="2" t="s">
        <v>2980</v>
      </c>
      <c r="I50" s="2"/>
      <c r="J50" s="2"/>
      <c r="K50" s="2" t="s">
        <v>686</v>
      </c>
      <c r="L50" s="2" t="s">
        <v>3130</v>
      </c>
      <c r="M50" s="2" t="s">
        <v>2974</v>
      </c>
      <c r="N50" s="2" t="s">
        <v>908</v>
      </c>
      <c r="O50" s="2" t="s">
        <v>2975</v>
      </c>
      <c r="P50" s="2" t="s">
        <v>3131</v>
      </c>
      <c r="Q50" s="2">
        <v>6.54</v>
      </c>
      <c r="R50" s="2">
        <v>410</v>
      </c>
      <c r="S50" s="2">
        <v>63</v>
      </c>
      <c r="T50" s="2">
        <v>216</v>
      </c>
      <c r="U50" s="2">
        <v>0</v>
      </c>
      <c r="V50" s="2">
        <v>0</v>
      </c>
      <c r="W50" s="2">
        <v>0</v>
      </c>
      <c r="X50" s="2">
        <v>0</v>
      </c>
      <c r="Y50" s="2">
        <v>0</v>
      </c>
      <c r="Z50" s="2">
        <v>0</v>
      </c>
      <c r="AA50" s="2">
        <v>410</v>
      </c>
      <c r="AB50" s="2" t="s">
        <v>2997</v>
      </c>
      <c r="AC50" s="2" t="s">
        <v>3132</v>
      </c>
      <c r="AD50" s="2" t="s">
        <v>3133</v>
      </c>
    </row>
    <row r="51" s="1" customFormat="1" ht="11.25" spans="1:30">
      <c r="A51" s="2" t="s">
        <v>131</v>
      </c>
      <c r="B51" s="2" t="s">
        <v>919</v>
      </c>
      <c r="C51" s="2" t="s">
        <v>3008</v>
      </c>
      <c r="D51" s="2" t="s">
        <v>813</v>
      </c>
      <c r="E51" s="2" t="s">
        <v>108</v>
      </c>
      <c r="F51" s="2" t="s">
        <v>109</v>
      </c>
      <c r="G51" s="2"/>
      <c r="H51" s="2" t="s">
        <v>2980</v>
      </c>
      <c r="I51" s="2"/>
      <c r="J51" s="2"/>
      <c r="K51" s="2" t="s">
        <v>130</v>
      </c>
      <c r="L51" s="2" t="s">
        <v>3134</v>
      </c>
      <c r="M51" s="2" t="s">
        <v>2974</v>
      </c>
      <c r="N51" s="2" t="s">
        <v>908</v>
      </c>
      <c r="O51" s="2" t="s">
        <v>2975</v>
      </c>
      <c r="P51" s="2" t="s">
        <v>3135</v>
      </c>
      <c r="Q51" s="2">
        <v>17.96</v>
      </c>
      <c r="R51" s="2">
        <v>406</v>
      </c>
      <c r="S51" s="2">
        <v>23</v>
      </c>
      <c r="T51" s="2">
        <v>840</v>
      </c>
      <c r="U51" s="2">
        <v>0</v>
      </c>
      <c r="V51" s="2">
        <v>0</v>
      </c>
      <c r="W51" s="2">
        <v>0</v>
      </c>
      <c r="X51" s="2">
        <v>0</v>
      </c>
      <c r="Y51" s="2">
        <v>4</v>
      </c>
      <c r="Z51" s="2">
        <v>0</v>
      </c>
      <c r="AA51" s="2">
        <v>402</v>
      </c>
      <c r="AB51" s="2" t="s">
        <v>2997</v>
      </c>
      <c r="AC51" s="2" t="s">
        <v>3011</v>
      </c>
      <c r="AD51" s="2" t="s">
        <v>3136</v>
      </c>
    </row>
    <row r="52" s="1" customFormat="1" ht="11.25" spans="1:30">
      <c r="A52" s="2" t="s">
        <v>268</v>
      </c>
      <c r="B52" s="2" t="s">
        <v>919</v>
      </c>
      <c r="C52" s="2" t="s">
        <v>2979</v>
      </c>
      <c r="D52" s="2" t="s">
        <v>813</v>
      </c>
      <c r="E52" s="2" t="s">
        <v>96</v>
      </c>
      <c r="F52" s="2" t="s">
        <v>115</v>
      </c>
      <c r="G52" s="2"/>
      <c r="H52" s="2" t="s">
        <v>2980</v>
      </c>
      <c r="I52" s="2"/>
      <c r="J52" s="2"/>
      <c r="K52" s="2" t="s">
        <v>267</v>
      </c>
      <c r="L52" s="2" t="s">
        <v>3137</v>
      </c>
      <c r="M52" s="2" t="s">
        <v>2974</v>
      </c>
      <c r="N52" s="2" t="s">
        <v>908</v>
      </c>
      <c r="O52" s="2" t="s">
        <v>2975</v>
      </c>
      <c r="P52" s="2" t="s">
        <v>3138</v>
      </c>
      <c r="Q52" s="2">
        <v>5.21</v>
      </c>
      <c r="R52" s="2">
        <v>385</v>
      </c>
      <c r="S52" s="2">
        <v>74</v>
      </c>
      <c r="T52" s="2">
        <v>168</v>
      </c>
      <c r="U52" s="2">
        <v>0</v>
      </c>
      <c r="V52" s="2">
        <v>0</v>
      </c>
      <c r="W52" s="2">
        <v>0</v>
      </c>
      <c r="X52" s="2">
        <v>0</v>
      </c>
      <c r="Y52" s="2">
        <v>2</v>
      </c>
      <c r="Z52" s="2">
        <v>0</v>
      </c>
      <c r="AA52" s="2">
        <v>383</v>
      </c>
      <c r="AB52" s="2" t="s">
        <v>2997</v>
      </c>
      <c r="AC52" s="2" t="s">
        <v>3054</v>
      </c>
      <c r="AD52" s="2" t="s">
        <v>3139</v>
      </c>
    </row>
    <row r="53" s="1" customFormat="1" ht="11.25" spans="1:30">
      <c r="A53" s="2" t="s">
        <v>1701</v>
      </c>
      <c r="B53" s="2" t="s">
        <v>2970</v>
      </c>
      <c r="C53" s="2" t="s">
        <v>3023</v>
      </c>
      <c r="D53" s="2" t="s">
        <v>813</v>
      </c>
      <c r="E53" s="2" t="s">
        <v>108</v>
      </c>
      <c r="F53" s="2" t="s">
        <v>168</v>
      </c>
      <c r="G53" s="2"/>
      <c r="H53" s="2" t="s">
        <v>2980</v>
      </c>
      <c r="I53" s="2"/>
      <c r="J53" s="2"/>
      <c r="K53" s="2" t="s">
        <v>1405</v>
      </c>
      <c r="L53" s="2" t="s">
        <v>3140</v>
      </c>
      <c r="M53" s="2" t="s">
        <v>2974</v>
      </c>
      <c r="N53" s="2" t="s">
        <v>908</v>
      </c>
      <c r="O53" s="2" t="s">
        <v>2975</v>
      </c>
      <c r="P53" s="2" t="s">
        <v>3141</v>
      </c>
      <c r="Q53" s="2">
        <v>0.06</v>
      </c>
      <c r="R53" s="2">
        <v>384</v>
      </c>
      <c r="S53" s="2">
        <v>6400</v>
      </c>
      <c r="T53" s="2">
        <v>0</v>
      </c>
      <c r="U53" s="2">
        <v>0</v>
      </c>
      <c r="V53" s="2">
        <v>0</v>
      </c>
      <c r="W53" s="2">
        <v>0</v>
      </c>
      <c r="X53" s="2">
        <v>0</v>
      </c>
      <c r="Y53" s="2">
        <v>0</v>
      </c>
      <c r="Z53" s="2">
        <v>0</v>
      </c>
      <c r="AA53" s="2">
        <v>384</v>
      </c>
      <c r="AB53" s="2" t="s">
        <v>3054</v>
      </c>
      <c r="AC53" s="2" t="s">
        <v>2984</v>
      </c>
      <c r="AD53" s="2"/>
    </row>
    <row r="54" s="1" customFormat="1" ht="11.25" spans="1:30">
      <c r="A54" s="2" t="s">
        <v>596</v>
      </c>
      <c r="B54" s="2" t="s">
        <v>919</v>
      </c>
      <c r="C54" s="2" t="s">
        <v>3023</v>
      </c>
      <c r="D54" s="2" t="s">
        <v>813</v>
      </c>
      <c r="E54" s="2" t="s">
        <v>96</v>
      </c>
      <c r="F54" s="2" t="s">
        <v>97</v>
      </c>
      <c r="G54" s="2"/>
      <c r="H54" s="2" t="s">
        <v>2980</v>
      </c>
      <c r="I54" s="2"/>
      <c r="J54" s="2"/>
      <c r="K54" s="2" t="s">
        <v>595</v>
      </c>
      <c r="L54" s="2" t="s">
        <v>3142</v>
      </c>
      <c r="M54" s="2" t="s">
        <v>2974</v>
      </c>
      <c r="N54" s="2" t="s">
        <v>908</v>
      </c>
      <c r="O54" s="2" t="s">
        <v>2975</v>
      </c>
      <c r="P54" s="2" t="s">
        <v>3143</v>
      </c>
      <c r="Q54" s="2">
        <v>0.27</v>
      </c>
      <c r="R54" s="2">
        <v>382</v>
      </c>
      <c r="S54" s="2">
        <v>1415</v>
      </c>
      <c r="T54" s="2">
        <v>0</v>
      </c>
      <c r="U54" s="2">
        <v>0</v>
      </c>
      <c r="V54" s="2">
        <v>0</v>
      </c>
      <c r="W54" s="2">
        <v>0</v>
      </c>
      <c r="X54" s="2">
        <v>0</v>
      </c>
      <c r="Y54" s="2">
        <v>0</v>
      </c>
      <c r="Z54" s="2">
        <v>0</v>
      </c>
      <c r="AA54" s="2">
        <v>382</v>
      </c>
      <c r="AB54" s="2" t="s">
        <v>3011</v>
      </c>
      <c r="AC54" s="2" t="s">
        <v>3144</v>
      </c>
      <c r="AD54" s="2" t="s">
        <v>3145</v>
      </c>
    </row>
    <row r="55" s="1" customFormat="1" ht="11.25" spans="1:30">
      <c r="A55" s="2" t="s">
        <v>241</v>
      </c>
      <c r="B55" s="2" t="s">
        <v>919</v>
      </c>
      <c r="C55" s="2" t="s">
        <v>2979</v>
      </c>
      <c r="D55" s="2" t="s">
        <v>813</v>
      </c>
      <c r="E55" s="2" t="s">
        <v>96</v>
      </c>
      <c r="F55" s="2" t="s">
        <v>115</v>
      </c>
      <c r="G55" s="2"/>
      <c r="H55" s="2" t="s">
        <v>2980</v>
      </c>
      <c r="I55" s="2"/>
      <c r="J55" s="2"/>
      <c r="K55" s="2" t="s">
        <v>240</v>
      </c>
      <c r="L55" s="2" t="s">
        <v>3146</v>
      </c>
      <c r="M55" s="2" t="s">
        <v>2974</v>
      </c>
      <c r="N55" s="2" t="s">
        <v>908</v>
      </c>
      <c r="O55" s="2" t="s">
        <v>2975</v>
      </c>
      <c r="P55" s="2" t="s">
        <v>3147</v>
      </c>
      <c r="Q55" s="2">
        <v>3.84</v>
      </c>
      <c r="R55" s="2">
        <v>377</v>
      </c>
      <c r="S55" s="2">
        <v>98</v>
      </c>
      <c r="T55" s="2">
        <v>1092</v>
      </c>
      <c r="U55" s="2">
        <v>0</v>
      </c>
      <c r="V55" s="2">
        <v>0</v>
      </c>
      <c r="W55" s="2">
        <v>0</v>
      </c>
      <c r="X55" s="2">
        <v>0</v>
      </c>
      <c r="Y55" s="2">
        <v>0</v>
      </c>
      <c r="Z55" s="2">
        <v>0</v>
      </c>
      <c r="AA55" s="2">
        <v>377</v>
      </c>
      <c r="AB55" s="2" t="s">
        <v>2997</v>
      </c>
      <c r="AC55" s="2" t="s">
        <v>2997</v>
      </c>
      <c r="AD55" s="2" t="s">
        <v>3148</v>
      </c>
    </row>
    <row r="56" s="1" customFormat="1" ht="11.25" spans="1:30">
      <c r="A56" s="2" t="s">
        <v>52</v>
      </c>
      <c r="B56" s="2" t="s">
        <v>919</v>
      </c>
      <c r="C56" s="2" t="s">
        <v>2979</v>
      </c>
      <c r="D56" s="2" t="s">
        <v>813</v>
      </c>
      <c r="E56" s="2" t="s">
        <v>108</v>
      </c>
      <c r="F56" s="2" t="s">
        <v>168</v>
      </c>
      <c r="G56" s="2"/>
      <c r="H56" s="2" t="s">
        <v>2980</v>
      </c>
      <c r="I56" s="2"/>
      <c r="J56" s="2"/>
      <c r="K56" s="2" t="s">
        <v>294</v>
      </c>
      <c r="L56" s="2" t="s">
        <v>3149</v>
      </c>
      <c r="M56" s="2" t="s">
        <v>2974</v>
      </c>
      <c r="N56" s="2" t="s">
        <v>908</v>
      </c>
      <c r="O56" s="2" t="s">
        <v>2975</v>
      </c>
      <c r="P56" s="2" t="s">
        <v>3150</v>
      </c>
      <c r="Q56" s="2">
        <v>5.03</v>
      </c>
      <c r="R56" s="2">
        <v>374</v>
      </c>
      <c r="S56" s="2">
        <v>74</v>
      </c>
      <c r="T56" s="2">
        <v>300</v>
      </c>
      <c r="U56" s="2">
        <v>0</v>
      </c>
      <c r="V56" s="2">
        <v>0</v>
      </c>
      <c r="W56" s="2">
        <v>0</v>
      </c>
      <c r="X56" s="2">
        <v>0</v>
      </c>
      <c r="Y56" s="2">
        <v>1</v>
      </c>
      <c r="Z56" s="2">
        <v>0</v>
      </c>
      <c r="AA56" s="2">
        <v>373</v>
      </c>
      <c r="AB56" s="2" t="s">
        <v>2997</v>
      </c>
      <c r="AC56" s="2" t="s">
        <v>2993</v>
      </c>
      <c r="AD56" s="2" t="s">
        <v>3151</v>
      </c>
    </row>
    <row r="57" s="1" customFormat="1" ht="11.25" spans="1:30">
      <c r="A57" s="2" t="s">
        <v>383</v>
      </c>
      <c r="B57" s="2" t="s">
        <v>919</v>
      </c>
      <c r="C57" s="2" t="s">
        <v>3004</v>
      </c>
      <c r="D57" s="2" t="s">
        <v>813</v>
      </c>
      <c r="E57" s="2" t="s">
        <v>96</v>
      </c>
      <c r="F57" s="2" t="s">
        <v>115</v>
      </c>
      <c r="G57" s="2"/>
      <c r="H57" s="2" t="s">
        <v>2980</v>
      </c>
      <c r="I57" s="2"/>
      <c r="J57" s="2"/>
      <c r="K57" s="2" t="s">
        <v>382</v>
      </c>
      <c r="L57" s="2" t="s">
        <v>3152</v>
      </c>
      <c r="M57" s="2" t="s">
        <v>2974</v>
      </c>
      <c r="N57" s="2" t="s">
        <v>908</v>
      </c>
      <c r="O57" s="2" t="s">
        <v>2975</v>
      </c>
      <c r="P57" s="2" t="s">
        <v>3153</v>
      </c>
      <c r="Q57" s="2">
        <v>7.96</v>
      </c>
      <c r="R57" s="2">
        <v>368</v>
      </c>
      <c r="S57" s="2">
        <v>46</v>
      </c>
      <c r="T57" s="2">
        <v>400</v>
      </c>
      <c r="U57" s="2">
        <v>0</v>
      </c>
      <c r="V57" s="2">
        <v>0</v>
      </c>
      <c r="W57" s="2">
        <v>0</v>
      </c>
      <c r="X57" s="2">
        <v>0</v>
      </c>
      <c r="Y57" s="2">
        <v>2</v>
      </c>
      <c r="Z57" s="2">
        <v>0</v>
      </c>
      <c r="AA57" s="2">
        <v>366</v>
      </c>
      <c r="AB57" s="2" t="s">
        <v>2997</v>
      </c>
      <c r="AC57" s="2" t="s">
        <v>3132</v>
      </c>
      <c r="AD57" s="2" t="s">
        <v>3012</v>
      </c>
    </row>
    <row r="58" s="1" customFormat="1" ht="11.25" spans="1:30">
      <c r="A58" s="2" t="s">
        <v>789</v>
      </c>
      <c r="B58" s="2" t="s">
        <v>919</v>
      </c>
      <c r="C58" s="2" t="s">
        <v>3004</v>
      </c>
      <c r="D58" s="2" t="s">
        <v>813</v>
      </c>
      <c r="E58" s="2" t="s">
        <v>108</v>
      </c>
      <c r="F58" s="2" t="s">
        <v>146</v>
      </c>
      <c r="G58" s="2"/>
      <c r="H58" s="2" t="s">
        <v>2980</v>
      </c>
      <c r="I58" s="2"/>
      <c r="J58" s="2"/>
      <c r="K58" s="2" t="s">
        <v>788</v>
      </c>
      <c r="L58" s="2" t="s">
        <v>3154</v>
      </c>
      <c r="M58" s="2" t="s">
        <v>2974</v>
      </c>
      <c r="N58" s="2" t="s">
        <v>908</v>
      </c>
      <c r="O58" s="2" t="s">
        <v>2975</v>
      </c>
      <c r="P58" s="2" t="s">
        <v>3155</v>
      </c>
      <c r="Q58" s="2">
        <v>9.94</v>
      </c>
      <c r="R58" s="2">
        <v>363</v>
      </c>
      <c r="S58" s="2">
        <v>37</v>
      </c>
      <c r="T58" s="2">
        <v>96</v>
      </c>
      <c r="U58" s="2">
        <v>0</v>
      </c>
      <c r="V58" s="2">
        <v>0</v>
      </c>
      <c r="W58" s="2">
        <v>0</v>
      </c>
      <c r="X58" s="2">
        <v>0</v>
      </c>
      <c r="Y58" s="2">
        <v>3</v>
      </c>
      <c r="Z58" s="2">
        <v>0</v>
      </c>
      <c r="AA58" s="2">
        <v>360</v>
      </c>
      <c r="AB58" s="2" t="s">
        <v>2997</v>
      </c>
      <c r="AC58" s="2" t="s">
        <v>3011</v>
      </c>
      <c r="AD58" s="2" t="s">
        <v>3156</v>
      </c>
    </row>
    <row r="59" s="1" customFormat="1" ht="11.25" spans="1:30">
      <c r="A59" s="2" t="s">
        <v>157</v>
      </c>
      <c r="B59" s="2" t="s">
        <v>2970</v>
      </c>
      <c r="C59" s="2" t="s">
        <v>3023</v>
      </c>
      <c r="D59" s="2" t="s">
        <v>813</v>
      </c>
      <c r="E59" s="2" t="s">
        <v>96</v>
      </c>
      <c r="F59" s="2" t="s">
        <v>97</v>
      </c>
      <c r="G59" s="2"/>
      <c r="H59" s="2" t="s">
        <v>2980</v>
      </c>
      <c r="I59" s="2"/>
      <c r="J59" s="2"/>
      <c r="K59" s="2" t="s">
        <v>156</v>
      </c>
      <c r="L59" s="2" t="s">
        <v>3157</v>
      </c>
      <c r="M59" s="2" t="s">
        <v>2974</v>
      </c>
      <c r="N59" s="2" t="s">
        <v>908</v>
      </c>
      <c r="O59" s="2" t="s">
        <v>2975</v>
      </c>
      <c r="P59" s="2" t="s">
        <v>3158</v>
      </c>
      <c r="Q59" s="2">
        <v>0.4</v>
      </c>
      <c r="R59" s="2">
        <v>361</v>
      </c>
      <c r="S59" s="2">
        <v>903</v>
      </c>
      <c r="T59" s="2">
        <v>0</v>
      </c>
      <c r="U59" s="2">
        <v>0</v>
      </c>
      <c r="V59" s="2">
        <v>0</v>
      </c>
      <c r="W59" s="2">
        <v>0</v>
      </c>
      <c r="X59" s="2">
        <v>0</v>
      </c>
      <c r="Y59" s="2">
        <v>1</v>
      </c>
      <c r="Z59" s="2">
        <v>0</v>
      </c>
      <c r="AA59" s="2">
        <v>360</v>
      </c>
      <c r="AB59" s="2" t="s">
        <v>2997</v>
      </c>
      <c r="AC59" s="2" t="s">
        <v>3054</v>
      </c>
      <c r="AD59" s="2" t="s">
        <v>3159</v>
      </c>
    </row>
    <row r="60" s="1" customFormat="1" ht="11.25" spans="1:30">
      <c r="A60" s="2" t="s">
        <v>674</v>
      </c>
      <c r="B60" s="2" t="s">
        <v>919</v>
      </c>
      <c r="C60" s="2" t="s">
        <v>3008</v>
      </c>
      <c r="D60" s="2" t="s">
        <v>813</v>
      </c>
      <c r="E60" s="2" t="s">
        <v>96</v>
      </c>
      <c r="F60" s="2" t="s">
        <v>186</v>
      </c>
      <c r="G60" s="2"/>
      <c r="H60" s="2" t="s">
        <v>2980</v>
      </c>
      <c r="I60" s="2"/>
      <c r="J60" s="2"/>
      <c r="K60" s="2" t="s">
        <v>773</v>
      </c>
      <c r="L60" s="2" t="s">
        <v>3160</v>
      </c>
      <c r="M60" s="2" t="s">
        <v>2974</v>
      </c>
      <c r="N60" s="2" t="s">
        <v>908</v>
      </c>
      <c r="O60" s="2" t="s">
        <v>2975</v>
      </c>
      <c r="P60" s="2" t="s">
        <v>3161</v>
      </c>
      <c r="Q60" s="2">
        <v>8.25</v>
      </c>
      <c r="R60" s="2">
        <v>358</v>
      </c>
      <c r="S60" s="2">
        <v>43</v>
      </c>
      <c r="T60" s="2">
        <v>450</v>
      </c>
      <c r="U60" s="2">
        <v>0</v>
      </c>
      <c r="V60" s="2">
        <v>0</v>
      </c>
      <c r="W60" s="2">
        <v>0</v>
      </c>
      <c r="X60" s="2">
        <v>0</v>
      </c>
      <c r="Y60" s="2">
        <v>3</v>
      </c>
      <c r="Z60" s="2">
        <v>0</v>
      </c>
      <c r="AA60" s="2">
        <v>355</v>
      </c>
      <c r="AB60" s="2" t="s">
        <v>2997</v>
      </c>
      <c r="AC60" s="2" t="s">
        <v>3119</v>
      </c>
      <c r="AD60" s="2" t="s">
        <v>3162</v>
      </c>
    </row>
    <row r="61" s="1" customFormat="1" ht="11.25" spans="1:30">
      <c r="A61" s="2" t="s">
        <v>822</v>
      </c>
      <c r="B61" s="2" t="s">
        <v>919</v>
      </c>
      <c r="C61" s="2" t="s">
        <v>3008</v>
      </c>
      <c r="D61" s="2" t="s">
        <v>813</v>
      </c>
      <c r="E61" s="2" t="s">
        <v>108</v>
      </c>
      <c r="F61" s="2" t="s">
        <v>278</v>
      </c>
      <c r="G61" s="2"/>
      <c r="H61" s="2" t="s">
        <v>2980</v>
      </c>
      <c r="I61" s="2"/>
      <c r="J61" s="2"/>
      <c r="K61" s="2" t="s">
        <v>821</v>
      </c>
      <c r="L61" s="2" t="s">
        <v>3163</v>
      </c>
      <c r="M61" s="2" t="s">
        <v>2974</v>
      </c>
      <c r="N61" s="2" t="s">
        <v>908</v>
      </c>
      <c r="O61" s="2" t="s">
        <v>2975</v>
      </c>
      <c r="P61" s="2" t="s">
        <v>3164</v>
      </c>
      <c r="Q61" s="2">
        <v>15.07</v>
      </c>
      <c r="R61" s="2">
        <v>356</v>
      </c>
      <c r="S61" s="2">
        <v>24</v>
      </c>
      <c r="T61" s="2">
        <v>650</v>
      </c>
      <c r="U61" s="2">
        <v>0</v>
      </c>
      <c r="V61" s="2">
        <v>0</v>
      </c>
      <c r="W61" s="2">
        <v>0</v>
      </c>
      <c r="X61" s="2">
        <v>0</v>
      </c>
      <c r="Y61" s="2">
        <v>12</v>
      </c>
      <c r="Z61" s="2">
        <v>0</v>
      </c>
      <c r="AA61" s="2">
        <v>344</v>
      </c>
      <c r="AB61" s="2" t="s">
        <v>2997</v>
      </c>
      <c r="AC61" s="2" t="s">
        <v>3054</v>
      </c>
      <c r="AD61" s="2" t="s">
        <v>3165</v>
      </c>
    </row>
    <row r="62" s="1" customFormat="1" ht="11.25" spans="1:30">
      <c r="A62" s="2" t="s">
        <v>284</v>
      </c>
      <c r="B62" s="2" t="s">
        <v>919</v>
      </c>
      <c r="C62" s="2" t="s">
        <v>3023</v>
      </c>
      <c r="D62" s="2" t="s">
        <v>813</v>
      </c>
      <c r="E62" s="2" t="s">
        <v>96</v>
      </c>
      <c r="F62" s="2" t="s">
        <v>97</v>
      </c>
      <c r="G62" s="2"/>
      <c r="H62" s="2" t="s">
        <v>2980</v>
      </c>
      <c r="I62" s="2"/>
      <c r="J62" s="2"/>
      <c r="K62" s="2" t="s">
        <v>283</v>
      </c>
      <c r="L62" s="2" t="s">
        <v>3166</v>
      </c>
      <c r="M62" s="2" t="s">
        <v>2974</v>
      </c>
      <c r="N62" s="2" t="s">
        <v>908</v>
      </c>
      <c r="O62" s="2" t="s">
        <v>2975</v>
      </c>
      <c r="P62" s="2" t="s">
        <v>3167</v>
      </c>
      <c r="Q62" s="2">
        <v>0.9</v>
      </c>
      <c r="R62" s="2">
        <v>355</v>
      </c>
      <c r="S62" s="2">
        <v>394</v>
      </c>
      <c r="T62" s="2">
        <v>0</v>
      </c>
      <c r="U62" s="2">
        <v>0</v>
      </c>
      <c r="V62" s="2">
        <v>0</v>
      </c>
      <c r="W62" s="2">
        <v>0</v>
      </c>
      <c r="X62" s="2">
        <v>0</v>
      </c>
      <c r="Y62" s="2">
        <v>0</v>
      </c>
      <c r="Z62" s="2">
        <v>0</v>
      </c>
      <c r="AA62" s="2">
        <v>355</v>
      </c>
      <c r="AB62" s="2" t="s">
        <v>3168</v>
      </c>
      <c r="AC62" s="2" t="s">
        <v>3169</v>
      </c>
      <c r="AD62" s="2" t="s">
        <v>3170</v>
      </c>
    </row>
    <row r="63" s="1" customFormat="1" ht="11.25" spans="1:30">
      <c r="A63" s="2" t="s">
        <v>627</v>
      </c>
      <c r="B63" s="2" t="s">
        <v>919</v>
      </c>
      <c r="C63" s="2" t="s">
        <v>2979</v>
      </c>
      <c r="D63" s="2" t="s">
        <v>813</v>
      </c>
      <c r="E63" s="2" t="s">
        <v>108</v>
      </c>
      <c r="F63" s="2" t="s">
        <v>168</v>
      </c>
      <c r="G63" s="2"/>
      <c r="H63" s="2" t="s">
        <v>2980</v>
      </c>
      <c r="I63" s="2"/>
      <c r="J63" s="2"/>
      <c r="K63" s="2" t="s">
        <v>626</v>
      </c>
      <c r="L63" s="2" t="s">
        <v>3171</v>
      </c>
      <c r="M63" s="2" t="s">
        <v>2974</v>
      </c>
      <c r="N63" s="2" t="s">
        <v>908</v>
      </c>
      <c r="O63" s="2" t="s">
        <v>2975</v>
      </c>
      <c r="P63" s="2" t="s">
        <v>3172</v>
      </c>
      <c r="Q63" s="2">
        <v>3.58</v>
      </c>
      <c r="R63" s="2">
        <v>354</v>
      </c>
      <c r="S63" s="2">
        <v>99</v>
      </c>
      <c r="T63" s="2">
        <v>300</v>
      </c>
      <c r="U63" s="2">
        <v>0</v>
      </c>
      <c r="V63" s="2">
        <v>0</v>
      </c>
      <c r="W63" s="2">
        <v>0</v>
      </c>
      <c r="X63" s="2">
        <v>0</v>
      </c>
      <c r="Y63" s="2">
        <v>1</v>
      </c>
      <c r="Z63" s="2">
        <v>0</v>
      </c>
      <c r="AA63" s="2">
        <v>353</v>
      </c>
      <c r="AB63" s="2" t="s">
        <v>2997</v>
      </c>
      <c r="AC63" s="2" t="s">
        <v>2997</v>
      </c>
      <c r="AD63" s="2" t="s">
        <v>3173</v>
      </c>
    </row>
    <row r="64" s="1" customFormat="1" ht="11.25" spans="1:30">
      <c r="A64" s="2" t="s">
        <v>203</v>
      </c>
      <c r="B64" s="2" t="s">
        <v>919</v>
      </c>
      <c r="C64" s="2" t="s">
        <v>2979</v>
      </c>
      <c r="D64" s="2" t="s">
        <v>813</v>
      </c>
      <c r="E64" s="2" t="s">
        <v>96</v>
      </c>
      <c r="F64" s="2" t="s">
        <v>186</v>
      </c>
      <c r="G64" s="2"/>
      <c r="H64" s="2" t="s">
        <v>2980</v>
      </c>
      <c r="I64" s="2"/>
      <c r="J64" s="2"/>
      <c r="K64" s="2" t="s">
        <v>202</v>
      </c>
      <c r="L64" s="2" t="s">
        <v>3174</v>
      </c>
      <c r="M64" s="2" t="s">
        <v>2974</v>
      </c>
      <c r="N64" s="2" t="s">
        <v>908</v>
      </c>
      <c r="O64" s="2" t="s">
        <v>2975</v>
      </c>
      <c r="P64" s="2" t="s">
        <v>3175</v>
      </c>
      <c r="Q64" s="2">
        <v>1.93</v>
      </c>
      <c r="R64" s="2">
        <v>350</v>
      </c>
      <c r="S64" s="2">
        <v>181</v>
      </c>
      <c r="T64" s="2">
        <v>0</v>
      </c>
      <c r="U64" s="2">
        <v>0</v>
      </c>
      <c r="V64" s="2">
        <v>0</v>
      </c>
      <c r="W64" s="2">
        <v>0</v>
      </c>
      <c r="X64" s="2">
        <v>0</v>
      </c>
      <c r="Y64" s="2">
        <v>3</v>
      </c>
      <c r="Z64" s="2">
        <v>0</v>
      </c>
      <c r="AA64" s="2">
        <v>347</v>
      </c>
      <c r="AB64" s="2" t="s">
        <v>2993</v>
      </c>
      <c r="AC64" s="2" t="s">
        <v>3054</v>
      </c>
      <c r="AD64" s="2" t="s">
        <v>3176</v>
      </c>
    </row>
    <row r="65" s="1" customFormat="1" ht="11.25" spans="1:30">
      <c r="A65" s="2" t="s">
        <v>251</v>
      </c>
      <c r="B65" s="2" t="s">
        <v>919</v>
      </c>
      <c r="C65" s="2" t="s">
        <v>3008</v>
      </c>
      <c r="D65" s="2" t="s">
        <v>813</v>
      </c>
      <c r="E65" s="2" t="s">
        <v>96</v>
      </c>
      <c r="F65" s="2" t="s">
        <v>127</v>
      </c>
      <c r="G65" s="2"/>
      <c r="H65" s="2" t="s">
        <v>2980</v>
      </c>
      <c r="I65" s="2"/>
      <c r="J65" s="2"/>
      <c r="K65" s="2" t="s">
        <v>249</v>
      </c>
      <c r="L65" s="2" t="s">
        <v>3177</v>
      </c>
      <c r="M65" s="2" t="s">
        <v>2974</v>
      </c>
      <c r="N65" s="2" t="s">
        <v>908</v>
      </c>
      <c r="O65" s="2" t="s">
        <v>2975</v>
      </c>
      <c r="P65" s="2" t="s">
        <v>3178</v>
      </c>
      <c r="Q65" s="2">
        <v>4.55</v>
      </c>
      <c r="R65" s="2">
        <v>349</v>
      </c>
      <c r="S65" s="2">
        <v>77</v>
      </c>
      <c r="T65" s="2">
        <v>100</v>
      </c>
      <c r="U65" s="2">
        <v>0</v>
      </c>
      <c r="V65" s="2">
        <v>0</v>
      </c>
      <c r="W65" s="2">
        <v>0</v>
      </c>
      <c r="X65" s="2">
        <v>0</v>
      </c>
      <c r="Y65" s="2">
        <v>2</v>
      </c>
      <c r="Z65" s="2">
        <v>0</v>
      </c>
      <c r="AA65" s="2">
        <v>347</v>
      </c>
      <c r="AB65" s="2" t="s">
        <v>2997</v>
      </c>
      <c r="AC65" s="2" t="s">
        <v>3179</v>
      </c>
      <c r="AD65" s="2" t="s">
        <v>3180</v>
      </c>
    </row>
    <row r="66" s="1" customFormat="1" ht="11.25" spans="1:30">
      <c r="A66" s="2" t="s">
        <v>309</v>
      </c>
      <c r="B66" s="2" t="s">
        <v>919</v>
      </c>
      <c r="C66" s="2" t="s">
        <v>3008</v>
      </c>
      <c r="D66" s="2" t="s">
        <v>813</v>
      </c>
      <c r="E66" s="2" t="s">
        <v>108</v>
      </c>
      <c r="F66" s="2" t="s">
        <v>109</v>
      </c>
      <c r="G66" s="2"/>
      <c r="H66" s="2" t="s">
        <v>2980</v>
      </c>
      <c r="I66" s="2"/>
      <c r="J66" s="2"/>
      <c r="K66" s="2" t="s">
        <v>308</v>
      </c>
      <c r="L66" s="2" t="s">
        <v>3181</v>
      </c>
      <c r="M66" s="2" t="s">
        <v>2974</v>
      </c>
      <c r="N66" s="2" t="s">
        <v>908</v>
      </c>
      <c r="O66" s="2" t="s">
        <v>2975</v>
      </c>
      <c r="P66" s="2" t="s">
        <v>3182</v>
      </c>
      <c r="Q66" s="2">
        <v>15.67</v>
      </c>
      <c r="R66" s="2">
        <v>340</v>
      </c>
      <c r="S66" s="2">
        <v>22</v>
      </c>
      <c r="T66" s="2">
        <v>515</v>
      </c>
      <c r="U66" s="2">
        <v>0</v>
      </c>
      <c r="V66" s="2">
        <v>0</v>
      </c>
      <c r="W66" s="2">
        <v>0</v>
      </c>
      <c r="X66" s="2">
        <v>0</v>
      </c>
      <c r="Y66" s="2">
        <v>3</v>
      </c>
      <c r="Z66" s="2">
        <v>0</v>
      </c>
      <c r="AA66" s="2">
        <v>337</v>
      </c>
      <c r="AB66" s="2" t="s">
        <v>2997</v>
      </c>
      <c r="AC66" s="2" t="s">
        <v>2997</v>
      </c>
      <c r="AD66" s="2" t="s">
        <v>3183</v>
      </c>
    </row>
    <row r="67" s="1" customFormat="1" ht="11.25" spans="1:30">
      <c r="A67" s="2" t="s">
        <v>302</v>
      </c>
      <c r="B67" s="2" t="s">
        <v>919</v>
      </c>
      <c r="C67" s="2" t="s">
        <v>2979</v>
      </c>
      <c r="D67" s="2" t="s">
        <v>813</v>
      </c>
      <c r="E67" s="2" t="s">
        <v>108</v>
      </c>
      <c r="F67" s="2" t="s">
        <v>927</v>
      </c>
      <c r="G67" s="2"/>
      <c r="H67" s="2" t="s">
        <v>2980</v>
      </c>
      <c r="I67" s="2"/>
      <c r="J67" s="2"/>
      <c r="K67" s="2" t="s">
        <v>1531</v>
      </c>
      <c r="L67" s="2" t="s">
        <v>3184</v>
      </c>
      <c r="M67" s="2" t="s">
        <v>2974</v>
      </c>
      <c r="N67" s="2" t="s">
        <v>908</v>
      </c>
      <c r="O67" s="2" t="s">
        <v>2975</v>
      </c>
      <c r="P67" s="2" t="s">
        <v>3185</v>
      </c>
      <c r="Q67" s="2">
        <v>2.22</v>
      </c>
      <c r="R67" s="2">
        <v>326</v>
      </c>
      <c r="S67" s="2">
        <v>147</v>
      </c>
      <c r="T67" s="2">
        <v>0</v>
      </c>
      <c r="U67" s="2">
        <v>0</v>
      </c>
      <c r="V67" s="2">
        <v>0</v>
      </c>
      <c r="W67" s="2">
        <v>0</v>
      </c>
      <c r="X67" s="2">
        <v>0</v>
      </c>
      <c r="Y67" s="2">
        <v>2</v>
      </c>
      <c r="Z67" s="2">
        <v>0</v>
      </c>
      <c r="AA67" s="2">
        <v>324</v>
      </c>
      <c r="AB67" s="2" t="s">
        <v>2993</v>
      </c>
      <c r="AC67" s="2" t="s">
        <v>3186</v>
      </c>
      <c r="AD67" s="2" t="s">
        <v>3187</v>
      </c>
    </row>
    <row r="68" s="1" customFormat="1" ht="11.25" spans="1:30">
      <c r="A68" s="2" t="s">
        <v>749</v>
      </c>
      <c r="B68" s="2" t="s">
        <v>919</v>
      </c>
      <c r="C68" s="2" t="s">
        <v>3004</v>
      </c>
      <c r="D68" s="2" t="s">
        <v>813</v>
      </c>
      <c r="E68" s="2" t="s">
        <v>108</v>
      </c>
      <c r="F68" s="2" t="s">
        <v>146</v>
      </c>
      <c r="G68" s="2"/>
      <c r="H68" s="2" t="s">
        <v>2980</v>
      </c>
      <c r="I68" s="2"/>
      <c r="J68" s="2"/>
      <c r="K68" s="2" t="s">
        <v>748</v>
      </c>
      <c r="L68" s="2" t="s">
        <v>3188</v>
      </c>
      <c r="M68" s="2" t="s">
        <v>2974</v>
      </c>
      <c r="N68" s="2" t="s">
        <v>908</v>
      </c>
      <c r="O68" s="2" t="s">
        <v>2975</v>
      </c>
      <c r="P68" s="2" t="s">
        <v>3189</v>
      </c>
      <c r="Q68" s="2">
        <v>9.21</v>
      </c>
      <c r="R68" s="2">
        <v>320</v>
      </c>
      <c r="S68" s="2">
        <v>35</v>
      </c>
      <c r="T68" s="2">
        <v>280</v>
      </c>
      <c r="U68" s="2">
        <v>0</v>
      </c>
      <c r="V68" s="2">
        <v>0</v>
      </c>
      <c r="W68" s="2">
        <v>0</v>
      </c>
      <c r="X68" s="2">
        <v>0</v>
      </c>
      <c r="Y68" s="2">
        <v>2</v>
      </c>
      <c r="Z68" s="2">
        <v>0</v>
      </c>
      <c r="AA68" s="2">
        <v>318</v>
      </c>
      <c r="AB68" s="2" t="s">
        <v>2997</v>
      </c>
      <c r="AC68" s="2" t="s">
        <v>3011</v>
      </c>
      <c r="AD68" s="2" t="s">
        <v>3190</v>
      </c>
    </row>
    <row r="69" s="1" customFormat="1" ht="11.25" spans="1:30">
      <c r="A69" s="2" t="s">
        <v>266</v>
      </c>
      <c r="B69" s="2" t="s">
        <v>919</v>
      </c>
      <c r="C69" s="2" t="s">
        <v>3008</v>
      </c>
      <c r="D69" s="2" t="s">
        <v>813</v>
      </c>
      <c r="E69" s="2" t="s">
        <v>96</v>
      </c>
      <c r="F69" s="2" t="s">
        <v>97</v>
      </c>
      <c r="G69" s="2"/>
      <c r="H69" s="2" t="s">
        <v>2980</v>
      </c>
      <c r="I69" s="2"/>
      <c r="J69" s="2"/>
      <c r="K69" s="2" t="s">
        <v>265</v>
      </c>
      <c r="L69" s="2" t="s">
        <v>3191</v>
      </c>
      <c r="M69" s="2" t="s">
        <v>2974</v>
      </c>
      <c r="N69" s="2" t="s">
        <v>908</v>
      </c>
      <c r="O69" s="2" t="s">
        <v>2975</v>
      </c>
      <c r="P69" s="2" t="s">
        <v>3192</v>
      </c>
      <c r="Q69" s="2">
        <v>3.85</v>
      </c>
      <c r="R69" s="2">
        <v>320</v>
      </c>
      <c r="S69" s="2">
        <v>83</v>
      </c>
      <c r="T69" s="2">
        <v>0</v>
      </c>
      <c r="U69" s="2">
        <v>0</v>
      </c>
      <c r="V69" s="2">
        <v>0</v>
      </c>
      <c r="W69" s="2">
        <v>0</v>
      </c>
      <c r="X69" s="2">
        <v>0</v>
      </c>
      <c r="Y69" s="2">
        <v>1</v>
      </c>
      <c r="Z69" s="2">
        <v>0</v>
      </c>
      <c r="AA69" s="2">
        <v>319</v>
      </c>
      <c r="AB69" s="2" t="s">
        <v>2997</v>
      </c>
      <c r="AC69" s="2" t="s">
        <v>2997</v>
      </c>
      <c r="AD69" s="2" t="s">
        <v>3193</v>
      </c>
    </row>
    <row r="70" s="1" customFormat="1" ht="11.25" spans="1:30">
      <c r="A70" s="2" t="s">
        <v>705</v>
      </c>
      <c r="B70" s="2" t="s">
        <v>2970</v>
      </c>
      <c r="C70" s="2" t="s">
        <v>2979</v>
      </c>
      <c r="D70" s="2" t="s">
        <v>813</v>
      </c>
      <c r="E70" s="2" t="s">
        <v>96</v>
      </c>
      <c r="F70" s="2" t="s">
        <v>115</v>
      </c>
      <c r="G70" s="2"/>
      <c r="H70" s="2" t="s">
        <v>2980</v>
      </c>
      <c r="I70" s="2"/>
      <c r="J70" s="2"/>
      <c r="K70" s="2" t="s">
        <v>703</v>
      </c>
      <c r="L70" s="2" t="s">
        <v>3194</v>
      </c>
      <c r="M70" s="2" t="s">
        <v>2974</v>
      </c>
      <c r="N70" s="2" t="s">
        <v>908</v>
      </c>
      <c r="O70" s="2" t="s">
        <v>2975</v>
      </c>
      <c r="P70" s="2" t="s">
        <v>3195</v>
      </c>
      <c r="Q70" s="2">
        <v>8.42</v>
      </c>
      <c r="R70" s="2">
        <v>296</v>
      </c>
      <c r="S70" s="2">
        <v>35</v>
      </c>
      <c r="T70" s="2">
        <v>0</v>
      </c>
      <c r="U70" s="2">
        <v>0</v>
      </c>
      <c r="V70" s="2">
        <v>0</v>
      </c>
      <c r="W70" s="2">
        <v>0</v>
      </c>
      <c r="X70" s="2">
        <v>0</v>
      </c>
      <c r="Y70" s="2">
        <v>3</v>
      </c>
      <c r="Z70" s="2">
        <v>0</v>
      </c>
      <c r="AA70" s="2">
        <v>293</v>
      </c>
      <c r="AB70" s="2" t="s">
        <v>2997</v>
      </c>
      <c r="AC70" s="2" t="s">
        <v>3196</v>
      </c>
      <c r="AD70" s="2" t="s">
        <v>3197</v>
      </c>
    </row>
    <row r="71" s="1" customFormat="1" ht="11.25" spans="1:30">
      <c r="A71" s="2" t="s">
        <v>320</v>
      </c>
      <c r="B71" s="2" t="s">
        <v>919</v>
      </c>
      <c r="C71" s="2" t="s">
        <v>3004</v>
      </c>
      <c r="D71" s="2" t="s">
        <v>813</v>
      </c>
      <c r="E71" s="2" t="s">
        <v>108</v>
      </c>
      <c r="F71" s="2" t="s">
        <v>206</v>
      </c>
      <c r="G71" s="2"/>
      <c r="H71" s="2" t="s">
        <v>2980</v>
      </c>
      <c r="I71" s="2"/>
      <c r="J71" s="2"/>
      <c r="K71" s="2" t="s">
        <v>319</v>
      </c>
      <c r="L71" s="2" t="s">
        <v>3198</v>
      </c>
      <c r="M71" s="2" t="s">
        <v>2974</v>
      </c>
      <c r="N71" s="2" t="s">
        <v>908</v>
      </c>
      <c r="O71" s="2" t="s">
        <v>2975</v>
      </c>
      <c r="P71" s="2" t="s">
        <v>3199</v>
      </c>
      <c r="Q71" s="2">
        <v>10.45</v>
      </c>
      <c r="R71" s="2">
        <v>295</v>
      </c>
      <c r="S71" s="2">
        <v>28</v>
      </c>
      <c r="T71" s="2">
        <v>400</v>
      </c>
      <c r="U71" s="2">
        <v>0</v>
      </c>
      <c r="V71" s="2">
        <v>0</v>
      </c>
      <c r="W71" s="2">
        <v>0</v>
      </c>
      <c r="X71" s="2">
        <v>0</v>
      </c>
      <c r="Y71" s="2">
        <v>0</v>
      </c>
      <c r="Z71" s="2">
        <v>0</v>
      </c>
      <c r="AA71" s="2">
        <v>295</v>
      </c>
      <c r="AB71" s="2" t="s">
        <v>2997</v>
      </c>
      <c r="AC71" s="2" t="s">
        <v>2997</v>
      </c>
      <c r="AD71" s="2" t="s">
        <v>3200</v>
      </c>
    </row>
    <row r="72" s="1" customFormat="1" ht="11.25" spans="1:30">
      <c r="A72" s="2" t="s">
        <v>647</v>
      </c>
      <c r="B72" s="2" t="s">
        <v>919</v>
      </c>
      <c r="C72" s="2" t="s">
        <v>3004</v>
      </c>
      <c r="D72" s="2" t="s">
        <v>813</v>
      </c>
      <c r="E72" s="2" t="s">
        <v>96</v>
      </c>
      <c r="F72" s="2" t="s">
        <v>115</v>
      </c>
      <c r="G72" s="2"/>
      <c r="H72" s="2" t="s">
        <v>2980</v>
      </c>
      <c r="I72" s="2"/>
      <c r="J72" s="2"/>
      <c r="K72" s="2" t="s">
        <v>634</v>
      </c>
      <c r="L72" s="2" t="s">
        <v>3201</v>
      </c>
      <c r="M72" s="2" t="s">
        <v>2974</v>
      </c>
      <c r="N72" s="2" t="s">
        <v>908</v>
      </c>
      <c r="O72" s="2" t="s">
        <v>3125</v>
      </c>
      <c r="P72" s="2" t="s">
        <v>3202</v>
      </c>
      <c r="Q72" s="2">
        <v>3.52</v>
      </c>
      <c r="R72" s="2">
        <v>294</v>
      </c>
      <c r="S72" s="2">
        <v>84</v>
      </c>
      <c r="T72" s="2">
        <v>160</v>
      </c>
      <c r="U72" s="2">
        <v>0</v>
      </c>
      <c r="V72" s="2">
        <v>0</v>
      </c>
      <c r="W72" s="2">
        <v>0</v>
      </c>
      <c r="X72" s="2">
        <v>0</v>
      </c>
      <c r="Y72" s="2">
        <v>1</v>
      </c>
      <c r="Z72" s="2">
        <v>0</v>
      </c>
      <c r="AA72" s="2">
        <v>293</v>
      </c>
      <c r="AB72" s="2" t="s">
        <v>2993</v>
      </c>
      <c r="AC72" s="2" t="s">
        <v>2997</v>
      </c>
      <c r="AD72" s="2" t="s">
        <v>3203</v>
      </c>
    </row>
    <row r="73" s="1" customFormat="1" ht="11.25" spans="1:30">
      <c r="A73" s="2" t="s">
        <v>486</v>
      </c>
      <c r="B73" s="2" t="s">
        <v>919</v>
      </c>
      <c r="C73" s="2" t="s">
        <v>2979</v>
      </c>
      <c r="D73" s="2" t="s">
        <v>813</v>
      </c>
      <c r="E73" s="2" t="s">
        <v>96</v>
      </c>
      <c r="F73" s="2" t="s">
        <v>186</v>
      </c>
      <c r="G73" s="2"/>
      <c r="H73" s="2" t="s">
        <v>2980</v>
      </c>
      <c r="I73" s="2"/>
      <c r="J73" s="2"/>
      <c r="K73" s="2" t="s">
        <v>485</v>
      </c>
      <c r="L73" s="2" t="s">
        <v>3204</v>
      </c>
      <c r="M73" s="2" t="s">
        <v>2974</v>
      </c>
      <c r="N73" s="2" t="s">
        <v>908</v>
      </c>
      <c r="O73" s="2" t="s">
        <v>2975</v>
      </c>
      <c r="P73" s="2" t="s">
        <v>3205</v>
      </c>
      <c r="Q73" s="2">
        <v>0.18</v>
      </c>
      <c r="R73" s="2">
        <v>289</v>
      </c>
      <c r="S73" s="2">
        <v>1606</v>
      </c>
      <c r="T73" s="2">
        <v>0</v>
      </c>
      <c r="U73" s="2">
        <v>0</v>
      </c>
      <c r="V73" s="2">
        <v>0</v>
      </c>
      <c r="W73" s="2">
        <v>0</v>
      </c>
      <c r="X73" s="2">
        <v>0</v>
      </c>
      <c r="Y73" s="2">
        <v>0</v>
      </c>
      <c r="Z73" s="2">
        <v>0</v>
      </c>
      <c r="AA73" s="2">
        <v>289</v>
      </c>
      <c r="AB73" s="2" t="s">
        <v>3119</v>
      </c>
      <c r="AC73" s="2" t="s">
        <v>3206</v>
      </c>
      <c r="AD73" s="2" t="s">
        <v>3207</v>
      </c>
    </row>
    <row r="74" s="1" customFormat="1" ht="11.25" spans="1:30">
      <c r="A74" s="2" t="s">
        <v>757</v>
      </c>
      <c r="B74" s="2" t="s">
        <v>919</v>
      </c>
      <c r="C74" s="2" t="s">
        <v>3004</v>
      </c>
      <c r="D74" s="2" t="s">
        <v>813</v>
      </c>
      <c r="E74" s="2" t="s">
        <v>108</v>
      </c>
      <c r="F74" s="2" t="s">
        <v>146</v>
      </c>
      <c r="G74" s="2"/>
      <c r="H74" s="2" t="s">
        <v>2980</v>
      </c>
      <c r="I74" s="2"/>
      <c r="J74" s="2"/>
      <c r="K74" s="2" t="s">
        <v>756</v>
      </c>
      <c r="L74" s="2" t="s">
        <v>3208</v>
      </c>
      <c r="M74" s="2" t="s">
        <v>2974</v>
      </c>
      <c r="N74" s="2" t="s">
        <v>908</v>
      </c>
      <c r="O74" s="2" t="s">
        <v>2975</v>
      </c>
      <c r="P74" s="2" t="s">
        <v>3209</v>
      </c>
      <c r="Q74" s="2">
        <v>11.84</v>
      </c>
      <c r="R74" s="2">
        <v>288</v>
      </c>
      <c r="S74" s="2">
        <v>24</v>
      </c>
      <c r="T74" s="2">
        <v>490</v>
      </c>
      <c r="U74" s="2">
        <v>0</v>
      </c>
      <c r="V74" s="2">
        <v>0</v>
      </c>
      <c r="W74" s="2">
        <v>0</v>
      </c>
      <c r="X74" s="2">
        <v>0</v>
      </c>
      <c r="Y74" s="2">
        <v>2</v>
      </c>
      <c r="Z74" s="2">
        <v>0</v>
      </c>
      <c r="AA74" s="2">
        <v>286</v>
      </c>
      <c r="AB74" s="2" t="s">
        <v>2997</v>
      </c>
      <c r="AC74" s="2" t="s">
        <v>2993</v>
      </c>
      <c r="AD74" s="2" t="s">
        <v>3190</v>
      </c>
    </row>
    <row r="75" s="1" customFormat="1" ht="11.25" spans="1:30">
      <c r="A75" s="2" t="s">
        <v>450</v>
      </c>
      <c r="B75" s="2" t="s">
        <v>2970</v>
      </c>
      <c r="C75" s="2" t="s">
        <v>2979</v>
      </c>
      <c r="D75" s="2" t="s">
        <v>813</v>
      </c>
      <c r="E75" s="2" t="s">
        <v>108</v>
      </c>
      <c r="F75" s="2" t="s">
        <v>109</v>
      </c>
      <c r="G75" s="2"/>
      <c r="H75" s="2" t="s">
        <v>2980</v>
      </c>
      <c r="I75" s="2"/>
      <c r="J75" s="2"/>
      <c r="K75" s="2" t="s">
        <v>449</v>
      </c>
      <c r="L75" s="2" t="s">
        <v>3210</v>
      </c>
      <c r="M75" s="2" t="s">
        <v>2974</v>
      </c>
      <c r="N75" s="2" t="s">
        <v>908</v>
      </c>
      <c r="O75" s="2" t="s">
        <v>2975</v>
      </c>
      <c r="P75" s="2" t="s">
        <v>3211</v>
      </c>
      <c r="Q75" s="2">
        <v>2.42</v>
      </c>
      <c r="R75" s="2">
        <v>281</v>
      </c>
      <c r="S75" s="2">
        <v>116</v>
      </c>
      <c r="T75" s="2">
        <v>0</v>
      </c>
      <c r="U75" s="2">
        <v>0</v>
      </c>
      <c r="V75" s="2">
        <v>0</v>
      </c>
      <c r="W75" s="2">
        <v>0</v>
      </c>
      <c r="X75" s="2">
        <v>0</v>
      </c>
      <c r="Y75" s="2">
        <v>4</v>
      </c>
      <c r="Z75" s="2">
        <v>0</v>
      </c>
      <c r="AA75" s="2">
        <v>277</v>
      </c>
      <c r="AB75" s="2" t="s">
        <v>2997</v>
      </c>
      <c r="AC75" s="2" t="s">
        <v>3212</v>
      </c>
      <c r="AD75" s="2" t="s">
        <v>3213</v>
      </c>
    </row>
    <row r="76" s="1" customFormat="1" ht="11.25" spans="1:30">
      <c r="A76" s="2" t="s">
        <v>371</v>
      </c>
      <c r="B76" s="2" t="s">
        <v>919</v>
      </c>
      <c r="C76" s="2" t="s">
        <v>3004</v>
      </c>
      <c r="D76" s="2" t="s">
        <v>813</v>
      </c>
      <c r="E76" s="2" t="s">
        <v>108</v>
      </c>
      <c r="F76" s="2" t="s">
        <v>927</v>
      </c>
      <c r="G76" s="2"/>
      <c r="H76" s="2" t="s">
        <v>2980</v>
      </c>
      <c r="I76" s="2"/>
      <c r="J76" s="2"/>
      <c r="K76" s="2" t="s">
        <v>1852</v>
      </c>
      <c r="L76" s="2" t="s">
        <v>3214</v>
      </c>
      <c r="M76" s="2" t="s">
        <v>2974</v>
      </c>
      <c r="N76" s="2" t="s">
        <v>908</v>
      </c>
      <c r="O76" s="2" t="s">
        <v>2975</v>
      </c>
      <c r="P76" s="2" t="s">
        <v>3215</v>
      </c>
      <c r="Q76" s="2">
        <v>11.08</v>
      </c>
      <c r="R76" s="2">
        <v>280</v>
      </c>
      <c r="S76" s="2">
        <v>25</v>
      </c>
      <c r="T76" s="2">
        <v>700</v>
      </c>
      <c r="U76" s="2">
        <v>0</v>
      </c>
      <c r="V76" s="2">
        <v>0</v>
      </c>
      <c r="W76" s="2">
        <v>0</v>
      </c>
      <c r="X76" s="2">
        <v>0</v>
      </c>
      <c r="Y76" s="2">
        <v>4</v>
      </c>
      <c r="Z76" s="2">
        <v>0</v>
      </c>
      <c r="AA76" s="2">
        <v>276</v>
      </c>
      <c r="AB76" s="2" t="s">
        <v>2997</v>
      </c>
      <c r="AC76" s="2" t="s">
        <v>2997</v>
      </c>
      <c r="AD76" s="2" t="s">
        <v>3216</v>
      </c>
    </row>
    <row r="77" s="1" customFormat="1" ht="11.25" spans="1:30">
      <c r="A77" s="2" t="s">
        <v>480</v>
      </c>
      <c r="B77" s="2" t="s">
        <v>919</v>
      </c>
      <c r="C77" s="2" t="s">
        <v>2979</v>
      </c>
      <c r="D77" s="2" t="s">
        <v>813</v>
      </c>
      <c r="E77" s="2" t="s">
        <v>108</v>
      </c>
      <c r="F77" s="2" t="s">
        <v>927</v>
      </c>
      <c r="G77" s="2"/>
      <c r="H77" s="2" t="s">
        <v>2980</v>
      </c>
      <c r="I77" s="2"/>
      <c r="J77" s="2"/>
      <c r="K77" s="2" t="s">
        <v>1286</v>
      </c>
      <c r="L77" s="2" t="s">
        <v>3217</v>
      </c>
      <c r="M77" s="2" t="s">
        <v>2974</v>
      </c>
      <c r="N77" s="2" t="s">
        <v>908</v>
      </c>
      <c r="O77" s="2" t="s">
        <v>2975</v>
      </c>
      <c r="P77" s="2" t="s">
        <v>3218</v>
      </c>
      <c r="Q77" s="2">
        <v>3.76</v>
      </c>
      <c r="R77" s="2">
        <v>278</v>
      </c>
      <c r="S77" s="2">
        <v>74</v>
      </c>
      <c r="T77" s="2">
        <v>0</v>
      </c>
      <c r="U77" s="2">
        <v>0</v>
      </c>
      <c r="V77" s="2">
        <v>0</v>
      </c>
      <c r="W77" s="2">
        <v>0</v>
      </c>
      <c r="X77" s="2">
        <v>0</v>
      </c>
      <c r="Y77" s="2">
        <v>1</v>
      </c>
      <c r="Z77" s="2">
        <v>0</v>
      </c>
      <c r="AA77" s="2">
        <v>277</v>
      </c>
      <c r="AB77" s="2" t="s">
        <v>2997</v>
      </c>
      <c r="AC77" s="2" t="s">
        <v>3219</v>
      </c>
      <c r="AD77" s="2" t="s">
        <v>3220</v>
      </c>
    </row>
    <row r="78" s="1" customFormat="1" ht="11.25" spans="1:30">
      <c r="A78" s="2" t="s">
        <v>167</v>
      </c>
      <c r="B78" s="2" t="s">
        <v>919</v>
      </c>
      <c r="C78" s="2" t="s">
        <v>3004</v>
      </c>
      <c r="D78" s="2" t="s">
        <v>813</v>
      </c>
      <c r="E78" s="2" t="s">
        <v>108</v>
      </c>
      <c r="F78" s="2" t="s">
        <v>109</v>
      </c>
      <c r="G78" s="2"/>
      <c r="H78" s="2" t="s">
        <v>2980</v>
      </c>
      <c r="I78" s="2"/>
      <c r="J78" s="2"/>
      <c r="K78" s="2" t="s">
        <v>166</v>
      </c>
      <c r="L78" s="2" t="s">
        <v>3221</v>
      </c>
      <c r="M78" s="2" t="s">
        <v>2974</v>
      </c>
      <c r="N78" s="2" t="s">
        <v>908</v>
      </c>
      <c r="O78" s="2" t="s">
        <v>2975</v>
      </c>
      <c r="P78" s="2" t="s">
        <v>3222</v>
      </c>
      <c r="Q78" s="2">
        <v>8.49</v>
      </c>
      <c r="R78" s="2">
        <v>278</v>
      </c>
      <c r="S78" s="2">
        <v>33</v>
      </c>
      <c r="T78" s="2">
        <v>280</v>
      </c>
      <c r="U78" s="2">
        <v>0</v>
      </c>
      <c r="V78" s="2">
        <v>0</v>
      </c>
      <c r="W78" s="2">
        <v>0</v>
      </c>
      <c r="X78" s="2">
        <v>0</v>
      </c>
      <c r="Y78" s="2">
        <v>2</v>
      </c>
      <c r="Z78" s="2">
        <v>0</v>
      </c>
      <c r="AA78" s="2">
        <v>276</v>
      </c>
      <c r="AB78" s="2" t="s">
        <v>2997</v>
      </c>
      <c r="AC78" s="2" t="s">
        <v>2997</v>
      </c>
      <c r="AD78" s="2" t="s">
        <v>3223</v>
      </c>
    </row>
    <row r="79" s="1" customFormat="1" ht="11.25" spans="1:30">
      <c r="A79" s="2" t="s">
        <v>515</v>
      </c>
      <c r="B79" s="2" t="s">
        <v>919</v>
      </c>
      <c r="C79" s="2" t="s">
        <v>3004</v>
      </c>
      <c r="D79" s="2" t="s">
        <v>813</v>
      </c>
      <c r="E79" s="2" t="s">
        <v>96</v>
      </c>
      <c r="F79" s="2" t="s">
        <v>115</v>
      </c>
      <c r="G79" s="2"/>
      <c r="H79" s="2" t="s">
        <v>2980</v>
      </c>
      <c r="I79" s="2"/>
      <c r="J79" s="2"/>
      <c r="K79" s="2" t="s">
        <v>514</v>
      </c>
      <c r="L79" s="2" t="s">
        <v>3224</v>
      </c>
      <c r="M79" s="2" t="s">
        <v>2974</v>
      </c>
      <c r="N79" s="2" t="s">
        <v>908</v>
      </c>
      <c r="O79" s="2" t="s">
        <v>2975</v>
      </c>
      <c r="P79" s="2" t="s">
        <v>3225</v>
      </c>
      <c r="Q79" s="2">
        <v>6.34</v>
      </c>
      <c r="R79" s="2">
        <v>274</v>
      </c>
      <c r="S79" s="2">
        <v>43</v>
      </c>
      <c r="T79" s="2">
        <v>180</v>
      </c>
      <c r="U79" s="2">
        <v>0</v>
      </c>
      <c r="V79" s="2">
        <v>0</v>
      </c>
      <c r="W79" s="2">
        <v>0</v>
      </c>
      <c r="X79" s="2">
        <v>0</v>
      </c>
      <c r="Y79" s="2">
        <v>0</v>
      </c>
      <c r="Z79" s="2">
        <v>0</v>
      </c>
      <c r="AA79" s="2">
        <v>274</v>
      </c>
      <c r="AB79" s="2" t="s">
        <v>2997</v>
      </c>
      <c r="AC79" s="2" t="s">
        <v>3132</v>
      </c>
      <c r="AD79" s="2" t="s">
        <v>3226</v>
      </c>
    </row>
    <row r="80" s="1" customFormat="1" ht="11.25" spans="1:30">
      <c r="A80" s="2" t="s">
        <v>9</v>
      </c>
      <c r="B80" s="2" t="s">
        <v>919</v>
      </c>
      <c r="C80" s="2" t="s">
        <v>2979</v>
      </c>
      <c r="D80" s="2" t="s">
        <v>813</v>
      </c>
      <c r="E80" s="2" t="s">
        <v>108</v>
      </c>
      <c r="F80" s="2" t="s">
        <v>146</v>
      </c>
      <c r="G80" s="2"/>
      <c r="H80" s="2" t="s">
        <v>2980</v>
      </c>
      <c r="I80" s="2"/>
      <c r="J80" s="2"/>
      <c r="K80" s="2" t="s">
        <v>8</v>
      </c>
      <c r="L80" s="2" t="s">
        <v>3227</v>
      </c>
      <c r="M80" s="2" t="s">
        <v>2974</v>
      </c>
      <c r="N80" s="2" t="s">
        <v>908</v>
      </c>
      <c r="O80" s="2" t="s">
        <v>2975</v>
      </c>
      <c r="P80" s="2" t="s">
        <v>3228</v>
      </c>
      <c r="Q80" s="2">
        <v>1.39</v>
      </c>
      <c r="R80" s="2">
        <v>271</v>
      </c>
      <c r="S80" s="2">
        <v>195</v>
      </c>
      <c r="T80" s="2">
        <v>0</v>
      </c>
      <c r="U80" s="2">
        <v>0</v>
      </c>
      <c r="V80" s="2">
        <v>0</v>
      </c>
      <c r="W80" s="2">
        <v>0</v>
      </c>
      <c r="X80" s="2">
        <v>0</v>
      </c>
      <c r="Y80" s="2">
        <v>1</v>
      </c>
      <c r="Z80" s="2">
        <v>0</v>
      </c>
      <c r="AA80" s="2">
        <v>270</v>
      </c>
      <c r="AB80" s="2" t="s">
        <v>2997</v>
      </c>
      <c r="AC80" s="2" t="s">
        <v>3229</v>
      </c>
      <c r="AD80" s="2" t="s">
        <v>3230</v>
      </c>
    </row>
    <row r="81" s="1" customFormat="1" ht="11.25" spans="1:30">
      <c r="A81" s="2" t="s">
        <v>99</v>
      </c>
      <c r="B81" s="2" t="s">
        <v>919</v>
      </c>
      <c r="C81" s="2" t="s">
        <v>3008</v>
      </c>
      <c r="D81" s="2" t="s">
        <v>813</v>
      </c>
      <c r="E81" s="2" t="s">
        <v>96</v>
      </c>
      <c r="F81" s="2" t="s">
        <v>97</v>
      </c>
      <c r="G81" s="2"/>
      <c r="H81" s="2" t="s">
        <v>2980</v>
      </c>
      <c r="I81" s="2"/>
      <c r="J81" s="2"/>
      <c r="K81" s="2" t="s">
        <v>98</v>
      </c>
      <c r="L81" s="2" t="s">
        <v>3231</v>
      </c>
      <c r="M81" s="2" t="s">
        <v>2974</v>
      </c>
      <c r="N81" s="2" t="s">
        <v>908</v>
      </c>
      <c r="O81" s="2" t="s">
        <v>2975</v>
      </c>
      <c r="P81" s="2" t="s">
        <v>3232</v>
      </c>
      <c r="Q81" s="2">
        <v>9.38</v>
      </c>
      <c r="R81" s="2">
        <v>270</v>
      </c>
      <c r="S81" s="2">
        <v>29</v>
      </c>
      <c r="T81" s="2">
        <v>490</v>
      </c>
      <c r="U81" s="2">
        <v>0</v>
      </c>
      <c r="V81" s="2">
        <v>0</v>
      </c>
      <c r="W81" s="2">
        <v>0</v>
      </c>
      <c r="X81" s="2">
        <v>0</v>
      </c>
      <c r="Y81" s="2">
        <v>1</v>
      </c>
      <c r="Z81" s="2">
        <v>0</v>
      </c>
      <c r="AA81" s="2">
        <v>269</v>
      </c>
      <c r="AB81" s="2" t="s">
        <v>2997</v>
      </c>
      <c r="AC81" s="2" t="s">
        <v>2997</v>
      </c>
      <c r="AD81" s="2" t="s">
        <v>3233</v>
      </c>
    </row>
    <row r="82" s="1" customFormat="1" ht="11.25" spans="1:30">
      <c r="A82" s="2" t="s">
        <v>699</v>
      </c>
      <c r="B82" s="2" t="s">
        <v>919</v>
      </c>
      <c r="C82" s="2" t="s">
        <v>3004</v>
      </c>
      <c r="D82" s="2" t="s">
        <v>813</v>
      </c>
      <c r="E82" s="2" t="s">
        <v>96</v>
      </c>
      <c r="F82" s="2" t="s">
        <v>186</v>
      </c>
      <c r="G82" s="2"/>
      <c r="H82" s="2" t="s">
        <v>2980</v>
      </c>
      <c r="I82" s="2"/>
      <c r="J82" s="2"/>
      <c r="K82" s="2" t="s">
        <v>698</v>
      </c>
      <c r="L82" s="2" t="s">
        <v>3234</v>
      </c>
      <c r="M82" s="2" t="s">
        <v>2974</v>
      </c>
      <c r="N82" s="2" t="s">
        <v>908</v>
      </c>
      <c r="O82" s="2" t="s">
        <v>2975</v>
      </c>
      <c r="P82" s="2" t="s">
        <v>3235</v>
      </c>
      <c r="Q82" s="2">
        <v>6.74</v>
      </c>
      <c r="R82" s="2">
        <v>257</v>
      </c>
      <c r="S82" s="2">
        <v>38</v>
      </c>
      <c r="T82" s="2">
        <v>0</v>
      </c>
      <c r="U82" s="2">
        <v>0</v>
      </c>
      <c r="V82" s="2">
        <v>0</v>
      </c>
      <c r="W82" s="2">
        <v>0</v>
      </c>
      <c r="X82" s="2">
        <v>0</v>
      </c>
      <c r="Y82" s="2">
        <v>5</v>
      </c>
      <c r="Z82" s="2">
        <v>0</v>
      </c>
      <c r="AA82" s="2">
        <v>252</v>
      </c>
      <c r="AB82" s="2" t="s">
        <v>2997</v>
      </c>
      <c r="AC82" s="2" t="s">
        <v>3132</v>
      </c>
      <c r="AD82" s="2" t="s">
        <v>3236</v>
      </c>
    </row>
    <row r="83" s="1" customFormat="1" ht="11.25" spans="1:30">
      <c r="A83" s="2" t="s">
        <v>140</v>
      </c>
      <c r="B83" s="2" t="s">
        <v>919</v>
      </c>
      <c r="C83" s="2"/>
      <c r="D83" s="2" t="s">
        <v>813</v>
      </c>
      <c r="E83" s="2" t="s">
        <v>108</v>
      </c>
      <c r="F83" s="2" t="s">
        <v>109</v>
      </c>
      <c r="G83" s="2"/>
      <c r="H83" s="2" t="s">
        <v>2980</v>
      </c>
      <c r="I83" s="2"/>
      <c r="J83" s="2"/>
      <c r="K83" s="2" t="s">
        <v>139</v>
      </c>
      <c r="L83" s="2" t="s">
        <v>3237</v>
      </c>
      <c r="M83" s="2" t="s">
        <v>2974</v>
      </c>
      <c r="N83" s="2" t="s">
        <v>908</v>
      </c>
      <c r="O83" s="2" t="s">
        <v>2975</v>
      </c>
      <c r="P83" s="2" t="s">
        <v>3238</v>
      </c>
      <c r="Q83" s="2">
        <v>20.54</v>
      </c>
      <c r="R83" s="2">
        <v>255</v>
      </c>
      <c r="S83" s="2">
        <v>12</v>
      </c>
      <c r="T83" s="2">
        <v>1776</v>
      </c>
      <c r="U83" s="2">
        <v>0</v>
      </c>
      <c r="V83" s="2">
        <v>0</v>
      </c>
      <c r="W83" s="2">
        <v>0</v>
      </c>
      <c r="X83" s="2">
        <v>0</v>
      </c>
      <c r="Y83" s="2">
        <v>8</v>
      </c>
      <c r="Z83" s="2">
        <v>0</v>
      </c>
      <c r="AA83" s="2">
        <v>247</v>
      </c>
      <c r="AB83" s="2" t="s">
        <v>2997</v>
      </c>
      <c r="AC83" s="2" t="s">
        <v>3054</v>
      </c>
      <c r="AD83" s="2" t="s">
        <v>3239</v>
      </c>
    </row>
    <row r="84" s="1" customFormat="1" ht="11.25" spans="1:30">
      <c r="A84" s="2" t="s">
        <v>582</v>
      </c>
      <c r="B84" s="2" t="s">
        <v>919</v>
      </c>
      <c r="C84" s="2" t="s">
        <v>3008</v>
      </c>
      <c r="D84" s="2" t="s">
        <v>813</v>
      </c>
      <c r="E84" s="2" t="s">
        <v>96</v>
      </c>
      <c r="F84" s="2" t="s">
        <v>127</v>
      </c>
      <c r="G84" s="2"/>
      <c r="H84" s="2" t="s">
        <v>2980</v>
      </c>
      <c r="I84" s="2"/>
      <c r="J84" s="2"/>
      <c r="K84" s="2" t="s">
        <v>581</v>
      </c>
      <c r="L84" s="2" t="s">
        <v>3240</v>
      </c>
      <c r="M84" s="2" t="s">
        <v>2974</v>
      </c>
      <c r="N84" s="2" t="s">
        <v>908</v>
      </c>
      <c r="O84" s="2" t="s">
        <v>2975</v>
      </c>
      <c r="P84" s="2" t="s">
        <v>3241</v>
      </c>
      <c r="Q84" s="2">
        <v>5.05</v>
      </c>
      <c r="R84" s="2">
        <v>248</v>
      </c>
      <c r="S84" s="2">
        <v>49</v>
      </c>
      <c r="T84" s="2">
        <v>100</v>
      </c>
      <c r="U84" s="2">
        <v>0</v>
      </c>
      <c r="V84" s="2">
        <v>0</v>
      </c>
      <c r="W84" s="2">
        <v>0</v>
      </c>
      <c r="X84" s="2">
        <v>0</v>
      </c>
      <c r="Y84" s="2">
        <v>0</v>
      </c>
      <c r="Z84" s="2">
        <v>0</v>
      </c>
      <c r="AA84" s="2">
        <v>248</v>
      </c>
      <c r="AB84" s="2" t="s">
        <v>2997</v>
      </c>
      <c r="AC84" s="2" t="s">
        <v>3054</v>
      </c>
      <c r="AD84" s="2" t="s">
        <v>3242</v>
      </c>
    </row>
    <row r="85" s="1" customFormat="1" ht="11.25" spans="1:30">
      <c r="A85" s="2" t="s">
        <v>512</v>
      </c>
      <c r="B85" s="2" t="s">
        <v>919</v>
      </c>
      <c r="C85" s="2" t="s">
        <v>2979</v>
      </c>
      <c r="D85" s="2" t="s">
        <v>813</v>
      </c>
      <c r="E85" s="2" t="s">
        <v>96</v>
      </c>
      <c r="F85" s="2" t="s">
        <v>115</v>
      </c>
      <c r="G85" s="2"/>
      <c r="H85" s="2" t="s">
        <v>2980</v>
      </c>
      <c r="I85" s="2"/>
      <c r="J85" s="2"/>
      <c r="K85" s="2" t="s">
        <v>511</v>
      </c>
      <c r="L85" s="2" t="s">
        <v>3243</v>
      </c>
      <c r="M85" s="2" t="s">
        <v>2974</v>
      </c>
      <c r="N85" s="2" t="s">
        <v>908</v>
      </c>
      <c r="O85" s="2" t="s">
        <v>2975</v>
      </c>
      <c r="P85" s="2" t="s">
        <v>3244</v>
      </c>
      <c r="Q85" s="2">
        <v>3.25</v>
      </c>
      <c r="R85" s="2">
        <v>231</v>
      </c>
      <c r="S85" s="2">
        <v>71</v>
      </c>
      <c r="T85" s="2">
        <v>0</v>
      </c>
      <c r="U85" s="2">
        <v>0</v>
      </c>
      <c r="V85" s="2">
        <v>0</v>
      </c>
      <c r="W85" s="2">
        <v>0</v>
      </c>
      <c r="X85" s="2">
        <v>0</v>
      </c>
      <c r="Y85" s="2">
        <v>1</v>
      </c>
      <c r="Z85" s="2">
        <v>0</v>
      </c>
      <c r="AA85" s="2">
        <v>230</v>
      </c>
      <c r="AB85" s="2" t="s">
        <v>2997</v>
      </c>
      <c r="AC85" s="2" t="s">
        <v>3245</v>
      </c>
      <c r="AD85" s="2" t="s">
        <v>3246</v>
      </c>
    </row>
    <row r="86" s="1" customFormat="1" ht="11.25" spans="1:30">
      <c r="A86" s="2" t="s">
        <v>199</v>
      </c>
      <c r="B86" s="2" t="s">
        <v>919</v>
      </c>
      <c r="C86" s="2" t="s">
        <v>2979</v>
      </c>
      <c r="D86" s="2" t="s">
        <v>813</v>
      </c>
      <c r="E86" s="2" t="s">
        <v>108</v>
      </c>
      <c r="F86" s="2" t="s">
        <v>146</v>
      </c>
      <c r="G86" s="2"/>
      <c r="H86" s="2" t="s">
        <v>2980</v>
      </c>
      <c r="I86" s="2"/>
      <c r="J86" s="2"/>
      <c r="K86" s="2" t="s">
        <v>198</v>
      </c>
      <c r="L86" s="2" t="s">
        <v>3247</v>
      </c>
      <c r="M86" s="2" t="s">
        <v>2974</v>
      </c>
      <c r="N86" s="2" t="s">
        <v>908</v>
      </c>
      <c r="O86" s="2" t="s">
        <v>2975</v>
      </c>
      <c r="P86" s="2" t="s">
        <v>3248</v>
      </c>
      <c r="Q86" s="2">
        <v>3.51</v>
      </c>
      <c r="R86" s="2">
        <v>231</v>
      </c>
      <c r="S86" s="2">
        <v>66</v>
      </c>
      <c r="T86" s="2">
        <v>0</v>
      </c>
      <c r="U86" s="2">
        <v>0</v>
      </c>
      <c r="V86" s="2">
        <v>0</v>
      </c>
      <c r="W86" s="2">
        <v>0</v>
      </c>
      <c r="X86" s="2">
        <v>0</v>
      </c>
      <c r="Y86" s="2">
        <v>1</v>
      </c>
      <c r="Z86" s="2">
        <v>0</v>
      </c>
      <c r="AA86" s="2">
        <v>230</v>
      </c>
      <c r="AB86" s="2" t="s">
        <v>2997</v>
      </c>
      <c r="AC86" s="2" t="s">
        <v>3249</v>
      </c>
      <c r="AD86" s="2" t="s">
        <v>3250</v>
      </c>
    </row>
    <row r="87" s="1" customFormat="1" ht="11.25" spans="1:30">
      <c r="A87" s="2" t="s">
        <v>452</v>
      </c>
      <c r="B87" s="2" t="s">
        <v>919</v>
      </c>
      <c r="C87" s="2" t="s">
        <v>2979</v>
      </c>
      <c r="D87" s="2" t="s">
        <v>813</v>
      </c>
      <c r="E87" s="2" t="s">
        <v>108</v>
      </c>
      <c r="F87" s="2" t="s">
        <v>146</v>
      </c>
      <c r="G87" s="2"/>
      <c r="H87" s="2" t="s">
        <v>2980</v>
      </c>
      <c r="I87" s="2"/>
      <c r="J87" s="2"/>
      <c r="K87" s="2" t="s">
        <v>451</v>
      </c>
      <c r="L87" s="2" t="s">
        <v>3251</v>
      </c>
      <c r="M87" s="2" t="s">
        <v>2974</v>
      </c>
      <c r="N87" s="2" t="s">
        <v>908</v>
      </c>
      <c r="O87" s="2" t="s">
        <v>2975</v>
      </c>
      <c r="P87" s="2" t="s">
        <v>3252</v>
      </c>
      <c r="Q87" s="2">
        <v>3.57</v>
      </c>
      <c r="R87" s="2">
        <v>229</v>
      </c>
      <c r="S87" s="2">
        <v>64</v>
      </c>
      <c r="T87" s="2">
        <v>64</v>
      </c>
      <c r="U87" s="2">
        <v>0</v>
      </c>
      <c r="V87" s="2">
        <v>0</v>
      </c>
      <c r="W87" s="2">
        <v>0</v>
      </c>
      <c r="X87" s="2">
        <v>0</v>
      </c>
      <c r="Y87" s="2">
        <v>0</v>
      </c>
      <c r="Z87" s="2">
        <v>0</v>
      </c>
      <c r="AA87" s="2">
        <v>229</v>
      </c>
      <c r="AB87" s="2" t="s">
        <v>2997</v>
      </c>
      <c r="AC87" s="2" t="s">
        <v>3011</v>
      </c>
      <c r="AD87" s="2" t="s">
        <v>3253</v>
      </c>
    </row>
    <row r="88" s="1" customFormat="1" ht="11.25" spans="1:30">
      <c r="A88" s="2" t="s">
        <v>326</v>
      </c>
      <c r="B88" s="2" t="s">
        <v>919</v>
      </c>
      <c r="C88" s="2" t="s">
        <v>3004</v>
      </c>
      <c r="D88" s="2" t="s">
        <v>813</v>
      </c>
      <c r="E88" s="2" t="s">
        <v>108</v>
      </c>
      <c r="F88" s="2" t="s">
        <v>206</v>
      </c>
      <c r="G88" s="2"/>
      <c r="H88" s="2" t="s">
        <v>2980</v>
      </c>
      <c r="I88" s="2"/>
      <c r="J88" s="2"/>
      <c r="K88" s="2" t="s">
        <v>325</v>
      </c>
      <c r="L88" s="2" t="s">
        <v>3254</v>
      </c>
      <c r="M88" s="2" t="s">
        <v>2974</v>
      </c>
      <c r="N88" s="2" t="s">
        <v>908</v>
      </c>
      <c r="O88" s="2" t="s">
        <v>2975</v>
      </c>
      <c r="P88" s="2" t="s">
        <v>3255</v>
      </c>
      <c r="Q88" s="2">
        <v>4.74</v>
      </c>
      <c r="R88" s="2">
        <v>228</v>
      </c>
      <c r="S88" s="2">
        <v>48</v>
      </c>
      <c r="T88" s="2">
        <v>168</v>
      </c>
      <c r="U88" s="2">
        <v>0</v>
      </c>
      <c r="V88" s="2">
        <v>0</v>
      </c>
      <c r="W88" s="2">
        <v>0</v>
      </c>
      <c r="X88" s="2">
        <v>0</v>
      </c>
      <c r="Y88" s="2">
        <v>2</v>
      </c>
      <c r="Z88" s="2">
        <v>0</v>
      </c>
      <c r="AA88" s="2">
        <v>226</v>
      </c>
      <c r="AB88" s="2" t="s">
        <v>2997</v>
      </c>
      <c r="AC88" s="2" t="s">
        <v>3054</v>
      </c>
      <c r="AD88" s="2" t="s">
        <v>3133</v>
      </c>
    </row>
    <row r="89" s="1" customFormat="1" ht="11.25" spans="1:30">
      <c r="A89" s="2" t="s">
        <v>373</v>
      </c>
      <c r="B89" s="2" t="s">
        <v>919</v>
      </c>
      <c r="C89" s="2" t="s">
        <v>3004</v>
      </c>
      <c r="D89" s="2" t="s">
        <v>813</v>
      </c>
      <c r="E89" s="2" t="s">
        <v>108</v>
      </c>
      <c r="F89" s="2" t="s">
        <v>927</v>
      </c>
      <c r="G89" s="2"/>
      <c r="H89" s="2" t="s">
        <v>2980</v>
      </c>
      <c r="I89" s="2"/>
      <c r="J89" s="2"/>
      <c r="K89" s="2" t="s">
        <v>1864</v>
      </c>
      <c r="L89" s="2" t="s">
        <v>3256</v>
      </c>
      <c r="M89" s="2" t="s">
        <v>2974</v>
      </c>
      <c r="N89" s="2" t="s">
        <v>908</v>
      </c>
      <c r="O89" s="2" t="s">
        <v>2975</v>
      </c>
      <c r="P89" s="2" t="s">
        <v>3257</v>
      </c>
      <c r="Q89" s="2">
        <v>8.77</v>
      </c>
      <c r="R89" s="2">
        <v>221</v>
      </c>
      <c r="S89" s="2">
        <v>25</v>
      </c>
      <c r="T89" s="2">
        <v>400</v>
      </c>
      <c r="U89" s="2">
        <v>0</v>
      </c>
      <c r="V89" s="2">
        <v>0</v>
      </c>
      <c r="W89" s="2">
        <v>0</v>
      </c>
      <c r="X89" s="2">
        <v>0</v>
      </c>
      <c r="Y89" s="2">
        <v>2</v>
      </c>
      <c r="Z89" s="2">
        <v>0</v>
      </c>
      <c r="AA89" s="2">
        <v>219</v>
      </c>
      <c r="AB89" s="2" t="s">
        <v>2997</v>
      </c>
      <c r="AC89" s="2" t="s">
        <v>3258</v>
      </c>
      <c r="AD89" s="2" t="s">
        <v>3259</v>
      </c>
    </row>
    <row r="90" s="1" customFormat="1" ht="11.25" spans="1:30">
      <c r="A90" s="2" t="s">
        <v>839</v>
      </c>
      <c r="B90" s="2" t="s">
        <v>2970</v>
      </c>
      <c r="C90" s="2" t="s">
        <v>2979</v>
      </c>
      <c r="D90" s="2" t="s">
        <v>813</v>
      </c>
      <c r="E90" s="2" t="s">
        <v>108</v>
      </c>
      <c r="F90" s="2" t="s">
        <v>927</v>
      </c>
      <c r="G90" s="2"/>
      <c r="H90" s="2" t="s">
        <v>2980</v>
      </c>
      <c r="I90" s="2"/>
      <c r="J90" s="2"/>
      <c r="K90" s="2" t="s">
        <v>1295</v>
      </c>
      <c r="L90" s="2" t="s">
        <v>3260</v>
      </c>
      <c r="M90" s="2" t="s">
        <v>2974</v>
      </c>
      <c r="N90" s="2" t="s">
        <v>908</v>
      </c>
      <c r="O90" s="2" t="s">
        <v>2975</v>
      </c>
      <c r="P90" s="2" t="s">
        <v>3218</v>
      </c>
      <c r="Q90" s="2">
        <v>3.76</v>
      </c>
      <c r="R90" s="2">
        <v>217</v>
      </c>
      <c r="S90" s="2">
        <v>58</v>
      </c>
      <c r="T90" s="2">
        <v>0</v>
      </c>
      <c r="U90" s="2">
        <v>0</v>
      </c>
      <c r="V90" s="2">
        <v>0</v>
      </c>
      <c r="W90" s="2">
        <v>0</v>
      </c>
      <c r="X90" s="2">
        <v>0</v>
      </c>
      <c r="Y90" s="2">
        <v>1</v>
      </c>
      <c r="Z90" s="2">
        <v>0</v>
      </c>
      <c r="AA90" s="2">
        <v>216</v>
      </c>
      <c r="AB90" s="2" t="s">
        <v>2997</v>
      </c>
      <c r="AC90" s="2" t="s">
        <v>3219</v>
      </c>
      <c r="AD90" s="2" t="s">
        <v>3261</v>
      </c>
    </row>
    <row r="91" s="1" customFormat="1" ht="11.25" spans="1:30">
      <c r="A91" s="2" t="s">
        <v>477</v>
      </c>
      <c r="B91" s="2" t="s">
        <v>2970</v>
      </c>
      <c r="C91" s="2" t="s">
        <v>2979</v>
      </c>
      <c r="D91" s="2" t="s">
        <v>813</v>
      </c>
      <c r="E91" s="2" t="s">
        <v>108</v>
      </c>
      <c r="F91" s="2" t="s">
        <v>109</v>
      </c>
      <c r="G91" s="2"/>
      <c r="H91" s="2" t="s">
        <v>2980</v>
      </c>
      <c r="I91" s="2"/>
      <c r="J91" s="2"/>
      <c r="K91" s="2" t="s">
        <v>476</v>
      </c>
      <c r="L91" s="2" t="s">
        <v>3262</v>
      </c>
      <c r="M91" s="2" t="s">
        <v>2974</v>
      </c>
      <c r="N91" s="2" t="s">
        <v>908</v>
      </c>
      <c r="O91" s="2" t="s">
        <v>2975</v>
      </c>
      <c r="P91" s="2" t="s">
        <v>3263</v>
      </c>
      <c r="Q91" s="2">
        <v>1.24</v>
      </c>
      <c r="R91" s="2">
        <v>217</v>
      </c>
      <c r="S91" s="2">
        <v>175</v>
      </c>
      <c r="T91" s="2">
        <v>0</v>
      </c>
      <c r="U91" s="2">
        <v>0</v>
      </c>
      <c r="V91" s="2">
        <v>0</v>
      </c>
      <c r="W91" s="2">
        <v>0</v>
      </c>
      <c r="X91" s="2">
        <v>0</v>
      </c>
      <c r="Y91" s="2">
        <v>0</v>
      </c>
      <c r="Z91" s="2">
        <v>0</v>
      </c>
      <c r="AA91" s="2">
        <v>217</v>
      </c>
      <c r="AB91" s="2" t="s">
        <v>2997</v>
      </c>
      <c r="AC91" s="2" t="s">
        <v>3054</v>
      </c>
      <c r="AD91" s="2" t="s">
        <v>3264</v>
      </c>
    </row>
    <row r="92" s="1" customFormat="1" ht="11.25" spans="1:30">
      <c r="A92" s="2" t="s">
        <v>820</v>
      </c>
      <c r="B92" s="2" t="s">
        <v>919</v>
      </c>
      <c r="C92" s="2" t="s">
        <v>3008</v>
      </c>
      <c r="D92" s="2" t="s">
        <v>813</v>
      </c>
      <c r="E92" s="2" t="s">
        <v>108</v>
      </c>
      <c r="F92" s="2" t="s">
        <v>278</v>
      </c>
      <c r="G92" s="2"/>
      <c r="H92" s="2" t="s">
        <v>2980</v>
      </c>
      <c r="I92" s="2"/>
      <c r="J92" s="2"/>
      <c r="K92" s="2" t="s">
        <v>819</v>
      </c>
      <c r="L92" s="2" t="s">
        <v>3265</v>
      </c>
      <c r="M92" s="2" t="s">
        <v>2974</v>
      </c>
      <c r="N92" s="2" t="s">
        <v>908</v>
      </c>
      <c r="O92" s="2" t="s">
        <v>2975</v>
      </c>
      <c r="P92" s="2" t="s">
        <v>3266</v>
      </c>
      <c r="Q92" s="2">
        <v>7.38</v>
      </c>
      <c r="R92" s="2">
        <v>216</v>
      </c>
      <c r="S92" s="2">
        <v>29</v>
      </c>
      <c r="T92" s="2">
        <v>300</v>
      </c>
      <c r="U92" s="2">
        <v>0</v>
      </c>
      <c r="V92" s="2">
        <v>0</v>
      </c>
      <c r="W92" s="2">
        <v>0</v>
      </c>
      <c r="X92" s="2">
        <v>0</v>
      </c>
      <c r="Y92" s="2">
        <v>8</v>
      </c>
      <c r="Z92" s="2">
        <v>0</v>
      </c>
      <c r="AA92" s="2">
        <v>208</v>
      </c>
      <c r="AB92" s="2" t="s">
        <v>2997</v>
      </c>
      <c r="AC92" s="2" t="s">
        <v>2997</v>
      </c>
      <c r="AD92" s="2" t="s">
        <v>3165</v>
      </c>
    </row>
    <row r="93" s="1" customFormat="1" ht="11.25" spans="1:30">
      <c r="A93" s="2" t="s">
        <v>246</v>
      </c>
      <c r="B93" s="2" t="s">
        <v>919</v>
      </c>
      <c r="C93" s="2" t="s">
        <v>3023</v>
      </c>
      <c r="D93" s="2" t="s">
        <v>813</v>
      </c>
      <c r="E93" s="2" t="s">
        <v>96</v>
      </c>
      <c r="F93" s="2" t="s">
        <v>115</v>
      </c>
      <c r="G93" s="2"/>
      <c r="H93" s="2" t="s">
        <v>2980</v>
      </c>
      <c r="I93" s="2"/>
      <c r="J93" s="2"/>
      <c r="K93" s="2" t="s">
        <v>245</v>
      </c>
      <c r="L93" s="2" t="s">
        <v>3267</v>
      </c>
      <c r="M93" s="2" t="s">
        <v>2974</v>
      </c>
      <c r="N93" s="2" t="s">
        <v>908</v>
      </c>
      <c r="O93" s="2" t="s">
        <v>2975</v>
      </c>
      <c r="P93" s="2" t="s">
        <v>3268</v>
      </c>
      <c r="Q93" s="2">
        <v>0.27</v>
      </c>
      <c r="R93" s="2">
        <v>209</v>
      </c>
      <c r="S93" s="2">
        <v>774</v>
      </c>
      <c r="T93" s="2">
        <v>0</v>
      </c>
      <c r="U93" s="2">
        <v>0</v>
      </c>
      <c r="V93" s="2">
        <v>0</v>
      </c>
      <c r="W93" s="2">
        <v>0</v>
      </c>
      <c r="X93" s="2">
        <v>0</v>
      </c>
      <c r="Y93" s="2">
        <v>0</v>
      </c>
      <c r="Z93" s="2">
        <v>0</v>
      </c>
      <c r="AA93" s="2">
        <v>209</v>
      </c>
      <c r="AB93" s="2" t="s">
        <v>3229</v>
      </c>
      <c r="AC93" s="2" t="s">
        <v>3269</v>
      </c>
      <c r="AD93" s="2" t="s">
        <v>3270</v>
      </c>
    </row>
    <row r="94" s="1" customFormat="1" ht="11.25" spans="1:30">
      <c r="A94" s="2" t="s">
        <v>401</v>
      </c>
      <c r="B94" s="2" t="s">
        <v>919</v>
      </c>
      <c r="C94" s="2" t="s">
        <v>2979</v>
      </c>
      <c r="D94" s="2" t="s">
        <v>813</v>
      </c>
      <c r="E94" s="2" t="s">
        <v>96</v>
      </c>
      <c r="F94" s="2" t="s">
        <v>186</v>
      </c>
      <c r="G94" s="2"/>
      <c r="H94" s="2" t="s">
        <v>2980</v>
      </c>
      <c r="I94" s="2"/>
      <c r="J94" s="2"/>
      <c r="K94" s="2" t="s">
        <v>400</v>
      </c>
      <c r="L94" s="2" t="s">
        <v>3271</v>
      </c>
      <c r="M94" s="2" t="s">
        <v>2974</v>
      </c>
      <c r="N94" s="2" t="s">
        <v>908</v>
      </c>
      <c r="O94" s="2" t="s">
        <v>2975</v>
      </c>
      <c r="P94" s="2" t="s">
        <v>3272</v>
      </c>
      <c r="Q94" s="2">
        <v>8.31</v>
      </c>
      <c r="R94" s="2">
        <v>206</v>
      </c>
      <c r="S94" s="2">
        <v>25</v>
      </c>
      <c r="T94" s="2">
        <v>400</v>
      </c>
      <c r="U94" s="2">
        <v>0</v>
      </c>
      <c r="V94" s="2">
        <v>0</v>
      </c>
      <c r="W94" s="2">
        <v>0</v>
      </c>
      <c r="X94" s="2">
        <v>0</v>
      </c>
      <c r="Y94" s="2">
        <v>1</v>
      </c>
      <c r="Z94" s="2">
        <v>0</v>
      </c>
      <c r="AA94" s="2">
        <v>205</v>
      </c>
      <c r="AB94" s="2" t="s">
        <v>2997</v>
      </c>
      <c r="AC94" s="2" t="s">
        <v>3179</v>
      </c>
      <c r="AD94" s="2" t="s">
        <v>3273</v>
      </c>
    </row>
    <row r="95" s="1" customFormat="1" ht="11.25" spans="1:30">
      <c r="A95" s="2" t="s">
        <v>176</v>
      </c>
      <c r="B95" s="2" t="s">
        <v>919</v>
      </c>
      <c r="C95" s="2" t="s">
        <v>3004</v>
      </c>
      <c r="D95" s="2" t="s">
        <v>813</v>
      </c>
      <c r="E95" s="2" t="s">
        <v>96</v>
      </c>
      <c r="F95" s="2" t="s">
        <v>127</v>
      </c>
      <c r="G95" s="2"/>
      <c r="H95" s="2" t="s">
        <v>2980</v>
      </c>
      <c r="I95" s="2"/>
      <c r="J95" s="2"/>
      <c r="K95" s="2" t="s">
        <v>175</v>
      </c>
      <c r="L95" s="2" t="s">
        <v>3274</v>
      </c>
      <c r="M95" s="2" t="s">
        <v>2974</v>
      </c>
      <c r="N95" s="2" t="s">
        <v>908</v>
      </c>
      <c r="O95" s="2" t="s">
        <v>2975</v>
      </c>
      <c r="P95" s="2" t="s">
        <v>3275</v>
      </c>
      <c r="Q95" s="2">
        <v>2.6</v>
      </c>
      <c r="R95" s="2">
        <v>204</v>
      </c>
      <c r="S95" s="2">
        <v>78</v>
      </c>
      <c r="T95" s="2">
        <v>240</v>
      </c>
      <c r="U95" s="2">
        <v>0</v>
      </c>
      <c r="V95" s="2">
        <v>0</v>
      </c>
      <c r="W95" s="2">
        <v>0</v>
      </c>
      <c r="X95" s="2">
        <v>0</v>
      </c>
      <c r="Y95" s="2">
        <v>7</v>
      </c>
      <c r="Z95" s="2">
        <v>0</v>
      </c>
      <c r="AA95" s="2">
        <v>197</v>
      </c>
      <c r="AB95" s="2" t="s">
        <v>2997</v>
      </c>
      <c r="AC95" s="2" t="s">
        <v>3249</v>
      </c>
      <c r="AD95" s="2" t="s">
        <v>3276</v>
      </c>
    </row>
    <row r="96" s="1" customFormat="1" ht="11.25" spans="1:30">
      <c r="A96" s="2" t="s">
        <v>159</v>
      </c>
      <c r="B96" s="2" t="s">
        <v>919</v>
      </c>
      <c r="C96" s="2" t="s">
        <v>3004</v>
      </c>
      <c r="D96" s="2" t="s">
        <v>813</v>
      </c>
      <c r="E96" s="2" t="s">
        <v>96</v>
      </c>
      <c r="F96" s="2" t="s">
        <v>127</v>
      </c>
      <c r="G96" s="2"/>
      <c r="H96" s="2" t="s">
        <v>2980</v>
      </c>
      <c r="I96" s="2"/>
      <c r="J96" s="2"/>
      <c r="K96" s="2" t="s">
        <v>158</v>
      </c>
      <c r="L96" s="2" t="s">
        <v>3277</v>
      </c>
      <c r="M96" s="2" t="s">
        <v>2974</v>
      </c>
      <c r="N96" s="2" t="s">
        <v>908</v>
      </c>
      <c r="O96" s="2" t="s">
        <v>2975</v>
      </c>
      <c r="P96" s="2" t="s">
        <v>3278</v>
      </c>
      <c r="Q96" s="2">
        <v>2.14</v>
      </c>
      <c r="R96" s="2">
        <v>191</v>
      </c>
      <c r="S96" s="2">
        <v>89</v>
      </c>
      <c r="T96" s="2">
        <v>860</v>
      </c>
      <c r="U96" s="2">
        <v>0</v>
      </c>
      <c r="V96" s="2">
        <v>0</v>
      </c>
      <c r="W96" s="2">
        <v>0</v>
      </c>
      <c r="X96" s="2">
        <v>0</v>
      </c>
      <c r="Y96" s="2">
        <v>26</v>
      </c>
      <c r="Z96" s="2">
        <v>0</v>
      </c>
      <c r="AA96" s="2">
        <v>165</v>
      </c>
      <c r="AB96" s="2" t="s">
        <v>2997</v>
      </c>
      <c r="AC96" s="2" t="s">
        <v>3249</v>
      </c>
      <c r="AD96" s="2" t="s">
        <v>3279</v>
      </c>
    </row>
    <row r="97" s="1" customFormat="1" ht="11.25" spans="1:30">
      <c r="A97" s="2" t="s">
        <v>412</v>
      </c>
      <c r="B97" s="2" t="s">
        <v>919</v>
      </c>
      <c r="C97" s="2" t="s">
        <v>2979</v>
      </c>
      <c r="D97" s="2" t="s">
        <v>813</v>
      </c>
      <c r="E97" s="2" t="s">
        <v>96</v>
      </c>
      <c r="F97" s="2" t="s">
        <v>186</v>
      </c>
      <c r="G97" s="2"/>
      <c r="H97" s="2" t="s">
        <v>2980</v>
      </c>
      <c r="I97" s="2"/>
      <c r="J97" s="2"/>
      <c r="K97" s="2" t="s">
        <v>411</v>
      </c>
      <c r="L97" s="2" t="s">
        <v>3280</v>
      </c>
      <c r="M97" s="2" t="s">
        <v>2974</v>
      </c>
      <c r="N97" s="2" t="s">
        <v>908</v>
      </c>
      <c r="O97" s="2" t="s">
        <v>2975</v>
      </c>
      <c r="P97" s="2" t="s">
        <v>3281</v>
      </c>
      <c r="Q97" s="2">
        <v>4.14</v>
      </c>
      <c r="R97" s="2">
        <v>187</v>
      </c>
      <c r="S97" s="2">
        <v>45</v>
      </c>
      <c r="T97" s="2">
        <v>0</v>
      </c>
      <c r="U97" s="2">
        <v>0</v>
      </c>
      <c r="V97" s="2">
        <v>0</v>
      </c>
      <c r="W97" s="2">
        <v>0</v>
      </c>
      <c r="X97" s="2">
        <v>0</v>
      </c>
      <c r="Y97" s="2">
        <v>1</v>
      </c>
      <c r="Z97" s="2">
        <v>0</v>
      </c>
      <c r="AA97" s="2">
        <v>186</v>
      </c>
      <c r="AB97" s="2" t="s">
        <v>2993</v>
      </c>
      <c r="AC97" s="2" t="s">
        <v>3282</v>
      </c>
      <c r="AD97" s="2" t="s">
        <v>3283</v>
      </c>
    </row>
    <row r="98" s="1" customFormat="1" ht="11.25" spans="1:30">
      <c r="A98" s="2" t="s">
        <v>759</v>
      </c>
      <c r="B98" s="2" t="s">
        <v>919</v>
      </c>
      <c r="C98" s="2" t="s">
        <v>2979</v>
      </c>
      <c r="D98" s="2" t="s">
        <v>813</v>
      </c>
      <c r="E98" s="2" t="s">
        <v>108</v>
      </c>
      <c r="F98" s="2" t="s">
        <v>146</v>
      </c>
      <c r="G98" s="2"/>
      <c r="H98" s="2" t="s">
        <v>2980</v>
      </c>
      <c r="I98" s="2"/>
      <c r="J98" s="2"/>
      <c r="K98" s="2" t="s">
        <v>758</v>
      </c>
      <c r="L98" s="2" t="s">
        <v>3284</v>
      </c>
      <c r="M98" s="2" t="s">
        <v>2974</v>
      </c>
      <c r="N98" s="2" t="s">
        <v>908</v>
      </c>
      <c r="O98" s="2" t="s">
        <v>2975</v>
      </c>
      <c r="P98" s="2" t="s">
        <v>3285</v>
      </c>
      <c r="Q98" s="2">
        <v>4.43</v>
      </c>
      <c r="R98" s="2">
        <v>185</v>
      </c>
      <c r="S98" s="2">
        <v>42</v>
      </c>
      <c r="T98" s="2">
        <v>160</v>
      </c>
      <c r="U98" s="2">
        <v>0</v>
      </c>
      <c r="V98" s="2">
        <v>0</v>
      </c>
      <c r="W98" s="2">
        <v>0</v>
      </c>
      <c r="X98" s="2">
        <v>0</v>
      </c>
      <c r="Y98" s="2">
        <v>3</v>
      </c>
      <c r="Z98" s="2">
        <v>0</v>
      </c>
      <c r="AA98" s="2">
        <v>182</v>
      </c>
      <c r="AB98" s="2" t="s">
        <v>2997</v>
      </c>
      <c r="AC98" s="2" t="s">
        <v>2993</v>
      </c>
      <c r="AD98" s="2" t="s">
        <v>3253</v>
      </c>
    </row>
    <row r="99" s="1" customFormat="1" ht="11.25" spans="1:30">
      <c r="A99" s="2" t="s">
        <v>443</v>
      </c>
      <c r="B99" s="2" t="s">
        <v>919</v>
      </c>
      <c r="C99" s="2" t="s">
        <v>2979</v>
      </c>
      <c r="D99" s="2" t="s">
        <v>813</v>
      </c>
      <c r="E99" s="2" t="s">
        <v>108</v>
      </c>
      <c r="F99" s="2" t="s">
        <v>109</v>
      </c>
      <c r="G99" s="2"/>
      <c r="H99" s="2" t="s">
        <v>2980</v>
      </c>
      <c r="I99" s="2"/>
      <c r="J99" s="2"/>
      <c r="K99" s="2" t="s">
        <v>442</v>
      </c>
      <c r="L99" s="2" t="s">
        <v>3286</v>
      </c>
      <c r="M99" s="2" t="s">
        <v>2974</v>
      </c>
      <c r="N99" s="2" t="s">
        <v>908</v>
      </c>
      <c r="O99" s="2" t="s">
        <v>2975</v>
      </c>
      <c r="P99" s="2" t="s">
        <v>3287</v>
      </c>
      <c r="Q99" s="2">
        <v>5.57</v>
      </c>
      <c r="R99" s="2">
        <v>180</v>
      </c>
      <c r="S99" s="2">
        <v>32</v>
      </c>
      <c r="T99" s="2">
        <v>200</v>
      </c>
      <c r="U99" s="2">
        <v>0</v>
      </c>
      <c r="V99" s="2">
        <v>0</v>
      </c>
      <c r="W99" s="2">
        <v>0</v>
      </c>
      <c r="X99" s="2">
        <v>0</v>
      </c>
      <c r="Y99" s="2">
        <v>4</v>
      </c>
      <c r="Z99" s="2">
        <v>0</v>
      </c>
      <c r="AA99" s="2">
        <v>176</v>
      </c>
      <c r="AB99" s="2" t="s">
        <v>2997</v>
      </c>
      <c r="AC99" s="2" t="s">
        <v>3011</v>
      </c>
      <c r="AD99" s="2" t="s">
        <v>3288</v>
      </c>
    </row>
    <row r="100" s="1" customFormat="1" ht="11.25" spans="1:30">
      <c r="A100" s="2" t="s">
        <v>148</v>
      </c>
      <c r="B100" s="2" t="s">
        <v>919</v>
      </c>
      <c r="C100" s="2" t="s">
        <v>2979</v>
      </c>
      <c r="D100" s="2" t="s">
        <v>813</v>
      </c>
      <c r="E100" s="2" t="s">
        <v>108</v>
      </c>
      <c r="F100" s="2" t="s">
        <v>146</v>
      </c>
      <c r="G100" s="2"/>
      <c r="H100" s="2" t="s">
        <v>2980</v>
      </c>
      <c r="I100" s="2"/>
      <c r="J100" s="2"/>
      <c r="K100" s="2" t="s">
        <v>147</v>
      </c>
      <c r="L100" s="2" t="s">
        <v>3289</v>
      </c>
      <c r="M100" s="2" t="s">
        <v>2974</v>
      </c>
      <c r="N100" s="2" t="s">
        <v>908</v>
      </c>
      <c r="O100" s="2" t="s">
        <v>2975</v>
      </c>
      <c r="P100" s="2" t="s">
        <v>3290</v>
      </c>
      <c r="Q100" s="2">
        <v>1.06</v>
      </c>
      <c r="R100" s="2">
        <v>172</v>
      </c>
      <c r="S100" s="2">
        <v>162</v>
      </c>
      <c r="T100" s="2">
        <v>50</v>
      </c>
      <c r="U100" s="2">
        <v>0</v>
      </c>
      <c r="V100" s="2">
        <v>0</v>
      </c>
      <c r="W100" s="2">
        <v>0</v>
      </c>
      <c r="X100" s="2">
        <v>0</v>
      </c>
      <c r="Y100" s="2">
        <v>0</v>
      </c>
      <c r="Z100" s="2">
        <v>0</v>
      </c>
      <c r="AA100" s="2">
        <v>172</v>
      </c>
      <c r="AB100" s="2" t="s">
        <v>2997</v>
      </c>
      <c r="AC100" s="2" t="s">
        <v>2997</v>
      </c>
      <c r="AD100" s="2" t="s">
        <v>3291</v>
      </c>
    </row>
    <row r="101" s="1" customFormat="1" ht="11.25" spans="1:30">
      <c r="A101" s="2" t="s">
        <v>666</v>
      </c>
      <c r="B101" s="2" t="s">
        <v>919</v>
      </c>
      <c r="C101" s="2" t="s">
        <v>2979</v>
      </c>
      <c r="D101" s="2" t="s">
        <v>813</v>
      </c>
      <c r="E101" s="2" t="s">
        <v>96</v>
      </c>
      <c r="F101" s="2" t="s">
        <v>97</v>
      </c>
      <c r="G101" s="2"/>
      <c r="H101" s="2" t="s">
        <v>2980</v>
      </c>
      <c r="I101" s="2"/>
      <c r="J101" s="2"/>
      <c r="K101" s="2" t="s">
        <v>665</v>
      </c>
      <c r="L101" s="2" t="s">
        <v>3292</v>
      </c>
      <c r="M101" s="2" t="s">
        <v>2974</v>
      </c>
      <c r="N101" s="2" t="s">
        <v>908</v>
      </c>
      <c r="O101" s="2" t="s">
        <v>2975</v>
      </c>
      <c r="P101" s="2" t="s">
        <v>3293</v>
      </c>
      <c r="Q101" s="2">
        <v>1.01</v>
      </c>
      <c r="R101" s="2">
        <v>166</v>
      </c>
      <c r="S101" s="2">
        <v>164</v>
      </c>
      <c r="T101" s="2">
        <v>200</v>
      </c>
      <c r="U101" s="2">
        <v>0</v>
      </c>
      <c r="V101" s="2">
        <v>0</v>
      </c>
      <c r="W101" s="2">
        <v>0</v>
      </c>
      <c r="X101" s="2">
        <v>0</v>
      </c>
      <c r="Y101" s="2">
        <v>6</v>
      </c>
      <c r="Z101" s="2">
        <v>0</v>
      </c>
      <c r="AA101" s="2">
        <v>160</v>
      </c>
      <c r="AB101" s="2" t="s">
        <v>3249</v>
      </c>
      <c r="AC101" s="2" t="s">
        <v>2997</v>
      </c>
      <c r="AD101" s="2" t="s">
        <v>3294</v>
      </c>
    </row>
    <row r="102" s="1" customFormat="1" ht="11.25" spans="1:30">
      <c r="A102" s="2" t="s">
        <v>717</v>
      </c>
      <c r="B102" s="2" t="s">
        <v>2970</v>
      </c>
      <c r="C102" s="2" t="s">
        <v>2979</v>
      </c>
      <c r="D102" s="2" t="s">
        <v>813</v>
      </c>
      <c r="E102" s="2" t="s">
        <v>96</v>
      </c>
      <c r="F102" s="2" t="s">
        <v>97</v>
      </c>
      <c r="G102" s="2"/>
      <c r="H102" s="2" t="s">
        <v>2980</v>
      </c>
      <c r="I102" s="2"/>
      <c r="J102" s="2"/>
      <c r="K102" s="2" t="s">
        <v>716</v>
      </c>
      <c r="L102" s="2" t="s">
        <v>3295</v>
      </c>
      <c r="M102" s="2" t="s">
        <v>2974</v>
      </c>
      <c r="N102" s="2" t="s">
        <v>908</v>
      </c>
      <c r="O102" s="2" t="s">
        <v>2975</v>
      </c>
      <c r="P102" s="2" t="s">
        <v>3296</v>
      </c>
      <c r="Q102" s="2">
        <v>1.9</v>
      </c>
      <c r="R102" s="2">
        <v>164</v>
      </c>
      <c r="S102" s="2">
        <v>86</v>
      </c>
      <c r="T102" s="2">
        <v>0</v>
      </c>
      <c r="U102" s="2">
        <v>0</v>
      </c>
      <c r="V102" s="2">
        <v>0</v>
      </c>
      <c r="W102" s="2">
        <v>0</v>
      </c>
      <c r="X102" s="2">
        <v>0</v>
      </c>
      <c r="Y102" s="2">
        <v>1</v>
      </c>
      <c r="Z102" s="2">
        <v>0</v>
      </c>
      <c r="AA102" s="2">
        <v>163</v>
      </c>
      <c r="AB102" s="2" t="s">
        <v>2993</v>
      </c>
      <c r="AC102" s="2" t="s">
        <v>3169</v>
      </c>
      <c r="AD102" s="2" t="s">
        <v>3297</v>
      </c>
    </row>
    <row r="103" s="1" customFormat="1" ht="11.25" spans="1:30">
      <c r="A103" s="2" t="s">
        <v>655</v>
      </c>
      <c r="B103" s="2" t="s">
        <v>919</v>
      </c>
      <c r="C103" s="2" t="s">
        <v>2979</v>
      </c>
      <c r="D103" s="2" t="s">
        <v>813</v>
      </c>
      <c r="E103" s="2" t="s">
        <v>96</v>
      </c>
      <c r="F103" s="2" t="s">
        <v>115</v>
      </c>
      <c r="G103" s="2"/>
      <c r="H103" s="2" t="s">
        <v>2980</v>
      </c>
      <c r="I103" s="2"/>
      <c r="J103" s="2"/>
      <c r="K103" s="2" t="s">
        <v>654</v>
      </c>
      <c r="L103" s="2" t="s">
        <v>3298</v>
      </c>
      <c r="M103" s="2" t="s">
        <v>2974</v>
      </c>
      <c r="N103" s="2" t="s">
        <v>908</v>
      </c>
      <c r="O103" s="2" t="s">
        <v>2975</v>
      </c>
      <c r="P103" s="2" t="s">
        <v>3299</v>
      </c>
      <c r="Q103" s="2">
        <v>1.22</v>
      </c>
      <c r="R103" s="2">
        <v>159</v>
      </c>
      <c r="S103" s="2">
        <v>130</v>
      </c>
      <c r="T103" s="2">
        <v>0</v>
      </c>
      <c r="U103" s="2">
        <v>0</v>
      </c>
      <c r="V103" s="2">
        <v>0</v>
      </c>
      <c r="W103" s="2">
        <v>0</v>
      </c>
      <c r="X103" s="2">
        <v>0</v>
      </c>
      <c r="Y103" s="2">
        <v>0</v>
      </c>
      <c r="Z103" s="2">
        <v>0</v>
      </c>
      <c r="AA103" s="2">
        <v>159</v>
      </c>
      <c r="AB103" s="2" t="s">
        <v>2997</v>
      </c>
      <c r="AC103" s="2" t="s">
        <v>2993</v>
      </c>
      <c r="AD103" s="2" t="s">
        <v>3197</v>
      </c>
    </row>
    <row r="104" s="1" customFormat="1" ht="11.25" spans="1:30">
      <c r="A104" s="2" t="s">
        <v>138</v>
      </c>
      <c r="B104" s="2" t="s">
        <v>919</v>
      </c>
      <c r="C104" s="2" t="s">
        <v>2979</v>
      </c>
      <c r="D104" s="2" t="s">
        <v>813</v>
      </c>
      <c r="E104" s="2" t="s">
        <v>108</v>
      </c>
      <c r="F104" s="2" t="s">
        <v>927</v>
      </c>
      <c r="G104" s="2"/>
      <c r="H104" s="2" t="s">
        <v>2980</v>
      </c>
      <c r="I104" s="2"/>
      <c r="J104" s="2"/>
      <c r="K104" s="2" t="s">
        <v>1987</v>
      </c>
      <c r="L104" s="2" t="s">
        <v>3300</v>
      </c>
      <c r="M104" s="2" t="s">
        <v>2974</v>
      </c>
      <c r="N104" s="2" t="s">
        <v>908</v>
      </c>
      <c r="O104" s="2" t="s">
        <v>2975</v>
      </c>
      <c r="P104" s="2" t="s">
        <v>3301</v>
      </c>
      <c r="Q104" s="2">
        <v>3.99</v>
      </c>
      <c r="R104" s="2">
        <v>157</v>
      </c>
      <c r="S104" s="2">
        <v>39</v>
      </c>
      <c r="T104" s="2">
        <v>60</v>
      </c>
      <c r="U104" s="2">
        <v>0</v>
      </c>
      <c r="V104" s="2">
        <v>0</v>
      </c>
      <c r="W104" s="2">
        <v>0</v>
      </c>
      <c r="X104" s="2">
        <v>0</v>
      </c>
      <c r="Y104" s="2">
        <v>0</v>
      </c>
      <c r="Z104" s="2">
        <v>0</v>
      </c>
      <c r="AA104" s="2">
        <v>157</v>
      </c>
      <c r="AB104" s="2" t="s">
        <v>2997</v>
      </c>
      <c r="AC104" s="2" t="s">
        <v>2997</v>
      </c>
      <c r="AD104" s="2" t="s">
        <v>3302</v>
      </c>
    </row>
    <row r="105" s="1" customFormat="1" ht="11.25" spans="1:30">
      <c r="A105" s="2" t="s">
        <v>232</v>
      </c>
      <c r="B105" s="2" t="s">
        <v>919</v>
      </c>
      <c r="C105" s="2" t="s">
        <v>3004</v>
      </c>
      <c r="D105" s="2" t="s">
        <v>813</v>
      </c>
      <c r="E105" s="2" t="s">
        <v>96</v>
      </c>
      <c r="F105" s="2" t="s">
        <v>186</v>
      </c>
      <c r="G105" s="2"/>
      <c r="H105" s="2" t="s">
        <v>2980</v>
      </c>
      <c r="I105" s="2"/>
      <c r="J105" s="2"/>
      <c r="K105" s="2" t="s">
        <v>231</v>
      </c>
      <c r="L105" s="2" t="s">
        <v>3303</v>
      </c>
      <c r="M105" s="2" t="s">
        <v>2974</v>
      </c>
      <c r="N105" s="2" t="s">
        <v>908</v>
      </c>
      <c r="O105" s="2" t="s">
        <v>2975</v>
      </c>
      <c r="P105" s="2" t="s">
        <v>3304</v>
      </c>
      <c r="Q105" s="2">
        <v>8.6</v>
      </c>
      <c r="R105" s="2">
        <v>150</v>
      </c>
      <c r="S105" s="2">
        <v>17</v>
      </c>
      <c r="T105" s="2">
        <v>480</v>
      </c>
      <c r="U105" s="2">
        <v>0</v>
      </c>
      <c r="V105" s="2">
        <v>0</v>
      </c>
      <c r="W105" s="2">
        <v>0</v>
      </c>
      <c r="X105" s="2">
        <v>0</v>
      </c>
      <c r="Y105" s="2">
        <v>2</v>
      </c>
      <c r="Z105" s="2">
        <v>0</v>
      </c>
      <c r="AA105" s="2">
        <v>148</v>
      </c>
      <c r="AB105" s="2" t="s">
        <v>2997</v>
      </c>
      <c r="AC105" s="2" t="s">
        <v>3219</v>
      </c>
      <c r="AD105" s="2" t="s">
        <v>3305</v>
      </c>
    </row>
    <row r="106" s="1" customFormat="1" ht="11.25" spans="1:30">
      <c r="A106" s="2" t="s">
        <v>458</v>
      </c>
      <c r="B106" s="2" t="s">
        <v>919</v>
      </c>
      <c r="C106" s="2" t="s">
        <v>2979</v>
      </c>
      <c r="D106" s="2" t="s">
        <v>813</v>
      </c>
      <c r="E106" s="2" t="s">
        <v>96</v>
      </c>
      <c r="F106" s="2" t="s">
        <v>97</v>
      </c>
      <c r="G106" s="2"/>
      <c r="H106" s="2" t="s">
        <v>2980</v>
      </c>
      <c r="I106" s="2"/>
      <c r="J106" s="2"/>
      <c r="K106" s="2" t="s">
        <v>457</v>
      </c>
      <c r="L106" s="2" t="s">
        <v>3306</v>
      </c>
      <c r="M106" s="2" t="s">
        <v>2974</v>
      </c>
      <c r="N106" s="2" t="s">
        <v>908</v>
      </c>
      <c r="O106" s="2" t="s">
        <v>2975</v>
      </c>
      <c r="P106" s="2" t="s">
        <v>3307</v>
      </c>
      <c r="Q106" s="2">
        <v>1.39</v>
      </c>
      <c r="R106" s="2">
        <v>148</v>
      </c>
      <c r="S106" s="2">
        <v>106</v>
      </c>
      <c r="T106" s="2">
        <v>0</v>
      </c>
      <c r="U106" s="2">
        <v>0</v>
      </c>
      <c r="V106" s="2">
        <v>0</v>
      </c>
      <c r="W106" s="2">
        <v>0</v>
      </c>
      <c r="X106" s="2">
        <v>0</v>
      </c>
      <c r="Y106" s="2">
        <v>0</v>
      </c>
      <c r="Z106" s="2">
        <v>0</v>
      </c>
      <c r="AA106" s="2">
        <v>148</v>
      </c>
      <c r="AB106" s="2" t="s">
        <v>2997</v>
      </c>
      <c r="AC106" s="2" t="s">
        <v>3219</v>
      </c>
      <c r="AD106" s="2" t="s">
        <v>3308</v>
      </c>
    </row>
    <row r="107" s="1" customFormat="1" ht="11.25" spans="1:30">
      <c r="A107" s="2" t="s">
        <v>353</v>
      </c>
      <c r="B107" s="2" t="s">
        <v>919</v>
      </c>
      <c r="C107" s="2" t="s">
        <v>3004</v>
      </c>
      <c r="D107" s="2" t="s">
        <v>813</v>
      </c>
      <c r="E107" s="2" t="s">
        <v>108</v>
      </c>
      <c r="F107" s="2" t="s">
        <v>109</v>
      </c>
      <c r="G107" s="2"/>
      <c r="H107" s="2" t="s">
        <v>2980</v>
      </c>
      <c r="I107" s="2"/>
      <c r="J107" s="2"/>
      <c r="K107" s="2" t="s">
        <v>352</v>
      </c>
      <c r="L107" s="2" t="s">
        <v>3309</v>
      </c>
      <c r="M107" s="2" t="s">
        <v>2974</v>
      </c>
      <c r="N107" s="2" t="s">
        <v>908</v>
      </c>
      <c r="O107" s="2" t="s">
        <v>2975</v>
      </c>
      <c r="P107" s="2" t="s">
        <v>3310</v>
      </c>
      <c r="Q107" s="2">
        <v>6.38</v>
      </c>
      <c r="R107" s="2">
        <v>148</v>
      </c>
      <c r="S107" s="2">
        <v>23</v>
      </c>
      <c r="T107" s="2">
        <v>280</v>
      </c>
      <c r="U107" s="2">
        <v>0</v>
      </c>
      <c r="V107" s="2">
        <v>0</v>
      </c>
      <c r="W107" s="2">
        <v>0</v>
      </c>
      <c r="X107" s="2">
        <v>0</v>
      </c>
      <c r="Y107" s="2">
        <v>0</v>
      </c>
      <c r="Z107" s="2">
        <v>0</v>
      </c>
      <c r="AA107" s="2">
        <v>148</v>
      </c>
      <c r="AB107" s="2" t="s">
        <v>2997</v>
      </c>
      <c r="AC107" s="2" t="s">
        <v>3054</v>
      </c>
      <c r="AD107" s="2" t="s">
        <v>3311</v>
      </c>
    </row>
    <row r="108" s="1" customFormat="1" ht="11.25" spans="1:30">
      <c r="A108" s="2" t="s">
        <v>432</v>
      </c>
      <c r="B108" s="2" t="s">
        <v>919</v>
      </c>
      <c r="C108" s="2" t="s">
        <v>2979</v>
      </c>
      <c r="D108" s="2" t="s">
        <v>813</v>
      </c>
      <c r="E108" s="2" t="s">
        <v>96</v>
      </c>
      <c r="F108" s="2" t="s">
        <v>115</v>
      </c>
      <c r="G108" s="2"/>
      <c r="H108" s="2" t="s">
        <v>2980</v>
      </c>
      <c r="I108" s="2"/>
      <c r="J108" s="2"/>
      <c r="K108" s="2" t="s">
        <v>431</v>
      </c>
      <c r="L108" s="2" t="s">
        <v>3312</v>
      </c>
      <c r="M108" s="2" t="s">
        <v>2974</v>
      </c>
      <c r="N108" s="2" t="s">
        <v>908</v>
      </c>
      <c r="O108" s="2" t="s">
        <v>2975</v>
      </c>
      <c r="P108" s="2" t="s">
        <v>3313</v>
      </c>
      <c r="Q108" s="2">
        <v>0.1</v>
      </c>
      <c r="R108" s="2">
        <v>148</v>
      </c>
      <c r="S108" s="2">
        <v>1480</v>
      </c>
      <c r="T108" s="2">
        <v>0</v>
      </c>
      <c r="U108" s="2">
        <v>0</v>
      </c>
      <c r="V108" s="2">
        <v>0</v>
      </c>
      <c r="W108" s="2">
        <v>0</v>
      </c>
      <c r="X108" s="2">
        <v>0</v>
      </c>
      <c r="Y108" s="2">
        <v>0</v>
      </c>
      <c r="Z108" s="2">
        <v>0</v>
      </c>
      <c r="AA108" s="2">
        <v>148</v>
      </c>
      <c r="AB108" s="2" t="s">
        <v>3179</v>
      </c>
      <c r="AC108" s="2" t="s">
        <v>3065</v>
      </c>
      <c r="AD108" s="2" t="s">
        <v>3116</v>
      </c>
    </row>
    <row r="109" s="1" customFormat="1" ht="11.25" spans="1:30">
      <c r="A109" s="2" t="s">
        <v>490</v>
      </c>
      <c r="B109" s="2" t="s">
        <v>919</v>
      </c>
      <c r="C109" s="2" t="s">
        <v>2979</v>
      </c>
      <c r="D109" s="2" t="s">
        <v>813</v>
      </c>
      <c r="E109" s="2" t="s">
        <v>96</v>
      </c>
      <c r="F109" s="2" t="s">
        <v>115</v>
      </c>
      <c r="G109" s="2"/>
      <c r="H109" s="2" t="s">
        <v>2980</v>
      </c>
      <c r="I109" s="2"/>
      <c r="J109" s="2"/>
      <c r="K109" s="2" t="s">
        <v>489</v>
      </c>
      <c r="L109" s="2" t="s">
        <v>3314</v>
      </c>
      <c r="M109" s="2" t="s">
        <v>2974</v>
      </c>
      <c r="N109" s="2" t="s">
        <v>908</v>
      </c>
      <c r="O109" s="2" t="s">
        <v>2975</v>
      </c>
      <c r="P109" s="2" t="s">
        <v>3315</v>
      </c>
      <c r="Q109" s="2">
        <v>0.32</v>
      </c>
      <c r="R109" s="2">
        <v>148</v>
      </c>
      <c r="S109" s="2">
        <v>463</v>
      </c>
      <c r="T109" s="2">
        <v>0</v>
      </c>
      <c r="U109" s="2">
        <v>0</v>
      </c>
      <c r="V109" s="2">
        <v>0</v>
      </c>
      <c r="W109" s="2">
        <v>0</v>
      </c>
      <c r="X109" s="2">
        <v>0</v>
      </c>
      <c r="Y109" s="2">
        <v>0</v>
      </c>
      <c r="Z109" s="2">
        <v>0</v>
      </c>
      <c r="AA109" s="2">
        <v>148</v>
      </c>
      <c r="AB109" s="2" t="s">
        <v>3316</v>
      </c>
      <c r="AC109" s="2" t="s">
        <v>3196</v>
      </c>
      <c r="AD109" s="2" t="s">
        <v>3197</v>
      </c>
    </row>
    <row r="110" s="1" customFormat="1" ht="11.25" spans="1:30">
      <c r="A110" s="2" t="s">
        <v>375</v>
      </c>
      <c r="B110" s="2" t="s">
        <v>919</v>
      </c>
      <c r="C110" s="2" t="s">
        <v>3004</v>
      </c>
      <c r="D110" s="2" t="s">
        <v>813</v>
      </c>
      <c r="E110" s="2" t="s">
        <v>108</v>
      </c>
      <c r="F110" s="2" t="s">
        <v>206</v>
      </c>
      <c r="G110" s="2"/>
      <c r="H110" s="2" t="s">
        <v>2980</v>
      </c>
      <c r="I110" s="2"/>
      <c r="J110" s="2"/>
      <c r="K110" s="2" t="s">
        <v>374</v>
      </c>
      <c r="L110" s="2" t="s">
        <v>3317</v>
      </c>
      <c r="M110" s="2" t="s">
        <v>2974</v>
      </c>
      <c r="N110" s="2" t="s">
        <v>908</v>
      </c>
      <c r="O110" s="2" t="s">
        <v>2975</v>
      </c>
      <c r="P110" s="2" t="s">
        <v>3318</v>
      </c>
      <c r="Q110" s="2">
        <v>4.6</v>
      </c>
      <c r="R110" s="2">
        <v>145</v>
      </c>
      <c r="S110" s="2">
        <v>32</v>
      </c>
      <c r="T110" s="2">
        <v>120</v>
      </c>
      <c r="U110" s="2">
        <v>0</v>
      </c>
      <c r="V110" s="2">
        <v>0</v>
      </c>
      <c r="W110" s="2">
        <v>0</v>
      </c>
      <c r="X110" s="2">
        <v>0</v>
      </c>
      <c r="Y110" s="2">
        <v>1</v>
      </c>
      <c r="Z110" s="2">
        <v>0</v>
      </c>
      <c r="AA110" s="2">
        <v>144</v>
      </c>
      <c r="AB110" s="2" t="s">
        <v>2997</v>
      </c>
      <c r="AC110" s="2" t="s">
        <v>3054</v>
      </c>
      <c r="AD110" s="2" t="s">
        <v>3319</v>
      </c>
    </row>
    <row r="111" s="1" customFormat="1" ht="11.25" spans="1:30">
      <c r="A111" s="2" t="s">
        <v>781</v>
      </c>
      <c r="B111" s="2" t="s">
        <v>919</v>
      </c>
      <c r="C111" s="2" t="s">
        <v>2979</v>
      </c>
      <c r="D111" s="2" t="s">
        <v>813</v>
      </c>
      <c r="E111" s="2" t="s">
        <v>96</v>
      </c>
      <c r="F111" s="2" t="s">
        <v>186</v>
      </c>
      <c r="G111" s="2"/>
      <c r="H111" s="2" t="s">
        <v>2980</v>
      </c>
      <c r="I111" s="2"/>
      <c r="J111" s="2"/>
      <c r="K111" s="2" t="s">
        <v>780</v>
      </c>
      <c r="L111" s="2" t="s">
        <v>3320</v>
      </c>
      <c r="M111" s="2" t="s">
        <v>2974</v>
      </c>
      <c r="N111" s="2" t="s">
        <v>908</v>
      </c>
      <c r="O111" s="2" t="s">
        <v>2975</v>
      </c>
      <c r="P111" s="2" t="s">
        <v>3321</v>
      </c>
      <c r="Q111" s="2">
        <v>3.07</v>
      </c>
      <c r="R111" s="2">
        <v>143</v>
      </c>
      <c r="S111" s="2">
        <v>47</v>
      </c>
      <c r="T111" s="2">
        <v>150</v>
      </c>
      <c r="U111" s="2">
        <v>0</v>
      </c>
      <c r="V111" s="2">
        <v>0</v>
      </c>
      <c r="W111" s="2">
        <v>0</v>
      </c>
      <c r="X111" s="2">
        <v>0</v>
      </c>
      <c r="Y111" s="2">
        <v>1</v>
      </c>
      <c r="Z111" s="2">
        <v>0</v>
      </c>
      <c r="AA111" s="2">
        <v>142</v>
      </c>
      <c r="AB111" s="2" t="s">
        <v>2997</v>
      </c>
      <c r="AC111" s="2" t="s">
        <v>3282</v>
      </c>
      <c r="AD111" s="2" t="s">
        <v>3322</v>
      </c>
    </row>
    <row r="112" s="1" customFormat="1" ht="11.25" spans="1:30">
      <c r="A112" s="2" t="s">
        <v>243</v>
      </c>
      <c r="B112" s="2" t="s">
        <v>919</v>
      </c>
      <c r="C112" s="2" t="s">
        <v>2979</v>
      </c>
      <c r="D112" s="2" t="s">
        <v>813</v>
      </c>
      <c r="E112" s="2" t="s">
        <v>108</v>
      </c>
      <c r="F112" s="2" t="s">
        <v>109</v>
      </c>
      <c r="G112" s="2"/>
      <c r="H112" s="2" t="s">
        <v>2980</v>
      </c>
      <c r="I112" s="2"/>
      <c r="J112" s="2"/>
      <c r="K112" s="2" t="s">
        <v>242</v>
      </c>
      <c r="L112" s="2" t="s">
        <v>3323</v>
      </c>
      <c r="M112" s="2" t="s">
        <v>2974</v>
      </c>
      <c r="N112" s="2" t="s">
        <v>908</v>
      </c>
      <c r="O112" s="2" t="s">
        <v>2975</v>
      </c>
      <c r="P112" s="2" t="s">
        <v>3324</v>
      </c>
      <c r="Q112" s="2">
        <v>0.27</v>
      </c>
      <c r="R112" s="2">
        <v>143</v>
      </c>
      <c r="S112" s="2">
        <v>530</v>
      </c>
      <c r="T112" s="2">
        <v>0</v>
      </c>
      <c r="U112" s="2">
        <v>0</v>
      </c>
      <c r="V112" s="2">
        <v>0</v>
      </c>
      <c r="W112" s="2">
        <v>0</v>
      </c>
      <c r="X112" s="2">
        <v>0</v>
      </c>
      <c r="Y112" s="2">
        <v>0</v>
      </c>
      <c r="Z112" s="2">
        <v>0</v>
      </c>
      <c r="AA112" s="2">
        <v>143</v>
      </c>
      <c r="AB112" s="2" t="s">
        <v>3119</v>
      </c>
      <c r="AC112" s="2" t="s">
        <v>3325</v>
      </c>
      <c r="AD112" s="2" t="s">
        <v>3326</v>
      </c>
    </row>
    <row r="113" s="1" customFormat="1" ht="11.25" spans="1:30">
      <c r="A113" s="2" t="s">
        <v>1697</v>
      </c>
      <c r="B113" s="2" t="s">
        <v>2970</v>
      </c>
      <c r="C113" s="2" t="s">
        <v>3023</v>
      </c>
      <c r="D113" s="2" t="s">
        <v>813</v>
      </c>
      <c r="E113" s="2" t="s">
        <v>108</v>
      </c>
      <c r="F113" s="2" t="s">
        <v>927</v>
      </c>
      <c r="G113" s="2"/>
      <c r="H113" s="2" t="s">
        <v>2980</v>
      </c>
      <c r="I113" s="2"/>
      <c r="J113" s="2"/>
      <c r="K113" s="2" t="s">
        <v>1698</v>
      </c>
      <c r="L113" s="2" t="s">
        <v>3327</v>
      </c>
      <c r="M113" s="2" t="s">
        <v>2974</v>
      </c>
      <c r="N113" s="2" t="s">
        <v>908</v>
      </c>
      <c r="O113" s="2" t="s">
        <v>2975</v>
      </c>
      <c r="P113" s="2" t="s">
        <v>3328</v>
      </c>
      <c r="Q113" s="2">
        <v>0.1</v>
      </c>
      <c r="R113" s="2">
        <v>143</v>
      </c>
      <c r="S113" s="2">
        <v>1430</v>
      </c>
      <c r="T113" s="2">
        <v>0</v>
      </c>
      <c r="U113" s="2">
        <v>0</v>
      </c>
      <c r="V113" s="2">
        <v>0</v>
      </c>
      <c r="W113" s="2">
        <v>0</v>
      </c>
      <c r="X113" s="2">
        <v>0</v>
      </c>
      <c r="Y113" s="2">
        <v>0</v>
      </c>
      <c r="Z113" s="2">
        <v>0</v>
      </c>
      <c r="AA113" s="2">
        <v>143</v>
      </c>
      <c r="AB113" s="2" t="s">
        <v>3015</v>
      </c>
      <c r="AC113" s="2" t="s">
        <v>1083</v>
      </c>
      <c r="AD113" s="2"/>
    </row>
    <row r="114" s="1" customFormat="1" ht="11.25" spans="1:30">
      <c r="A114" s="2" t="s">
        <v>713</v>
      </c>
      <c r="B114" s="2" t="s">
        <v>919</v>
      </c>
      <c r="C114" s="2" t="s">
        <v>2979</v>
      </c>
      <c r="D114" s="2" t="s">
        <v>813</v>
      </c>
      <c r="E114" s="2" t="s">
        <v>108</v>
      </c>
      <c r="F114" s="2" t="s">
        <v>109</v>
      </c>
      <c r="G114" s="2"/>
      <c r="H114" s="2" t="s">
        <v>2980</v>
      </c>
      <c r="I114" s="2"/>
      <c r="J114" s="2"/>
      <c r="K114" s="2" t="s">
        <v>712</v>
      </c>
      <c r="L114" s="2" t="s">
        <v>3329</v>
      </c>
      <c r="M114" s="2" t="s">
        <v>2974</v>
      </c>
      <c r="N114" s="2" t="s">
        <v>908</v>
      </c>
      <c r="O114" s="2" t="s">
        <v>2975</v>
      </c>
      <c r="P114" s="2" t="s">
        <v>3330</v>
      </c>
      <c r="Q114" s="2">
        <v>2</v>
      </c>
      <c r="R114" s="2">
        <v>139</v>
      </c>
      <c r="S114" s="2">
        <v>70</v>
      </c>
      <c r="T114" s="2">
        <v>240</v>
      </c>
      <c r="U114" s="2">
        <v>0</v>
      </c>
      <c r="V114" s="2">
        <v>0</v>
      </c>
      <c r="W114" s="2">
        <v>0</v>
      </c>
      <c r="X114" s="2">
        <v>0</v>
      </c>
      <c r="Y114" s="2">
        <v>0</v>
      </c>
      <c r="Z114" s="2">
        <v>0</v>
      </c>
      <c r="AA114" s="2">
        <v>139</v>
      </c>
      <c r="AB114" s="2" t="s">
        <v>2997</v>
      </c>
      <c r="AC114" s="2" t="s">
        <v>2977</v>
      </c>
      <c r="AD114" s="2" t="s">
        <v>3331</v>
      </c>
    </row>
    <row r="115" s="1" customFormat="1" ht="11.25" spans="1:30">
      <c r="A115" s="2" t="s">
        <v>180</v>
      </c>
      <c r="B115" s="2" t="s">
        <v>2970</v>
      </c>
      <c r="C115" s="2" t="s">
        <v>3023</v>
      </c>
      <c r="D115" s="2" t="s">
        <v>813</v>
      </c>
      <c r="E115" s="2" t="s">
        <v>96</v>
      </c>
      <c r="F115" s="2" t="s">
        <v>97</v>
      </c>
      <c r="G115" s="2"/>
      <c r="H115" s="2" t="s">
        <v>2980</v>
      </c>
      <c r="I115" s="2"/>
      <c r="J115" s="2"/>
      <c r="K115" s="2" t="s">
        <v>179</v>
      </c>
      <c r="L115" s="2" t="s">
        <v>3332</v>
      </c>
      <c r="M115" s="2" t="s">
        <v>2974</v>
      </c>
      <c r="N115" s="2" t="s">
        <v>908</v>
      </c>
      <c r="O115" s="2" t="s">
        <v>2975</v>
      </c>
      <c r="P115" s="2" t="s">
        <v>2982</v>
      </c>
      <c r="Q115" s="2">
        <v>0</v>
      </c>
      <c r="R115" s="2">
        <v>136</v>
      </c>
      <c r="S115" s="2">
        <v>0</v>
      </c>
      <c r="T115" s="2">
        <v>0</v>
      </c>
      <c r="U115" s="2">
        <v>0</v>
      </c>
      <c r="V115" s="2">
        <v>0</v>
      </c>
      <c r="W115" s="2">
        <v>0</v>
      </c>
      <c r="X115" s="2">
        <v>0</v>
      </c>
      <c r="Y115" s="2">
        <v>0</v>
      </c>
      <c r="Z115" s="2">
        <v>0</v>
      </c>
      <c r="AA115" s="2">
        <v>136</v>
      </c>
      <c r="AB115" s="2" t="s">
        <v>3333</v>
      </c>
      <c r="AC115" s="2" t="s">
        <v>3334</v>
      </c>
      <c r="AD115" s="2" t="s">
        <v>3335</v>
      </c>
    </row>
    <row r="116" s="1" customFormat="1" ht="11.25" spans="1:30">
      <c r="A116" s="2" t="s">
        <v>649</v>
      </c>
      <c r="B116" s="2" t="s">
        <v>2970</v>
      </c>
      <c r="C116" s="2" t="s">
        <v>3023</v>
      </c>
      <c r="D116" s="2" t="s">
        <v>813</v>
      </c>
      <c r="E116" s="2" t="s">
        <v>108</v>
      </c>
      <c r="F116" s="2" t="s">
        <v>109</v>
      </c>
      <c r="G116" s="2"/>
      <c r="H116" s="2" t="s">
        <v>2980</v>
      </c>
      <c r="I116" s="2"/>
      <c r="J116" s="2"/>
      <c r="K116" s="2" t="s">
        <v>648</v>
      </c>
      <c r="L116" s="2" t="s">
        <v>3336</v>
      </c>
      <c r="M116" s="2" t="s">
        <v>2974</v>
      </c>
      <c r="N116" s="2" t="s">
        <v>908</v>
      </c>
      <c r="O116" s="2" t="s">
        <v>2975</v>
      </c>
      <c r="P116" s="2" t="s">
        <v>3337</v>
      </c>
      <c r="Q116" s="2">
        <v>0.61</v>
      </c>
      <c r="R116" s="2">
        <v>124</v>
      </c>
      <c r="S116" s="2">
        <v>203</v>
      </c>
      <c r="T116" s="2">
        <v>0</v>
      </c>
      <c r="U116" s="2">
        <v>0</v>
      </c>
      <c r="V116" s="2">
        <v>0</v>
      </c>
      <c r="W116" s="2">
        <v>0</v>
      </c>
      <c r="X116" s="2">
        <v>0</v>
      </c>
      <c r="Y116" s="2">
        <v>2</v>
      </c>
      <c r="Z116" s="2">
        <v>0</v>
      </c>
      <c r="AA116" s="2">
        <v>122</v>
      </c>
      <c r="AB116" s="2" t="s">
        <v>2993</v>
      </c>
      <c r="AC116" s="2" t="s">
        <v>2994</v>
      </c>
      <c r="AD116" s="2" t="s">
        <v>3338</v>
      </c>
    </row>
    <row r="117" s="1" customFormat="1" ht="11.25" spans="1:30">
      <c r="A117" s="2" t="s">
        <v>697</v>
      </c>
      <c r="B117" s="2" t="s">
        <v>919</v>
      </c>
      <c r="C117" s="2" t="s">
        <v>3004</v>
      </c>
      <c r="D117" s="2" t="s">
        <v>813</v>
      </c>
      <c r="E117" s="2" t="s">
        <v>96</v>
      </c>
      <c r="F117" s="2" t="s">
        <v>115</v>
      </c>
      <c r="G117" s="2"/>
      <c r="H117" s="2" t="s">
        <v>2980</v>
      </c>
      <c r="I117" s="2"/>
      <c r="J117" s="2"/>
      <c r="K117" s="2" t="s">
        <v>696</v>
      </c>
      <c r="L117" s="2" t="s">
        <v>3339</v>
      </c>
      <c r="M117" s="2" t="s">
        <v>2974</v>
      </c>
      <c r="N117" s="2" t="s">
        <v>908</v>
      </c>
      <c r="O117" s="2" t="s">
        <v>2975</v>
      </c>
      <c r="P117" s="2" t="s">
        <v>3340</v>
      </c>
      <c r="Q117" s="2">
        <v>1.17</v>
      </c>
      <c r="R117" s="2">
        <v>124</v>
      </c>
      <c r="S117" s="2">
        <v>106</v>
      </c>
      <c r="T117" s="2">
        <v>0</v>
      </c>
      <c r="U117" s="2">
        <v>0</v>
      </c>
      <c r="V117" s="2">
        <v>0</v>
      </c>
      <c r="W117" s="2">
        <v>0</v>
      </c>
      <c r="X117" s="2">
        <v>0</v>
      </c>
      <c r="Y117" s="2">
        <v>0</v>
      </c>
      <c r="Z117" s="2">
        <v>0</v>
      </c>
      <c r="AA117" s="2">
        <v>124</v>
      </c>
      <c r="AB117" s="2" t="s">
        <v>2993</v>
      </c>
      <c r="AC117" s="2" t="s">
        <v>3341</v>
      </c>
      <c r="AD117" s="2" t="s">
        <v>3342</v>
      </c>
    </row>
    <row r="118" s="1" customFormat="1" ht="11.25" spans="1:30">
      <c r="A118" s="2" t="s">
        <v>228</v>
      </c>
      <c r="B118" s="2" t="s">
        <v>919</v>
      </c>
      <c r="C118" s="2" t="s">
        <v>3023</v>
      </c>
      <c r="D118" s="2" t="s">
        <v>813</v>
      </c>
      <c r="E118" s="2" t="s">
        <v>96</v>
      </c>
      <c r="F118" s="2" t="s">
        <v>97</v>
      </c>
      <c r="G118" s="2"/>
      <c r="H118" s="2" t="s">
        <v>2980</v>
      </c>
      <c r="I118" s="2"/>
      <c r="J118" s="2"/>
      <c r="K118" s="2" t="s">
        <v>227</v>
      </c>
      <c r="L118" s="2" t="s">
        <v>3343</v>
      </c>
      <c r="M118" s="2" t="s">
        <v>2974</v>
      </c>
      <c r="N118" s="2" t="s">
        <v>908</v>
      </c>
      <c r="O118" s="2" t="s">
        <v>3125</v>
      </c>
      <c r="P118" s="2" t="s">
        <v>2982</v>
      </c>
      <c r="Q118" s="2">
        <v>0</v>
      </c>
      <c r="R118" s="2">
        <v>120</v>
      </c>
      <c r="S118" s="2">
        <v>0</v>
      </c>
      <c r="T118" s="2">
        <v>0</v>
      </c>
      <c r="U118" s="2">
        <v>0</v>
      </c>
      <c r="V118" s="2">
        <v>0</v>
      </c>
      <c r="W118" s="2">
        <v>0</v>
      </c>
      <c r="X118" s="2">
        <v>0</v>
      </c>
      <c r="Y118" s="2">
        <v>0</v>
      </c>
      <c r="Z118" s="2">
        <v>0</v>
      </c>
      <c r="AA118" s="2">
        <v>120</v>
      </c>
      <c r="AB118" s="2" t="s">
        <v>3344</v>
      </c>
      <c r="AC118" s="2" t="s">
        <v>3345</v>
      </c>
      <c r="AD118" s="2" t="s">
        <v>3346</v>
      </c>
    </row>
    <row r="119" s="1" customFormat="1" ht="11.25" spans="1:30">
      <c r="A119" s="2" t="s">
        <v>197</v>
      </c>
      <c r="B119" s="2" t="s">
        <v>2970</v>
      </c>
      <c r="C119" s="2" t="s">
        <v>2979</v>
      </c>
      <c r="D119" s="2" t="s">
        <v>813</v>
      </c>
      <c r="E119" s="2" t="s">
        <v>96</v>
      </c>
      <c r="F119" s="2" t="s">
        <v>97</v>
      </c>
      <c r="G119" s="2"/>
      <c r="H119" s="2" t="s">
        <v>2980</v>
      </c>
      <c r="I119" s="2"/>
      <c r="J119" s="2"/>
      <c r="K119" s="2" t="s">
        <v>196</v>
      </c>
      <c r="L119" s="2" t="s">
        <v>3347</v>
      </c>
      <c r="M119" s="2" t="s">
        <v>2974</v>
      </c>
      <c r="N119" s="2" t="s">
        <v>908</v>
      </c>
      <c r="O119" s="2" t="s">
        <v>2975</v>
      </c>
      <c r="P119" s="2" t="s">
        <v>3348</v>
      </c>
      <c r="Q119" s="2">
        <v>3.43</v>
      </c>
      <c r="R119" s="2">
        <v>120</v>
      </c>
      <c r="S119" s="2">
        <v>35</v>
      </c>
      <c r="T119" s="2">
        <v>0</v>
      </c>
      <c r="U119" s="2">
        <v>0</v>
      </c>
      <c r="V119" s="2">
        <v>0</v>
      </c>
      <c r="W119" s="2">
        <v>0</v>
      </c>
      <c r="X119" s="2">
        <v>0</v>
      </c>
      <c r="Y119" s="2">
        <v>4</v>
      </c>
      <c r="Z119" s="2">
        <v>0</v>
      </c>
      <c r="AA119" s="2">
        <v>116</v>
      </c>
      <c r="AB119" s="2" t="s">
        <v>2997</v>
      </c>
      <c r="AC119" s="2" t="s">
        <v>2997</v>
      </c>
      <c r="AD119" s="2" t="s">
        <v>3349</v>
      </c>
    </row>
    <row r="120" s="1" customFormat="1" ht="11.25" spans="1:30">
      <c r="A120" s="2" t="s">
        <v>357</v>
      </c>
      <c r="B120" s="2" t="s">
        <v>919</v>
      </c>
      <c r="C120" s="2" t="s">
        <v>3008</v>
      </c>
      <c r="D120" s="2" t="s">
        <v>813</v>
      </c>
      <c r="E120" s="2" t="s">
        <v>108</v>
      </c>
      <c r="F120" s="2" t="s">
        <v>109</v>
      </c>
      <c r="G120" s="2"/>
      <c r="H120" s="2" t="s">
        <v>2980</v>
      </c>
      <c r="I120" s="2"/>
      <c r="J120" s="2"/>
      <c r="K120" s="2" t="s">
        <v>356</v>
      </c>
      <c r="L120" s="2" t="s">
        <v>3350</v>
      </c>
      <c r="M120" s="2" t="s">
        <v>2974</v>
      </c>
      <c r="N120" s="2" t="s">
        <v>908</v>
      </c>
      <c r="O120" s="2" t="s">
        <v>2975</v>
      </c>
      <c r="P120" s="2" t="s">
        <v>3351</v>
      </c>
      <c r="Q120" s="2">
        <v>12.81</v>
      </c>
      <c r="R120" s="2">
        <v>117</v>
      </c>
      <c r="S120" s="2">
        <v>9</v>
      </c>
      <c r="T120" s="2">
        <v>910</v>
      </c>
      <c r="U120" s="2">
        <v>0</v>
      </c>
      <c r="V120" s="2">
        <v>0</v>
      </c>
      <c r="W120" s="2">
        <v>0</v>
      </c>
      <c r="X120" s="2">
        <v>0</v>
      </c>
      <c r="Y120" s="2">
        <v>5</v>
      </c>
      <c r="Z120" s="2">
        <v>0</v>
      </c>
      <c r="AA120" s="2">
        <v>112</v>
      </c>
      <c r="AB120" s="2" t="s">
        <v>2997</v>
      </c>
      <c r="AC120" s="2" t="s">
        <v>3054</v>
      </c>
      <c r="AD120" s="2" t="s">
        <v>3352</v>
      </c>
    </row>
    <row r="121" s="1" customFormat="1" ht="11.25" spans="1:30">
      <c r="A121" s="2" t="s">
        <v>185</v>
      </c>
      <c r="B121" s="2" t="s">
        <v>919</v>
      </c>
      <c r="C121" s="2" t="s">
        <v>3023</v>
      </c>
      <c r="D121" s="2" t="s">
        <v>813</v>
      </c>
      <c r="E121" s="2" t="s">
        <v>108</v>
      </c>
      <c r="F121" s="2" t="s">
        <v>168</v>
      </c>
      <c r="G121" s="2"/>
      <c r="H121" s="2" t="s">
        <v>2980</v>
      </c>
      <c r="I121" s="2"/>
      <c r="J121" s="2"/>
      <c r="K121" s="2" t="s">
        <v>2515</v>
      </c>
      <c r="L121" s="2" t="s">
        <v>3353</v>
      </c>
      <c r="M121" s="2" t="s">
        <v>2974</v>
      </c>
      <c r="N121" s="2" t="s">
        <v>908</v>
      </c>
      <c r="O121" s="2" t="s">
        <v>3125</v>
      </c>
      <c r="P121" s="2" t="s">
        <v>3354</v>
      </c>
      <c r="Q121" s="2">
        <v>0.24</v>
      </c>
      <c r="R121" s="2">
        <v>116</v>
      </c>
      <c r="S121" s="2">
        <v>483</v>
      </c>
      <c r="T121" s="2">
        <v>0</v>
      </c>
      <c r="U121" s="2">
        <v>0</v>
      </c>
      <c r="V121" s="2">
        <v>0</v>
      </c>
      <c r="W121" s="2">
        <v>0</v>
      </c>
      <c r="X121" s="2">
        <v>0</v>
      </c>
      <c r="Y121" s="2">
        <v>0</v>
      </c>
      <c r="Z121" s="2">
        <v>0</v>
      </c>
      <c r="AA121" s="2">
        <v>116</v>
      </c>
      <c r="AB121" s="2" t="s">
        <v>3132</v>
      </c>
      <c r="AC121" s="2" t="s">
        <v>3249</v>
      </c>
      <c r="AD121" s="2" t="s">
        <v>3355</v>
      </c>
    </row>
    <row r="122" s="1" customFormat="1" ht="11.25" spans="1:30">
      <c r="A122" s="2" t="s">
        <v>580</v>
      </c>
      <c r="B122" s="2" t="s">
        <v>919</v>
      </c>
      <c r="C122" s="2" t="s">
        <v>3004</v>
      </c>
      <c r="D122" s="2" t="s">
        <v>813</v>
      </c>
      <c r="E122" s="2" t="s">
        <v>96</v>
      </c>
      <c r="F122" s="2" t="s">
        <v>127</v>
      </c>
      <c r="G122" s="2"/>
      <c r="H122" s="2" t="s">
        <v>2980</v>
      </c>
      <c r="I122" s="2"/>
      <c r="J122" s="2"/>
      <c r="K122" s="2" t="s">
        <v>579</v>
      </c>
      <c r="L122" s="2" t="s">
        <v>3356</v>
      </c>
      <c r="M122" s="2" t="s">
        <v>2974</v>
      </c>
      <c r="N122" s="2" t="s">
        <v>908</v>
      </c>
      <c r="O122" s="2" t="s">
        <v>2975</v>
      </c>
      <c r="P122" s="2" t="s">
        <v>3357</v>
      </c>
      <c r="Q122" s="2">
        <v>4.21</v>
      </c>
      <c r="R122" s="2">
        <v>115</v>
      </c>
      <c r="S122" s="2">
        <v>27</v>
      </c>
      <c r="T122" s="2">
        <v>180</v>
      </c>
      <c r="U122" s="2">
        <v>0</v>
      </c>
      <c r="V122" s="2">
        <v>0</v>
      </c>
      <c r="W122" s="2">
        <v>0</v>
      </c>
      <c r="X122" s="2">
        <v>0</v>
      </c>
      <c r="Y122" s="2">
        <v>0</v>
      </c>
      <c r="Z122" s="2">
        <v>0</v>
      </c>
      <c r="AA122" s="2">
        <v>115</v>
      </c>
      <c r="AB122" s="2" t="s">
        <v>2997</v>
      </c>
      <c r="AC122" s="2" t="s">
        <v>2993</v>
      </c>
      <c r="AD122" s="2" t="s">
        <v>3358</v>
      </c>
    </row>
    <row r="123" s="1" customFormat="1" ht="11.25" spans="1:30">
      <c r="A123" s="2" t="s">
        <v>307</v>
      </c>
      <c r="B123" s="2" t="s">
        <v>919</v>
      </c>
      <c r="C123" s="2" t="s">
        <v>3004</v>
      </c>
      <c r="D123" s="2" t="s">
        <v>813</v>
      </c>
      <c r="E123" s="2" t="s">
        <v>108</v>
      </c>
      <c r="F123" s="2" t="s">
        <v>927</v>
      </c>
      <c r="G123" s="2"/>
      <c r="H123" s="2" t="s">
        <v>2980</v>
      </c>
      <c r="I123" s="2"/>
      <c r="J123" s="2"/>
      <c r="K123" s="2" t="s">
        <v>1531</v>
      </c>
      <c r="L123" s="2" t="s">
        <v>3184</v>
      </c>
      <c r="M123" s="2" t="s">
        <v>2974</v>
      </c>
      <c r="N123" s="2" t="s">
        <v>908</v>
      </c>
      <c r="O123" s="2" t="s">
        <v>2975</v>
      </c>
      <c r="P123" s="2" t="s">
        <v>3359</v>
      </c>
      <c r="Q123" s="2">
        <v>0.15</v>
      </c>
      <c r="R123" s="2">
        <v>113</v>
      </c>
      <c r="S123" s="2">
        <v>753</v>
      </c>
      <c r="T123" s="2">
        <v>0</v>
      </c>
      <c r="U123" s="2">
        <v>0</v>
      </c>
      <c r="V123" s="2">
        <v>0</v>
      </c>
      <c r="W123" s="2">
        <v>0</v>
      </c>
      <c r="X123" s="2">
        <v>0</v>
      </c>
      <c r="Y123" s="2">
        <v>0</v>
      </c>
      <c r="Z123" s="2">
        <v>0</v>
      </c>
      <c r="AA123" s="2">
        <v>113</v>
      </c>
      <c r="AB123" s="2" t="s">
        <v>3360</v>
      </c>
      <c r="AC123" s="2" t="s">
        <v>3361</v>
      </c>
      <c r="AD123" s="2" t="s">
        <v>3362</v>
      </c>
    </row>
    <row r="124" s="1" customFormat="1" ht="11.25" spans="1:30">
      <c r="A124" s="2" t="s">
        <v>423</v>
      </c>
      <c r="B124" s="2" t="s">
        <v>919</v>
      </c>
      <c r="C124" s="2" t="s">
        <v>2979</v>
      </c>
      <c r="D124" s="2" t="s">
        <v>813</v>
      </c>
      <c r="E124" s="2" t="s">
        <v>96</v>
      </c>
      <c r="F124" s="2" t="s">
        <v>97</v>
      </c>
      <c r="G124" s="2"/>
      <c r="H124" s="2" t="s">
        <v>2980</v>
      </c>
      <c r="I124" s="2"/>
      <c r="J124" s="2"/>
      <c r="K124" s="2" t="s">
        <v>422</v>
      </c>
      <c r="L124" s="2" t="s">
        <v>3363</v>
      </c>
      <c r="M124" s="2" t="s">
        <v>2974</v>
      </c>
      <c r="N124" s="2" t="s">
        <v>908</v>
      </c>
      <c r="O124" s="2" t="s">
        <v>2975</v>
      </c>
      <c r="P124" s="2" t="s">
        <v>3364</v>
      </c>
      <c r="Q124" s="2">
        <v>0.05</v>
      </c>
      <c r="R124" s="2">
        <v>109</v>
      </c>
      <c r="S124" s="2">
        <v>2180</v>
      </c>
      <c r="T124" s="2">
        <v>0</v>
      </c>
      <c r="U124" s="2">
        <v>0</v>
      </c>
      <c r="V124" s="2">
        <v>0</v>
      </c>
      <c r="W124" s="2">
        <v>0</v>
      </c>
      <c r="X124" s="2">
        <v>0</v>
      </c>
      <c r="Y124" s="2">
        <v>0</v>
      </c>
      <c r="Z124" s="2">
        <v>0</v>
      </c>
      <c r="AA124" s="2">
        <v>109</v>
      </c>
      <c r="AB124" s="2" t="s">
        <v>3360</v>
      </c>
      <c r="AC124" s="2" t="s">
        <v>3365</v>
      </c>
      <c r="AD124" s="2" t="s">
        <v>3366</v>
      </c>
    </row>
    <row r="125" s="1" customFormat="1" ht="11.25" spans="1:30">
      <c r="A125" s="2" t="s">
        <v>244</v>
      </c>
      <c r="B125" s="2" t="s">
        <v>919</v>
      </c>
      <c r="C125" s="2" t="s">
        <v>3023</v>
      </c>
      <c r="D125" s="2" t="s">
        <v>813</v>
      </c>
      <c r="E125" s="2" t="s">
        <v>108</v>
      </c>
      <c r="F125" s="2" t="s">
        <v>168</v>
      </c>
      <c r="G125" s="2"/>
      <c r="H125" s="2" t="s">
        <v>2980</v>
      </c>
      <c r="I125" s="2"/>
      <c r="J125" s="2"/>
      <c r="K125" s="2" t="s">
        <v>2523</v>
      </c>
      <c r="L125" s="2" t="s">
        <v>3367</v>
      </c>
      <c r="M125" s="2" t="s">
        <v>2974</v>
      </c>
      <c r="N125" s="2" t="s">
        <v>908</v>
      </c>
      <c r="O125" s="2" t="s">
        <v>3125</v>
      </c>
      <c r="P125" s="2" t="s">
        <v>3368</v>
      </c>
      <c r="Q125" s="2">
        <v>0.5</v>
      </c>
      <c r="R125" s="2">
        <v>107</v>
      </c>
      <c r="S125" s="2">
        <v>214</v>
      </c>
      <c r="T125" s="2">
        <v>0</v>
      </c>
      <c r="U125" s="2">
        <v>0</v>
      </c>
      <c r="V125" s="2">
        <v>0</v>
      </c>
      <c r="W125" s="2">
        <v>0</v>
      </c>
      <c r="X125" s="2">
        <v>0</v>
      </c>
      <c r="Y125" s="2">
        <v>2</v>
      </c>
      <c r="Z125" s="2">
        <v>0</v>
      </c>
      <c r="AA125" s="2">
        <v>105</v>
      </c>
      <c r="AB125" s="2" t="s">
        <v>2993</v>
      </c>
      <c r="AC125" s="2" t="s">
        <v>2993</v>
      </c>
      <c r="AD125" s="2" t="s">
        <v>3369</v>
      </c>
    </row>
    <row r="126" s="1" customFormat="1" ht="11.25" spans="1:30">
      <c r="A126" s="2" t="s">
        <v>345</v>
      </c>
      <c r="B126" s="2" t="s">
        <v>2970</v>
      </c>
      <c r="C126" s="2" t="s">
        <v>3023</v>
      </c>
      <c r="D126" s="2" t="s">
        <v>813</v>
      </c>
      <c r="E126" s="2" t="s">
        <v>108</v>
      </c>
      <c r="F126" s="2" t="s">
        <v>927</v>
      </c>
      <c r="G126" s="2"/>
      <c r="H126" s="2" t="s">
        <v>2980</v>
      </c>
      <c r="I126" s="2"/>
      <c r="J126" s="2"/>
      <c r="K126" s="2" t="s">
        <v>1868</v>
      </c>
      <c r="L126" s="2" t="s">
        <v>3370</v>
      </c>
      <c r="M126" s="2" t="s">
        <v>2974</v>
      </c>
      <c r="N126" s="2" t="s">
        <v>908</v>
      </c>
      <c r="O126" s="2" t="s">
        <v>2975</v>
      </c>
      <c r="P126" s="2" t="s">
        <v>3371</v>
      </c>
      <c r="Q126" s="2">
        <v>0.12</v>
      </c>
      <c r="R126" s="2">
        <v>107</v>
      </c>
      <c r="S126" s="2">
        <v>892</v>
      </c>
      <c r="T126" s="2">
        <v>0</v>
      </c>
      <c r="U126" s="2">
        <v>0</v>
      </c>
      <c r="V126" s="2">
        <v>0</v>
      </c>
      <c r="W126" s="2">
        <v>0</v>
      </c>
      <c r="X126" s="2">
        <v>0</v>
      </c>
      <c r="Y126" s="2">
        <v>0</v>
      </c>
      <c r="Z126" s="2">
        <v>0</v>
      </c>
      <c r="AA126" s="2">
        <v>107</v>
      </c>
      <c r="AB126" s="2" t="s">
        <v>3119</v>
      </c>
      <c r="AC126" s="2" t="s">
        <v>3325</v>
      </c>
      <c r="AD126" s="2" t="s">
        <v>3372</v>
      </c>
    </row>
    <row r="127" s="1" customFormat="1" ht="11.25" spans="1:30">
      <c r="A127" s="2" t="s">
        <v>327</v>
      </c>
      <c r="B127" s="2" t="s">
        <v>919</v>
      </c>
      <c r="C127" s="2" t="s">
        <v>2979</v>
      </c>
      <c r="D127" s="2" t="s">
        <v>813</v>
      </c>
      <c r="E127" s="2" t="s">
        <v>108</v>
      </c>
      <c r="F127" s="2" t="s">
        <v>278</v>
      </c>
      <c r="G127" s="2"/>
      <c r="H127" s="2" t="s">
        <v>2980</v>
      </c>
      <c r="I127" s="2"/>
      <c r="J127" s="2"/>
      <c r="K127" s="2" t="s">
        <v>321</v>
      </c>
      <c r="L127" s="2" t="s">
        <v>3373</v>
      </c>
      <c r="M127" s="2" t="s">
        <v>2974</v>
      </c>
      <c r="N127" s="2" t="s">
        <v>908</v>
      </c>
      <c r="O127" s="2" t="s">
        <v>3125</v>
      </c>
      <c r="P127" s="2" t="s">
        <v>3374</v>
      </c>
      <c r="Q127" s="2">
        <v>1.98</v>
      </c>
      <c r="R127" s="2">
        <v>106</v>
      </c>
      <c r="S127" s="2">
        <v>54</v>
      </c>
      <c r="T127" s="2">
        <v>440</v>
      </c>
      <c r="U127" s="2">
        <v>0</v>
      </c>
      <c r="V127" s="2">
        <v>0</v>
      </c>
      <c r="W127" s="2">
        <v>0</v>
      </c>
      <c r="X127" s="2">
        <v>0</v>
      </c>
      <c r="Y127" s="2">
        <v>2</v>
      </c>
      <c r="Z127" s="2">
        <v>0</v>
      </c>
      <c r="AA127" s="2">
        <v>104</v>
      </c>
      <c r="AB127" s="2" t="s">
        <v>2997</v>
      </c>
      <c r="AC127" s="2" t="s">
        <v>3015</v>
      </c>
      <c r="AD127" s="2" t="s">
        <v>3375</v>
      </c>
    </row>
    <row r="128" s="1" customFormat="1" ht="11.25" spans="1:30">
      <c r="A128" s="2" t="s">
        <v>372</v>
      </c>
      <c r="B128" s="2" t="s">
        <v>919</v>
      </c>
      <c r="C128" s="2" t="s">
        <v>2979</v>
      </c>
      <c r="D128" s="2" t="s">
        <v>813</v>
      </c>
      <c r="E128" s="2" t="s">
        <v>108</v>
      </c>
      <c r="F128" s="2" t="s">
        <v>927</v>
      </c>
      <c r="G128" s="2"/>
      <c r="H128" s="2" t="s">
        <v>2980</v>
      </c>
      <c r="I128" s="2"/>
      <c r="J128" s="2"/>
      <c r="K128" s="2" t="s">
        <v>1860</v>
      </c>
      <c r="L128" s="2" t="s">
        <v>3376</v>
      </c>
      <c r="M128" s="2" t="s">
        <v>2974</v>
      </c>
      <c r="N128" s="2" t="s">
        <v>908</v>
      </c>
      <c r="O128" s="2" t="s">
        <v>2975</v>
      </c>
      <c r="P128" s="2" t="s">
        <v>3377</v>
      </c>
      <c r="Q128" s="2">
        <v>4.31</v>
      </c>
      <c r="R128" s="2">
        <v>106</v>
      </c>
      <c r="S128" s="2">
        <v>25</v>
      </c>
      <c r="T128" s="2">
        <v>400</v>
      </c>
      <c r="U128" s="2">
        <v>0</v>
      </c>
      <c r="V128" s="2">
        <v>0</v>
      </c>
      <c r="W128" s="2">
        <v>0</v>
      </c>
      <c r="X128" s="2">
        <v>0</v>
      </c>
      <c r="Y128" s="2">
        <v>2</v>
      </c>
      <c r="Z128" s="2">
        <v>0</v>
      </c>
      <c r="AA128" s="2">
        <v>104</v>
      </c>
      <c r="AB128" s="2" t="s">
        <v>2997</v>
      </c>
      <c r="AC128" s="2" t="s">
        <v>3132</v>
      </c>
      <c r="AD128" s="2" t="s">
        <v>3378</v>
      </c>
    </row>
    <row r="129" s="1" customFormat="1" ht="11.25" spans="1:30">
      <c r="A129" s="2" t="s">
        <v>731</v>
      </c>
      <c r="B129" s="2" t="s">
        <v>2970</v>
      </c>
      <c r="C129" s="2" t="s">
        <v>2979</v>
      </c>
      <c r="D129" s="2" t="s">
        <v>813</v>
      </c>
      <c r="E129" s="2" t="s">
        <v>108</v>
      </c>
      <c r="F129" s="2" t="s">
        <v>146</v>
      </c>
      <c r="G129" s="2"/>
      <c r="H129" s="2" t="s">
        <v>2980</v>
      </c>
      <c r="I129" s="2"/>
      <c r="J129" s="2"/>
      <c r="K129" s="2" t="s">
        <v>730</v>
      </c>
      <c r="L129" s="2" t="s">
        <v>3379</v>
      </c>
      <c r="M129" s="2" t="s">
        <v>2974</v>
      </c>
      <c r="N129" s="2" t="s">
        <v>908</v>
      </c>
      <c r="O129" s="2" t="s">
        <v>2975</v>
      </c>
      <c r="P129" s="2" t="s">
        <v>3380</v>
      </c>
      <c r="Q129" s="2">
        <v>2</v>
      </c>
      <c r="R129" s="2">
        <v>106</v>
      </c>
      <c r="S129" s="2">
        <v>53</v>
      </c>
      <c r="T129" s="2">
        <v>0</v>
      </c>
      <c r="U129" s="2">
        <v>0</v>
      </c>
      <c r="V129" s="2">
        <v>0</v>
      </c>
      <c r="W129" s="2">
        <v>0</v>
      </c>
      <c r="X129" s="2">
        <v>0</v>
      </c>
      <c r="Y129" s="2">
        <v>0</v>
      </c>
      <c r="Z129" s="2">
        <v>0</v>
      </c>
      <c r="AA129" s="2">
        <v>106</v>
      </c>
      <c r="AB129" s="2" t="s">
        <v>2997</v>
      </c>
      <c r="AC129" s="2" t="s">
        <v>3132</v>
      </c>
      <c r="AD129" s="2" t="s">
        <v>3381</v>
      </c>
    </row>
    <row r="130" s="1" customFormat="1" ht="11.25" spans="1:30">
      <c r="A130" s="2" t="s">
        <v>585</v>
      </c>
      <c r="B130" s="2" t="s">
        <v>919</v>
      </c>
      <c r="C130" s="2" t="s">
        <v>2979</v>
      </c>
      <c r="D130" s="2" t="s">
        <v>813</v>
      </c>
      <c r="E130" s="2" t="s">
        <v>108</v>
      </c>
      <c r="F130" s="2" t="s">
        <v>278</v>
      </c>
      <c r="G130" s="2"/>
      <c r="H130" s="2" t="s">
        <v>2980</v>
      </c>
      <c r="I130" s="2"/>
      <c r="J130" s="2"/>
      <c r="K130" s="2" t="s">
        <v>584</v>
      </c>
      <c r="L130" s="2" t="s">
        <v>3382</v>
      </c>
      <c r="M130" s="2" t="s">
        <v>2974</v>
      </c>
      <c r="N130" s="2" t="s">
        <v>908</v>
      </c>
      <c r="O130" s="2" t="s">
        <v>2975</v>
      </c>
      <c r="P130" s="2" t="s">
        <v>3383</v>
      </c>
      <c r="Q130" s="2">
        <v>1.18</v>
      </c>
      <c r="R130" s="2">
        <v>101</v>
      </c>
      <c r="S130" s="2">
        <v>86</v>
      </c>
      <c r="T130" s="2">
        <v>0</v>
      </c>
      <c r="U130" s="2">
        <v>0</v>
      </c>
      <c r="V130" s="2">
        <v>0</v>
      </c>
      <c r="W130" s="2">
        <v>0</v>
      </c>
      <c r="X130" s="2">
        <v>0</v>
      </c>
      <c r="Y130" s="2">
        <v>0</v>
      </c>
      <c r="Z130" s="2">
        <v>0</v>
      </c>
      <c r="AA130" s="2">
        <v>101</v>
      </c>
      <c r="AB130" s="2" t="s">
        <v>2993</v>
      </c>
      <c r="AC130" s="2" t="s">
        <v>2997</v>
      </c>
      <c r="AD130" s="2" t="s">
        <v>3384</v>
      </c>
    </row>
    <row r="131" s="1" customFormat="1" ht="11.25" spans="1:30">
      <c r="A131" s="2" t="s">
        <v>446</v>
      </c>
      <c r="B131" s="2" t="s">
        <v>919</v>
      </c>
      <c r="C131" s="2" t="s">
        <v>3023</v>
      </c>
      <c r="D131" s="2" t="s">
        <v>813</v>
      </c>
      <c r="E131" s="2" t="s">
        <v>96</v>
      </c>
      <c r="F131" s="2" t="s">
        <v>2712</v>
      </c>
      <c r="G131" s="2"/>
      <c r="H131" s="2" t="s">
        <v>2980</v>
      </c>
      <c r="I131" s="2"/>
      <c r="J131" s="2"/>
      <c r="K131" s="2" t="s">
        <v>2736</v>
      </c>
      <c r="L131" s="2" t="s">
        <v>3385</v>
      </c>
      <c r="M131" s="2" t="s">
        <v>2974</v>
      </c>
      <c r="N131" s="2" t="s">
        <v>908</v>
      </c>
      <c r="O131" s="2" t="s">
        <v>3125</v>
      </c>
      <c r="P131" s="2" t="s">
        <v>2982</v>
      </c>
      <c r="Q131" s="2">
        <v>0</v>
      </c>
      <c r="R131" s="2">
        <v>100</v>
      </c>
      <c r="S131" s="2">
        <v>0</v>
      </c>
      <c r="T131" s="2">
        <v>0</v>
      </c>
      <c r="U131" s="2">
        <v>0</v>
      </c>
      <c r="V131" s="2">
        <v>0</v>
      </c>
      <c r="W131" s="2">
        <v>0</v>
      </c>
      <c r="X131" s="2">
        <v>0</v>
      </c>
      <c r="Y131" s="2">
        <v>0</v>
      </c>
      <c r="Z131" s="2">
        <v>0</v>
      </c>
      <c r="AA131" s="2">
        <v>100</v>
      </c>
      <c r="AB131" s="2" t="s">
        <v>3386</v>
      </c>
      <c r="AC131" s="2" t="s">
        <v>3269</v>
      </c>
      <c r="AD131" s="2" t="s">
        <v>3387</v>
      </c>
    </row>
    <row r="132" s="1" customFormat="1" ht="11.25" spans="1:30">
      <c r="A132" s="2" t="s">
        <v>795</v>
      </c>
      <c r="B132" s="2" t="s">
        <v>919</v>
      </c>
      <c r="C132" s="2" t="s">
        <v>2979</v>
      </c>
      <c r="D132" s="2" t="s">
        <v>813</v>
      </c>
      <c r="E132" s="2" t="s">
        <v>108</v>
      </c>
      <c r="F132" s="2" t="s">
        <v>109</v>
      </c>
      <c r="G132" s="2"/>
      <c r="H132" s="2" t="s">
        <v>2980</v>
      </c>
      <c r="I132" s="2"/>
      <c r="J132" s="2"/>
      <c r="K132" s="2" t="s">
        <v>794</v>
      </c>
      <c r="L132" s="2" t="s">
        <v>3388</v>
      </c>
      <c r="M132" s="2" t="s">
        <v>2974</v>
      </c>
      <c r="N132" s="2" t="s">
        <v>908</v>
      </c>
      <c r="O132" s="2" t="s">
        <v>2975</v>
      </c>
      <c r="P132" s="2" t="s">
        <v>3389</v>
      </c>
      <c r="Q132" s="2">
        <v>1.88</v>
      </c>
      <c r="R132" s="2">
        <v>100</v>
      </c>
      <c r="S132" s="2">
        <v>53</v>
      </c>
      <c r="T132" s="2">
        <v>320</v>
      </c>
      <c r="U132" s="2">
        <v>0</v>
      </c>
      <c r="V132" s="2">
        <v>0</v>
      </c>
      <c r="W132" s="2">
        <v>0</v>
      </c>
      <c r="X132" s="2">
        <v>0</v>
      </c>
      <c r="Y132" s="2">
        <v>1</v>
      </c>
      <c r="Z132" s="2">
        <v>0</v>
      </c>
      <c r="AA132" s="2">
        <v>99</v>
      </c>
      <c r="AB132" s="2" t="s">
        <v>2997</v>
      </c>
      <c r="AC132" s="2" t="s">
        <v>2977</v>
      </c>
      <c r="AD132" s="2" t="s">
        <v>3390</v>
      </c>
    </row>
    <row r="133" s="1" customFormat="1" ht="11.25" spans="1:30">
      <c r="A133" s="2" t="s">
        <v>433</v>
      </c>
      <c r="B133" s="2" t="s">
        <v>919</v>
      </c>
      <c r="C133" s="2" t="s">
        <v>3023</v>
      </c>
      <c r="D133" s="2" t="s">
        <v>813</v>
      </c>
      <c r="E133" s="2" t="s">
        <v>96</v>
      </c>
      <c r="F133" s="2" t="s">
        <v>2712</v>
      </c>
      <c r="G133" s="2"/>
      <c r="H133" s="2" t="s">
        <v>2980</v>
      </c>
      <c r="I133" s="2"/>
      <c r="J133" s="2"/>
      <c r="K133" s="2" t="s">
        <v>2730</v>
      </c>
      <c r="L133" s="2" t="s">
        <v>3391</v>
      </c>
      <c r="M133" s="2" t="s">
        <v>2974</v>
      </c>
      <c r="N133" s="2" t="s">
        <v>908</v>
      </c>
      <c r="O133" s="2" t="s">
        <v>3125</v>
      </c>
      <c r="P133" s="2" t="s">
        <v>3392</v>
      </c>
      <c r="Q133" s="2">
        <v>0.03</v>
      </c>
      <c r="R133" s="2">
        <v>99</v>
      </c>
      <c r="S133" s="2">
        <v>3300</v>
      </c>
      <c r="T133" s="2">
        <v>0</v>
      </c>
      <c r="U133" s="2">
        <v>0</v>
      </c>
      <c r="V133" s="2">
        <v>0</v>
      </c>
      <c r="W133" s="2">
        <v>0</v>
      </c>
      <c r="X133" s="2">
        <v>0</v>
      </c>
      <c r="Y133" s="2">
        <v>0</v>
      </c>
      <c r="Z133" s="2">
        <v>0</v>
      </c>
      <c r="AA133" s="2">
        <v>99</v>
      </c>
      <c r="AB133" s="2" t="s">
        <v>3179</v>
      </c>
      <c r="AC133" s="2" t="s">
        <v>3269</v>
      </c>
      <c r="AD133" s="2" t="s">
        <v>3393</v>
      </c>
    </row>
    <row r="134" s="1" customFormat="1" ht="11.25" spans="1:30">
      <c r="A134" s="2" t="s">
        <v>513</v>
      </c>
      <c r="B134" s="2" t="s">
        <v>919</v>
      </c>
      <c r="C134" s="2" t="s">
        <v>2979</v>
      </c>
      <c r="D134" s="2" t="s">
        <v>813</v>
      </c>
      <c r="E134" s="2" t="s">
        <v>96</v>
      </c>
      <c r="F134" s="2" t="s">
        <v>2712</v>
      </c>
      <c r="G134" s="2"/>
      <c r="H134" s="2" t="s">
        <v>2980</v>
      </c>
      <c r="I134" s="2"/>
      <c r="J134" s="2"/>
      <c r="K134" s="2" t="s">
        <v>2742</v>
      </c>
      <c r="L134" s="2" t="s">
        <v>3394</v>
      </c>
      <c r="M134" s="2" t="s">
        <v>2974</v>
      </c>
      <c r="N134" s="2" t="s">
        <v>908</v>
      </c>
      <c r="O134" s="2" t="s">
        <v>3125</v>
      </c>
      <c r="P134" s="2" t="s">
        <v>3392</v>
      </c>
      <c r="Q134" s="2">
        <v>0.03</v>
      </c>
      <c r="R134" s="2">
        <v>99</v>
      </c>
      <c r="S134" s="2">
        <v>3300</v>
      </c>
      <c r="T134" s="2">
        <v>0</v>
      </c>
      <c r="U134" s="2">
        <v>0</v>
      </c>
      <c r="V134" s="2">
        <v>0</v>
      </c>
      <c r="W134" s="2">
        <v>0</v>
      </c>
      <c r="X134" s="2">
        <v>0</v>
      </c>
      <c r="Y134" s="2">
        <v>0</v>
      </c>
      <c r="Z134" s="2">
        <v>0</v>
      </c>
      <c r="AA134" s="2">
        <v>99</v>
      </c>
      <c r="AB134" s="2" t="s">
        <v>3179</v>
      </c>
      <c r="AC134" s="2" t="s">
        <v>3269</v>
      </c>
      <c r="AD134" s="2" t="s">
        <v>3395</v>
      </c>
    </row>
    <row r="135" s="1" customFormat="1" ht="11.25" spans="1:30">
      <c r="A135" s="2" t="s">
        <v>448</v>
      </c>
      <c r="B135" s="2" t="s">
        <v>2970</v>
      </c>
      <c r="C135" s="2" t="s">
        <v>2979</v>
      </c>
      <c r="D135" s="2" t="s">
        <v>813</v>
      </c>
      <c r="E135" s="2" t="s">
        <v>108</v>
      </c>
      <c r="F135" s="2" t="s">
        <v>146</v>
      </c>
      <c r="G135" s="2"/>
      <c r="H135" s="2" t="s">
        <v>2980</v>
      </c>
      <c r="I135" s="2"/>
      <c r="J135" s="2"/>
      <c r="K135" s="2" t="s">
        <v>447</v>
      </c>
      <c r="L135" s="2" t="s">
        <v>3396</v>
      </c>
      <c r="M135" s="2" t="s">
        <v>2974</v>
      </c>
      <c r="N135" s="2" t="s">
        <v>908</v>
      </c>
      <c r="O135" s="2" t="s">
        <v>2975</v>
      </c>
      <c r="P135" s="2" t="s">
        <v>3397</v>
      </c>
      <c r="Q135" s="2">
        <v>0.9</v>
      </c>
      <c r="R135" s="2">
        <v>98</v>
      </c>
      <c r="S135" s="2">
        <v>109</v>
      </c>
      <c r="T135" s="2">
        <v>0</v>
      </c>
      <c r="U135" s="2">
        <v>0</v>
      </c>
      <c r="V135" s="2">
        <v>0</v>
      </c>
      <c r="W135" s="2">
        <v>0</v>
      </c>
      <c r="X135" s="2">
        <v>0</v>
      </c>
      <c r="Y135" s="2">
        <v>2</v>
      </c>
      <c r="Z135" s="2">
        <v>0</v>
      </c>
      <c r="AA135" s="2">
        <v>96</v>
      </c>
      <c r="AB135" s="2" t="s">
        <v>2997</v>
      </c>
      <c r="AC135" s="2" t="s">
        <v>3196</v>
      </c>
      <c r="AD135" s="2" t="s">
        <v>3381</v>
      </c>
    </row>
    <row r="136" s="1" customFormat="1" ht="11.25" spans="1:30">
      <c r="A136" s="2" t="s">
        <v>689</v>
      </c>
      <c r="B136" s="2" t="s">
        <v>919</v>
      </c>
      <c r="C136" s="2" t="s">
        <v>3023</v>
      </c>
      <c r="D136" s="2" t="s">
        <v>813</v>
      </c>
      <c r="E136" s="2" t="s">
        <v>96</v>
      </c>
      <c r="F136" s="2" t="s">
        <v>97</v>
      </c>
      <c r="G136" s="2"/>
      <c r="H136" s="2" t="s">
        <v>2980</v>
      </c>
      <c r="I136" s="2"/>
      <c r="J136" s="2"/>
      <c r="K136" s="2" t="s">
        <v>688</v>
      </c>
      <c r="L136" s="2" t="s">
        <v>3398</v>
      </c>
      <c r="M136" s="2" t="s">
        <v>2974</v>
      </c>
      <c r="N136" s="2" t="s">
        <v>908</v>
      </c>
      <c r="O136" s="2" t="s">
        <v>2975</v>
      </c>
      <c r="P136" s="2" t="s">
        <v>3399</v>
      </c>
      <c r="Q136" s="2">
        <v>0</v>
      </c>
      <c r="R136" s="2">
        <v>96</v>
      </c>
      <c r="S136" s="2">
        <v>0</v>
      </c>
      <c r="T136" s="2">
        <v>0</v>
      </c>
      <c r="U136" s="2">
        <v>0</v>
      </c>
      <c r="V136" s="2">
        <v>0</v>
      </c>
      <c r="W136" s="2">
        <v>0</v>
      </c>
      <c r="X136" s="2">
        <v>0</v>
      </c>
      <c r="Y136" s="2">
        <v>0</v>
      </c>
      <c r="Z136" s="2">
        <v>0</v>
      </c>
      <c r="AA136" s="2">
        <v>96</v>
      </c>
      <c r="AB136" s="2" t="s">
        <v>3186</v>
      </c>
      <c r="AC136" s="2" t="s">
        <v>3400</v>
      </c>
      <c r="AD136" s="2" t="s">
        <v>3401</v>
      </c>
    </row>
    <row r="137" s="1" customFormat="1" ht="11.25" spans="1:30">
      <c r="A137" s="2" t="s">
        <v>721</v>
      </c>
      <c r="B137" s="2" t="s">
        <v>919</v>
      </c>
      <c r="C137" s="2" t="s">
        <v>2979</v>
      </c>
      <c r="D137" s="2" t="s">
        <v>813</v>
      </c>
      <c r="E137" s="2" t="s">
        <v>96</v>
      </c>
      <c r="F137" s="2" t="s">
        <v>115</v>
      </c>
      <c r="G137" s="2"/>
      <c r="H137" s="2" t="s">
        <v>2980</v>
      </c>
      <c r="I137" s="2"/>
      <c r="J137" s="2"/>
      <c r="K137" s="2" t="s">
        <v>720</v>
      </c>
      <c r="L137" s="2" t="s">
        <v>3402</v>
      </c>
      <c r="M137" s="2" t="s">
        <v>2974</v>
      </c>
      <c r="N137" s="2" t="s">
        <v>908</v>
      </c>
      <c r="O137" s="2" t="s">
        <v>2975</v>
      </c>
      <c r="P137" s="2" t="s">
        <v>3403</v>
      </c>
      <c r="Q137" s="2">
        <v>1.28</v>
      </c>
      <c r="R137" s="2">
        <v>96</v>
      </c>
      <c r="S137" s="2">
        <v>75</v>
      </c>
      <c r="T137" s="2">
        <v>80</v>
      </c>
      <c r="U137" s="2">
        <v>0</v>
      </c>
      <c r="V137" s="2">
        <v>0</v>
      </c>
      <c r="W137" s="2">
        <v>0</v>
      </c>
      <c r="X137" s="2">
        <v>0</v>
      </c>
      <c r="Y137" s="2">
        <v>0</v>
      </c>
      <c r="Z137" s="2">
        <v>0</v>
      </c>
      <c r="AA137" s="2">
        <v>96</v>
      </c>
      <c r="AB137" s="2" t="s">
        <v>3168</v>
      </c>
      <c r="AC137" s="2" t="s">
        <v>3054</v>
      </c>
      <c r="AD137" s="2" t="s">
        <v>3404</v>
      </c>
    </row>
    <row r="138" s="1" customFormat="1" ht="11.25" spans="1:30">
      <c r="A138" s="2" t="s">
        <v>694</v>
      </c>
      <c r="B138" s="2" t="s">
        <v>919</v>
      </c>
      <c r="C138" s="2" t="s">
        <v>2979</v>
      </c>
      <c r="D138" s="2" t="s">
        <v>813</v>
      </c>
      <c r="E138" s="2" t="s">
        <v>108</v>
      </c>
      <c r="F138" s="2" t="s">
        <v>146</v>
      </c>
      <c r="G138" s="2"/>
      <c r="H138" s="2" t="s">
        <v>2980</v>
      </c>
      <c r="I138" s="2"/>
      <c r="J138" s="2"/>
      <c r="K138" s="2" t="s">
        <v>693</v>
      </c>
      <c r="L138" s="2" t="s">
        <v>3405</v>
      </c>
      <c r="M138" s="2" t="s">
        <v>2974</v>
      </c>
      <c r="N138" s="2" t="s">
        <v>908</v>
      </c>
      <c r="O138" s="2" t="s">
        <v>2975</v>
      </c>
      <c r="P138" s="2" t="s">
        <v>3406</v>
      </c>
      <c r="Q138" s="2">
        <v>2.34</v>
      </c>
      <c r="R138" s="2">
        <v>96</v>
      </c>
      <c r="S138" s="2">
        <v>41</v>
      </c>
      <c r="T138" s="2">
        <v>360</v>
      </c>
      <c r="U138" s="2">
        <v>0</v>
      </c>
      <c r="V138" s="2">
        <v>0</v>
      </c>
      <c r="W138" s="2">
        <v>0</v>
      </c>
      <c r="X138" s="2">
        <v>0</v>
      </c>
      <c r="Y138" s="2">
        <v>0</v>
      </c>
      <c r="Z138" s="2">
        <v>0</v>
      </c>
      <c r="AA138" s="2">
        <v>96</v>
      </c>
      <c r="AB138" s="2" t="s">
        <v>2997</v>
      </c>
      <c r="AC138" s="2" t="s">
        <v>2993</v>
      </c>
      <c r="AD138" s="2" t="s">
        <v>3253</v>
      </c>
    </row>
    <row r="139" s="1" customFormat="1" ht="11.25" spans="1:30">
      <c r="A139" s="2" t="s">
        <v>170</v>
      </c>
      <c r="B139" s="2" t="s">
        <v>919</v>
      </c>
      <c r="C139" s="2" t="s">
        <v>2979</v>
      </c>
      <c r="D139" s="2" t="s">
        <v>813</v>
      </c>
      <c r="E139" s="2" t="s">
        <v>96</v>
      </c>
      <c r="F139" s="2" t="s">
        <v>127</v>
      </c>
      <c r="G139" s="2"/>
      <c r="H139" s="2" t="s">
        <v>2980</v>
      </c>
      <c r="I139" s="2"/>
      <c r="J139" s="2"/>
      <c r="K139" s="2" t="s">
        <v>169</v>
      </c>
      <c r="L139" s="2" t="s">
        <v>3407</v>
      </c>
      <c r="M139" s="2" t="s">
        <v>2974</v>
      </c>
      <c r="N139" s="2" t="s">
        <v>908</v>
      </c>
      <c r="O139" s="2" t="s">
        <v>2975</v>
      </c>
      <c r="P139" s="2" t="s">
        <v>3408</v>
      </c>
      <c r="Q139" s="2">
        <v>0.14</v>
      </c>
      <c r="R139" s="2">
        <v>95</v>
      </c>
      <c r="S139" s="2">
        <v>679</v>
      </c>
      <c r="T139" s="2">
        <v>310</v>
      </c>
      <c r="U139" s="2">
        <v>0</v>
      </c>
      <c r="V139" s="2">
        <v>0</v>
      </c>
      <c r="W139" s="2">
        <v>0</v>
      </c>
      <c r="X139" s="2">
        <v>0</v>
      </c>
      <c r="Y139" s="2">
        <v>1</v>
      </c>
      <c r="Z139" s="2">
        <v>0</v>
      </c>
      <c r="AA139" s="2">
        <v>94</v>
      </c>
      <c r="AB139" s="2" t="s">
        <v>2997</v>
      </c>
      <c r="AC139" s="2" t="s">
        <v>3249</v>
      </c>
      <c r="AD139" s="2" t="s">
        <v>3409</v>
      </c>
    </row>
    <row r="140" s="1" customFormat="1" ht="11.25" spans="1:30">
      <c r="A140" s="2" t="s">
        <v>793</v>
      </c>
      <c r="B140" s="2" t="s">
        <v>919</v>
      </c>
      <c r="C140" s="2" t="s">
        <v>2979</v>
      </c>
      <c r="D140" s="2" t="s">
        <v>813</v>
      </c>
      <c r="E140" s="2" t="s">
        <v>96</v>
      </c>
      <c r="F140" s="2" t="s">
        <v>115</v>
      </c>
      <c r="G140" s="2"/>
      <c r="H140" s="2" t="s">
        <v>2980</v>
      </c>
      <c r="I140" s="2"/>
      <c r="J140" s="2"/>
      <c r="K140" s="2" t="s">
        <v>792</v>
      </c>
      <c r="L140" s="2" t="s">
        <v>3410</v>
      </c>
      <c r="M140" s="2" t="s">
        <v>2974</v>
      </c>
      <c r="N140" s="2" t="s">
        <v>908</v>
      </c>
      <c r="O140" s="2" t="s">
        <v>2975</v>
      </c>
      <c r="P140" s="2" t="s">
        <v>3411</v>
      </c>
      <c r="Q140" s="2">
        <v>1.47</v>
      </c>
      <c r="R140" s="2">
        <v>94</v>
      </c>
      <c r="S140" s="2">
        <v>64</v>
      </c>
      <c r="T140" s="2">
        <v>160</v>
      </c>
      <c r="U140" s="2">
        <v>0</v>
      </c>
      <c r="V140" s="2">
        <v>0</v>
      </c>
      <c r="W140" s="2">
        <v>0</v>
      </c>
      <c r="X140" s="2">
        <v>0</v>
      </c>
      <c r="Y140" s="2">
        <v>0</v>
      </c>
      <c r="Z140" s="2">
        <v>0</v>
      </c>
      <c r="AA140" s="2">
        <v>94</v>
      </c>
      <c r="AB140" s="2" t="s">
        <v>2993</v>
      </c>
      <c r="AC140" s="2" t="s">
        <v>3412</v>
      </c>
      <c r="AD140" s="2" t="s">
        <v>3413</v>
      </c>
    </row>
    <row r="141" s="1" customFormat="1" ht="11.25" spans="1:30">
      <c r="A141" s="2" t="s">
        <v>465</v>
      </c>
      <c r="B141" s="2" t="s">
        <v>919</v>
      </c>
      <c r="C141" s="2" t="s">
        <v>2979</v>
      </c>
      <c r="D141" s="2" t="s">
        <v>813</v>
      </c>
      <c r="E141" s="2" t="s">
        <v>108</v>
      </c>
      <c r="F141" s="2" t="s">
        <v>146</v>
      </c>
      <c r="G141" s="2"/>
      <c r="H141" s="2" t="s">
        <v>2980</v>
      </c>
      <c r="I141" s="2"/>
      <c r="J141" s="2"/>
      <c r="K141" s="2" t="s">
        <v>464</v>
      </c>
      <c r="L141" s="2" t="s">
        <v>3414</v>
      </c>
      <c r="M141" s="2" t="s">
        <v>2974</v>
      </c>
      <c r="N141" s="2" t="s">
        <v>908</v>
      </c>
      <c r="O141" s="2" t="s">
        <v>2975</v>
      </c>
      <c r="P141" s="2" t="s">
        <v>3415</v>
      </c>
      <c r="Q141" s="2">
        <v>1.49</v>
      </c>
      <c r="R141" s="2">
        <v>93</v>
      </c>
      <c r="S141" s="2">
        <v>62</v>
      </c>
      <c r="T141" s="2">
        <v>0</v>
      </c>
      <c r="U141" s="2">
        <v>0</v>
      </c>
      <c r="V141" s="2">
        <v>0</v>
      </c>
      <c r="W141" s="2">
        <v>0</v>
      </c>
      <c r="X141" s="2">
        <v>0</v>
      </c>
      <c r="Y141" s="2">
        <v>1</v>
      </c>
      <c r="Z141" s="2">
        <v>0</v>
      </c>
      <c r="AA141" s="2">
        <v>92</v>
      </c>
      <c r="AB141" s="2" t="s">
        <v>3011</v>
      </c>
      <c r="AC141" s="2" t="s">
        <v>2993</v>
      </c>
      <c r="AD141" s="2" t="s">
        <v>3253</v>
      </c>
    </row>
    <row r="142" s="1" customFormat="1" ht="11.25" spans="1:30">
      <c r="A142" s="2" t="s">
        <v>286</v>
      </c>
      <c r="B142" s="2" t="s">
        <v>919</v>
      </c>
      <c r="C142" s="2" t="s">
        <v>2979</v>
      </c>
      <c r="D142" s="2" t="s">
        <v>813</v>
      </c>
      <c r="E142" s="2" t="s">
        <v>108</v>
      </c>
      <c r="F142" s="2" t="s">
        <v>109</v>
      </c>
      <c r="G142" s="2"/>
      <c r="H142" s="2" t="s">
        <v>2980</v>
      </c>
      <c r="I142" s="2"/>
      <c r="J142" s="2"/>
      <c r="K142" s="2" t="s">
        <v>285</v>
      </c>
      <c r="L142" s="2" t="s">
        <v>3416</v>
      </c>
      <c r="M142" s="2" t="s">
        <v>2974</v>
      </c>
      <c r="N142" s="2" t="s">
        <v>908</v>
      </c>
      <c r="O142" s="2" t="s">
        <v>2975</v>
      </c>
      <c r="P142" s="2" t="s">
        <v>3417</v>
      </c>
      <c r="Q142" s="2">
        <v>0.6</v>
      </c>
      <c r="R142" s="2">
        <v>93</v>
      </c>
      <c r="S142" s="2">
        <v>155</v>
      </c>
      <c r="T142" s="2">
        <v>40</v>
      </c>
      <c r="U142" s="2">
        <v>0</v>
      </c>
      <c r="V142" s="2">
        <v>0</v>
      </c>
      <c r="W142" s="2">
        <v>0</v>
      </c>
      <c r="X142" s="2">
        <v>0</v>
      </c>
      <c r="Y142" s="2">
        <v>2</v>
      </c>
      <c r="Z142" s="2">
        <v>0</v>
      </c>
      <c r="AA142" s="2">
        <v>91</v>
      </c>
      <c r="AB142" s="2" t="s">
        <v>2997</v>
      </c>
      <c r="AC142" s="2" t="s">
        <v>3169</v>
      </c>
      <c r="AD142" s="2" t="s">
        <v>3418</v>
      </c>
    </row>
    <row r="143" s="1" customFormat="1" ht="11.25" spans="1:30">
      <c r="A143" s="2" t="s">
        <v>723</v>
      </c>
      <c r="B143" s="2" t="s">
        <v>919</v>
      </c>
      <c r="C143" s="2" t="s">
        <v>3023</v>
      </c>
      <c r="D143" s="2" t="s">
        <v>813</v>
      </c>
      <c r="E143" s="2" t="s">
        <v>108</v>
      </c>
      <c r="F143" s="2" t="s">
        <v>168</v>
      </c>
      <c r="G143" s="2"/>
      <c r="H143" s="2" t="s">
        <v>2980</v>
      </c>
      <c r="I143" s="2"/>
      <c r="J143" s="2"/>
      <c r="K143" s="2" t="s">
        <v>722</v>
      </c>
      <c r="L143" s="2" t="s">
        <v>3419</v>
      </c>
      <c r="M143" s="2" t="s">
        <v>2974</v>
      </c>
      <c r="N143" s="2" t="s">
        <v>908</v>
      </c>
      <c r="O143" s="2" t="s">
        <v>2975</v>
      </c>
      <c r="P143" s="2" t="s">
        <v>3364</v>
      </c>
      <c r="Q143" s="2">
        <v>0.04</v>
      </c>
      <c r="R143" s="2">
        <v>90</v>
      </c>
      <c r="S143" s="2">
        <v>2250</v>
      </c>
      <c r="T143" s="2">
        <v>0</v>
      </c>
      <c r="U143" s="2">
        <v>0</v>
      </c>
      <c r="V143" s="2">
        <v>0</v>
      </c>
      <c r="W143" s="2">
        <v>0</v>
      </c>
      <c r="X143" s="2">
        <v>0</v>
      </c>
      <c r="Y143" s="2">
        <v>0</v>
      </c>
      <c r="Z143" s="2">
        <v>0</v>
      </c>
      <c r="AA143" s="2">
        <v>90</v>
      </c>
      <c r="AB143" s="2" t="s">
        <v>3179</v>
      </c>
      <c r="AC143" s="2" t="s">
        <v>3420</v>
      </c>
      <c r="AD143" s="2" t="s">
        <v>3421</v>
      </c>
    </row>
    <row r="144" s="1" customFormat="1" ht="11.25" spans="1:30">
      <c r="A144" s="2" t="s">
        <v>413</v>
      </c>
      <c r="B144" s="2" t="s">
        <v>919</v>
      </c>
      <c r="C144" s="2" t="s">
        <v>2979</v>
      </c>
      <c r="D144" s="2" t="s">
        <v>813</v>
      </c>
      <c r="E144" s="2" t="s">
        <v>96</v>
      </c>
      <c r="F144" s="2" t="s">
        <v>2712</v>
      </c>
      <c r="G144" s="2"/>
      <c r="H144" s="2" t="s">
        <v>2980</v>
      </c>
      <c r="I144" s="2"/>
      <c r="J144" s="2"/>
      <c r="K144" s="2" t="s">
        <v>2724</v>
      </c>
      <c r="L144" s="2" t="s">
        <v>3422</v>
      </c>
      <c r="M144" s="2" t="s">
        <v>2974</v>
      </c>
      <c r="N144" s="2" t="s">
        <v>908</v>
      </c>
      <c r="O144" s="2" t="s">
        <v>3125</v>
      </c>
      <c r="P144" s="2" t="s">
        <v>3423</v>
      </c>
      <c r="Q144" s="2">
        <v>0.4</v>
      </c>
      <c r="R144" s="2">
        <v>89</v>
      </c>
      <c r="S144" s="2">
        <v>223</v>
      </c>
      <c r="T144" s="2">
        <v>0</v>
      </c>
      <c r="U144" s="2">
        <v>0</v>
      </c>
      <c r="V144" s="2">
        <v>0</v>
      </c>
      <c r="W144" s="2">
        <v>0</v>
      </c>
      <c r="X144" s="2">
        <v>0</v>
      </c>
      <c r="Y144" s="2">
        <v>0</v>
      </c>
      <c r="Z144" s="2">
        <v>0</v>
      </c>
      <c r="AA144" s="2">
        <v>89</v>
      </c>
      <c r="AB144" s="2" t="s">
        <v>3015</v>
      </c>
      <c r="AC144" s="2" t="s">
        <v>3269</v>
      </c>
      <c r="AD144" s="2" t="s">
        <v>3424</v>
      </c>
    </row>
    <row r="145" s="1" customFormat="1" ht="11.25" spans="1:30">
      <c r="A145" s="2" t="s">
        <v>707</v>
      </c>
      <c r="B145" s="2" t="s">
        <v>919</v>
      </c>
      <c r="C145" s="2" t="s">
        <v>2979</v>
      </c>
      <c r="D145" s="2" t="s">
        <v>813</v>
      </c>
      <c r="E145" s="2" t="s">
        <v>96</v>
      </c>
      <c r="F145" s="2" t="s">
        <v>115</v>
      </c>
      <c r="G145" s="2"/>
      <c r="H145" s="2" t="s">
        <v>2980</v>
      </c>
      <c r="I145" s="2"/>
      <c r="J145" s="2"/>
      <c r="K145" s="2" t="s">
        <v>706</v>
      </c>
      <c r="L145" s="2" t="s">
        <v>3425</v>
      </c>
      <c r="M145" s="2" t="s">
        <v>2974</v>
      </c>
      <c r="N145" s="2" t="s">
        <v>908</v>
      </c>
      <c r="O145" s="2" t="s">
        <v>2975</v>
      </c>
      <c r="P145" s="2" t="s">
        <v>3426</v>
      </c>
      <c r="Q145" s="2">
        <v>0.23</v>
      </c>
      <c r="R145" s="2">
        <v>89</v>
      </c>
      <c r="S145" s="2">
        <v>387</v>
      </c>
      <c r="T145" s="2">
        <v>0</v>
      </c>
      <c r="U145" s="2">
        <v>0</v>
      </c>
      <c r="V145" s="2">
        <v>0</v>
      </c>
      <c r="W145" s="2">
        <v>0</v>
      </c>
      <c r="X145" s="2">
        <v>0</v>
      </c>
      <c r="Y145" s="2">
        <v>0</v>
      </c>
      <c r="Z145" s="2">
        <v>0</v>
      </c>
      <c r="AA145" s="2">
        <v>89</v>
      </c>
      <c r="AB145" s="2" t="s">
        <v>3119</v>
      </c>
      <c r="AC145" s="2" t="s">
        <v>3169</v>
      </c>
      <c r="AD145" s="2" t="s">
        <v>3197</v>
      </c>
    </row>
    <row r="146" s="1" customFormat="1" ht="11.25" spans="1:30">
      <c r="A146" s="2" t="s">
        <v>1693</v>
      </c>
      <c r="B146" s="2" t="s">
        <v>2970</v>
      </c>
      <c r="C146" s="2" t="s">
        <v>3023</v>
      </c>
      <c r="D146" s="2" t="s">
        <v>813</v>
      </c>
      <c r="E146" s="2" t="s">
        <v>108</v>
      </c>
      <c r="F146" s="2" t="s">
        <v>927</v>
      </c>
      <c r="G146" s="2"/>
      <c r="H146" s="2" t="s">
        <v>2980</v>
      </c>
      <c r="I146" s="2"/>
      <c r="J146" s="2"/>
      <c r="K146" s="2" t="s">
        <v>1694</v>
      </c>
      <c r="L146" s="2" t="s">
        <v>3427</v>
      </c>
      <c r="M146" s="2" t="s">
        <v>2974</v>
      </c>
      <c r="N146" s="2" t="s">
        <v>908</v>
      </c>
      <c r="O146" s="2" t="s">
        <v>2975</v>
      </c>
      <c r="P146" s="2" t="s">
        <v>2982</v>
      </c>
      <c r="Q146" s="2">
        <v>0</v>
      </c>
      <c r="R146" s="2">
        <v>88</v>
      </c>
      <c r="S146" s="2">
        <v>0</v>
      </c>
      <c r="T146" s="2">
        <v>0</v>
      </c>
      <c r="U146" s="2">
        <v>0</v>
      </c>
      <c r="V146" s="2">
        <v>0</v>
      </c>
      <c r="W146" s="2">
        <v>0</v>
      </c>
      <c r="X146" s="2">
        <v>0</v>
      </c>
      <c r="Y146" s="2">
        <v>0</v>
      </c>
      <c r="Z146" s="2">
        <v>0</v>
      </c>
      <c r="AA146" s="2">
        <v>88</v>
      </c>
      <c r="AB146" s="2"/>
      <c r="AC146" s="2" t="s">
        <v>1083</v>
      </c>
      <c r="AD146" s="2"/>
    </row>
    <row r="147" s="1" customFormat="1" ht="11.25" spans="1:30">
      <c r="A147" s="2" t="s">
        <v>239</v>
      </c>
      <c r="B147" s="2" t="s">
        <v>919</v>
      </c>
      <c r="C147" s="2" t="s">
        <v>2979</v>
      </c>
      <c r="D147" s="2" t="s">
        <v>813</v>
      </c>
      <c r="E147" s="2" t="s">
        <v>96</v>
      </c>
      <c r="F147" s="2" t="s">
        <v>97</v>
      </c>
      <c r="G147" s="2"/>
      <c r="H147" s="2" t="s">
        <v>2980</v>
      </c>
      <c r="I147" s="2"/>
      <c r="J147" s="2"/>
      <c r="K147" s="2" t="s">
        <v>238</v>
      </c>
      <c r="L147" s="2" t="s">
        <v>3428</v>
      </c>
      <c r="M147" s="2" t="s">
        <v>2974</v>
      </c>
      <c r="N147" s="2" t="s">
        <v>908</v>
      </c>
      <c r="O147" s="2" t="s">
        <v>2975</v>
      </c>
      <c r="P147" s="2" t="s">
        <v>3429</v>
      </c>
      <c r="Q147" s="2">
        <v>0.5</v>
      </c>
      <c r="R147" s="2">
        <v>87</v>
      </c>
      <c r="S147" s="2">
        <v>174</v>
      </c>
      <c r="T147" s="2">
        <v>0</v>
      </c>
      <c r="U147" s="2">
        <v>0</v>
      </c>
      <c r="V147" s="2">
        <v>0</v>
      </c>
      <c r="W147" s="2">
        <v>0</v>
      </c>
      <c r="X147" s="2">
        <v>0</v>
      </c>
      <c r="Y147" s="2">
        <v>0</v>
      </c>
      <c r="Z147" s="2">
        <v>0</v>
      </c>
      <c r="AA147" s="2">
        <v>87</v>
      </c>
      <c r="AB147" s="2" t="s">
        <v>2997</v>
      </c>
      <c r="AC147" s="2" t="s">
        <v>3430</v>
      </c>
      <c r="AD147" s="2" t="s">
        <v>3431</v>
      </c>
    </row>
    <row r="148" s="1" customFormat="1" ht="11.25" spans="1:30">
      <c r="A148" s="2" t="s">
        <v>275</v>
      </c>
      <c r="B148" s="2" t="s">
        <v>919</v>
      </c>
      <c r="C148" s="2" t="s">
        <v>3004</v>
      </c>
      <c r="D148" s="2" t="s">
        <v>813</v>
      </c>
      <c r="E148" s="2" t="s">
        <v>96</v>
      </c>
      <c r="F148" s="2" t="s">
        <v>115</v>
      </c>
      <c r="G148" s="2"/>
      <c r="H148" s="2" t="s">
        <v>2980</v>
      </c>
      <c r="I148" s="2"/>
      <c r="J148" s="2"/>
      <c r="K148" s="2" t="s">
        <v>274</v>
      </c>
      <c r="L148" s="2" t="s">
        <v>3432</v>
      </c>
      <c r="M148" s="2" t="s">
        <v>2974</v>
      </c>
      <c r="N148" s="2" t="s">
        <v>908</v>
      </c>
      <c r="O148" s="2" t="s">
        <v>2975</v>
      </c>
      <c r="P148" s="2" t="s">
        <v>3433</v>
      </c>
      <c r="Q148" s="2">
        <v>0.54</v>
      </c>
      <c r="R148" s="2">
        <v>86</v>
      </c>
      <c r="S148" s="2">
        <v>159</v>
      </c>
      <c r="T148" s="2">
        <v>0</v>
      </c>
      <c r="U148" s="2">
        <v>0</v>
      </c>
      <c r="V148" s="2">
        <v>0</v>
      </c>
      <c r="W148" s="2">
        <v>0</v>
      </c>
      <c r="X148" s="2">
        <v>0</v>
      </c>
      <c r="Y148" s="2">
        <v>1</v>
      </c>
      <c r="Z148" s="2">
        <v>0</v>
      </c>
      <c r="AA148" s="2">
        <v>85</v>
      </c>
      <c r="AB148" s="2" t="s">
        <v>2993</v>
      </c>
      <c r="AC148" s="2" t="s">
        <v>3345</v>
      </c>
      <c r="AD148" s="2" t="s">
        <v>3434</v>
      </c>
    </row>
    <row r="149" s="1" customFormat="1" ht="11.25" spans="1:30">
      <c r="A149" s="2" t="s">
        <v>715</v>
      </c>
      <c r="B149" s="2" t="s">
        <v>919</v>
      </c>
      <c r="C149" s="2" t="s">
        <v>2979</v>
      </c>
      <c r="D149" s="2" t="s">
        <v>813</v>
      </c>
      <c r="E149" s="2" t="s">
        <v>108</v>
      </c>
      <c r="F149" s="2" t="s">
        <v>146</v>
      </c>
      <c r="G149" s="2"/>
      <c r="H149" s="2" t="s">
        <v>2980</v>
      </c>
      <c r="I149" s="2"/>
      <c r="J149" s="2"/>
      <c r="K149" s="2" t="s">
        <v>714</v>
      </c>
      <c r="L149" s="2" t="s">
        <v>3435</v>
      </c>
      <c r="M149" s="2" t="s">
        <v>2974</v>
      </c>
      <c r="N149" s="2" t="s">
        <v>908</v>
      </c>
      <c r="O149" s="2" t="s">
        <v>2975</v>
      </c>
      <c r="P149" s="2" t="s">
        <v>3436</v>
      </c>
      <c r="Q149" s="2">
        <v>1.4</v>
      </c>
      <c r="R149" s="2">
        <v>85</v>
      </c>
      <c r="S149" s="2">
        <v>61</v>
      </c>
      <c r="T149" s="2">
        <v>50</v>
      </c>
      <c r="U149" s="2">
        <v>0</v>
      </c>
      <c r="V149" s="2">
        <v>0</v>
      </c>
      <c r="W149" s="2">
        <v>0</v>
      </c>
      <c r="X149" s="2">
        <v>0</v>
      </c>
      <c r="Y149" s="2">
        <v>0</v>
      </c>
      <c r="Z149" s="2">
        <v>0</v>
      </c>
      <c r="AA149" s="2">
        <v>85</v>
      </c>
      <c r="AB149" s="2" t="s">
        <v>2997</v>
      </c>
      <c r="AC149" s="2" t="s">
        <v>3119</v>
      </c>
      <c r="AD149" s="2" t="s">
        <v>3437</v>
      </c>
    </row>
    <row r="150" s="1" customFormat="1" ht="11.25" spans="1:30">
      <c r="A150" s="2" t="s">
        <v>406</v>
      </c>
      <c r="B150" s="2" t="s">
        <v>919</v>
      </c>
      <c r="C150" s="2" t="s">
        <v>2979</v>
      </c>
      <c r="D150" s="2" t="s">
        <v>813</v>
      </c>
      <c r="E150" s="2" t="s">
        <v>96</v>
      </c>
      <c r="F150" s="2" t="s">
        <v>186</v>
      </c>
      <c r="G150" s="2"/>
      <c r="H150" s="2" t="s">
        <v>2980</v>
      </c>
      <c r="I150" s="2"/>
      <c r="J150" s="2"/>
      <c r="K150" s="2" t="s">
        <v>405</v>
      </c>
      <c r="L150" s="2" t="s">
        <v>3438</v>
      </c>
      <c r="M150" s="2" t="s">
        <v>2974</v>
      </c>
      <c r="N150" s="2" t="s">
        <v>908</v>
      </c>
      <c r="O150" s="2" t="s">
        <v>2975</v>
      </c>
      <c r="P150" s="2" t="s">
        <v>3439</v>
      </c>
      <c r="Q150" s="2">
        <v>3.03</v>
      </c>
      <c r="R150" s="2">
        <v>83</v>
      </c>
      <c r="S150" s="2">
        <v>27</v>
      </c>
      <c r="T150" s="2">
        <v>136</v>
      </c>
      <c r="U150" s="2">
        <v>0</v>
      </c>
      <c r="V150" s="2">
        <v>0</v>
      </c>
      <c r="W150" s="2">
        <v>0</v>
      </c>
      <c r="X150" s="2">
        <v>0</v>
      </c>
      <c r="Y150" s="2">
        <v>0</v>
      </c>
      <c r="Z150" s="2">
        <v>0</v>
      </c>
      <c r="AA150" s="2">
        <v>83</v>
      </c>
      <c r="AB150" s="2" t="s">
        <v>2997</v>
      </c>
      <c r="AC150" s="2" t="s">
        <v>2997</v>
      </c>
      <c r="AD150" s="2" t="s">
        <v>3440</v>
      </c>
    </row>
    <row r="151" s="1" customFormat="1" ht="11.25" spans="1:30">
      <c r="A151" s="2" t="s">
        <v>178</v>
      </c>
      <c r="B151" s="2" t="s">
        <v>919</v>
      </c>
      <c r="C151" s="2" t="s">
        <v>3004</v>
      </c>
      <c r="D151" s="2" t="s">
        <v>813</v>
      </c>
      <c r="E151" s="2" t="s">
        <v>96</v>
      </c>
      <c r="F151" s="2" t="s">
        <v>127</v>
      </c>
      <c r="G151" s="2"/>
      <c r="H151" s="2" t="s">
        <v>2980</v>
      </c>
      <c r="I151" s="2"/>
      <c r="J151" s="2"/>
      <c r="K151" s="2" t="s">
        <v>177</v>
      </c>
      <c r="L151" s="2" t="s">
        <v>3441</v>
      </c>
      <c r="M151" s="2" t="s">
        <v>2974</v>
      </c>
      <c r="N151" s="2" t="s">
        <v>908</v>
      </c>
      <c r="O151" s="2" t="s">
        <v>2975</v>
      </c>
      <c r="P151" s="2" t="s">
        <v>3442</v>
      </c>
      <c r="Q151" s="2">
        <v>0.69</v>
      </c>
      <c r="R151" s="2">
        <v>81</v>
      </c>
      <c r="S151" s="2">
        <v>117</v>
      </c>
      <c r="T151" s="2">
        <v>160</v>
      </c>
      <c r="U151" s="2">
        <v>0</v>
      </c>
      <c r="V151" s="2">
        <v>0</v>
      </c>
      <c r="W151" s="2">
        <v>0</v>
      </c>
      <c r="X151" s="2">
        <v>0</v>
      </c>
      <c r="Y151" s="2">
        <v>2</v>
      </c>
      <c r="Z151" s="2">
        <v>0</v>
      </c>
      <c r="AA151" s="2">
        <v>79</v>
      </c>
      <c r="AB151" s="2" t="s">
        <v>2997</v>
      </c>
      <c r="AC151" s="2" t="s">
        <v>3132</v>
      </c>
      <c r="AD151" s="2" t="s">
        <v>3409</v>
      </c>
    </row>
    <row r="152" s="1" customFormat="1" ht="11.25" spans="1:30">
      <c r="A152" s="2" t="s">
        <v>588</v>
      </c>
      <c r="B152" s="2" t="s">
        <v>919</v>
      </c>
      <c r="C152" s="2" t="s">
        <v>3023</v>
      </c>
      <c r="D152" s="2" t="s">
        <v>813</v>
      </c>
      <c r="E152" s="2" t="s">
        <v>96</v>
      </c>
      <c r="F152" s="2" t="s">
        <v>97</v>
      </c>
      <c r="G152" s="2"/>
      <c r="H152" s="2" t="s">
        <v>2980</v>
      </c>
      <c r="I152" s="2"/>
      <c r="J152" s="2"/>
      <c r="K152" s="2" t="s">
        <v>587</v>
      </c>
      <c r="L152" s="2" t="s">
        <v>3443</v>
      </c>
      <c r="M152" s="2" t="s">
        <v>2974</v>
      </c>
      <c r="N152" s="2" t="s">
        <v>908</v>
      </c>
      <c r="O152" s="2" t="s">
        <v>2975</v>
      </c>
      <c r="P152" s="2" t="s">
        <v>3444</v>
      </c>
      <c r="Q152" s="2">
        <v>0.33</v>
      </c>
      <c r="R152" s="2">
        <v>80</v>
      </c>
      <c r="S152" s="2">
        <v>242</v>
      </c>
      <c r="T152" s="2">
        <v>0</v>
      </c>
      <c r="U152" s="2">
        <v>0</v>
      </c>
      <c r="V152" s="2">
        <v>0</v>
      </c>
      <c r="W152" s="2">
        <v>0</v>
      </c>
      <c r="X152" s="2">
        <v>0</v>
      </c>
      <c r="Y152" s="2">
        <v>0</v>
      </c>
      <c r="Z152" s="2">
        <v>0</v>
      </c>
      <c r="AA152" s="2">
        <v>80</v>
      </c>
      <c r="AB152" s="2" t="s">
        <v>2997</v>
      </c>
      <c r="AC152" s="2" t="s">
        <v>3341</v>
      </c>
      <c r="AD152" s="2" t="s">
        <v>3445</v>
      </c>
    </row>
    <row r="153" s="1" customFormat="1" ht="11.25" spans="1:30">
      <c r="A153" s="2" t="s">
        <v>291</v>
      </c>
      <c r="B153" s="2" t="s">
        <v>919</v>
      </c>
      <c r="C153" s="2" t="s">
        <v>3023</v>
      </c>
      <c r="D153" s="2" t="s">
        <v>813</v>
      </c>
      <c r="E153" s="2" t="s">
        <v>108</v>
      </c>
      <c r="F153" s="2" t="s">
        <v>206</v>
      </c>
      <c r="G153" s="2"/>
      <c r="H153" s="2" t="s">
        <v>2980</v>
      </c>
      <c r="I153" s="2"/>
      <c r="J153" s="2"/>
      <c r="K153" s="2" t="s">
        <v>290</v>
      </c>
      <c r="L153" s="2" t="s">
        <v>3446</v>
      </c>
      <c r="M153" s="2" t="s">
        <v>2974</v>
      </c>
      <c r="N153" s="2" t="s">
        <v>908</v>
      </c>
      <c r="O153" s="2" t="s">
        <v>3125</v>
      </c>
      <c r="P153" s="2" t="s">
        <v>3447</v>
      </c>
      <c r="Q153" s="2">
        <v>0.12</v>
      </c>
      <c r="R153" s="2">
        <v>78</v>
      </c>
      <c r="S153" s="2">
        <v>650</v>
      </c>
      <c r="T153" s="2">
        <v>0</v>
      </c>
      <c r="U153" s="2">
        <v>0</v>
      </c>
      <c r="V153" s="2">
        <v>0</v>
      </c>
      <c r="W153" s="2">
        <v>0</v>
      </c>
      <c r="X153" s="2">
        <v>0</v>
      </c>
      <c r="Y153" s="2">
        <v>0</v>
      </c>
      <c r="Z153" s="2">
        <v>0</v>
      </c>
      <c r="AA153" s="2">
        <v>78</v>
      </c>
      <c r="AB153" s="2" t="s">
        <v>3011</v>
      </c>
      <c r="AC153" s="2" t="s">
        <v>3269</v>
      </c>
      <c r="AD153" s="2" t="s">
        <v>3448</v>
      </c>
    </row>
    <row r="154" s="1" customFormat="1" ht="11.25" spans="1:30">
      <c r="A154" s="2" t="s">
        <v>145</v>
      </c>
      <c r="B154" s="2" t="s">
        <v>919</v>
      </c>
      <c r="C154" s="2" t="s">
        <v>2979</v>
      </c>
      <c r="D154" s="2" t="s">
        <v>813</v>
      </c>
      <c r="E154" s="2" t="s">
        <v>108</v>
      </c>
      <c r="F154" s="2" t="s">
        <v>109</v>
      </c>
      <c r="G154" s="2"/>
      <c r="H154" s="2" t="s">
        <v>2980</v>
      </c>
      <c r="I154" s="2"/>
      <c r="J154" s="2"/>
      <c r="K154" s="2" t="s">
        <v>143</v>
      </c>
      <c r="L154" s="2" t="s">
        <v>3449</v>
      </c>
      <c r="M154" s="2" t="s">
        <v>2974</v>
      </c>
      <c r="N154" s="2" t="s">
        <v>908</v>
      </c>
      <c r="O154" s="2" t="s">
        <v>2975</v>
      </c>
      <c r="P154" s="2" t="s">
        <v>3450</v>
      </c>
      <c r="Q154" s="2">
        <v>2.17</v>
      </c>
      <c r="R154" s="2">
        <v>78</v>
      </c>
      <c r="S154" s="2">
        <v>36</v>
      </c>
      <c r="T154" s="2">
        <v>220</v>
      </c>
      <c r="U154" s="2">
        <v>0</v>
      </c>
      <c r="V154" s="2">
        <v>0</v>
      </c>
      <c r="W154" s="2">
        <v>0</v>
      </c>
      <c r="X154" s="2">
        <v>0</v>
      </c>
      <c r="Y154" s="2">
        <v>0</v>
      </c>
      <c r="Z154" s="2">
        <v>0</v>
      </c>
      <c r="AA154" s="2">
        <v>78</v>
      </c>
      <c r="AB154" s="2" t="s">
        <v>2997</v>
      </c>
      <c r="AC154" s="2" t="s">
        <v>3345</v>
      </c>
      <c r="AD154" s="2" t="s">
        <v>3451</v>
      </c>
    </row>
    <row r="155" s="1" customFormat="1" ht="11.25" spans="1:30">
      <c r="A155" s="2" t="s">
        <v>751</v>
      </c>
      <c r="B155" s="2" t="s">
        <v>919</v>
      </c>
      <c r="C155" s="2" t="s">
        <v>2979</v>
      </c>
      <c r="D155" s="2" t="s">
        <v>813</v>
      </c>
      <c r="E155" s="2" t="s">
        <v>96</v>
      </c>
      <c r="F155" s="2" t="s">
        <v>97</v>
      </c>
      <c r="G155" s="2"/>
      <c r="H155" s="2" t="s">
        <v>2980</v>
      </c>
      <c r="I155" s="2"/>
      <c r="J155" s="2"/>
      <c r="K155" s="2" t="s">
        <v>750</v>
      </c>
      <c r="L155" s="2" t="s">
        <v>3452</v>
      </c>
      <c r="M155" s="2" t="s">
        <v>2974</v>
      </c>
      <c r="N155" s="2" t="s">
        <v>908</v>
      </c>
      <c r="O155" s="2" t="s">
        <v>2975</v>
      </c>
      <c r="P155" s="2" t="s">
        <v>3453</v>
      </c>
      <c r="Q155" s="2">
        <v>0.22</v>
      </c>
      <c r="R155" s="2">
        <v>78</v>
      </c>
      <c r="S155" s="2">
        <v>355</v>
      </c>
      <c r="T155" s="2">
        <v>180</v>
      </c>
      <c r="U155" s="2">
        <v>0</v>
      </c>
      <c r="V155" s="2">
        <v>0</v>
      </c>
      <c r="W155" s="2">
        <v>0</v>
      </c>
      <c r="X155" s="2">
        <v>0</v>
      </c>
      <c r="Y155" s="2">
        <v>0</v>
      </c>
      <c r="Z155" s="2">
        <v>0</v>
      </c>
      <c r="AA155" s="2">
        <v>78</v>
      </c>
      <c r="AB155" s="2" t="s">
        <v>3360</v>
      </c>
      <c r="AC155" s="2" t="s">
        <v>2997</v>
      </c>
      <c r="AD155" s="2" t="s">
        <v>3454</v>
      </c>
    </row>
    <row r="156" s="1" customFormat="1" ht="11.25" spans="1:30">
      <c r="A156" s="2" t="s">
        <v>508</v>
      </c>
      <c r="B156" s="2" t="s">
        <v>919</v>
      </c>
      <c r="C156" s="2" t="s">
        <v>3023</v>
      </c>
      <c r="D156" s="2" t="s">
        <v>813</v>
      </c>
      <c r="E156" s="2" t="s">
        <v>96</v>
      </c>
      <c r="F156" s="2" t="s">
        <v>115</v>
      </c>
      <c r="G156" s="2"/>
      <c r="H156" s="2" t="s">
        <v>2980</v>
      </c>
      <c r="I156" s="2"/>
      <c r="J156" s="2"/>
      <c r="K156" s="2" t="s">
        <v>507</v>
      </c>
      <c r="L156" s="2" t="s">
        <v>3455</v>
      </c>
      <c r="M156" s="2" t="s">
        <v>2974</v>
      </c>
      <c r="N156" s="2" t="s">
        <v>908</v>
      </c>
      <c r="O156" s="2" t="s">
        <v>2975</v>
      </c>
      <c r="P156" s="2" t="s">
        <v>3456</v>
      </c>
      <c r="Q156" s="2">
        <v>0.19</v>
      </c>
      <c r="R156" s="2">
        <v>78</v>
      </c>
      <c r="S156" s="2">
        <v>411</v>
      </c>
      <c r="T156" s="2">
        <v>80</v>
      </c>
      <c r="U156" s="2">
        <v>0</v>
      </c>
      <c r="V156" s="2">
        <v>0</v>
      </c>
      <c r="W156" s="2">
        <v>0</v>
      </c>
      <c r="X156" s="2">
        <v>0</v>
      </c>
      <c r="Y156" s="2">
        <v>0</v>
      </c>
      <c r="Z156" s="2">
        <v>0</v>
      </c>
      <c r="AA156" s="2">
        <v>78</v>
      </c>
      <c r="AB156" s="2" t="s">
        <v>3011</v>
      </c>
      <c r="AC156" s="2" t="s">
        <v>3341</v>
      </c>
      <c r="AD156" s="2" t="s">
        <v>3457</v>
      </c>
    </row>
    <row r="157" s="1" customFormat="1" ht="11.25" spans="1:30">
      <c r="A157" s="2" t="s">
        <v>682</v>
      </c>
      <c r="B157" s="2" t="s">
        <v>919</v>
      </c>
      <c r="C157" s="2" t="s">
        <v>3023</v>
      </c>
      <c r="D157" s="2" t="s">
        <v>813</v>
      </c>
      <c r="E157" s="2" t="s">
        <v>96</v>
      </c>
      <c r="F157" s="2" t="s">
        <v>97</v>
      </c>
      <c r="G157" s="2"/>
      <c r="H157" s="2" t="s">
        <v>2980</v>
      </c>
      <c r="I157" s="2"/>
      <c r="J157" s="2"/>
      <c r="K157" s="2" t="s">
        <v>681</v>
      </c>
      <c r="L157" s="2" t="s">
        <v>3458</v>
      </c>
      <c r="M157" s="2" t="s">
        <v>2974</v>
      </c>
      <c r="N157" s="2" t="s">
        <v>908</v>
      </c>
      <c r="O157" s="2" t="s">
        <v>2975</v>
      </c>
      <c r="P157" s="2" t="s">
        <v>3459</v>
      </c>
      <c r="Q157" s="2">
        <v>0.06</v>
      </c>
      <c r="R157" s="2">
        <v>77</v>
      </c>
      <c r="S157" s="2">
        <v>1283</v>
      </c>
      <c r="T157" s="2">
        <v>0</v>
      </c>
      <c r="U157" s="2">
        <v>0</v>
      </c>
      <c r="V157" s="2">
        <v>0</v>
      </c>
      <c r="W157" s="2">
        <v>0</v>
      </c>
      <c r="X157" s="2">
        <v>0</v>
      </c>
      <c r="Y157" s="2">
        <v>0</v>
      </c>
      <c r="Z157" s="2">
        <v>0</v>
      </c>
      <c r="AA157" s="2">
        <v>77</v>
      </c>
      <c r="AB157" s="2" t="s">
        <v>2993</v>
      </c>
      <c r="AC157" s="2" t="s">
        <v>1221</v>
      </c>
      <c r="AD157" s="2" t="s">
        <v>3460</v>
      </c>
    </row>
    <row r="158" s="1" customFormat="1" ht="11.25" spans="1:30">
      <c r="A158" s="2" t="s">
        <v>719</v>
      </c>
      <c r="B158" s="2" t="s">
        <v>919</v>
      </c>
      <c r="C158" s="2" t="s">
        <v>3004</v>
      </c>
      <c r="D158" s="2" t="s">
        <v>813</v>
      </c>
      <c r="E158" s="2" t="s">
        <v>96</v>
      </c>
      <c r="F158" s="2" t="s">
        <v>115</v>
      </c>
      <c r="G158" s="2"/>
      <c r="H158" s="2" t="s">
        <v>2980</v>
      </c>
      <c r="I158" s="2"/>
      <c r="J158" s="2"/>
      <c r="K158" s="2" t="s">
        <v>718</v>
      </c>
      <c r="L158" s="2" t="s">
        <v>3461</v>
      </c>
      <c r="M158" s="2" t="s">
        <v>2974</v>
      </c>
      <c r="N158" s="2" t="s">
        <v>908</v>
      </c>
      <c r="O158" s="2" t="s">
        <v>2975</v>
      </c>
      <c r="P158" s="2" t="s">
        <v>3462</v>
      </c>
      <c r="Q158" s="2">
        <v>1.08</v>
      </c>
      <c r="R158" s="2">
        <v>77</v>
      </c>
      <c r="S158" s="2">
        <v>71</v>
      </c>
      <c r="T158" s="2">
        <v>50</v>
      </c>
      <c r="U158" s="2">
        <v>0</v>
      </c>
      <c r="V158" s="2">
        <v>0</v>
      </c>
      <c r="W158" s="2">
        <v>0</v>
      </c>
      <c r="X158" s="2">
        <v>0</v>
      </c>
      <c r="Y158" s="2">
        <v>0</v>
      </c>
      <c r="Z158" s="2">
        <v>0</v>
      </c>
      <c r="AA158" s="2">
        <v>77</v>
      </c>
      <c r="AB158" s="2" t="s">
        <v>2993</v>
      </c>
      <c r="AC158" s="2" t="s">
        <v>2997</v>
      </c>
      <c r="AD158" s="2" t="s">
        <v>3463</v>
      </c>
    </row>
    <row r="159" s="1" customFormat="1" ht="11.25" spans="1:30">
      <c r="A159" s="2" t="s">
        <v>2461</v>
      </c>
      <c r="B159" s="2" t="s">
        <v>2970</v>
      </c>
      <c r="C159" s="2" t="s">
        <v>3023</v>
      </c>
      <c r="D159" s="2" t="s">
        <v>813</v>
      </c>
      <c r="E159" s="2" t="s">
        <v>108</v>
      </c>
      <c r="F159" s="2" t="s">
        <v>168</v>
      </c>
      <c r="G159" s="2"/>
      <c r="H159" s="2" t="s">
        <v>2980</v>
      </c>
      <c r="I159" s="2"/>
      <c r="J159" s="2"/>
      <c r="K159" s="2" t="s">
        <v>1405</v>
      </c>
      <c r="L159" s="2" t="s">
        <v>3140</v>
      </c>
      <c r="M159" s="2" t="s">
        <v>2974</v>
      </c>
      <c r="N159" s="2" t="s">
        <v>908</v>
      </c>
      <c r="O159" s="2" t="s">
        <v>2975</v>
      </c>
      <c r="P159" s="2" t="s">
        <v>2982</v>
      </c>
      <c r="Q159" s="2">
        <v>0</v>
      </c>
      <c r="R159" s="2">
        <v>77</v>
      </c>
      <c r="S159" s="2">
        <v>0</v>
      </c>
      <c r="T159" s="2">
        <v>0</v>
      </c>
      <c r="U159" s="2">
        <v>0</v>
      </c>
      <c r="V159" s="2">
        <v>0</v>
      </c>
      <c r="W159" s="2">
        <v>0</v>
      </c>
      <c r="X159" s="2">
        <v>0</v>
      </c>
      <c r="Y159" s="2">
        <v>0</v>
      </c>
      <c r="Z159" s="2">
        <v>0</v>
      </c>
      <c r="AA159" s="2">
        <v>77</v>
      </c>
      <c r="AB159" s="2" t="s">
        <v>3464</v>
      </c>
      <c r="AC159" s="2" t="s">
        <v>1083</v>
      </c>
      <c r="AD159" s="2"/>
    </row>
    <row r="160" s="1" customFormat="1" ht="11.25" spans="1:30">
      <c r="A160" s="2" t="s">
        <v>54</v>
      </c>
      <c r="B160" s="2" t="s">
        <v>919</v>
      </c>
      <c r="C160" s="2" t="s">
        <v>3023</v>
      </c>
      <c r="D160" s="2" t="s">
        <v>813</v>
      </c>
      <c r="E160" s="2" t="s">
        <v>108</v>
      </c>
      <c r="F160" s="2" t="s">
        <v>927</v>
      </c>
      <c r="G160" s="2"/>
      <c r="H160" s="2" t="s">
        <v>2980</v>
      </c>
      <c r="I160" s="2"/>
      <c r="J160" s="2"/>
      <c r="K160" s="2" t="s">
        <v>55</v>
      </c>
      <c r="L160" s="2" t="s">
        <v>3465</v>
      </c>
      <c r="M160" s="2" t="s">
        <v>2974</v>
      </c>
      <c r="N160" s="2" t="s">
        <v>908</v>
      </c>
      <c r="O160" s="2" t="s">
        <v>3125</v>
      </c>
      <c r="P160" s="2" t="s">
        <v>3466</v>
      </c>
      <c r="Q160" s="2">
        <v>0.36</v>
      </c>
      <c r="R160" s="2">
        <v>74</v>
      </c>
      <c r="S160" s="2">
        <v>206</v>
      </c>
      <c r="T160" s="2">
        <v>0</v>
      </c>
      <c r="U160" s="2">
        <v>0</v>
      </c>
      <c r="V160" s="2">
        <v>0</v>
      </c>
      <c r="W160" s="2">
        <v>0</v>
      </c>
      <c r="X160" s="2">
        <v>0</v>
      </c>
      <c r="Y160" s="2">
        <v>0</v>
      </c>
      <c r="Z160" s="2">
        <v>0</v>
      </c>
      <c r="AA160" s="2">
        <v>74</v>
      </c>
      <c r="AB160" s="2" t="s">
        <v>2993</v>
      </c>
      <c r="AC160" s="2" t="s">
        <v>3015</v>
      </c>
      <c r="AD160" s="2" t="s">
        <v>3467</v>
      </c>
    </row>
    <row r="161" s="1" customFormat="1" ht="11.25" spans="1:30">
      <c r="A161" s="2" t="s">
        <v>208</v>
      </c>
      <c r="B161" s="2" t="s">
        <v>2970</v>
      </c>
      <c r="C161" s="2" t="s">
        <v>3023</v>
      </c>
      <c r="D161" s="2" t="s">
        <v>813</v>
      </c>
      <c r="E161" s="2" t="s">
        <v>108</v>
      </c>
      <c r="F161" s="2" t="s">
        <v>206</v>
      </c>
      <c r="G161" s="2"/>
      <c r="H161" s="2" t="s">
        <v>2980</v>
      </c>
      <c r="I161" s="2"/>
      <c r="J161" s="2"/>
      <c r="K161" s="2" t="s">
        <v>207</v>
      </c>
      <c r="L161" s="2" t="s">
        <v>3468</v>
      </c>
      <c r="M161" s="2" t="s">
        <v>2974</v>
      </c>
      <c r="N161" s="2" t="s">
        <v>908</v>
      </c>
      <c r="O161" s="2" t="s">
        <v>2975</v>
      </c>
      <c r="P161" s="2" t="s">
        <v>3469</v>
      </c>
      <c r="Q161" s="2">
        <v>0.09</v>
      </c>
      <c r="R161" s="2">
        <v>74</v>
      </c>
      <c r="S161" s="2">
        <v>822</v>
      </c>
      <c r="T161" s="2">
        <v>0</v>
      </c>
      <c r="U161" s="2">
        <v>0</v>
      </c>
      <c r="V161" s="2">
        <v>0</v>
      </c>
      <c r="W161" s="2">
        <v>0</v>
      </c>
      <c r="X161" s="2">
        <v>0</v>
      </c>
      <c r="Y161" s="2">
        <v>0</v>
      </c>
      <c r="Z161" s="2">
        <v>0</v>
      </c>
      <c r="AA161" s="2">
        <v>74</v>
      </c>
      <c r="AB161" s="2" t="s">
        <v>1147</v>
      </c>
      <c r="AC161" s="2" t="s">
        <v>3470</v>
      </c>
      <c r="AD161" s="2" t="s">
        <v>3471</v>
      </c>
    </row>
    <row r="162" s="1" customFormat="1" ht="11.25" spans="1:30">
      <c r="A162" s="2" t="s">
        <v>340</v>
      </c>
      <c r="B162" s="2" t="s">
        <v>919</v>
      </c>
      <c r="C162" s="2" t="s">
        <v>2979</v>
      </c>
      <c r="D162" s="2" t="s">
        <v>813</v>
      </c>
      <c r="E162" s="2" t="s">
        <v>108</v>
      </c>
      <c r="F162" s="2" t="s">
        <v>206</v>
      </c>
      <c r="G162" s="2"/>
      <c r="H162" s="2" t="s">
        <v>2980</v>
      </c>
      <c r="I162" s="2"/>
      <c r="J162" s="2"/>
      <c r="K162" s="2" t="s">
        <v>339</v>
      </c>
      <c r="L162" s="2" t="s">
        <v>3472</v>
      </c>
      <c r="M162" s="2" t="s">
        <v>2974</v>
      </c>
      <c r="N162" s="2" t="s">
        <v>908</v>
      </c>
      <c r="O162" s="2" t="s">
        <v>2975</v>
      </c>
      <c r="P162" s="2" t="s">
        <v>3473</v>
      </c>
      <c r="Q162" s="2">
        <v>0.29</v>
      </c>
      <c r="R162" s="2">
        <v>73</v>
      </c>
      <c r="S162" s="2">
        <v>252</v>
      </c>
      <c r="T162" s="2">
        <v>0</v>
      </c>
      <c r="U162" s="2">
        <v>0</v>
      </c>
      <c r="V162" s="2">
        <v>0</v>
      </c>
      <c r="W162" s="2">
        <v>0</v>
      </c>
      <c r="X162" s="2">
        <v>0</v>
      </c>
      <c r="Y162" s="2">
        <v>0</v>
      </c>
      <c r="Z162" s="2">
        <v>0</v>
      </c>
      <c r="AA162" s="2">
        <v>73</v>
      </c>
      <c r="AB162" s="2" t="s">
        <v>2997</v>
      </c>
      <c r="AC162" s="2" t="s">
        <v>3474</v>
      </c>
      <c r="AD162" s="2" t="s">
        <v>3475</v>
      </c>
    </row>
    <row r="163" s="1" customFormat="1" ht="11.25" spans="1:30">
      <c r="A163" s="2" t="s">
        <v>445</v>
      </c>
      <c r="B163" s="2" t="s">
        <v>919</v>
      </c>
      <c r="C163" s="2" t="s">
        <v>2979</v>
      </c>
      <c r="D163" s="2" t="s">
        <v>813</v>
      </c>
      <c r="E163" s="2" t="s">
        <v>96</v>
      </c>
      <c r="F163" s="2" t="s">
        <v>186</v>
      </c>
      <c r="G163" s="2"/>
      <c r="H163" s="2" t="s">
        <v>2980</v>
      </c>
      <c r="I163" s="2"/>
      <c r="J163" s="2"/>
      <c r="K163" s="2" t="s">
        <v>444</v>
      </c>
      <c r="L163" s="2" t="s">
        <v>3476</v>
      </c>
      <c r="M163" s="2" t="s">
        <v>2974</v>
      </c>
      <c r="N163" s="2" t="s">
        <v>908</v>
      </c>
      <c r="O163" s="2" t="s">
        <v>2975</v>
      </c>
      <c r="P163" s="2" t="s">
        <v>3477</v>
      </c>
      <c r="Q163" s="2">
        <v>1.71</v>
      </c>
      <c r="R163" s="2">
        <v>72</v>
      </c>
      <c r="S163" s="2">
        <v>42</v>
      </c>
      <c r="T163" s="2">
        <v>150</v>
      </c>
      <c r="U163" s="2">
        <v>0</v>
      </c>
      <c r="V163" s="2">
        <v>0</v>
      </c>
      <c r="W163" s="2">
        <v>0</v>
      </c>
      <c r="X163" s="2">
        <v>0</v>
      </c>
      <c r="Y163" s="2">
        <v>1</v>
      </c>
      <c r="Z163" s="2">
        <v>0</v>
      </c>
      <c r="AA163" s="2">
        <v>71</v>
      </c>
      <c r="AB163" s="2" t="s">
        <v>2997</v>
      </c>
      <c r="AC163" s="2" t="s">
        <v>3282</v>
      </c>
      <c r="AD163" s="2" t="s">
        <v>3478</v>
      </c>
    </row>
    <row r="164" s="1" customFormat="1" ht="11.25" spans="1:30">
      <c r="A164" s="2" t="s">
        <v>27</v>
      </c>
      <c r="B164" s="2" t="s">
        <v>919</v>
      </c>
      <c r="C164" s="2" t="s">
        <v>2979</v>
      </c>
      <c r="D164" s="2" t="s">
        <v>813</v>
      </c>
      <c r="E164" s="2" t="s">
        <v>96</v>
      </c>
      <c r="F164" s="2" t="s">
        <v>115</v>
      </c>
      <c r="G164" s="2"/>
      <c r="H164" s="2" t="s">
        <v>2980</v>
      </c>
      <c r="I164" s="2"/>
      <c r="J164" s="2"/>
      <c r="K164" s="2" t="s">
        <v>26</v>
      </c>
      <c r="L164" s="2" t="s">
        <v>3479</v>
      </c>
      <c r="M164" s="2" t="s">
        <v>2974</v>
      </c>
      <c r="N164" s="2" t="s">
        <v>908</v>
      </c>
      <c r="O164" s="2" t="s">
        <v>2975</v>
      </c>
      <c r="P164" s="2" t="s">
        <v>3480</v>
      </c>
      <c r="Q164" s="2">
        <v>0.46</v>
      </c>
      <c r="R164" s="2">
        <v>70</v>
      </c>
      <c r="S164" s="2">
        <v>152</v>
      </c>
      <c r="T164" s="2">
        <v>0</v>
      </c>
      <c r="U164" s="2">
        <v>0</v>
      </c>
      <c r="V164" s="2">
        <v>0</v>
      </c>
      <c r="W164" s="2">
        <v>0</v>
      </c>
      <c r="X164" s="2">
        <v>0</v>
      </c>
      <c r="Y164" s="2">
        <v>0</v>
      </c>
      <c r="Z164" s="2">
        <v>0</v>
      </c>
      <c r="AA164" s="2">
        <v>70</v>
      </c>
      <c r="AB164" s="2" t="s">
        <v>3168</v>
      </c>
      <c r="AC164" s="2" t="s">
        <v>3065</v>
      </c>
      <c r="AD164" s="2" t="s">
        <v>3036</v>
      </c>
    </row>
    <row r="165" s="1" customFormat="1" ht="11.25" spans="1:30">
      <c r="A165" s="2" t="s">
        <v>335</v>
      </c>
      <c r="B165" s="2" t="s">
        <v>919</v>
      </c>
      <c r="C165" s="2" t="s">
        <v>3023</v>
      </c>
      <c r="D165" s="2" t="s">
        <v>813</v>
      </c>
      <c r="E165" s="2" t="s">
        <v>108</v>
      </c>
      <c r="F165" s="2" t="s">
        <v>146</v>
      </c>
      <c r="G165" s="2"/>
      <c r="H165" s="2" t="s">
        <v>2980</v>
      </c>
      <c r="I165" s="2"/>
      <c r="J165" s="2"/>
      <c r="K165" s="2" t="s">
        <v>334</v>
      </c>
      <c r="L165" s="2" t="s">
        <v>3481</v>
      </c>
      <c r="M165" s="2" t="s">
        <v>2974</v>
      </c>
      <c r="N165" s="2" t="s">
        <v>908</v>
      </c>
      <c r="O165" s="2" t="s">
        <v>2975</v>
      </c>
      <c r="P165" s="2" t="s">
        <v>3482</v>
      </c>
      <c r="Q165" s="2">
        <v>0.04</v>
      </c>
      <c r="R165" s="2">
        <v>68</v>
      </c>
      <c r="S165" s="2">
        <v>1700</v>
      </c>
      <c r="T165" s="2">
        <v>0</v>
      </c>
      <c r="U165" s="2">
        <v>0</v>
      </c>
      <c r="V165" s="2">
        <v>0</v>
      </c>
      <c r="W165" s="2">
        <v>0</v>
      </c>
      <c r="X165" s="2">
        <v>0</v>
      </c>
      <c r="Y165" s="2">
        <v>0</v>
      </c>
      <c r="Z165" s="2">
        <v>0</v>
      </c>
      <c r="AA165" s="2">
        <v>68</v>
      </c>
      <c r="AB165" s="2" t="s">
        <v>1147</v>
      </c>
      <c r="AC165" s="2" t="s">
        <v>3483</v>
      </c>
      <c r="AD165" s="2" t="s">
        <v>3484</v>
      </c>
    </row>
    <row r="166" s="1" customFormat="1" ht="11.25" spans="1:30">
      <c r="A166" s="2" t="s">
        <v>625</v>
      </c>
      <c r="B166" s="2" t="s">
        <v>2970</v>
      </c>
      <c r="C166" s="2" t="s">
        <v>3023</v>
      </c>
      <c r="D166" s="2" t="s">
        <v>813</v>
      </c>
      <c r="E166" s="2" t="s">
        <v>96</v>
      </c>
      <c r="F166" s="2" t="s">
        <v>97</v>
      </c>
      <c r="G166" s="2"/>
      <c r="H166" s="2" t="s">
        <v>2980</v>
      </c>
      <c r="I166" s="2"/>
      <c r="J166" s="2"/>
      <c r="K166" s="2" t="s">
        <v>624</v>
      </c>
      <c r="L166" s="2" t="s">
        <v>3485</v>
      </c>
      <c r="M166" s="2" t="s">
        <v>2974</v>
      </c>
      <c r="N166" s="2" t="s">
        <v>908</v>
      </c>
      <c r="O166" s="2" t="s">
        <v>2975</v>
      </c>
      <c r="P166" s="2" t="s">
        <v>3486</v>
      </c>
      <c r="Q166" s="2">
        <v>0</v>
      </c>
      <c r="R166" s="2">
        <v>65</v>
      </c>
      <c r="S166" s="2">
        <v>0</v>
      </c>
      <c r="T166" s="2">
        <v>0</v>
      </c>
      <c r="U166" s="2">
        <v>0</v>
      </c>
      <c r="V166" s="2">
        <v>0</v>
      </c>
      <c r="W166" s="2">
        <v>0</v>
      </c>
      <c r="X166" s="2">
        <v>0</v>
      </c>
      <c r="Y166" s="2">
        <v>0</v>
      </c>
      <c r="Z166" s="2">
        <v>0</v>
      </c>
      <c r="AA166" s="2">
        <v>65</v>
      </c>
      <c r="AB166" s="2" t="s">
        <v>3186</v>
      </c>
      <c r="AC166" s="2" t="s">
        <v>1221</v>
      </c>
      <c r="AD166" s="2" t="s">
        <v>3487</v>
      </c>
    </row>
    <row r="167" s="1" customFormat="1" ht="11.25" spans="1:30">
      <c r="A167" s="2" t="s">
        <v>261</v>
      </c>
      <c r="B167" s="2" t="s">
        <v>919</v>
      </c>
      <c r="C167" s="2" t="s">
        <v>3023</v>
      </c>
      <c r="D167" s="2" t="s">
        <v>813</v>
      </c>
      <c r="E167" s="2" t="s">
        <v>108</v>
      </c>
      <c r="F167" s="2" t="s">
        <v>146</v>
      </c>
      <c r="G167" s="2"/>
      <c r="H167" s="2" t="s">
        <v>2980</v>
      </c>
      <c r="I167" s="2"/>
      <c r="J167" s="2"/>
      <c r="K167" s="2" t="s">
        <v>260</v>
      </c>
      <c r="L167" s="2" t="s">
        <v>3488</v>
      </c>
      <c r="M167" s="2" t="s">
        <v>2974</v>
      </c>
      <c r="N167" s="2" t="s">
        <v>908</v>
      </c>
      <c r="O167" s="2" t="s">
        <v>2975</v>
      </c>
      <c r="P167" s="2" t="s">
        <v>3489</v>
      </c>
      <c r="Q167" s="2">
        <v>0.2</v>
      </c>
      <c r="R167" s="2">
        <v>65</v>
      </c>
      <c r="S167" s="2">
        <v>325</v>
      </c>
      <c r="T167" s="2">
        <v>0</v>
      </c>
      <c r="U167" s="2">
        <v>0</v>
      </c>
      <c r="V167" s="2">
        <v>0</v>
      </c>
      <c r="W167" s="2">
        <v>0</v>
      </c>
      <c r="X167" s="2">
        <v>0</v>
      </c>
      <c r="Y167" s="2">
        <v>0</v>
      </c>
      <c r="Z167" s="2">
        <v>0</v>
      </c>
      <c r="AA167" s="2">
        <v>65</v>
      </c>
      <c r="AB167" s="2" t="s">
        <v>3119</v>
      </c>
      <c r="AC167" s="2" t="s">
        <v>3490</v>
      </c>
      <c r="AD167" s="2" t="s">
        <v>3491</v>
      </c>
    </row>
    <row r="168" s="1" customFormat="1" ht="11.25" spans="1:30">
      <c r="A168" s="2" t="s">
        <v>737</v>
      </c>
      <c r="B168" s="2" t="s">
        <v>919</v>
      </c>
      <c r="C168" s="2" t="s">
        <v>2979</v>
      </c>
      <c r="D168" s="2" t="s">
        <v>813</v>
      </c>
      <c r="E168" s="2" t="s">
        <v>108</v>
      </c>
      <c r="F168" s="2" t="s">
        <v>109</v>
      </c>
      <c r="G168" s="2"/>
      <c r="H168" s="2" t="s">
        <v>2980</v>
      </c>
      <c r="I168" s="2"/>
      <c r="J168" s="2"/>
      <c r="K168" s="2" t="s">
        <v>736</v>
      </c>
      <c r="L168" s="2" t="s">
        <v>3492</v>
      </c>
      <c r="M168" s="2" t="s">
        <v>2974</v>
      </c>
      <c r="N168" s="2" t="s">
        <v>908</v>
      </c>
      <c r="O168" s="2" t="s">
        <v>2975</v>
      </c>
      <c r="P168" s="2" t="s">
        <v>3493</v>
      </c>
      <c r="Q168" s="2">
        <v>0.97</v>
      </c>
      <c r="R168" s="2">
        <v>64</v>
      </c>
      <c r="S168" s="2">
        <v>66</v>
      </c>
      <c r="T168" s="2">
        <v>80</v>
      </c>
      <c r="U168" s="2">
        <v>0</v>
      </c>
      <c r="V168" s="2">
        <v>0</v>
      </c>
      <c r="W168" s="2">
        <v>0</v>
      </c>
      <c r="X168" s="2">
        <v>0</v>
      </c>
      <c r="Y168" s="2">
        <v>0</v>
      </c>
      <c r="Z168" s="2">
        <v>0</v>
      </c>
      <c r="AA168" s="2">
        <v>64</v>
      </c>
      <c r="AB168" s="2" t="s">
        <v>2993</v>
      </c>
      <c r="AC168" s="2" t="s">
        <v>3132</v>
      </c>
      <c r="AD168" s="2" t="s">
        <v>3494</v>
      </c>
    </row>
    <row r="169" s="1" customFormat="1" ht="11.25" spans="1:30">
      <c r="A169" s="2" t="s">
        <v>743</v>
      </c>
      <c r="B169" s="2" t="s">
        <v>919</v>
      </c>
      <c r="C169" s="2" t="s">
        <v>2979</v>
      </c>
      <c r="D169" s="2" t="s">
        <v>813</v>
      </c>
      <c r="E169" s="2" t="s">
        <v>96</v>
      </c>
      <c r="F169" s="2" t="s">
        <v>115</v>
      </c>
      <c r="G169" s="2"/>
      <c r="H169" s="2" t="s">
        <v>2980</v>
      </c>
      <c r="I169" s="2"/>
      <c r="J169" s="2"/>
      <c r="K169" s="2" t="s">
        <v>742</v>
      </c>
      <c r="L169" s="2" t="s">
        <v>3495</v>
      </c>
      <c r="M169" s="2" t="s">
        <v>2974</v>
      </c>
      <c r="N169" s="2" t="s">
        <v>908</v>
      </c>
      <c r="O169" s="2" t="s">
        <v>2975</v>
      </c>
      <c r="P169" s="2" t="s">
        <v>3496</v>
      </c>
      <c r="Q169" s="2">
        <v>0.51</v>
      </c>
      <c r="R169" s="2">
        <v>64</v>
      </c>
      <c r="S169" s="2">
        <v>125</v>
      </c>
      <c r="T169" s="2">
        <v>80</v>
      </c>
      <c r="U169" s="2">
        <v>0</v>
      </c>
      <c r="V169" s="2">
        <v>0</v>
      </c>
      <c r="W169" s="2">
        <v>0</v>
      </c>
      <c r="X169" s="2">
        <v>0</v>
      </c>
      <c r="Y169" s="2">
        <v>0</v>
      </c>
      <c r="Z169" s="2">
        <v>0</v>
      </c>
      <c r="AA169" s="2">
        <v>64</v>
      </c>
      <c r="AB169" s="2" t="s">
        <v>3168</v>
      </c>
      <c r="AC169" s="2" t="s">
        <v>3065</v>
      </c>
      <c r="AD169" s="2" t="s">
        <v>3116</v>
      </c>
    </row>
    <row r="170" s="1" customFormat="1" ht="11.25" spans="1:30">
      <c r="A170" s="2" t="s">
        <v>122</v>
      </c>
      <c r="B170" s="2" t="s">
        <v>919</v>
      </c>
      <c r="C170" s="2" t="s">
        <v>2979</v>
      </c>
      <c r="D170" s="2" t="s">
        <v>813</v>
      </c>
      <c r="E170" s="2" t="s">
        <v>96</v>
      </c>
      <c r="F170" s="2" t="s">
        <v>97</v>
      </c>
      <c r="G170" s="2"/>
      <c r="H170" s="2" t="s">
        <v>2980</v>
      </c>
      <c r="I170" s="2"/>
      <c r="J170" s="2"/>
      <c r="K170" s="2" t="s">
        <v>121</v>
      </c>
      <c r="L170" s="2" t="s">
        <v>3497</v>
      </c>
      <c r="M170" s="2" t="s">
        <v>2974</v>
      </c>
      <c r="N170" s="2" t="s">
        <v>908</v>
      </c>
      <c r="O170" s="2" t="s">
        <v>2975</v>
      </c>
      <c r="P170" s="2" t="s">
        <v>3498</v>
      </c>
      <c r="Q170" s="2">
        <v>1.85</v>
      </c>
      <c r="R170" s="2">
        <v>63</v>
      </c>
      <c r="S170" s="2">
        <v>34</v>
      </c>
      <c r="T170" s="2">
        <v>1890</v>
      </c>
      <c r="U170" s="2">
        <v>0</v>
      </c>
      <c r="V170" s="2">
        <v>0</v>
      </c>
      <c r="W170" s="2">
        <v>0</v>
      </c>
      <c r="X170" s="2">
        <v>0</v>
      </c>
      <c r="Y170" s="2">
        <v>0</v>
      </c>
      <c r="Z170" s="2">
        <v>0</v>
      </c>
      <c r="AA170" s="2">
        <v>63</v>
      </c>
      <c r="AB170" s="2" t="s">
        <v>2993</v>
      </c>
      <c r="AC170" s="2" t="s">
        <v>2993</v>
      </c>
      <c r="AD170" s="2" t="s">
        <v>3499</v>
      </c>
    </row>
    <row r="171" s="1" customFormat="1" ht="11.25" spans="1:30">
      <c r="A171" s="2" t="s">
        <v>610</v>
      </c>
      <c r="B171" s="2" t="s">
        <v>919</v>
      </c>
      <c r="C171" s="2" t="s">
        <v>2979</v>
      </c>
      <c r="D171" s="2" t="s">
        <v>813</v>
      </c>
      <c r="E171" s="2" t="s">
        <v>96</v>
      </c>
      <c r="F171" s="2" t="s">
        <v>127</v>
      </c>
      <c r="G171" s="2"/>
      <c r="H171" s="2" t="s">
        <v>2980</v>
      </c>
      <c r="I171" s="2"/>
      <c r="J171" s="2"/>
      <c r="K171" s="2" t="s">
        <v>609</v>
      </c>
      <c r="L171" s="2" t="s">
        <v>3500</v>
      </c>
      <c r="M171" s="2" t="s">
        <v>2974</v>
      </c>
      <c r="N171" s="2" t="s">
        <v>908</v>
      </c>
      <c r="O171" s="2" t="s">
        <v>2975</v>
      </c>
      <c r="P171" s="2" t="s">
        <v>3501</v>
      </c>
      <c r="Q171" s="2">
        <v>2.59</v>
      </c>
      <c r="R171" s="2">
        <v>62</v>
      </c>
      <c r="S171" s="2">
        <v>24</v>
      </c>
      <c r="T171" s="2">
        <v>180</v>
      </c>
      <c r="U171" s="2">
        <v>0</v>
      </c>
      <c r="V171" s="2">
        <v>0</v>
      </c>
      <c r="W171" s="2">
        <v>0</v>
      </c>
      <c r="X171" s="2">
        <v>0</v>
      </c>
      <c r="Y171" s="2">
        <v>0</v>
      </c>
      <c r="Z171" s="2">
        <v>0</v>
      </c>
      <c r="AA171" s="2">
        <v>62</v>
      </c>
      <c r="AB171" s="2" t="s">
        <v>2997</v>
      </c>
      <c r="AC171" s="2" t="s">
        <v>3015</v>
      </c>
      <c r="AD171" s="2" t="s">
        <v>3409</v>
      </c>
    </row>
    <row r="172" s="1" customFormat="1" ht="11.25" spans="1:30">
      <c r="A172" s="2" t="s">
        <v>799</v>
      </c>
      <c r="B172" s="2" t="s">
        <v>919</v>
      </c>
      <c r="C172" s="2" t="s">
        <v>2979</v>
      </c>
      <c r="D172" s="2" t="s">
        <v>813</v>
      </c>
      <c r="E172" s="2" t="s">
        <v>96</v>
      </c>
      <c r="F172" s="2" t="s">
        <v>115</v>
      </c>
      <c r="G172" s="2"/>
      <c r="H172" s="2" t="s">
        <v>2980</v>
      </c>
      <c r="I172" s="2"/>
      <c r="J172" s="2"/>
      <c r="K172" s="2" t="s">
        <v>798</v>
      </c>
      <c r="L172" s="2" t="s">
        <v>3502</v>
      </c>
      <c r="M172" s="2" t="s">
        <v>2974</v>
      </c>
      <c r="N172" s="2" t="s">
        <v>908</v>
      </c>
      <c r="O172" s="2" t="s">
        <v>2975</v>
      </c>
      <c r="P172" s="2" t="s">
        <v>3503</v>
      </c>
      <c r="Q172" s="2">
        <v>0.84</v>
      </c>
      <c r="R172" s="2">
        <v>62</v>
      </c>
      <c r="S172" s="2">
        <v>74</v>
      </c>
      <c r="T172" s="2">
        <v>60</v>
      </c>
      <c r="U172" s="2">
        <v>0</v>
      </c>
      <c r="V172" s="2">
        <v>0</v>
      </c>
      <c r="W172" s="2">
        <v>0</v>
      </c>
      <c r="X172" s="2">
        <v>0</v>
      </c>
      <c r="Y172" s="2">
        <v>0</v>
      </c>
      <c r="Z172" s="2">
        <v>0</v>
      </c>
      <c r="AA172" s="2">
        <v>62</v>
      </c>
      <c r="AB172" s="2" t="s">
        <v>3011</v>
      </c>
      <c r="AC172" s="2" t="s">
        <v>3360</v>
      </c>
      <c r="AD172" s="2" t="s">
        <v>3504</v>
      </c>
    </row>
    <row r="173" s="1" customFormat="1" ht="11.25" spans="1:30">
      <c r="A173" s="2" t="s">
        <v>298</v>
      </c>
      <c r="B173" s="2" t="s">
        <v>919</v>
      </c>
      <c r="C173" s="2" t="s">
        <v>3023</v>
      </c>
      <c r="D173" s="2" t="s">
        <v>813</v>
      </c>
      <c r="E173" s="2" t="s">
        <v>96</v>
      </c>
      <c r="F173" s="2" t="s">
        <v>97</v>
      </c>
      <c r="G173" s="2"/>
      <c r="H173" s="2" t="s">
        <v>2980</v>
      </c>
      <c r="I173" s="2"/>
      <c r="J173" s="2"/>
      <c r="K173" s="2" t="s">
        <v>297</v>
      </c>
      <c r="L173" s="2" t="s">
        <v>3505</v>
      </c>
      <c r="M173" s="2" t="s">
        <v>2974</v>
      </c>
      <c r="N173" s="2" t="s">
        <v>908</v>
      </c>
      <c r="O173" s="2" t="s">
        <v>2975</v>
      </c>
      <c r="P173" s="2" t="s">
        <v>3506</v>
      </c>
      <c r="Q173" s="2">
        <v>0.09</v>
      </c>
      <c r="R173" s="2">
        <v>60</v>
      </c>
      <c r="S173" s="2">
        <v>667</v>
      </c>
      <c r="T173" s="2">
        <v>0</v>
      </c>
      <c r="U173" s="2">
        <v>0</v>
      </c>
      <c r="V173" s="2">
        <v>0</v>
      </c>
      <c r="W173" s="2">
        <v>0</v>
      </c>
      <c r="X173" s="2">
        <v>0</v>
      </c>
      <c r="Y173" s="2">
        <v>0</v>
      </c>
      <c r="Z173" s="2">
        <v>0</v>
      </c>
      <c r="AA173" s="2">
        <v>60</v>
      </c>
      <c r="AB173" s="2" t="s">
        <v>3249</v>
      </c>
      <c r="AC173" s="2" t="s">
        <v>3325</v>
      </c>
      <c r="AD173" s="2" t="s">
        <v>3507</v>
      </c>
    </row>
    <row r="174" s="1" customFormat="1" ht="11.25" spans="1:30">
      <c r="A174" s="2" t="s">
        <v>496</v>
      </c>
      <c r="B174" s="2" t="s">
        <v>919</v>
      </c>
      <c r="C174" s="2" t="s">
        <v>2979</v>
      </c>
      <c r="D174" s="2" t="s">
        <v>813</v>
      </c>
      <c r="E174" s="2" t="s">
        <v>96</v>
      </c>
      <c r="F174" s="2" t="s">
        <v>115</v>
      </c>
      <c r="G174" s="2"/>
      <c r="H174" s="2" t="s">
        <v>2980</v>
      </c>
      <c r="I174" s="2"/>
      <c r="J174" s="2"/>
      <c r="K174" s="2" t="s">
        <v>495</v>
      </c>
      <c r="L174" s="2" t="s">
        <v>3508</v>
      </c>
      <c r="M174" s="2" t="s">
        <v>2974</v>
      </c>
      <c r="N174" s="2" t="s">
        <v>908</v>
      </c>
      <c r="O174" s="2" t="s">
        <v>2975</v>
      </c>
      <c r="P174" s="2" t="s">
        <v>3509</v>
      </c>
      <c r="Q174" s="2">
        <v>2.68</v>
      </c>
      <c r="R174" s="2">
        <v>60</v>
      </c>
      <c r="S174" s="2">
        <v>22</v>
      </c>
      <c r="T174" s="2">
        <v>220</v>
      </c>
      <c r="U174" s="2">
        <v>0</v>
      </c>
      <c r="V174" s="2">
        <v>0</v>
      </c>
      <c r="W174" s="2">
        <v>0</v>
      </c>
      <c r="X174" s="2">
        <v>0</v>
      </c>
      <c r="Y174" s="2">
        <v>0</v>
      </c>
      <c r="Z174" s="2">
        <v>0</v>
      </c>
      <c r="AA174" s="2">
        <v>60</v>
      </c>
      <c r="AB174" s="2" t="s">
        <v>2997</v>
      </c>
      <c r="AC174" s="2" t="s">
        <v>3219</v>
      </c>
      <c r="AD174" s="2" t="s">
        <v>3510</v>
      </c>
    </row>
    <row r="175" s="1" customFormat="1" ht="11.25" spans="1:30">
      <c r="A175" s="2" t="s">
        <v>735</v>
      </c>
      <c r="B175" s="2" t="s">
        <v>919</v>
      </c>
      <c r="C175" s="2" t="s">
        <v>3023</v>
      </c>
      <c r="D175" s="2" t="s">
        <v>813</v>
      </c>
      <c r="E175" s="2" t="s">
        <v>96</v>
      </c>
      <c r="F175" s="2" t="s">
        <v>115</v>
      </c>
      <c r="G175" s="2"/>
      <c r="H175" s="2" t="s">
        <v>2980</v>
      </c>
      <c r="I175" s="2"/>
      <c r="J175" s="2"/>
      <c r="K175" s="2" t="s">
        <v>734</v>
      </c>
      <c r="L175" s="2" t="s">
        <v>3511</v>
      </c>
      <c r="M175" s="2" t="s">
        <v>2974</v>
      </c>
      <c r="N175" s="2" t="s">
        <v>908</v>
      </c>
      <c r="O175" s="2" t="s">
        <v>2975</v>
      </c>
      <c r="P175" s="2" t="s">
        <v>3512</v>
      </c>
      <c r="Q175" s="2">
        <v>0.79</v>
      </c>
      <c r="R175" s="2">
        <v>60</v>
      </c>
      <c r="S175" s="2">
        <v>76</v>
      </c>
      <c r="T175" s="2">
        <v>80</v>
      </c>
      <c r="U175" s="2">
        <v>0</v>
      </c>
      <c r="V175" s="2">
        <v>0</v>
      </c>
      <c r="W175" s="2">
        <v>0</v>
      </c>
      <c r="X175" s="2">
        <v>0</v>
      </c>
      <c r="Y175" s="2">
        <v>0</v>
      </c>
      <c r="Z175" s="2">
        <v>0</v>
      </c>
      <c r="AA175" s="2">
        <v>60</v>
      </c>
      <c r="AB175" s="2" t="s">
        <v>2997</v>
      </c>
      <c r="AC175" s="2" t="s">
        <v>3341</v>
      </c>
      <c r="AD175" s="2" t="s">
        <v>3513</v>
      </c>
    </row>
    <row r="176" s="1" customFormat="1" ht="11.25" spans="1:30">
      <c r="A176" s="2" t="s">
        <v>651</v>
      </c>
      <c r="B176" s="2" t="s">
        <v>919</v>
      </c>
      <c r="C176" s="2" t="s">
        <v>3004</v>
      </c>
      <c r="D176" s="2" t="s">
        <v>813</v>
      </c>
      <c r="E176" s="2" t="s">
        <v>108</v>
      </c>
      <c r="F176" s="2" t="s">
        <v>168</v>
      </c>
      <c r="G176" s="2"/>
      <c r="H176" s="2" t="s">
        <v>2980</v>
      </c>
      <c r="I176" s="2"/>
      <c r="J176" s="2"/>
      <c r="K176" s="2" t="s">
        <v>650</v>
      </c>
      <c r="L176" s="2" t="s">
        <v>3514</v>
      </c>
      <c r="M176" s="2" t="s">
        <v>2974</v>
      </c>
      <c r="N176" s="2" t="s">
        <v>908</v>
      </c>
      <c r="O176" s="2" t="s">
        <v>2975</v>
      </c>
      <c r="P176" s="2" t="s">
        <v>3515</v>
      </c>
      <c r="Q176" s="2">
        <v>3.22</v>
      </c>
      <c r="R176" s="2">
        <v>59</v>
      </c>
      <c r="S176" s="2">
        <v>18</v>
      </c>
      <c r="T176" s="2">
        <v>160</v>
      </c>
      <c r="U176" s="2">
        <v>0</v>
      </c>
      <c r="V176" s="2">
        <v>0</v>
      </c>
      <c r="W176" s="2">
        <v>0</v>
      </c>
      <c r="X176" s="2">
        <v>0</v>
      </c>
      <c r="Y176" s="2">
        <v>1</v>
      </c>
      <c r="Z176" s="2">
        <v>0</v>
      </c>
      <c r="AA176" s="2">
        <v>58</v>
      </c>
      <c r="AB176" s="2" t="s">
        <v>2997</v>
      </c>
      <c r="AC176" s="2" t="s">
        <v>3516</v>
      </c>
      <c r="AD176" s="2" t="s">
        <v>3517</v>
      </c>
    </row>
    <row r="177" s="1" customFormat="1" ht="11.25" spans="1:30">
      <c r="A177" s="2" t="s">
        <v>454</v>
      </c>
      <c r="B177" s="2" t="s">
        <v>919</v>
      </c>
      <c r="C177" s="2" t="s">
        <v>3023</v>
      </c>
      <c r="D177" s="2" t="s">
        <v>813</v>
      </c>
      <c r="E177" s="2" t="s">
        <v>96</v>
      </c>
      <c r="F177" s="2" t="s">
        <v>115</v>
      </c>
      <c r="G177" s="2"/>
      <c r="H177" s="2" t="s">
        <v>2980</v>
      </c>
      <c r="I177" s="2"/>
      <c r="J177" s="2"/>
      <c r="K177" s="2" t="s">
        <v>453</v>
      </c>
      <c r="L177" s="2" t="s">
        <v>3518</v>
      </c>
      <c r="M177" s="2" t="s">
        <v>2974</v>
      </c>
      <c r="N177" s="2" t="s">
        <v>908</v>
      </c>
      <c r="O177" s="2" t="s">
        <v>2975</v>
      </c>
      <c r="P177" s="2" t="s">
        <v>3392</v>
      </c>
      <c r="Q177" s="2">
        <v>0.06</v>
      </c>
      <c r="R177" s="2">
        <v>59</v>
      </c>
      <c r="S177" s="2">
        <v>983</v>
      </c>
      <c r="T177" s="2">
        <v>0</v>
      </c>
      <c r="U177" s="2">
        <v>0</v>
      </c>
      <c r="V177" s="2">
        <v>0</v>
      </c>
      <c r="W177" s="2">
        <v>0</v>
      </c>
      <c r="X177" s="2">
        <v>0</v>
      </c>
      <c r="Y177" s="2">
        <v>0</v>
      </c>
      <c r="Z177" s="2">
        <v>0</v>
      </c>
      <c r="AA177" s="2">
        <v>59</v>
      </c>
      <c r="AB177" s="2" t="s">
        <v>3249</v>
      </c>
      <c r="AC177" s="2" t="s">
        <v>3269</v>
      </c>
      <c r="AD177" s="2" t="s">
        <v>3519</v>
      </c>
    </row>
    <row r="178" s="1" customFormat="1" ht="11.25" spans="1:30">
      <c r="A178" s="2" t="s">
        <v>494</v>
      </c>
      <c r="B178" s="2" t="s">
        <v>919</v>
      </c>
      <c r="C178" s="2" t="s">
        <v>2979</v>
      </c>
      <c r="D178" s="2" t="s">
        <v>813</v>
      </c>
      <c r="E178" s="2" t="s">
        <v>96</v>
      </c>
      <c r="F178" s="2" t="s">
        <v>115</v>
      </c>
      <c r="G178" s="2"/>
      <c r="H178" s="2" t="s">
        <v>2980</v>
      </c>
      <c r="I178" s="2"/>
      <c r="J178" s="2"/>
      <c r="K178" s="2" t="s">
        <v>493</v>
      </c>
      <c r="L178" s="2" t="s">
        <v>3520</v>
      </c>
      <c r="M178" s="2" t="s">
        <v>2974</v>
      </c>
      <c r="N178" s="2" t="s">
        <v>908</v>
      </c>
      <c r="O178" s="2" t="s">
        <v>2975</v>
      </c>
      <c r="P178" s="2" t="s">
        <v>3521</v>
      </c>
      <c r="Q178" s="2">
        <v>3.74</v>
      </c>
      <c r="R178" s="2">
        <v>59</v>
      </c>
      <c r="S178" s="2">
        <v>16</v>
      </c>
      <c r="T178" s="2">
        <v>216</v>
      </c>
      <c r="U178" s="2">
        <v>0</v>
      </c>
      <c r="V178" s="2">
        <v>0</v>
      </c>
      <c r="W178" s="2">
        <v>0</v>
      </c>
      <c r="X178" s="2">
        <v>0</v>
      </c>
      <c r="Y178" s="2">
        <v>0</v>
      </c>
      <c r="Z178" s="2">
        <v>0</v>
      </c>
      <c r="AA178" s="2">
        <v>59</v>
      </c>
      <c r="AB178" s="2" t="s">
        <v>2997</v>
      </c>
      <c r="AC178" s="2" t="s">
        <v>3011</v>
      </c>
      <c r="AD178" s="2" t="s">
        <v>3522</v>
      </c>
    </row>
    <row r="179" s="1" customFormat="1" ht="11.25" spans="1:30">
      <c r="A179" s="2" t="s">
        <v>391</v>
      </c>
      <c r="B179" s="2" t="s">
        <v>919</v>
      </c>
      <c r="C179" s="2" t="s">
        <v>2979</v>
      </c>
      <c r="D179" s="2" t="s">
        <v>813</v>
      </c>
      <c r="E179" s="2" t="s">
        <v>96</v>
      </c>
      <c r="F179" s="2" t="s">
        <v>97</v>
      </c>
      <c r="G179" s="2"/>
      <c r="H179" s="2" t="s">
        <v>2980</v>
      </c>
      <c r="I179" s="2"/>
      <c r="J179" s="2"/>
      <c r="K179" s="2" t="s">
        <v>390</v>
      </c>
      <c r="L179" s="2" t="s">
        <v>3523</v>
      </c>
      <c r="M179" s="2" t="s">
        <v>2974</v>
      </c>
      <c r="N179" s="2" t="s">
        <v>908</v>
      </c>
      <c r="O179" s="2" t="s">
        <v>2975</v>
      </c>
      <c r="P179" s="2" t="s">
        <v>3524</v>
      </c>
      <c r="Q179" s="2">
        <v>2.43</v>
      </c>
      <c r="R179" s="2">
        <v>58</v>
      </c>
      <c r="S179" s="2">
        <v>24</v>
      </c>
      <c r="T179" s="2">
        <v>0</v>
      </c>
      <c r="U179" s="2">
        <v>0</v>
      </c>
      <c r="V179" s="2">
        <v>0</v>
      </c>
      <c r="W179" s="2">
        <v>0</v>
      </c>
      <c r="X179" s="2">
        <v>0</v>
      </c>
      <c r="Y179" s="2">
        <v>0</v>
      </c>
      <c r="Z179" s="2">
        <v>0</v>
      </c>
      <c r="AA179" s="2">
        <v>58</v>
      </c>
      <c r="AB179" s="2" t="s">
        <v>2993</v>
      </c>
      <c r="AC179" s="2" t="s">
        <v>3341</v>
      </c>
      <c r="AD179" s="2" t="s">
        <v>3525</v>
      </c>
    </row>
    <row r="180" s="1" customFormat="1" ht="11.25" spans="1:30">
      <c r="A180" s="2" t="s">
        <v>337</v>
      </c>
      <c r="B180" s="2" t="s">
        <v>919</v>
      </c>
      <c r="C180" s="2" t="s">
        <v>2979</v>
      </c>
      <c r="D180" s="2" t="s">
        <v>813</v>
      </c>
      <c r="E180" s="2" t="s">
        <v>96</v>
      </c>
      <c r="F180" s="2" t="s">
        <v>97</v>
      </c>
      <c r="G180" s="2"/>
      <c r="H180" s="2" t="s">
        <v>2980</v>
      </c>
      <c r="I180" s="2"/>
      <c r="J180" s="2"/>
      <c r="K180" s="2" t="s">
        <v>336</v>
      </c>
      <c r="L180" s="2" t="s">
        <v>3526</v>
      </c>
      <c r="M180" s="2" t="s">
        <v>2974</v>
      </c>
      <c r="N180" s="2" t="s">
        <v>908</v>
      </c>
      <c r="O180" s="2" t="s">
        <v>2975</v>
      </c>
      <c r="P180" s="2" t="s">
        <v>3527</v>
      </c>
      <c r="Q180" s="2">
        <v>0.21</v>
      </c>
      <c r="R180" s="2">
        <v>58</v>
      </c>
      <c r="S180" s="2">
        <v>276</v>
      </c>
      <c r="T180" s="2">
        <v>100</v>
      </c>
      <c r="U180" s="2">
        <v>0</v>
      </c>
      <c r="V180" s="2">
        <v>0</v>
      </c>
      <c r="W180" s="2">
        <v>0</v>
      </c>
      <c r="X180" s="2">
        <v>0</v>
      </c>
      <c r="Y180" s="2">
        <v>1</v>
      </c>
      <c r="Z180" s="2">
        <v>0</v>
      </c>
      <c r="AA180" s="2">
        <v>57</v>
      </c>
      <c r="AB180" s="2" t="s">
        <v>3249</v>
      </c>
      <c r="AC180" s="2" t="s">
        <v>3054</v>
      </c>
      <c r="AD180" s="2" t="s">
        <v>3528</v>
      </c>
    </row>
    <row r="181" s="1" customFormat="1" ht="11.25" spans="1:30">
      <c r="A181" s="2" t="s">
        <v>403</v>
      </c>
      <c r="B181" s="2" t="s">
        <v>919</v>
      </c>
      <c r="C181" s="2" t="s">
        <v>3004</v>
      </c>
      <c r="D181" s="2" t="s">
        <v>813</v>
      </c>
      <c r="E181" s="2" t="s">
        <v>96</v>
      </c>
      <c r="F181" s="2" t="s">
        <v>186</v>
      </c>
      <c r="G181" s="2"/>
      <c r="H181" s="2" t="s">
        <v>2980</v>
      </c>
      <c r="I181" s="2"/>
      <c r="J181" s="2"/>
      <c r="K181" s="2" t="s">
        <v>402</v>
      </c>
      <c r="L181" s="2" t="s">
        <v>3529</v>
      </c>
      <c r="M181" s="2" t="s">
        <v>2974</v>
      </c>
      <c r="N181" s="2" t="s">
        <v>908</v>
      </c>
      <c r="O181" s="2" t="s">
        <v>2975</v>
      </c>
      <c r="P181" s="2" t="s">
        <v>3530</v>
      </c>
      <c r="Q181" s="2">
        <v>5.17</v>
      </c>
      <c r="R181" s="2">
        <v>56</v>
      </c>
      <c r="S181" s="2">
        <v>11</v>
      </c>
      <c r="T181" s="2">
        <v>360</v>
      </c>
      <c r="U181" s="2">
        <v>0</v>
      </c>
      <c r="V181" s="2">
        <v>0</v>
      </c>
      <c r="W181" s="2">
        <v>0</v>
      </c>
      <c r="X181" s="2">
        <v>0</v>
      </c>
      <c r="Y181" s="2">
        <v>4</v>
      </c>
      <c r="Z181" s="2">
        <v>0</v>
      </c>
      <c r="AA181" s="2">
        <v>52</v>
      </c>
      <c r="AB181" s="2" t="s">
        <v>2993</v>
      </c>
      <c r="AC181" s="2" t="s">
        <v>3179</v>
      </c>
      <c r="AD181" s="2" t="s">
        <v>3531</v>
      </c>
    </row>
    <row r="182" s="1" customFormat="1" ht="11.25" spans="1:30">
      <c r="A182" s="2" t="s">
        <v>282</v>
      </c>
      <c r="B182" s="2" t="s">
        <v>919</v>
      </c>
      <c r="C182" s="2" t="s">
        <v>3023</v>
      </c>
      <c r="D182" s="2" t="s">
        <v>813</v>
      </c>
      <c r="E182" s="2" t="s">
        <v>108</v>
      </c>
      <c r="F182" s="2" t="s">
        <v>168</v>
      </c>
      <c r="G182" s="2"/>
      <c r="H182" s="2" t="s">
        <v>2980</v>
      </c>
      <c r="I182" s="2"/>
      <c r="J182" s="2"/>
      <c r="K182" s="2" t="s">
        <v>281</v>
      </c>
      <c r="L182" s="2" t="s">
        <v>3532</v>
      </c>
      <c r="M182" s="2" t="s">
        <v>2974</v>
      </c>
      <c r="N182" s="2" t="s">
        <v>908</v>
      </c>
      <c r="O182" s="2" t="s">
        <v>2975</v>
      </c>
      <c r="P182" s="2" t="s">
        <v>3506</v>
      </c>
      <c r="Q182" s="2">
        <v>0.02</v>
      </c>
      <c r="R182" s="2">
        <v>56</v>
      </c>
      <c r="S182" s="2">
        <v>2800</v>
      </c>
      <c r="T182" s="2">
        <v>0</v>
      </c>
      <c r="U182" s="2">
        <v>0</v>
      </c>
      <c r="V182" s="2">
        <v>0</v>
      </c>
      <c r="W182" s="2">
        <v>0</v>
      </c>
      <c r="X182" s="2">
        <v>0</v>
      </c>
      <c r="Y182" s="2">
        <v>0</v>
      </c>
      <c r="Z182" s="2">
        <v>0</v>
      </c>
      <c r="AA182" s="2">
        <v>56</v>
      </c>
      <c r="AB182" s="2" t="s">
        <v>3533</v>
      </c>
      <c r="AC182" s="2" t="s">
        <v>3534</v>
      </c>
      <c r="AD182" s="2" t="s">
        <v>3535</v>
      </c>
    </row>
    <row r="183" s="1" customFormat="1" ht="11.25" spans="1:30">
      <c r="A183" s="2" t="s">
        <v>482</v>
      </c>
      <c r="B183" s="2" t="s">
        <v>919</v>
      </c>
      <c r="C183" s="2" t="s">
        <v>2979</v>
      </c>
      <c r="D183" s="2" t="s">
        <v>813</v>
      </c>
      <c r="E183" s="2" t="s">
        <v>108</v>
      </c>
      <c r="F183" s="2" t="s">
        <v>927</v>
      </c>
      <c r="G183" s="2"/>
      <c r="H183" s="2" t="s">
        <v>2980</v>
      </c>
      <c r="I183" s="2"/>
      <c r="J183" s="2"/>
      <c r="K183" s="2" t="s">
        <v>1998</v>
      </c>
      <c r="L183" s="2" t="s">
        <v>3536</v>
      </c>
      <c r="M183" s="2" t="s">
        <v>2974</v>
      </c>
      <c r="N183" s="2" t="s">
        <v>908</v>
      </c>
      <c r="O183" s="2" t="s">
        <v>2975</v>
      </c>
      <c r="P183" s="2" t="s">
        <v>3537</v>
      </c>
      <c r="Q183" s="2">
        <v>0.75</v>
      </c>
      <c r="R183" s="2">
        <v>55</v>
      </c>
      <c r="S183" s="2">
        <v>73</v>
      </c>
      <c r="T183" s="2">
        <v>0</v>
      </c>
      <c r="U183" s="2">
        <v>0</v>
      </c>
      <c r="V183" s="2">
        <v>0</v>
      </c>
      <c r="W183" s="2">
        <v>0</v>
      </c>
      <c r="X183" s="2">
        <v>0</v>
      </c>
      <c r="Y183" s="2">
        <v>0</v>
      </c>
      <c r="Z183" s="2">
        <v>0</v>
      </c>
      <c r="AA183" s="2">
        <v>55</v>
      </c>
      <c r="AB183" s="2" t="s">
        <v>2993</v>
      </c>
      <c r="AC183" s="2" t="s">
        <v>1345</v>
      </c>
      <c r="AD183" s="2" t="s">
        <v>3538</v>
      </c>
    </row>
    <row r="184" s="1" customFormat="1" ht="11.25" spans="1:30">
      <c r="A184" s="2" t="s">
        <v>711</v>
      </c>
      <c r="B184" s="2" t="s">
        <v>919</v>
      </c>
      <c r="C184" s="2" t="s">
        <v>2979</v>
      </c>
      <c r="D184" s="2" t="s">
        <v>813</v>
      </c>
      <c r="E184" s="2" t="s">
        <v>96</v>
      </c>
      <c r="F184" s="2" t="s">
        <v>115</v>
      </c>
      <c r="G184" s="2"/>
      <c r="H184" s="2" t="s">
        <v>2980</v>
      </c>
      <c r="I184" s="2"/>
      <c r="J184" s="2"/>
      <c r="K184" s="2" t="s">
        <v>710</v>
      </c>
      <c r="L184" s="2" t="s">
        <v>3539</v>
      </c>
      <c r="M184" s="2" t="s">
        <v>2974</v>
      </c>
      <c r="N184" s="2" t="s">
        <v>908</v>
      </c>
      <c r="O184" s="2" t="s">
        <v>2975</v>
      </c>
      <c r="P184" s="2" t="s">
        <v>3540</v>
      </c>
      <c r="Q184" s="2">
        <v>0.58</v>
      </c>
      <c r="R184" s="2">
        <v>55</v>
      </c>
      <c r="S184" s="2">
        <v>95</v>
      </c>
      <c r="T184" s="2">
        <v>80</v>
      </c>
      <c r="U184" s="2">
        <v>0</v>
      </c>
      <c r="V184" s="2">
        <v>0</v>
      </c>
      <c r="W184" s="2">
        <v>0</v>
      </c>
      <c r="X184" s="2">
        <v>0</v>
      </c>
      <c r="Y184" s="2">
        <v>0</v>
      </c>
      <c r="Z184" s="2">
        <v>0</v>
      </c>
      <c r="AA184" s="2">
        <v>55</v>
      </c>
      <c r="AB184" s="2" t="s">
        <v>2993</v>
      </c>
      <c r="AC184" s="2" t="s">
        <v>3341</v>
      </c>
      <c r="AD184" s="2" t="s">
        <v>3457</v>
      </c>
    </row>
    <row r="185" s="1" customFormat="1" ht="11.25" spans="1:30">
      <c r="A185" s="2" t="s">
        <v>765</v>
      </c>
      <c r="B185" s="2" t="s">
        <v>919</v>
      </c>
      <c r="C185" s="2" t="s">
        <v>2979</v>
      </c>
      <c r="D185" s="2" t="s">
        <v>813</v>
      </c>
      <c r="E185" s="2" t="s">
        <v>108</v>
      </c>
      <c r="F185" s="2" t="s">
        <v>109</v>
      </c>
      <c r="G185" s="2"/>
      <c r="H185" s="2" t="s">
        <v>2980</v>
      </c>
      <c r="I185" s="2"/>
      <c r="J185" s="2"/>
      <c r="K185" s="2" t="s">
        <v>764</v>
      </c>
      <c r="L185" s="2" t="s">
        <v>3541</v>
      </c>
      <c r="M185" s="2" t="s">
        <v>2974</v>
      </c>
      <c r="N185" s="2" t="s">
        <v>908</v>
      </c>
      <c r="O185" s="2" t="s">
        <v>2975</v>
      </c>
      <c r="P185" s="2" t="s">
        <v>3542</v>
      </c>
      <c r="Q185" s="2">
        <v>0.94</v>
      </c>
      <c r="R185" s="2">
        <v>53</v>
      </c>
      <c r="S185" s="2">
        <v>56</v>
      </c>
      <c r="T185" s="2">
        <v>0</v>
      </c>
      <c r="U185" s="2">
        <v>0</v>
      </c>
      <c r="V185" s="2">
        <v>0</v>
      </c>
      <c r="W185" s="2">
        <v>0</v>
      </c>
      <c r="X185" s="2">
        <v>0</v>
      </c>
      <c r="Y185" s="2">
        <v>1</v>
      </c>
      <c r="Z185" s="2">
        <v>0</v>
      </c>
      <c r="AA185" s="2">
        <v>52</v>
      </c>
      <c r="AB185" s="2" t="s">
        <v>3011</v>
      </c>
      <c r="AC185" s="2" t="s">
        <v>2977</v>
      </c>
      <c r="AD185" s="2" t="s">
        <v>3494</v>
      </c>
    </row>
    <row r="186" s="1" customFormat="1" ht="11.25" spans="1:30">
      <c r="A186" s="2" t="s">
        <v>237</v>
      </c>
      <c r="B186" s="2" t="s">
        <v>919</v>
      </c>
      <c r="C186" s="2" t="s">
        <v>2979</v>
      </c>
      <c r="D186" s="2" t="s">
        <v>813</v>
      </c>
      <c r="E186" s="2" t="s">
        <v>96</v>
      </c>
      <c r="F186" s="2" t="s">
        <v>103</v>
      </c>
      <c r="G186" s="2"/>
      <c r="H186" s="2" t="s">
        <v>2980</v>
      </c>
      <c r="I186" s="2"/>
      <c r="J186" s="2"/>
      <c r="K186" s="2" t="s">
        <v>236</v>
      </c>
      <c r="L186" s="2" t="s">
        <v>3543</v>
      </c>
      <c r="M186" s="2" t="s">
        <v>2974</v>
      </c>
      <c r="N186" s="2" t="s">
        <v>908</v>
      </c>
      <c r="O186" s="2" t="s">
        <v>2975</v>
      </c>
      <c r="P186" s="2" t="s">
        <v>3482</v>
      </c>
      <c r="Q186" s="2">
        <v>0.02</v>
      </c>
      <c r="R186" s="2">
        <v>53</v>
      </c>
      <c r="S186" s="2">
        <v>2650</v>
      </c>
      <c r="T186" s="2">
        <v>50</v>
      </c>
      <c r="U186" s="2">
        <v>0</v>
      </c>
      <c r="V186" s="2">
        <v>0</v>
      </c>
      <c r="W186" s="2">
        <v>0</v>
      </c>
      <c r="X186" s="2">
        <v>0</v>
      </c>
      <c r="Y186" s="2">
        <v>0</v>
      </c>
      <c r="Z186" s="2">
        <v>0</v>
      </c>
      <c r="AA186" s="2">
        <v>53</v>
      </c>
      <c r="AB186" s="2" t="s">
        <v>3544</v>
      </c>
      <c r="AC186" s="2" t="s">
        <v>3516</v>
      </c>
      <c r="AD186" s="2" t="s">
        <v>3545</v>
      </c>
    </row>
    <row r="187" s="1" customFormat="1" ht="11.25" spans="1:30">
      <c r="A187" s="2" t="s">
        <v>404</v>
      </c>
      <c r="B187" s="2" t="s">
        <v>919</v>
      </c>
      <c r="C187" s="2" t="s">
        <v>2979</v>
      </c>
      <c r="D187" s="2" t="s">
        <v>813</v>
      </c>
      <c r="E187" s="2" t="s">
        <v>108</v>
      </c>
      <c r="F187" s="2" t="s">
        <v>109</v>
      </c>
      <c r="G187" s="2"/>
      <c r="H187" s="2" t="s">
        <v>2980</v>
      </c>
      <c r="I187" s="2"/>
      <c r="J187" s="2"/>
      <c r="K187" s="2" t="s">
        <v>2605</v>
      </c>
      <c r="L187" s="2" t="s">
        <v>3546</v>
      </c>
      <c r="M187" s="2" t="s">
        <v>2974</v>
      </c>
      <c r="N187" s="2" t="s">
        <v>908</v>
      </c>
      <c r="O187" s="2" t="s">
        <v>3125</v>
      </c>
      <c r="P187" s="2" t="s">
        <v>2982</v>
      </c>
      <c r="Q187" s="2">
        <v>0</v>
      </c>
      <c r="R187" s="2">
        <v>50</v>
      </c>
      <c r="S187" s="2">
        <v>0</v>
      </c>
      <c r="T187" s="2">
        <v>0</v>
      </c>
      <c r="U187" s="2">
        <v>0</v>
      </c>
      <c r="V187" s="2">
        <v>0</v>
      </c>
      <c r="W187" s="2">
        <v>0</v>
      </c>
      <c r="X187" s="2">
        <v>0</v>
      </c>
      <c r="Y187" s="2">
        <v>0</v>
      </c>
      <c r="Z187" s="2">
        <v>0</v>
      </c>
      <c r="AA187" s="2">
        <v>50</v>
      </c>
      <c r="AB187" s="2" t="s">
        <v>1168</v>
      </c>
      <c r="AC187" s="2" t="s">
        <v>3245</v>
      </c>
      <c r="AD187" s="2" t="s">
        <v>3547</v>
      </c>
    </row>
    <row r="188" s="1" customFormat="1" ht="11.25" spans="1:30">
      <c r="A188" s="2" t="s">
        <v>733</v>
      </c>
      <c r="B188" s="2" t="s">
        <v>919</v>
      </c>
      <c r="C188" s="2" t="s">
        <v>3023</v>
      </c>
      <c r="D188" s="2" t="s">
        <v>813</v>
      </c>
      <c r="E188" s="2" t="s">
        <v>96</v>
      </c>
      <c r="F188" s="2" t="s">
        <v>97</v>
      </c>
      <c r="G188" s="2"/>
      <c r="H188" s="2" t="s">
        <v>2980</v>
      </c>
      <c r="I188" s="2"/>
      <c r="J188" s="2"/>
      <c r="K188" s="2" t="s">
        <v>732</v>
      </c>
      <c r="L188" s="2" t="s">
        <v>3548</v>
      </c>
      <c r="M188" s="2" t="s">
        <v>2974</v>
      </c>
      <c r="N188" s="2" t="s">
        <v>908</v>
      </c>
      <c r="O188" s="2" t="s">
        <v>2975</v>
      </c>
      <c r="P188" s="2" t="s">
        <v>3313</v>
      </c>
      <c r="Q188" s="2">
        <v>0.11</v>
      </c>
      <c r="R188" s="2">
        <v>49</v>
      </c>
      <c r="S188" s="2">
        <v>445</v>
      </c>
      <c r="T188" s="2">
        <v>0</v>
      </c>
      <c r="U188" s="2">
        <v>0</v>
      </c>
      <c r="V188" s="2">
        <v>0</v>
      </c>
      <c r="W188" s="2">
        <v>0</v>
      </c>
      <c r="X188" s="2">
        <v>0</v>
      </c>
      <c r="Y188" s="2">
        <v>0</v>
      </c>
      <c r="Z188" s="2">
        <v>0</v>
      </c>
      <c r="AA188" s="2">
        <v>49</v>
      </c>
      <c r="AB188" s="2" t="s">
        <v>3249</v>
      </c>
      <c r="AC188" s="2" t="s">
        <v>2993</v>
      </c>
      <c r="AD188" s="2" t="s">
        <v>3549</v>
      </c>
    </row>
    <row r="189" s="1" customFormat="1" ht="11.25" spans="1:30">
      <c r="A189" s="2" t="s">
        <v>484</v>
      </c>
      <c r="B189" s="2" t="s">
        <v>919</v>
      </c>
      <c r="C189" s="2" t="s">
        <v>2979</v>
      </c>
      <c r="D189" s="2" t="s">
        <v>813</v>
      </c>
      <c r="E189" s="2" t="s">
        <v>96</v>
      </c>
      <c r="F189" s="2" t="s">
        <v>186</v>
      </c>
      <c r="G189" s="2"/>
      <c r="H189" s="2" t="s">
        <v>2980</v>
      </c>
      <c r="I189" s="2"/>
      <c r="J189" s="2"/>
      <c r="K189" s="2" t="s">
        <v>483</v>
      </c>
      <c r="L189" s="2" t="s">
        <v>3550</v>
      </c>
      <c r="M189" s="2" t="s">
        <v>2974</v>
      </c>
      <c r="N189" s="2" t="s">
        <v>908</v>
      </c>
      <c r="O189" s="2" t="s">
        <v>2975</v>
      </c>
      <c r="P189" s="2" t="s">
        <v>3551</v>
      </c>
      <c r="Q189" s="2">
        <v>0.69</v>
      </c>
      <c r="R189" s="2">
        <v>49</v>
      </c>
      <c r="S189" s="2">
        <v>71</v>
      </c>
      <c r="T189" s="2">
        <v>100</v>
      </c>
      <c r="U189" s="2">
        <v>0</v>
      </c>
      <c r="V189" s="2">
        <v>0</v>
      </c>
      <c r="W189" s="2">
        <v>0</v>
      </c>
      <c r="X189" s="2">
        <v>0</v>
      </c>
      <c r="Y189" s="2">
        <v>0</v>
      </c>
      <c r="Z189" s="2">
        <v>0</v>
      </c>
      <c r="AA189" s="2">
        <v>49</v>
      </c>
      <c r="AB189" s="2" t="s">
        <v>2997</v>
      </c>
      <c r="AC189" s="2" t="s">
        <v>3282</v>
      </c>
      <c r="AD189" s="2" t="s">
        <v>3552</v>
      </c>
    </row>
    <row r="190" s="1" customFormat="1" ht="11.25" spans="1:30">
      <c r="A190" s="2" t="s">
        <v>616</v>
      </c>
      <c r="B190" s="2" t="s">
        <v>919</v>
      </c>
      <c r="C190" s="2" t="s">
        <v>3023</v>
      </c>
      <c r="D190" s="2" t="s">
        <v>813</v>
      </c>
      <c r="E190" s="2" t="s">
        <v>108</v>
      </c>
      <c r="F190" s="2" t="s">
        <v>206</v>
      </c>
      <c r="G190" s="2"/>
      <c r="H190" s="2" t="s">
        <v>2980</v>
      </c>
      <c r="I190" s="2"/>
      <c r="J190" s="2"/>
      <c r="K190" s="2" t="s">
        <v>615</v>
      </c>
      <c r="L190" s="2" t="s">
        <v>3553</v>
      </c>
      <c r="M190" s="2" t="s">
        <v>2974</v>
      </c>
      <c r="N190" s="2" t="s">
        <v>908</v>
      </c>
      <c r="O190" s="2" t="s">
        <v>3125</v>
      </c>
      <c r="P190" s="2" t="s">
        <v>3328</v>
      </c>
      <c r="Q190" s="2">
        <v>0.05</v>
      </c>
      <c r="R190" s="2">
        <v>47</v>
      </c>
      <c r="S190" s="2">
        <v>940</v>
      </c>
      <c r="T190" s="2">
        <v>0</v>
      </c>
      <c r="U190" s="2">
        <v>0</v>
      </c>
      <c r="V190" s="2">
        <v>0</v>
      </c>
      <c r="W190" s="2">
        <v>0</v>
      </c>
      <c r="X190" s="2">
        <v>0</v>
      </c>
      <c r="Y190" s="2">
        <v>0</v>
      </c>
      <c r="Z190" s="2">
        <v>0</v>
      </c>
      <c r="AA190" s="2">
        <v>47</v>
      </c>
      <c r="AB190" s="2" t="s">
        <v>3554</v>
      </c>
      <c r="AC190" s="2" t="s">
        <v>3269</v>
      </c>
      <c r="AD190" s="2" t="s">
        <v>3555</v>
      </c>
    </row>
    <row r="191" s="1" customFormat="1" ht="11.25" spans="1:30">
      <c r="A191" s="2" t="s">
        <v>318</v>
      </c>
      <c r="B191" s="2" t="s">
        <v>2970</v>
      </c>
      <c r="C191" s="2" t="s">
        <v>3023</v>
      </c>
      <c r="D191" s="2" t="s">
        <v>813</v>
      </c>
      <c r="E191" s="2" t="s">
        <v>96</v>
      </c>
      <c r="F191" s="2" t="s">
        <v>97</v>
      </c>
      <c r="G191" s="2"/>
      <c r="H191" s="2" t="s">
        <v>2980</v>
      </c>
      <c r="I191" s="2"/>
      <c r="J191" s="2"/>
      <c r="K191" s="2" t="s">
        <v>317</v>
      </c>
      <c r="L191" s="2" t="s">
        <v>3556</v>
      </c>
      <c r="M191" s="2" t="s">
        <v>2974</v>
      </c>
      <c r="N191" s="2" t="s">
        <v>908</v>
      </c>
      <c r="O191" s="2" t="s">
        <v>2975</v>
      </c>
      <c r="P191" s="2" t="s">
        <v>3486</v>
      </c>
      <c r="Q191" s="2">
        <v>0</v>
      </c>
      <c r="R191" s="2">
        <v>47</v>
      </c>
      <c r="S191" s="2">
        <v>0</v>
      </c>
      <c r="T191" s="2">
        <v>0</v>
      </c>
      <c r="U191" s="2">
        <v>0</v>
      </c>
      <c r="V191" s="2">
        <v>0</v>
      </c>
      <c r="W191" s="2">
        <v>0</v>
      </c>
      <c r="X191" s="2">
        <v>0</v>
      </c>
      <c r="Y191" s="2">
        <v>0</v>
      </c>
      <c r="Z191" s="2">
        <v>0</v>
      </c>
      <c r="AA191" s="2">
        <v>47</v>
      </c>
      <c r="AB191" s="2" t="s">
        <v>3470</v>
      </c>
      <c r="AC191" s="2" t="s">
        <v>3025</v>
      </c>
      <c r="AD191" s="2" t="s">
        <v>3557</v>
      </c>
    </row>
    <row r="192" s="1" customFormat="1" ht="11.25" spans="1:30">
      <c r="A192" s="2" t="s">
        <v>481</v>
      </c>
      <c r="B192" s="2" t="s">
        <v>2970</v>
      </c>
      <c r="C192" s="2" t="s">
        <v>2979</v>
      </c>
      <c r="D192" s="2" t="s">
        <v>813</v>
      </c>
      <c r="E192" s="2" t="s">
        <v>108</v>
      </c>
      <c r="F192" s="2" t="s">
        <v>927</v>
      </c>
      <c r="G192" s="2"/>
      <c r="H192" s="2" t="s">
        <v>2980</v>
      </c>
      <c r="I192" s="2"/>
      <c r="J192" s="2"/>
      <c r="K192" s="2" t="s">
        <v>1587</v>
      </c>
      <c r="L192" s="2" t="s">
        <v>3558</v>
      </c>
      <c r="M192" s="2" t="s">
        <v>2974</v>
      </c>
      <c r="N192" s="2" t="s">
        <v>908</v>
      </c>
      <c r="O192" s="2" t="s">
        <v>2975</v>
      </c>
      <c r="P192" s="2" t="s">
        <v>3559</v>
      </c>
      <c r="Q192" s="2">
        <v>0.42</v>
      </c>
      <c r="R192" s="2">
        <v>47</v>
      </c>
      <c r="S192" s="2">
        <v>112</v>
      </c>
      <c r="T192" s="2">
        <v>0</v>
      </c>
      <c r="U192" s="2">
        <v>0</v>
      </c>
      <c r="V192" s="2">
        <v>0</v>
      </c>
      <c r="W192" s="2">
        <v>0</v>
      </c>
      <c r="X192" s="2">
        <v>0</v>
      </c>
      <c r="Y192" s="2">
        <v>0</v>
      </c>
      <c r="Z192" s="2">
        <v>0</v>
      </c>
      <c r="AA192" s="2">
        <v>47</v>
      </c>
      <c r="AB192" s="2" t="s">
        <v>3011</v>
      </c>
      <c r="AC192" s="2" t="s">
        <v>3054</v>
      </c>
      <c r="AD192" s="2" t="s">
        <v>3560</v>
      </c>
    </row>
    <row r="193" s="1" customFormat="1" ht="11.25" spans="1:30">
      <c r="A193" s="2" t="s">
        <v>725</v>
      </c>
      <c r="B193" s="2" t="s">
        <v>919</v>
      </c>
      <c r="C193" s="2" t="s">
        <v>3004</v>
      </c>
      <c r="D193" s="2" t="s">
        <v>813</v>
      </c>
      <c r="E193" s="2" t="s">
        <v>96</v>
      </c>
      <c r="F193" s="2" t="s">
        <v>127</v>
      </c>
      <c r="G193" s="2"/>
      <c r="H193" s="2" t="s">
        <v>2980</v>
      </c>
      <c r="I193" s="2"/>
      <c r="J193" s="2"/>
      <c r="K193" s="2" t="s">
        <v>724</v>
      </c>
      <c r="L193" s="2" t="s">
        <v>3561</v>
      </c>
      <c r="M193" s="2" t="s">
        <v>2974</v>
      </c>
      <c r="N193" s="2" t="s">
        <v>908</v>
      </c>
      <c r="O193" s="2" t="s">
        <v>2975</v>
      </c>
      <c r="P193" s="2" t="s">
        <v>3562</v>
      </c>
      <c r="Q193" s="2">
        <v>0.7</v>
      </c>
      <c r="R193" s="2">
        <v>47</v>
      </c>
      <c r="S193" s="2">
        <v>67</v>
      </c>
      <c r="T193" s="2">
        <v>100</v>
      </c>
      <c r="U193" s="2">
        <v>0</v>
      </c>
      <c r="V193" s="2">
        <v>0</v>
      </c>
      <c r="W193" s="2">
        <v>0</v>
      </c>
      <c r="X193" s="2">
        <v>0</v>
      </c>
      <c r="Y193" s="2">
        <v>0</v>
      </c>
      <c r="Z193" s="2">
        <v>0</v>
      </c>
      <c r="AA193" s="2">
        <v>47</v>
      </c>
      <c r="AB193" s="2" t="s">
        <v>2993</v>
      </c>
      <c r="AC193" s="2" t="s">
        <v>3345</v>
      </c>
      <c r="AD193" s="2" t="s">
        <v>3563</v>
      </c>
    </row>
    <row r="194" s="1" customFormat="1" ht="11.25" spans="1:30">
      <c r="A194" s="2" t="s">
        <v>488</v>
      </c>
      <c r="B194" s="2" t="s">
        <v>919</v>
      </c>
      <c r="C194" s="2" t="s">
        <v>3023</v>
      </c>
      <c r="D194" s="2" t="s">
        <v>813</v>
      </c>
      <c r="E194" s="2" t="s">
        <v>96</v>
      </c>
      <c r="F194" s="2" t="s">
        <v>115</v>
      </c>
      <c r="G194" s="2"/>
      <c r="H194" s="2" t="s">
        <v>2980</v>
      </c>
      <c r="I194" s="2"/>
      <c r="J194" s="2"/>
      <c r="K194" s="2" t="s">
        <v>487</v>
      </c>
      <c r="L194" s="2" t="s">
        <v>3564</v>
      </c>
      <c r="M194" s="2" t="s">
        <v>2974</v>
      </c>
      <c r="N194" s="2" t="s">
        <v>908</v>
      </c>
      <c r="O194" s="2" t="s">
        <v>2975</v>
      </c>
      <c r="P194" s="2" t="s">
        <v>2982</v>
      </c>
      <c r="Q194" s="2">
        <v>0</v>
      </c>
      <c r="R194" s="2">
        <v>47</v>
      </c>
      <c r="S194" s="2">
        <v>0</v>
      </c>
      <c r="T194" s="2">
        <v>0</v>
      </c>
      <c r="U194" s="2">
        <v>0</v>
      </c>
      <c r="V194" s="2">
        <v>0</v>
      </c>
      <c r="W194" s="2">
        <v>0</v>
      </c>
      <c r="X194" s="2">
        <v>0</v>
      </c>
      <c r="Y194" s="2">
        <v>0</v>
      </c>
      <c r="Z194" s="2">
        <v>0</v>
      </c>
      <c r="AA194" s="2">
        <v>47</v>
      </c>
      <c r="AB194" s="2" t="s">
        <v>3565</v>
      </c>
      <c r="AC194" s="2" t="s">
        <v>3566</v>
      </c>
      <c r="AD194" s="2" t="s">
        <v>3567</v>
      </c>
    </row>
    <row r="195" s="1" customFormat="1" ht="11.25" spans="1:30">
      <c r="A195" s="2" t="s">
        <v>747</v>
      </c>
      <c r="B195" s="2" t="s">
        <v>919</v>
      </c>
      <c r="C195" s="2" t="s">
        <v>2979</v>
      </c>
      <c r="D195" s="2" t="s">
        <v>813</v>
      </c>
      <c r="E195" s="2" t="s">
        <v>96</v>
      </c>
      <c r="F195" s="2" t="s">
        <v>115</v>
      </c>
      <c r="G195" s="2"/>
      <c r="H195" s="2" t="s">
        <v>2980</v>
      </c>
      <c r="I195" s="2"/>
      <c r="J195" s="2"/>
      <c r="K195" s="2" t="s">
        <v>746</v>
      </c>
      <c r="L195" s="2" t="s">
        <v>3568</v>
      </c>
      <c r="M195" s="2" t="s">
        <v>2974</v>
      </c>
      <c r="N195" s="2" t="s">
        <v>908</v>
      </c>
      <c r="O195" s="2" t="s">
        <v>2975</v>
      </c>
      <c r="P195" s="2" t="s">
        <v>3569</v>
      </c>
      <c r="Q195" s="2">
        <v>0.47</v>
      </c>
      <c r="R195" s="2">
        <v>47</v>
      </c>
      <c r="S195" s="2">
        <v>100</v>
      </c>
      <c r="T195" s="2">
        <v>100</v>
      </c>
      <c r="U195" s="2">
        <v>0</v>
      </c>
      <c r="V195" s="2">
        <v>0</v>
      </c>
      <c r="W195" s="2">
        <v>0</v>
      </c>
      <c r="X195" s="2">
        <v>0</v>
      </c>
      <c r="Y195" s="2">
        <v>1</v>
      </c>
      <c r="Z195" s="2">
        <v>0</v>
      </c>
      <c r="AA195" s="2">
        <v>46</v>
      </c>
      <c r="AB195" s="2" t="s">
        <v>3011</v>
      </c>
      <c r="AC195" s="2" t="s">
        <v>3169</v>
      </c>
      <c r="AD195" s="2" t="s">
        <v>3513</v>
      </c>
    </row>
    <row r="196" s="1" customFormat="1" ht="11.25" spans="1:30">
      <c r="A196" s="2" t="s">
        <v>193</v>
      </c>
      <c r="B196" s="2" t="s">
        <v>2970</v>
      </c>
      <c r="C196" s="2" t="s">
        <v>2979</v>
      </c>
      <c r="D196" s="2" t="s">
        <v>813</v>
      </c>
      <c r="E196" s="2" t="s">
        <v>96</v>
      </c>
      <c r="F196" s="2" t="s">
        <v>115</v>
      </c>
      <c r="G196" s="2"/>
      <c r="H196" s="2" t="s">
        <v>2980</v>
      </c>
      <c r="I196" s="2"/>
      <c r="J196" s="2"/>
      <c r="K196" s="2" t="s">
        <v>192</v>
      </c>
      <c r="L196" s="2" t="s">
        <v>3570</v>
      </c>
      <c r="M196" s="2" t="s">
        <v>2974</v>
      </c>
      <c r="N196" s="2" t="s">
        <v>908</v>
      </c>
      <c r="O196" s="2" t="s">
        <v>2975</v>
      </c>
      <c r="P196" s="2" t="s">
        <v>3571</v>
      </c>
      <c r="Q196" s="2">
        <v>1.1</v>
      </c>
      <c r="R196" s="2">
        <v>45</v>
      </c>
      <c r="S196" s="2">
        <v>41</v>
      </c>
      <c r="T196" s="2">
        <v>0</v>
      </c>
      <c r="U196" s="2">
        <v>0</v>
      </c>
      <c r="V196" s="2">
        <v>0</v>
      </c>
      <c r="W196" s="2">
        <v>0</v>
      </c>
      <c r="X196" s="2">
        <v>0</v>
      </c>
      <c r="Y196" s="2">
        <v>0</v>
      </c>
      <c r="Z196" s="2">
        <v>0</v>
      </c>
      <c r="AA196" s="2">
        <v>45</v>
      </c>
      <c r="AB196" s="2" t="s">
        <v>3011</v>
      </c>
      <c r="AC196" s="2" t="s">
        <v>3219</v>
      </c>
      <c r="AD196" s="2" t="s">
        <v>3572</v>
      </c>
    </row>
    <row r="197" s="1" customFormat="1" ht="11.25" spans="1:30">
      <c r="A197" s="2" t="s">
        <v>338</v>
      </c>
      <c r="B197" s="2" t="s">
        <v>2970</v>
      </c>
      <c r="C197" s="2" t="s">
        <v>3023</v>
      </c>
      <c r="D197" s="2" t="s">
        <v>813</v>
      </c>
      <c r="E197" s="2" t="s">
        <v>108</v>
      </c>
      <c r="F197" s="2" t="s">
        <v>927</v>
      </c>
      <c r="G197" s="2"/>
      <c r="H197" s="2" t="s">
        <v>2980</v>
      </c>
      <c r="I197" s="2"/>
      <c r="J197" s="2"/>
      <c r="K197" s="2" t="s">
        <v>949</v>
      </c>
      <c r="L197" s="2" t="s">
        <v>3573</v>
      </c>
      <c r="M197" s="2" t="s">
        <v>2974</v>
      </c>
      <c r="N197" s="2" t="s">
        <v>908</v>
      </c>
      <c r="O197" s="2" t="s">
        <v>2975</v>
      </c>
      <c r="P197" s="2" t="s">
        <v>3574</v>
      </c>
      <c r="Q197" s="2">
        <v>0.27</v>
      </c>
      <c r="R197" s="2">
        <v>45</v>
      </c>
      <c r="S197" s="2">
        <v>167</v>
      </c>
      <c r="T197" s="2">
        <v>0</v>
      </c>
      <c r="U197" s="2">
        <v>0</v>
      </c>
      <c r="V197" s="2">
        <v>0</v>
      </c>
      <c r="W197" s="2">
        <v>0</v>
      </c>
      <c r="X197" s="2">
        <v>0</v>
      </c>
      <c r="Y197" s="2">
        <v>0</v>
      </c>
      <c r="Z197" s="2">
        <v>0</v>
      </c>
      <c r="AA197" s="2">
        <v>45</v>
      </c>
      <c r="AB197" s="2" t="s">
        <v>3011</v>
      </c>
      <c r="AC197" s="2" t="s">
        <v>1273</v>
      </c>
      <c r="AD197" s="2" t="s">
        <v>3575</v>
      </c>
    </row>
    <row r="198" s="1" customFormat="1" ht="11.25" spans="1:30">
      <c r="A198" s="2" t="s">
        <v>791</v>
      </c>
      <c r="B198" s="2" t="s">
        <v>919</v>
      </c>
      <c r="C198" s="2" t="s">
        <v>3023</v>
      </c>
      <c r="D198" s="2" t="s">
        <v>813</v>
      </c>
      <c r="E198" s="2" t="s">
        <v>96</v>
      </c>
      <c r="F198" s="2" t="s">
        <v>97</v>
      </c>
      <c r="G198" s="2"/>
      <c r="H198" s="2" t="s">
        <v>2980</v>
      </c>
      <c r="I198" s="2"/>
      <c r="J198" s="2"/>
      <c r="K198" s="2" t="s">
        <v>790</v>
      </c>
      <c r="L198" s="2" t="s">
        <v>3576</v>
      </c>
      <c r="M198" s="2" t="s">
        <v>2974</v>
      </c>
      <c r="N198" s="2" t="s">
        <v>908</v>
      </c>
      <c r="O198" s="2" t="s">
        <v>2975</v>
      </c>
      <c r="P198" s="2" t="s">
        <v>2982</v>
      </c>
      <c r="Q198" s="2">
        <v>0</v>
      </c>
      <c r="R198" s="2">
        <v>44</v>
      </c>
      <c r="S198" s="2">
        <v>0</v>
      </c>
      <c r="T198" s="2">
        <v>0</v>
      </c>
      <c r="U198" s="2">
        <v>0</v>
      </c>
      <c r="V198" s="2">
        <v>0</v>
      </c>
      <c r="W198" s="2">
        <v>0</v>
      </c>
      <c r="X198" s="2">
        <v>0</v>
      </c>
      <c r="Y198" s="2">
        <v>0</v>
      </c>
      <c r="Z198" s="2">
        <v>0</v>
      </c>
      <c r="AA198" s="2">
        <v>44</v>
      </c>
      <c r="AB198" s="2" t="s">
        <v>3577</v>
      </c>
      <c r="AC198" s="2" t="s">
        <v>3325</v>
      </c>
      <c r="AD198" s="2" t="s">
        <v>3578</v>
      </c>
    </row>
    <row r="199" s="1" customFormat="1" ht="11.25" spans="1:30">
      <c r="A199" s="2" t="s">
        <v>296</v>
      </c>
      <c r="B199" s="2" t="s">
        <v>919</v>
      </c>
      <c r="C199" s="2" t="s">
        <v>3023</v>
      </c>
      <c r="D199" s="2" t="s">
        <v>813</v>
      </c>
      <c r="E199" s="2" t="s">
        <v>96</v>
      </c>
      <c r="F199" s="2" t="s">
        <v>115</v>
      </c>
      <c r="G199" s="2"/>
      <c r="H199" s="2" t="s">
        <v>2980</v>
      </c>
      <c r="I199" s="2"/>
      <c r="J199" s="2"/>
      <c r="K199" s="2" t="s">
        <v>295</v>
      </c>
      <c r="L199" s="2" t="s">
        <v>3579</v>
      </c>
      <c r="M199" s="2" t="s">
        <v>2974</v>
      </c>
      <c r="N199" s="2" t="s">
        <v>908</v>
      </c>
      <c r="O199" s="2" t="s">
        <v>2975</v>
      </c>
      <c r="P199" s="2" t="s">
        <v>3580</v>
      </c>
      <c r="Q199" s="2">
        <v>0.72</v>
      </c>
      <c r="R199" s="2">
        <v>44</v>
      </c>
      <c r="S199" s="2">
        <v>61</v>
      </c>
      <c r="T199" s="2">
        <v>20</v>
      </c>
      <c r="U199" s="2">
        <v>0</v>
      </c>
      <c r="V199" s="2">
        <v>0</v>
      </c>
      <c r="W199" s="2">
        <v>0</v>
      </c>
      <c r="X199" s="2">
        <v>0</v>
      </c>
      <c r="Y199" s="2">
        <v>0</v>
      </c>
      <c r="Z199" s="2">
        <v>0</v>
      </c>
      <c r="AA199" s="2">
        <v>44</v>
      </c>
      <c r="AB199" s="2" t="s">
        <v>2993</v>
      </c>
      <c r="AC199" s="2" t="s">
        <v>3245</v>
      </c>
      <c r="AD199" s="2" t="s">
        <v>3581</v>
      </c>
    </row>
    <row r="200" s="1" customFormat="1" ht="11.25" spans="1:30">
      <c r="A200" s="2" t="s">
        <v>801</v>
      </c>
      <c r="B200" s="2" t="s">
        <v>919</v>
      </c>
      <c r="C200" s="2" t="s">
        <v>2979</v>
      </c>
      <c r="D200" s="2" t="s">
        <v>813</v>
      </c>
      <c r="E200" s="2" t="s">
        <v>96</v>
      </c>
      <c r="F200" s="2" t="s">
        <v>115</v>
      </c>
      <c r="G200" s="2"/>
      <c r="H200" s="2" t="s">
        <v>2980</v>
      </c>
      <c r="I200" s="2"/>
      <c r="J200" s="2"/>
      <c r="K200" s="2" t="s">
        <v>800</v>
      </c>
      <c r="L200" s="2" t="s">
        <v>3582</v>
      </c>
      <c r="M200" s="2" t="s">
        <v>2974</v>
      </c>
      <c r="N200" s="2" t="s">
        <v>908</v>
      </c>
      <c r="O200" s="2" t="s">
        <v>2975</v>
      </c>
      <c r="P200" s="2" t="s">
        <v>3583</v>
      </c>
      <c r="Q200" s="2">
        <v>0.7</v>
      </c>
      <c r="R200" s="2">
        <v>44</v>
      </c>
      <c r="S200" s="2">
        <v>63</v>
      </c>
      <c r="T200" s="2">
        <v>100</v>
      </c>
      <c r="U200" s="2">
        <v>0</v>
      </c>
      <c r="V200" s="2">
        <v>0</v>
      </c>
      <c r="W200" s="2">
        <v>0</v>
      </c>
      <c r="X200" s="2">
        <v>0</v>
      </c>
      <c r="Y200" s="2">
        <v>0</v>
      </c>
      <c r="Z200" s="2">
        <v>0</v>
      </c>
      <c r="AA200" s="2">
        <v>44</v>
      </c>
      <c r="AB200" s="2" t="s">
        <v>3011</v>
      </c>
      <c r="AC200" s="2" t="s">
        <v>3011</v>
      </c>
      <c r="AD200" s="2" t="s">
        <v>3116</v>
      </c>
    </row>
    <row r="201" s="1" customFormat="1" ht="11.25" spans="1:30">
      <c r="A201" s="2" t="s">
        <v>311</v>
      </c>
      <c r="B201" s="2" t="s">
        <v>919</v>
      </c>
      <c r="C201" s="2" t="s">
        <v>3023</v>
      </c>
      <c r="D201" s="2" t="s">
        <v>813</v>
      </c>
      <c r="E201" s="2" t="s">
        <v>108</v>
      </c>
      <c r="F201" s="2" t="s">
        <v>109</v>
      </c>
      <c r="G201" s="2"/>
      <c r="H201" s="2" t="s">
        <v>2980</v>
      </c>
      <c r="I201" s="2"/>
      <c r="J201" s="2"/>
      <c r="K201" s="2" t="s">
        <v>310</v>
      </c>
      <c r="L201" s="2" t="s">
        <v>3584</v>
      </c>
      <c r="M201" s="2" t="s">
        <v>2974</v>
      </c>
      <c r="N201" s="2" t="s">
        <v>908</v>
      </c>
      <c r="O201" s="2" t="s">
        <v>2975</v>
      </c>
      <c r="P201" s="2" t="s">
        <v>3585</v>
      </c>
      <c r="Q201" s="2">
        <v>1.25</v>
      </c>
      <c r="R201" s="2">
        <v>41</v>
      </c>
      <c r="S201" s="2">
        <v>33</v>
      </c>
      <c r="T201" s="2">
        <v>80</v>
      </c>
      <c r="U201" s="2">
        <v>0</v>
      </c>
      <c r="V201" s="2">
        <v>0</v>
      </c>
      <c r="W201" s="2">
        <v>0</v>
      </c>
      <c r="X201" s="2">
        <v>0</v>
      </c>
      <c r="Y201" s="2">
        <v>1</v>
      </c>
      <c r="Z201" s="2">
        <v>0</v>
      </c>
      <c r="AA201" s="2">
        <v>40</v>
      </c>
      <c r="AB201" s="2" t="s">
        <v>2997</v>
      </c>
      <c r="AC201" s="2" t="s">
        <v>3586</v>
      </c>
      <c r="AD201" s="2" t="s">
        <v>3587</v>
      </c>
    </row>
    <row r="202" s="1" customFormat="1" ht="11.25" spans="1:30">
      <c r="A202" s="2" t="s">
        <v>594</v>
      </c>
      <c r="B202" s="2" t="s">
        <v>919</v>
      </c>
      <c r="C202" s="2" t="s">
        <v>2979</v>
      </c>
      <c r="D202" s="2" t="s">
        <v>813</v>
      </c>
      <c r="E202" s="2" t="s">
        <v>108</v>
      </c>
      <c r="F202" s="2" t="s">
        <v>109</v>
      </c>
      <c r="G202" s="2"/>
      <c r="H202" s="2" t="s">
        <v>2980</v>
      </c>
      <c r="I202" s="2"/>
      <c r="J202" s="2"/>
      <c r="K202" s="2" t="s">
        <v>593</v>
      </c>
      <c r="L202" s="2" t="s">
        <v>3588</v>
      </c>
      <c r="M202" s="2" t="s">
        <v>2974</v>
      </c>
      <c r="N202" s="2" t="s">
        <v>908</v>
      </c>
      <c r="O202" s="2" t="s">
        <v>2975</v>
      </c>
      <c r="P202" s="2" t="s">
        <v>3589</v>
      </c>
      <c r="Q202" s="2">
        <v>0.38</v>
      </c>
      <c r="R202" s="2">
        <v>41</v>
      </c>
      <c r="S202" s="2">
        <v>108</v>
      </c>
      <c r="T202" s="2">
        <v>0</v>
      </c>
      <c r="U202" s="2">
        <v>0</v>
      </c>
      <c r="V202" s="2">
        <v>0</v>
      </c>
      <c r="W202" s="2">
        <v>0</v>
      </c>
      <c r="X202" s="2">
        <v>0</v>
      </c>
      <c r="Y202" s="2">
        <v>0</v>
      </c>
      <c r="Z202" s="2">
        <v>0</v>
      </c>
      <c r="AA202" s="2">
        <v>41</v>
      </c>
      <c r="AB202" s="2" t="s">
        <v>3119</v>
      </c>
      <c r="AC202" s="2" t="s">
        <v>3590</v>
      </c>
      <c r="AD202" s="2" t="s">
        <v>3591</v>
      </c>
    </row>
    <row r="203" s="1" customFormat="1" ht="11.25" spans="1:30">
      <c r="A203" s="2" t="s">
        <v>569</v>
      </c>
      <c r="B203" s="2" t="s">
        <v>919</v>
      </c>
      <c r="C203" s="2" t="s">
        <v>2979</v>
      </c>
      <c r="D203" s="2" t="s">
        <v>813</v>
      </c>
      <c r="E203" s="2" t="s">
        <v>96</v>
      </c>
      <c r="F203" s="2" t="s">
        <v>115</v>
      </c>
      <c r="G203" s="2"/>
      <c r="H203" s="2" t="s">
        <v>2980</v>
      </c>
      <c r="I203" s="2"/>
      <c r="J203" s="2"/>
      <c r="K203" s="2" t="s">
        <v>1188</v>
      </c>
      <c r="L203" s="2" t="s">
        <v>3592</v>
      </c>
      <c r="M203" s="2" t="s">
        <v>2974</v>
      </c>
      <c r="N203" s="2" t="s">
        <v>908</v>
      </c>
      <c r="O203" s="2" t="s">
        <v>3125</v>
      </c>
      <c r="P203" s="2" t="s">
        <v>3593</v>
      </c>
      <c r="Q203" s="2">
        <v>2.03</v>
      </c>
      <c r="R203" s="2">
        <v>40</v>
      </c>
      <c r="S203" s="2">
        <v>20</v>
      </c>
      <c r="T203" s="2">
        <v>100</v>
      </c>
      <c r="U203" s="2">
        <v>0</v>
      </c>
      <c r="V203" s="2">
        <v>0</v>
      </c>
      <c r="W203" s="2">
        <v>0</v>
      </c>
      <c r="X203" s="2">
        <v>0</v>
      </c>
      <c r="Y203" s="2">
        <v>1</v>
      </c>
      <c r="Z203" s="2">
        <v>0</v>
      </c>
      <c r="AA203" s="2">
        <v>39</v>
      </c>
      <c r="AB203" s="2" t="s">
        <v>2997</v>
      </c>
      <c r="AC203" s="2" t="s">
        <v>2993</v>
      </c>
      <c r="AD203" s="2" t="s">
        <v>3594</v>
      </c>
    </row>
    <row r="204" s="1" customFormat="1" ht="11.25" spans="1:30">
      <c r="A204" s="2" t="s">
        <v>739</v>
      </c>
      <c r="B204" s="2" t="s">
        <v>919</v>
      </c>
      <c r="C204" s="2" t="s">
        <v>2979</v>
      </c>
      <c r="D204" s="2" t="s">
        <v>813</v>
      </c>
      <c r="E204" s="2" t="s">
        <v>96</v>
      </c>
      <c r="F204" s="2" t="s">
        <v>97</v>
      </c>
      <c r="G204" s="2"/>
      <c r="H204" s="2" t="s">
        <v>2980</v>
      </c>
      <c r="I204" s="2"/>
      <c r="J204" s="2"/>
      <c r="K204" s="2" t="s">
        <v>738</v>
      </c>
      <c r="L204" s="2" t="s">
        <v>3595</v>
      </c>
      <c r="M204" s="2" t="s">
        <v>2974</v>
      </c>
      <c r="N204" s="2" t="s">
        <v>908</v>
      </c>
      <c r="O204" s="2" t="s">
        <v>2975</v>
      </c>
      <c r="P204" s="2" t="s">
        <v>3596</v>
      </c>
      <c r="Q204" s="2">
        <v>0.1</v>
      </c>
      <c r="R204" s="2">
        <v>40</v>
      </c>
      <c r="S204" s="2">
        <v>400</v>
      </c>
      <c r="T204" s="2">
        <v>0</v>
      </c>
      <c r="U204" s="2">
        <v>0</v>
      </c>
      <c r="V204" s="2">
        <v>0</v>
      </c>
      <c r="W204" s="2">
        <v>0</v>
      </c>
      <c r="X204" s="2">
        <v>0</v>
      </c>
      <c r="Y204" s="2">
        <v>0</v>
      </c>
      <c r="Z204" s="2">
        <v>0</v>
      </c>
      <c r="AA204" s="2">
        <v>40</v>
      </c>
      <c r="AB204" s="2" t="s">
        <v>3229</v>
      </c>
      <c r="AC204" s="2" t="s">
        <v>2518</v>
      </c>
      <c r="AD204" s="2" t="s">
        <v>3597</v>
      </c>
    </row>
    <row r="205" s="1" customFormat="1" ht="11.25" spans="1:30">
      <c r="A205" s="2" t="s">
        <v>755</v>
      </c>
      <c r="B205" s="2" t="s">
        <v>919</v>
      </c>
      <c r="C205" s="2" t="s">
        <v>2979</v>
      </c>
      <c r="D205" s="2" t="s">
        <v>813</v>
      </c>
      <c r="E205" s="2" t="s">
        <v>96</v>
      </c>
      <c r="F205" s="2" t="s">
        <v>97</v>
      </c>
      <c r="G205" s="2"/>
      <c r="H205" s="2" t="s">
        <v>2980</v>
      </c>
      <c r="I205" s="2"/>
      <c r="J205" s="2"/>
      <c r="K205" s="2" t="s">
        <v>754</v>
      </c>
      <c r="L205" s="2" t="s">
        <v>3598</v>
      </c>
      <c r="M205" s="2" t="s">
        <v>2974</v>
      </c>
      <c r="N205" s="2" t="s">
        <v>908</v>
      </c>
      <c r="O205" s="2" t="s">
        <v>2975</v>
      </c>
      <c r="P205" s="2" t="s">
        <v>3599</v>
      </c>
      <c r="Q205" s="2">
        <v>0.2</v>
      </c>
      <c r="R205" s="2">
        <v>39</v>
      </c>
      <c r="S205" s="2">
        <v>195</v>
      </c>
      <c r="T205" s="2">
        <v>120</v>
      </c>
      <c r="U205" s="2">
        <v>0</v>
      </c>
      <c r="V205" s="2">
        <v>0</v>
      </c>
      <c r="W205" s="2">
        <v>0</v>
      </c>
      <c r="X205" s="2">
        <v>0</v>
      </c>
      <c r="Y205" s="2">
        <v>0</v>
      </c>
      <c r="Z205" s="2">
        <v>0</v>
      </c>
      <c r="AA205" s="2">
        <v>39</v>
      </c>
      <c r="AB205" s="2" t="s">
        <v>3119</v>
      </c>
      <c r="AC205" s="2" t="s">
        <v>3054</v>
      </c>
      <c r="AD205" s="2" t="s">
        <v>3600</v>
      </c>
    </row>
    <row r="206" s="1" customFormat="1" ht="11.25" spans="1:30">
      <c r="A206" s="2" t="s">
        <v>510</v>
      </c>
      <c r="B206" s="2" t="s">
        <v>919</v>
      </c>
      <c r="C206" s="2" t="s">
        <v>2979</v>
      </c>
      <c r="D206" s="2" t="s">
        <v>813</v>
      </c>
      <c r="E206" s="2" t="s">
        <v>96</v>
      </c>
      <c r="F206" s="2" t="s">
        <v>115</v>
      </c>
      <c r="G206" s="2"/>
      <c r="H206" s="2" t="s">
        <v>2980</v>
      </c>
      <c r="I206" s="2"/>
      <c r="J206" s="2"/>
      <c r="K206" s="2" t="s">
        <v>509</v>
      </c>
      <c r="L206" s="2" t="s">
        <v>3601</v>
      </c>
      <c r="M206" s="2" t="s">
        <v>2974</v>
      </c>
      <c r="N206" s="2" t="s">
        <v>908</v>
      </c>
      <c r="O206" s="2" t="s">
        <v>2975</v>
      </c>
      <c r="P206" s="2" t="s">
        <v>3602</v>
      </c>
      <c r="Q206" s="2">
        <v>0.85</v>
      </c>
      <c r="R206" s="2">
        <v>39</v>
      </c>
      <c r="S206" s="2">
        <v>46</v>
      </c>
      <c r="T206" s="2">
        <v>120</v>
      </c>
      <c r="U206" s="2">
        <v>0</v>
      </c>
      <c r="V206" s="2">
        <v>0</v>
      </c>
      <c r="W206" s="2">
        <v>0</v>
      </c>
      <c r="X206" s="2">
        <v>0</v>
      </c>
      <c r="Y206" s="2">
        <v>0</v>
      </c>
      <c r="Z206" s="2">
        <v>0</v>
      </c>
      <c r="AA206" s="2">
        <v>39</v>
      </c>
      <c r="AB206" s="2" t="s">
        <v>2997</v>
      </c>
      <c r="AC206" s="2" t="s">
        <v>3054</v>
      </c>
      <c r="AD206" s="2" t="s">
        <v>3504</v>
      </c>
    </row>
    <row r="207" s="1" customFormat="1" ht="11.25" spans="1:30">
      <c r="A207" s="2" t="s">
        <v>1399</v>
      </c>
      <c r="B207" s="2" t="s">
        <v>2970</v>
      </c>
      <c r="C207" s="2" t="s">
        <v>3023</v>
      </c>
      <c r="D207" s="2" t="s">
        <v>813</v>
      </c>
      <c r="E207" s="2" t="s">
        <v>108</v>
      </c>
      <c r="F207" s="2" t="s">
        <v>168</v>
      </c>
      <c r="G207" s="2"/>
      <c r="H207" s="2" t="s">
        <v>2980</v>
      </c>
      <c r="I207" s="2"/>
      <c r="J207" s="2"/>
      <c r="K207" s="2" t="s">
        <v>1400</v>
      </c>
      <c r="L207" s="2" t="s">
        <v>3603</v>
      </c>
      <c r="M207" s="2" t="s">
        <v>2974</v>
      </c>
      <c r="N207" s="2" t="s">
        <v>908</v>
      </c>
      <c r="O207" s="2" t="s">
        <v>2975</v>
      </c>
      <c r="P207" s="2" t="s">
        <v>2982</v>
      </c>
      <c r="Q207" s="2">
        <v>0</v>
      </c>
      <c r="R207" s="2">
        <v>37</v>
      </c>
      <c r="S207" s="2">
        <v>0</v>
      </c>
      <c r="T207" s="2">
        <v>0</v>
      </c>
      <c r="U207" s="2">
        <v>0</v>
      </c>
      <c r="V207" s="2">
        <v>0</v>
      </c>
      <c r="W207" s="2">
        <v>0</v>
      </c>
      <c r="X207" s="2">
        <v>0</v>
      </c>
      <c r="Y207" s="2">
        <v>0</v>
      </c>
      <c r="Z207" s="2">
        <v>0</v>
      </c>
      <c r="AA207" s="2">
        <v>37</v>
      </c>
      <c r="AB207" s="2" t="s">
        <v>3604</v>
      </c>
      <c r="AC207" s="2" t="s">
        <v>1083</v>
      </c>
      <c r="AD207" s="2"/>
    </row>
    <row r="208" s="1" customFormat="1" ht="11.25" spans="1:30">
      <c r="A208" s="2" t="s">
        <v>598</v>
      </c>
      <c r="B208" s="2" t="s">
        <v>2970</v>
      </c>
      <c r="C208" s="2" t="s">
        <v>3023</v>
      </c>
      <c r="D208" s="2" t="s">
        <v>813</v>
      </c>
      <c r="E208" s="2" t="s">
        <v>96</v>
      </c>
      <c r="F208" s="2" t="s">
        <v>97</v>
      </c>
      <c r="G208" s="2"/>
      <c r="H208" s="2" t="s">
        <v>2980</v>
      </c>
      <c r="I208" s="2"/>
      <c r="J208" s="2"/>
      <c r="K208" s="2" t="s">
        <v>597</v>
      </c>
      <c r="L208" s="2" t="s">
        <v>3605</v>
      </c>
      <c r="M208" s="2" t="s">
        <v>2974</v>
      </c>
      <c r="N208" s="2" t="s">
        <v>908</v>
      </c>
      <c r="O208" s="2" t="s">
        <v>2975</v>
      </c>
      <c r="P208" s="2" t="s">
        <v>3606</v>
      </c>
      <c r="Q208" s="2">
        <v>0.04</v>
      </c>
      <c r="R208" s="2">
        <v>37</v>
      </c>
      <c r="S208" s="2">
        <v>925</v>
      </c>
      <c r="T208" s="2">
        <v>0</v>
      </c>
      <c r="U208" s="2">
        <v>0</v>
      </c>
      <c r="V208" s="2">
        <v>0</v>
      </c>
      <c r="W208" s="2">
        <v>0</v>
      </c>
      <c r="X208" s="2">
        <v>0</v>
      </c>
      <c r="Y208" s="2">
        <v>0</v>
      </c>
      <c r="Z208" s="2">
        <v>0</v>
      </c>
      <c r="AA208" s="2">
        <v>37</v>
      </c>
      <c r="AB208" s="2" t="s">
        <v>3258</v>
      </c>
      <c r="AC208" s="2" t="s">
        <v>1083</v>
      </c>
      <c r="AD208" s="2" t="s">
        <v>3607</v>
      </c>
    </row>
    <row r="209" s="1" customFormat="1" ht="11.25" spans="1:30">
      <c r="A209" s="2" t="s">
        <v>380</v>
      </c>
      <c r="B209" s="2" t="s">
        <v>919</v>
      </c>
      <c r="C209" s="2" t="s">
        <v>3023</v>
      </c>
      <c r="D209" s="2" t="s">
        <v>813</v>
      </c>
      <c r="E209" s="2" t="s">
        <v>96</v>
      </c>
      <c r="F209" s="2" t="s">
        <v>115</v>
      </c>
      <c r="G209" s="2"/>
      <c r="H209" s="2" t="s">
        <v>2980</v>
      </c>
      <c r="I209" s="2"/>
      <c r="J209" s="2"/>
      <c r="K209" s="2" t="s">
        <v>1158</v>
      </c>
      <c r="L209" s="2" t="s">
        <v>3608</v>
      </c>
      <c r="M209" s="2" t="s">
        <v>2974</v>
      </c>
      <c r="N209" s="2" t="s">
        <v>908</v>
      </c>
      <c r="O209" s="2" t="s">
        <v>3125</v>
      </c>
      <c r="P209" s="2" t="s">
        <v>3609</v>
      </c>
      <c r="Q209" s="2">
        <v>0.19</v>
      </c>
      <c r="R209" s="2">
        <v>36</v>
      </c>
      <c r="S209" s="2">
        <v>189</v>
      </c>
      <c r="T209" s="2">
        <v>0</v>
      </c>
      <c r="U209" s="2">
        <v>0</v>
      </c>
      <c r="V209" s="2">
        <v>0</v>
      </c>
      <c r="W209" s="2">
        <v>0</v>
      </c>
      <c r="X209" s="2">
        <v>0</v>
      </c>
      <c r="Y209" s="2">
        <v>0</v>
      </c>
      <c r="Z209" s="2">
        <v>0</v>
      </c>
      <c r="AA209" s="2">
        <v>36</v>
      </c>
      <c r="AB209" s="2" t="s">
        <v>3229</v>
      </c>
      <c r="AC209" s="2" t="s">
        <v>3065</v>
      </c>
      <c r="AD209" s="2" t="s">
        <v>3610</v>
      </c>
    </row>
    <row r="210" s="1" customFormat="1" ht="11.25" spans="1:30">
      <c r="A210" s="2" t="s">
        <v>144</v>
      </c>
      <c r="B210" s="2" t="s">
        <v>919</v>
      </c>
      <c r="C210" s="2" t="s">
        <v>2979</v>
      </c>
      <c r="D210" s="2" t="s">
        <v>813</v>
      </c>
      <c r="E210" s="2" t="s">
        <v>108</v>
      </c>
      <c r="F210" s="2" t="s">
        <v>109</v>
      </c>
      <c r="G210" s="2"/>
      <c r="H210" s="2" t="s">
        <v>2980</v>
      </c>
      <c r="I210" s="2"/>
      <c r="J210" s="2"/>
      <c r="K210" s="2" t="s">
        <v>143</v>
      </c>
      <c r="L210" s="2" t="s">
        <v>3449</v>
      </c>
      <c r="M210" s="2" t="s">
        <v>2974</v>
      </c>
      <c r="N210" s="2" t="s">
        <v>908</v>
      </c>
      <c r="O210" s="2" t="s">
        <v>2975</v>
      </c>
      <c r="P210" s="2" t="s">
        <v>3611</v>
      </c>
      <c r="Q210" s="2">
        <v>2.07</v>
      </c>
      <c r="R210" s="2">
        <v>36</v>
      </c>
      <c r="S210" s="2">
        <v>17</v>
      </c>
      <c r="T210" s="2">
        <v>0</v>
      </c>
      <c r="U210" s="2">
        <v>0</v>
      </c>
      <c r="V210" s="2">
        <v>0</v>
      </c>
      <c r="W210" s="2">
        <v>0</v>
      </c>
      <c r="X210" s="2">
        <v>0</v>
      </c>
      <c r="Y210" s="2">
        <v>1</v>
      </c>
      <c r="Z210" s="2">
        <v>0</v>
      </c>
      <c r="AA210" s="2">
        <v>35</v>
      </c>
      <c r="AB210" s="2" t="s">
        <v>2997</v>
      </c>
      <c r="AC210" s="2" t="s">
        <v>3169</v>
      </c>
      <c r="AD210" s="2" t="s">
        <v>3451</v>
      </c>
    </row>
    <row r="211" s="1" customFormat="1" ht="11.25" spans="1:30">
      <c r="A211" s="2" t="s">
        <v>142</v>
      </c>
      <c r="B211" s="2" t="s">
        <v>919</v>
      </c>
      <c r="C211" s="2" t="s">
        <v>3004</v>
      </c>
      <c r="D211" s="2" t="s">
        <v>813</v>
      </c>
      <c r="E211" s="2" t="s">
        <v>108</v>
      </c>
      <c r="F211" s="2" t="s">
        <v>109</v>
      </c>
      <c r="G211" s="2"/>
      <c r="H211" s="2" t="s">
        <v>2980</v>
      </c>
      <c r="I211" s="2"/>
      <c r="J211" s="2"/>
      <c r="K211" s="2" t="s">
        <v>141</v>
      </c>
      <c r="L211" s="2" t="s">
        <v>3612</v>
      </c>
      <c r="M211" s="2" t="s">
        <v>2974</v>
      </c>
      <c r="N211" s="2" t="s">
        <v>908</v>
      </c>
      <c r="O211" s="2" t="s">
        <v>2975</v>
      </c>
      <c r="P211" s="2" t="s">
        <v>3613</v>
      </c>
      <c r="Q211" s="2">
        <v>3.37</v>
      </c>
      <c r="R211" s="2">
        <v>36</v>
      </c>
      <c r="S211" s="2">
        <v>11</v>
      </c>
      <c r="T211" s="2">
        <v>360</v>
      </c>
      <c r="U211" s="2">
        <v>0</v>
      </c>
      <c r="V211" s="2">
        <v>0</v>
      </c>
      <c r="W211" s="2">
        <v>0</v>
      </c>
      <c r="X211" s="2">
        <v>0</v>
      </c>
      <c r="Y211" s="2">
        <v>0</v>
      </c>
      <c r="Z211" s="2">
        <v>0</v>
      </c>
      <c r="AA211" s="2">
        <v>36</v>
      </c>
      <c r="AB211" s="2" t="s">
        <v>2993</v>
      </c>
      <c r="AC211" s="2" t="s">
        <v>3169</v>
      </c>
      <c r="AD211" s="2" t="s">
        <v>3614</v>
      </c>
    </row>
    <row r="212" s="1" customFormat="1" ht="11.25" spans="1:30">
      <c r="A212" s="2" t="s">
        <v>440</v>
      </c>
      <c r="B212" s="2" t="s">
        <v>919</v>
      </c>
      <c r="C212" s="2" t="s">
        <v>3023</v>
      </c>
      <c r="D212" s="2" t="s">
        <v>813</v>
      </c>
      <c r="E212" s="2" t="s">
        <v>108</v>
      </c>
      <c r="F212" s="2" t="s">
        <v>206</v>
      </c>
      <c r="G212" s="2"/>
      <c r="H212" s="2" t="s">
        <v>2980</v>
      </c>
      <c r="I212" s="2"/>
      <c r="J212" s="2"/>
      <c r="K212" s="2" t="s">
        <v>2622</v>
      </c>
      <c r="L212" s="2" t="s">
        <v>3615</v>
      </c>
      <c r="M212" s="2" t="s">
        <v>2974</v>
      </c>
      <c r="N212" s="2" t="s">
        <v>908</v>
      </c>
      <c r="O212" s="2" t="s">
        <v>3125</v>
      </c>
      <c r="P212" s="2" t="s">
        <v>3616</v>
      </c>
      <c r="Q212" s="2">
        <v>0.3</v>
      </c>
      <c r="R212" s="2">
        <v>35</v>
      </c>
      <c r="S212" s="2">
        <v>117</v>
      </c>
      <c r="T212" s="2">
        <v>0</v>
      </c>
      <c r="U212" s="2">
        <v>0</v>
      </c>
      <c r="V212" s="2">
        <v>0</v>
      </c>
      <c r="W212" s="2">
        <v>0</v>
      </c>
      <c r="X212" s="2">
        <v>0</v>
      </c>
      <c r="Y212" s="2">
        <v>0</v>
      </c>
      <c r="Z212" s="2">
        <v>0</v>
      </c>
      <c r="AA212" s="2">
        <v>35</v>
      </c>
      <c r="AB212" s="2" t="s">
        <v>2997</v>
      </c>
      <c r="AC212" s="2" t="s">
        <v>3516</v>
      </c>
      <c r="AD212" s="2" t="s">
        <v>3617</v>
      </c>
    </row>
    <row r="213" s="1" customFormat="1" ht="11.25" spans="1:30">
      <c r="A213" s="2" t="s">
        <v>467</v>
      </c>
      <c r="B213" s="2" t="s">
        <v>919</v>
      </c>
      <c r="C213" s="2" t="s">
        <v>3023</v>
      </c>
      <c r="D213" s="2" t="s">
        <v>813</v>
      </c>
      <c r="E213" s="2" t="s">
        <v>96</v>
      </c>
      <c r="F213" s="2" t="s">
        <v>115</v>
      </c>
      <c r="G213" s="2"/>
      <c r="H213" s="2" t="s">
        <v>2980</v>
      </c>
      <c r="I213" s="2"/>
      <c r="J213" s="2"/>
      <c r="K213" s="2" t="s">
        <v>466</v>
      </c>
      <c r="L213" s="2" t="s">
        <v>3618</v>
      </c>
      <c r="M213" s="2" t="s">
        <v>2974</v>
      </c>
      <c r="N213" s="2" t="s">
        <v>908</v>
      </c>
      <c r="O213" s="2" t="s">
        <v>2975</v>
      </c>
      <c r="P213" s="2" t="s">
        <v>3606</v>
      </c>
      <c r="Q213" s="2">
        <v>0.06</v>
      </c>
      <c r="R213" s="2">
        <v>35</v>
      </c>
      <c r="S213" s="2">
        <v>583</v>
      </c>
      <c r="T213" s="2">
        <v>0</v>
      </c>
      <c r="U213" s="2">
        <v>0</v>
      </c>
      <c r="V213" s="2">
        <v>0</v>
      </c>
      <c r="W213" s="2">
        <v>0</v>
      </c>
      <c r="X213" s="2">
        <v>0</v>
      </c>
      <c r="Y213" s="2">
        <v>0</v>
      </c>
      <c r="Z213" s="2">
        <v>0</v>
      </c>
      <c r="AA213" s="2">
        <v>35</v>
      </c>
      <c r="AB213" s="2" t="s">
        <v>3054</v>
      </c>
      <c r="AC213" s="2" t="s">
        <v>3619</v>
      </c>
      <c r="AD213" s="2" t="s">
        <v>3620</v>
      </c>
    </row>
    <row r="214" s="1" customFormat="1" ht="11.25" spans="1:30">
      <c r="A214" s="2" t="s">
        <v>506</v>
      </c>
      <c r="B214" s="2" t="s">
        <v>919</v>
      </c>
      <c r="C214" s="2" t="s">
        <v>2979</v>
      </c>
      <c r="D214" s="2" t="s">
        <v>813</v>
      </c>
      <c r="E214" s="2" t="s">
        <v>96</v>
      </c>
      <c r="F214" s="2" t="s">
        <v>115</v>
      </c>
      <c r="G214" s="2"/>
      <c r="H214" s="2" t="s">
        <v>2980</v>
      </c>
      <c r="I214" s="2"/>
      <c r="J214" s="2"/>
      <c r="K214" s="2" t="s">
        <v>505</v>
      </c>
      <c r="L214" s="2" t="s">
        <v>3621</v>
      </c>
      <c r="M214" s="2" t="s">
        <v>2974</v>
      </c>
      <c r="N214" s="2" t="s">
        <v>908</v>
      </c>
      <c r="O214" s="2" t="s">
        <v>2975</v>
      </c>
      <c r="P214" s="2" t="s">
        <v>3622</v>
      </c>
      <c r="Q214" s="2">
        <v>1.67</v>
      </c>
      <c r="R214" s="2">
        <v>35</v>
      </c>
      <c r="S214" s="2">
        <v>21</v>
      </c>
      <c r="T214" s="2">
        <v>108</v>
      </c>
      <c r="U214" s="2">
        <v>0</v>
      </c>
      <c r="V214" s="2">
        <v>0</v>
      </c>
      <c r="W214" s="2">
        <v>0</v>
      </c>
      <c r="X214" s="2">
        <v>0</v>
      </c>
      <c r="Y214" s="2">
        <v>0</v>
      </c>
      <c r="Z214" s="2">
        <v>0</v>
      </c>
      <c r="AA214" s="2">
        <v>35</v>
      </c>
      <c r="AB214" s="2" t="s">
        <v>2993</v>
      </c>
      <c r="AC214" s="2" t="s">
        <v>2997</v>
      </c>
      <c r="AD214" s="2" t="s">
        <v>3623</v>
      </c>
    </row>
    <row r="215" s="1" customFormat="1" ht="11.25" spans="1:30">
      <c r="A215" s="2" t="s">
        <v>364</v>
      </c>
      <c r="B215" s="2" t="s">
        <v>919</v>
      </c>
      <c r="C215" s="2" t="s">
        <v>3004</v>
      </c>
      <c r="D215" s="2" t="s">
        <v>813</v>
      </c>
      <c r="E215" s="2" t="s">
        <v>108</v>
      </c>
      <c r="F215" s="2" t="s">
        <v>109</v>
      </c>
      <c r="G215" s="2"/>
      <c r="H215" s="2" t="s">
        <v>2980</v>
      </c>
      <c r="I215" s="2"/>
      <c r="J215" s="2"/>
      <c r="K215" s="2" t="s">
        <v>363</v>
      </c>
      <c r="L215" s="2" t="s">
        <v>3624</v>
      </c>
      <c r="M215" s="2" t="s">
        <v>2974</v>
      </c>
      <c r="N215" s="2" t="s">
        <v>908</v>
      </c>
      <c r="O215" s="2" t="s">
        <v>2975</v>
      </c>
      <c r="P215" s="2" t="s">
        <v>3625</v>
      </c>
      <c r="Q215" s="2">
        <v>3.6</v>
      </c>
      <c r="R215" s="2">
        <v>34</v>
      </c>
      <c r="S215" s="2">
        <v>9</v>
      </c>
      <c r="T215" s="2">
        <v>280</v>
      </c>
      <c r="U215" s="2">
        <v>0</v>
      </c>
      <c r="V215" s="2">
        <v>0</v>
      </c>
      <c r="W215" s="2">
        <v>0</v>
      </c>
      <c r="X215" s="2">
        <v>0</v>
      </c>
      <c r="Y215" s="2">
        <v>0</v>
      </c>
      <c r="Z215" s="2">
        <v>0</v>
      </c>
      <c r="AA215" s="2">
        <v>34</v>
      </c>
      <c r="AB215" s="2" t="s">
        <v>2997</v>
      </c>
      <c r="AC215" s="2" t="s">
        <v>3054</v>
      </c>
      <c r="AD215" s="2" t="s">
        <v>3626</v>
      </c>
    </row>
    <row r="216" s="1" customFormat="1" ht="11.25" spans="1:30">
      <c r="A216" s="2" t="s">
        <v>456</v>
      </c>
      <c r="B216" s="2" t="s">
        <v>919</v>
      </c>
      <c r="C216" s="2" t="s">
        <v>3023</v>
      </c>
      <c r="D216" s="2" t="s">
        <v>813</v>
      </c>
      <c r="E216" s="2" t="s">
        <v>108</v>
      </c>
      <c r="F216" s="2" t="s">
        <v>146</v>
      </c>
      <c r="G216" s="2"/>
      <c r="H216" s="2" t="s">
        <v>2980</v>
      </c>
      <c r="I216" s="2"/>
      <c r="J216" s="2"/>
      <c r="K216" s="2" t="s">
        <v>455</v>
      </c>
      <c r="L216" s="2" t="s">
        <v>3627</v>
      </c>
      <c r="M216" s="2" t="s">
        <v>2974</v>
      </c>
      <c r="N216" s="2" t="s">
        <v>908</v>
      </c>
      <c r="O216" s="2" t="s">
        <v>2975</v>
      </c>
      <c r="P216" s="2" t="s">
        <v>3628</v>
      </c>
      <c r="Q216" s="2">
        <v>0.22</v>
      </c>
      <c r="R216" s="2">
        <v>34</v>
      </c>
      <c r="S216" s="2">
        <v>155</v>
      </c>
      <c r="T216" s="2">
        <v>0</v>
      </c>
      <c r="U216" s="2">
        <v>0</v>
      </c>
      <c r="V216" s="2">
        <v>0</v>
      </c>
      <c r="W216" s="2">
        <v>0</v>
      </c>
      <c r="X216" s="2">
        <v>0</v>
      </c>
      <c r="Y216" s="2">
        <v>0</v>
      </c>
      <c r="Z216" s="2">
        <v>0</v>
      </c>
      <c r="AA216" s="2">
        <v>34</v>
      </c>
      <c r="AB216" s="2" t="s">
        <v>3015</v>
      </c>
      <c r="AC216" s="2" t="s">
        <v>3483</v>
      </c>
      <c r="AD216" s="2" t="s">
        <v>3629</v>
      </c>
    </row>
    <row r="217" s="1" customFormat="1" ht="11.25" spans="1:30">
      <c r="A217" s="2" t="s">
        <v>659</v>
      </c>
      <c r="B217" s="2" t="s">
        <v>919</v>
      </c>
      <c r="C217" s="2" t="s">
        <v>2979</v>
      </c>
      <c r="D217" s="2" t="s">
        <v>813</v>
      </c>
      <c r="E217" s="2" t="s">
        <v>96</v>
      </c>
      <c r="F217" s="2" t="s">
        <v>127</v>
      </c>
      <c r="G217" s="2"/>
      <c r="H217" s="2" t="s">
        <v>2980</v>
      </c>
      <c r="I217" s="2"/>
      <c r="J217" s="2"/>
      <c r="K217" s="2" t="s">
        <v>658</v>
      </c>
      <c r="L217" s="2" t="s">
        <v>3630</v>
      </c>
      <c r="M217" s="2" t="s">
        <v>2974</v>
      </c>
      <c r="N217" s="2" t="s">
        <v>908</v>
      </c>
      <c r="O217" s="2" t="s">
        <v>2975</v>
      </c>
      <c r="P217" s="2" t="s">
        <v>3631</v>
      </c>
      <c r="Q217" s="2">
        <v>0.41</v>
      </c>
      <c r="R217" s="2">
        <v>34</v>
      </c>
      <c r="S217" s="2">
        <v>83</v>
      </c>
      <c r="T217" s="2">
        <v>40</v>
      </c>
      <c r="U217" s="2">
        <v>0</v>
      </c>
      <c r="V217" s="2">
        <v>0</v>
      </c>
      <c r="W217" s="2">
        <v>0</v>
      </c>
      <c r="X217" s="2">
        <v>0</v>
      </c>
      <c r="Y217" s="2">
        <v>0</v>
      </c>
      <c r="Z217" s="2">
        <v>0</v>
      </c>
      <c r="AA217" s="2">
        <v>34</v>
      </c>
      <c r="AB217" s="2" t="s">
        <v>3168</v>
      </c>
      <c r="AC217" s="2" t="s">
        <v>3219</v>
      </c>
      <c r="AD217" s="2" t="s">
        <v>3632</v>
      </c>
    </row>
    <row r="218" s="1" customFormat="1" ht="11.25" spans="1:30">
      <c r="A218" s="2" t="s">
        <v>836</v>
      </c>
      <c r="B218" s="2" t="s">
        <v>919</v>
      </c>
      <c r="C218" s="2" t="s">
        <v>2979</v>
      </c>
      <c r="D218" s="2" t="s">
        <v>813</v>
      </c>
      <c r="E218" s="2" t="s">
        <v>96</v>
      </c>
      <c r="F218" s="2" t="s">
        <v>2712</v>
      </c>
      <c r="G218" s="2"/>
      <c r="H218" s="2" t="s">
        <v>2980</v>
      </c>
      <c r="I218" s="2"/>
      <c r="J218" s="2"/>
      <c r="K218" s="2" t="s">
        <v>2710</v>
      </c>
      <c r="L218" s="2" t="s">
        <v>3633</v>
      </c>
      <c r="M218" s="2" t="s">
        <v>2974</v>
      </c>
      <c r="N218" s="2" t="s">
        <v>908</v>
      </c>
      <c r="O218" s="2" t="s">
        <v>3125</v>
      </c>
      <c r="P218" s="2" t="s">
        <v>3634</v>
      </c>
      <c r="Q218" s="2">
        <v>2.57</v>
      </c>
      <c r="R218" s="2">
        <v>33</v>
      </c>
      <c r="S218" s="2">
        <v>13</v>
      </c>
      <c r="T218" s="2">
        <v>100</v>
      </c>
      <c r="U218" s="2">
        <v>0</v>
      </c>
      <c r="V218" s="2">
        <v>0</v>
      </c>
      <c r="W218" s="2">
        <v>0</v>
      </c>
      <c r="X218" s="2">
        <v>0</v>
      </c>
      <c r="Y218" s="2">
        <v>0</v>
      </c>
      <c r="Z218" s="2">
        <v>0</v>
      </c>
      <c r="AA218" s="2">
        <v>33</v>
      </c>
      <c r="AB218" s="2" t="s">
        <v>2993</v>
      </c>
      <c r="AC218" s="2" t="s">
        <v>3269</v>
      </c>
      <c r="AD218" s="2" t="s">
        <v>3635</v>
      </c>
    </row>
    <row r="219" s="1" customFormat="1" ht="11.25" spans="1:30">
      <c r="A219" s="2" t="s">
        <v>463</v>
      </c>
      <c r="B219" s="2" t="s">
        <v>919</v>
      </c>
      <c r="C219" s="2" t="s">
        <v>3023</v>
      </c>
      <c r="D219" s="2" t="s">
        <v>813</v>
      </c>
      <c r="E219" s="2" t="s">
        <v>96</v>
      </c>
      <c r="F219" s="2" t="s">
        <v>2712</v>
      </c>
      <c r="G219" s="2"/>
      <c r="H219" s="2" t="s">
        <v>2980</v>
      </c>
      <c r="I219" s="2"/>
      <c r="J219" s="2"/>
      <c r="K219" s="2" t="s">
        <v>2718</v>
      </c>
      <c r="L219" s="2" t="s">
        <v>3636</v>
      </c>
      <c r="M219" s="2" t="s">
        <v>2974</v>
      </c>
      <c r="N219" s="2" t="s">
        <v>908</v>
      </c>
      <c r="O219" s="2" t="s">
        <v>3125</v>
      </c>
      <c r="P219" s="2" t="s">
        <v>3637</v>
      </c>
      <c r="Q219" s="2">
        <v>0.15</v>
      </c>
      <c r="R219" s="2">
        <v>33</v>
      </c>
      <c r="S219" s="2">
        <v>220</v>
      </c>
      <c r="T219" s="2">
        <v>0</v>
      </c>
      <c r="U219" s="2">
        <v>0</v>
      </c>
      <c r="V219" s="2">
        <v>0</v>
      </c>
      <c r="W219" s="2">
        <v>0</v>
      </c>
      <c r="X219" s="2">
        <v>0</v>
      </c>
      <c r="Y219" s="2">
        <v>0</v>
      </c>
      <c r="Z219" s="2">
        <v>0</v>
      </c>
      <c r="AA219" s="2">
        <v>33</v>
      </c>
      <c r="AB219" s="2" t="s">
        <v>3011</v>
      </c>
      <c r="AC219" s="2" t="s">
        <v>3269</v>
      </c>
      <c r="AD219" s="2" t="s">
        <v>3638</v>
      </c>
    </row>
    <row r="220" s="1" customFormat="1" ht="11.25" spans="1:30">
      <c r="A220" s="2" t="s">
        <v>201</v>
      </c>
      <c r="B220" s="2" t="s">
        <v>919</v>
      </c>
      <c r="C220" s="2" t="s">
        <v>2979</v>
      </c>
      <c r="D220" s="2" t="s">
        <v>813</v>
      </c>
      <c r="E220" s="2" t="s">
        <v>96</v>
      </c>
      <c r="F220" s="2" t="s">
        <v>127</v>
      </c>
      <c r="G220" s="2"/>
      <c r="H220" s="2" t="s">
        <v>2980</v>
      </c>
      <c r="I220" s="2"/>
      <c r="J220" s="2"/>
      <c r="K220" s="2" t="s">
        <v>200</v>
      </c>
      <c r="L220" s="2" t="s">
        <v>3639</v>
      </c>
      <c r="M220" s="2" t="s">
        <v>2974</v>
      </c>
      <c r="N220" s="2" t="s">
        <v>908</v>
      </c>
      <c r="O220" s="2" t="s">
        <v>2975</v>
      </c>
      <c r="P220" s="2" t="s">
        <v>3640</v>
      </c>
      <c r="Q220" s="2">
        <v>0.16</v>
      </c>
      <c r="R220" s="2">
        <v>33</v>
      </c>
      <c r="S220" s="2">
        <v>206</v>
      </c>
      <c r="T220" s="2">
        <v>0</v>
      </c>
      <c r="U220" s="2">
        <v>0</v>
      </c>
      <c r="V220" s="2">
        <v>0</v>
      </c>
      <c r="W220" s="2">
        <v>0</v>
      </c>
      <c r="X220" s="2">
        <v>0</v>
      </c>
      <c r="Y220" s="2">
        <v>0</v>
      </c>
      <c r="Z220" s="2">
        <v>0</v>
      </c>
      <c r="AA220" s="2">
        <v>33</v>
      </c>
      <c r="AB220" s="2" t="s">
        <v>3132</v>
      </c>
      <c r="AC220" s="2" t="s">
        <v>3229</v>
      </c>
      <c r="AD220" s="2" t="s">
        <v>3641</v>
      </c>
    </row>
    <row r="221" s="1" customFormat="1" ht="11.25" spans="1:30">
      <c r="A221" s="2" t="s">
        <v>692</v>
      </c>
      <c r="B221" s="2" t="s">
        <v>919</v>
      </c>
      <c r="C221" s="2" t="s">
        <v>3023</v>
      </c>
      <c r="D221" s="2" t="s">
        <v>813</v>
      </c>
      <c r="E221" s="2" t="s">
        <v>96</v>
      </c>
      <c r="F221" s="2" t="s">
        <v>115</v>
      </c>
      <c r="G221" s="2"/>
      <c r="H221" s="2" t="s">
        <v>2980</v>
      </c>
      <c r="I221" s="2"/>
      <c r="J221" s="2"/>
      <c r="K221" s="2" t="s">
        <v>691</v>
      </c>
      <c r="L221" s="2" t="s">
        <v>3642</v>
      </c>
      <c r="M221" s="2" t="s">
        <v>2974</v>
      </c>
      <c r="N221" s="2" t="s">
        <v>908</v>
      </c>
      <c r="O221" s="2" t="s">
        <v>2975</v>
      </c>
      <c r="P221" s="2" t="s">
        <v>3328</v>
      </c>
      <c r="Q221" s="2">
        <v>0.05</v>
      </c>
      <c r="R221" s="2">
        <v>33</v>
      </c>
      <c r="S221" s="2">
        <v>660</v>
      </c>
      <c r="T221" s="2">
        <v>0</v>
      </c>
      <c r="U221" s="2">
        <v>0</v>
      </c>
      <c r="V221" s="2">
        <v>0</v>
      </c>
      <c r="W221" s="2">
        <v>0</v>
      </c>
      <c r="X221" s="2">
        <v>0</v>
      </c>
      <c r="Y221" s="2">
        <v>0</v>
      </c>
      <c r="Z221" s="2">
        <v>0</v>
      </c>
      <c r="AA221" s="2">
        <v>33</v>
      </c>
      <c r="AB221" s="2" t="s">
        <v>3643</v>
      </c>
      <c r="AC221" s="2" t="s">
        <v>3566</v>
      </c>
      <c r="AD221" s="2" t="s">
        <v>3644</v>
      </c>
    </row>
    <row r="222" s="1" customFormat="1" ht="11.25" spans="1:30">
      <c r="A222" s="2" t="s">
        <v>558</v>
      </c>
      <c r="B222" s="2" t="s">
        <v>919</v>
      </c>
      <c r="C222" s="2" t="s">
        <v>3023</v>
      </c>
      <c r="D222" s="2" t="s">
        <v>813</v>
      </c>
      <c r="E222" s="2" t="s">
        <v>96</v>
      </c>
      <c r="F222" s="2" t="s">
        <v>115</v>
      </c>
      <c r="G222" s="2"/>
      <c r="H222" s="2" t="s">
        <v>2980</v>
      </c>
      <c r="I222" s="2"/>
      <c r="J222" s="2"/>
      <c r="K222" s="2" t="s">
        <v>557</v>
      </c>
      <c r="L222" s="2" t="s">
        <v>3645</v>
      </c>
      <c r="M222" s="2" t="s">
        <v>2974</v>
      </c>
      <c r="N222" s="2" t="s">
        <v>908</v>
      </c>
      <c r="O222" s="2" t="s">
        <v>2975</v>
      </c>
      <c r="P222" s="2" t="s">
        <v>3646</v>
      </c>
      <c r="Q222" s="2">
        <v>0.01</v>
      </c>
      <c r="R222" s="2">
        <v>32</v>
      </c>
      <c r="S222" s="2">
        <v>3200</v>
      </c>
      <c r="T222" s="2">
        <v>0</v>
      </c>
      <c r="U222" s="2">
        <v>0</v>
      </c>
      <c r="V222" s="2">
        <v>0</v>
      </c>
      <c r="W222" s="2">
        <v>0</v>
      </c>
      <c r="X222" s="2">
        <v>0</v>
      </c>
      <c r="Y222" s="2">
        <v>0</v>
      </c>
      <c r="Z222" s="2">
        <v>0</v>
      </c>
      <c r="AA222" s="2">
        <v>32</v>
      </c>
      <c r="AB222" s="2" t="s">
        <v>2667</v>
      </c>
      <c r="AC222" s="2" t="s">
        <v>3619</v>
      </c>
      <c r="AD222" s="2" t="s">
        <v>3647</v>
      </c>
    </row>
    <row r="223" s="1" customFormat="1" ht="11.25" spans="1:30">
      <c r="A223" s="2" t="s">
        <v>662</v>
      </c>
      <c r="B223" s="2" t="s">
        <v>919</v>
      </c>
      <c r="C223" s="2" t="s">
        <v>3023</v>
      </c>
      <c r="D223" s="2" t="s">
        <v>813</v>
      </c>
      <c r="E223" s="2" t="s">
        <v>108</v>
      </c>
      <c r="F223" s="2" t="s">
        <v>168</v>
      </c>
      <c r="G223" s="2"/>
      <c r="H223" s="2" t="s">
        <v>2980</v>
      </c>
      <c r="I223" s="2"/>
      <c r="J223" s="2"/>
      <c r="K223" s="2" t="s">
        <v>2530</v>
      </c>
      <c r="L223" s="2" t="s">
        <v>3648</v>
      </c>
      <c r="M223" s="2" t="s">
        <v>2974</v>
      </c>
      <c r="N223" s="2" t="s">
        <v>908</v>
      </c>
      <c r="O223" s="2" t="s">
        <v>3125</v>
      </c>
      <c r="P223" s="2" t="s">
        <v>3649</v>
      </c>
      <c r="Q223" s="2">
        <v>1.3</v>
      </c>
      <c r="R223" s="2">
        <v>31</v>
      </c>
      <c r="S223" s="2">
        <v>24</v>
      </c>
      <c r="T223" s="2">
        <v>90</v>
      </c>
      <c r="U223" s="2">
        <v>0</v>
      </c>
      <c r="V223" s="2">
        <v>0</v>
      </c>
      <c r="W223" s="2">
        <v>0</v>
      </c>
      <c r="X223" s="2">
        <v>0</v>
      </c>
      <c r="Y223" s="2">
        <v>0</v>
      </c>
      <c r="Z223" s="2">
        <v>0</v>
      </c>
      <c r="AA223" s="2">
        <v>31</v>
      </c>
      <c r="AB223" s="2" t="s">
        <v>2997</v>
      </c>
      <c r="AC223" s="2" t="s">
        <v>3345</v>
      </c>
      <c r="AD223" s="2" t="s">
        <v>3650</v>
      </c>
    </row>
    <row r="224" s="1" customFormat="1" ht="11.25" spans="1:30">
      <c r="A224" s="2" t="s">
        <v>838</v>
      </c>
      <c r="B224" s="2" t="s">
        <v>2970</v>
      </c>
      <c r="C224" s="2" t="s">
        <v>3023</v>
      </c>
      <c r="D224" s="2" t="s">
        <v>813</v>
      </c>
      <c r="E224" s="2" t="s">
        <v>96</v>
      </c>
      <c r="F224" s="2" t="s">
        <v>97</v>
      </c>
      <c r="G224" s="2"/>
      <c r="H224" s="2" t="s">
        <v>2980</v>
      </c>
      <c r="I224" s="2"/>
      <c r="J224" s="2"/>
      <c r="K224" s="2" t="s">
        <v>837</v>
      </c>
      <c r="L224" s="2" t="s">
        <v>3651</v>
      </c>
      <c r="M224" s="2" t="s">
        <v>2974</v>
      </c>
      <c r="N224" s="2" t="s">
        <v>908</v>
      </c>
      <c r="O224" s="2" t="s">
        <v>2975</v>
      </c>
      <c r="P224" s="2" t="s">
        <v>3652</v>
      </c>
      <c r="Q224" s="2">
        <v>0.49</v>
      </c>
      <c r="R224" s="2">
        <v>29</v>
      </c>
      <c r="S224" s="2">
        <v>59</v>
      </c>
      <c r="T224" s="2">
        <v>0</v>
      </c>
      <c r="U224" s="2">
        <v>0</v>
      </c>
      <c r="V224" s="2">
        <v>0</v>
      </c>
      <c r="W224" s="2">
        <v>0</v>
      </c>
      <c r="X224" s="2">
        <v>0</v>
      </c>
      <c r="Y224" s="2">
        <v>0</v>
      </c>
      <c r="Z224" s="2">
        <v>0</v>
      </c>
      <c r="AA224" s="2">
        <v>29</v>
      </c>
      <c r="AB224" s="2" t="s">
        <v>3011</v>
      </c>
      <c r="AC224" s="2" t="s">
        <v>3144</v>
      </c>
      <c r="AD224" s="2" t="s">
        <v>3653</v>
      </c>
    </row>
    <row r="225" s="1" customFormat="1" ht="11.25" spans="1:30">
      <c r="A225" s="2" t="s">
        <v>606</v>
      </c>
      <c r="B225" s="2" t="s">
        <v>919</v>
      </c>
      <c r="C225" s="2" t="s">
        <v>3023</v>
      </c>
      <c r="D225" s="2" t="s">
        <v>813</v>
      </c>
      <c r="E225" s="2" t="s">
        <v>96</v>
      </c>
      <c r="F225" s="2" t="s">
        <v>115</v>
      </c>
      <c r="G225" s="2"/>
      <c r="H225" s="2" t="s">
        <v>2980</v>
      </c>
      <c r="I225" s="2"/>
      <c r="J225" s="2"/>
      <c r="K225" s="2" t="s">
        <v>605</v>
      </c>
      <c r="L225" s="2" t="s">
        <v>3654</v>
      </c>
      <c r="M225" s="2" t="s">
        <v>2974</v>
      </c>
      <c r="N225" s="2" t="s">
        <v>908</v>
      </c>
      <c r="O225" s="2" t="s">
        <v>2975</v>
      </c>
      <c r="P225" s="2" t="s">
        <v>3655</v>
      </c>
      <c r="Q225" s="2">
        <v>0.09</v>
      </c>
      <c r="R225" s="2">
        <v>29</v>
      </c>
      <c r="S225" s="2">
        <v>322</v>
      </c>
      <c r="T225" s="2">
        <v>0</v>
      </c>
      <c r="U225" s="2">
        <v>0</v>
      </c>
      <c r="V225" s="2">
        <v>0</v>
      </c>
      <c r="W225" s="2">
        <v>0</v>
      </c>
      <c r="X225" s="2">
        <v>0</v>
      </c>
      <c r="Y225" s="2">
        <v>0</v>
      </c>
      <c r="Z225" s="2">
        <v>0</v>
      </c>
      <c r="AA225" s="2">
        <v>29</v>
      </c>
      <c r="AB225" s="2" t="s">
        <v>3119</v>
      </c>
      <c r="AC225" s="2" t="s">
        <v>3656</v>
      </c>
      <c r="AD225" s="2" t="s">
        <v>3657</v>
      </c>
    </row>
    <row r="226" s="1" customFormat="1" ht="11.25" spans="1:30">
      <c r="A226" s="2" t="s">
        <v>604</v>
      </c>
      <c r="B226" s="2" t="s">
        <v>919</v>
      </c>
      <c r="C226" s="2" t="s">
        <v>3023</v>
      </c>
      <c r="D226" s="2" t="s">
        <v>813</v>
      </c>
      <c r="E226" s="2" t="s">
        <v>108</v>
      </c>
      <c r="F226" s="2" t="s">
        <v>146</v>
      </c>
      <c r="G226" s="2"/>
      <c r="H226" s="2" t="s">
        <v>2980</v>
      </c>
      <c r="I226" s="2"/>
      <c r="J226" s="2"/>
      <c r="K226" s="2" t="s">
        <v>603</v>
      </c>
      <c r="L226" s="2" t="s">
        <v>3658</v>
      </c>
      <c r="M226" s="2" t="s">
        <v>2974</v>
      </c>
      <c r="N226" s="2" t="s">
        <v>908</v>
      </c>
      <c r="O226" s="2" t="s">
        <v>2975</v>
      </c>
      <c r="P226" s="2" t="s">
        <v>3659</v>
      </c>
      <c r="Q226" s="2">
        <v>0.23</v>
      </c>
      <c r="R226" s="2">
        <v>29</v>
      </c>
      <c r="S226" s="2">
        <v>126</v>
      </c>
      <c r="T226" s="2">
        <v>0</v>
      </c>
      <c r="U226" s="2">
        <v>0</v>
      </c>
      <c r="V226" s="2">
        <v>0</v>
      </c>
      <c r="W226" s="2">
        <v>0</v>
      </c>
      <c r="X226" s="2">
        <v>0</v>
      </c>
      <c r="Y226" s="2">
        <v>0</v>
      </c>
      <c r="Z226" s="2">
        <v>0</v>
      </c>
      <c r="AA226" s="2">
        <v>29</v>
      </c>
      <c r="AB226" s="2" t="s">
        <v>3119</v>
      </c>
      <c r="AC226" s="2" t="s">
        <v>3483</v>
      </c>
      <c r="AD226" s="2" t="s">
        <v>3660</v>
      </c>
    </row>
    <row r="227" s="1" customFormat="1" ht="11.25" spans="1:30">
      <c r="A227" s="2" t="s">
        <v>417</v>
      </c>
      <c r="B227" s="2" t="s">
        <v>919</v>
      </c>
      <c r="C227" s="2" t="s">
        <v>2979</v>
      </c>
      <c r="D227" s="2" t="s">
        <v>813</v>
      </c>
      <c r="E227" s="2" t="s">
        <v>96</v>
      </c>
      <c r="F227" s="2" t="s">
        <v>115</v>
      </c>
      <c r="G227" s="2"/>
      <c r="H227" s="2" t="s">
        <v>2980</v>
      </c>
      <c r="I227" s="2"/>
      <c r="J227" s="2"/>
      <c r="K227" s="2" t="s">
        <v>416</v>
      </c>
      <c r="L227" s="2" t="s">
        <v>3661</v>
      </c>
      <c r="M227" s="2" t="s">
        <v>2974</v>
      </c>
      <c r="N227" s="2" t="s">
        <v>908</v>
      </c>
      <c r="O227" s="2" t="s">
        <v>2975</v>
      </c>
      <c r="P227" s="2" t="s">
        <v>3662</v>
      </c>
      <c r="Q227" s="2">
        <v>0.67</v>
      </c>
      <c r="R227" s="2">
        <v>28</v>
      </c>
      <c r="S227" s="2">
        <v>42</v>
      </c>
      <c r="T227" s="2">
        <v>50</v>
      </c>
      <c r="U227" s="2">
        <v>0</v>
      </c>
      <c r="V227" s="2">
        <v>0</v>
      </c>
      <c r="W227" s="2">
        <v>0</v>
      </c>
      <c r="X227" s="2">
        <v>0</v>
      </c>
      <c r="Y227" s="2">
        <v>0</v>
      </c>
      <c r="Z227" s="2">
        <v>0</v>
      </c>
      <c r="AA227" s="2">
        <v>28</v>
      </c>
      <c r="AB227" s="2" t="s">
        <v>2997</v>
      </c>
      <c r="AC227" s="2" t="s">
        <v>3345</v>
      </c>
      <c r="AD227" s="2" t="s">
        <v>3663</v>
      </c>
    </row>
    <row r="228" s="1" customFormat="1" ht="11.25" spans="1:30">
      <c r="A228" s="2" t="s">
        <v>797</v>
      </c>
      <c r="B228" s="2" t="s">
        <v>919</v>
      </c>
      <c r="C228" s="2" t="s">
        <v>3023</v>
      </c>
      <c r="D228" s="2" t="s">
        <v>813</v>
      </c>
      <c r="E228" s="2" t="s">
        <v>96</v>
      </c>
      <c r="F228" s="2" t="s">
        <v>115</v>
      </c>
      <c r="G228" s="2"/>
      <c r="H228" s="2" t="s">
        <v>2980</v>
      </c>
      <c r="I228" s="2"/>
      <c r="J228" s="2"/>
      <c r="K228" s="2" t="s">
        <v>796</v>
      </c>
      <c r="L228" s="2" t="s">
        <v>3664</v>
      </c>
      <c r="M228" s="2" t="s">
        <v>2974</v>
      </c>
      <c r="N228" s="2" t="s">
        <v>908</v>
      </c>
      <c r="O228" s="2" t="s">
        <v>2975</v>
      </c>
      <c r="P228" s="2" t="s">
        <v>3665</v>
      </c>
      <c r="Q228" s="2">
        <v>0.48</v>
      </c>
      <c r="R228" s="2">
        <v>28</v>
      </c>
      <c r="S228" s="2">
        <v>58</v>
      </c>
      <c r="T228" s="2">
        <v>48</v>
      </c>
      <c r="U228" s="2">
        <v>0</v>
      </c>
      <c r="V228" s="2">
        <v>0</v>
      </c>
      <c r="W228" s="2">
        <v>0</v>
      </c>
      <c r="X228" s="2">
        <v>0</v>
      </c>
      <c r="Y228" s="2">
        <v>0</v>
      </c>
      <c r="Z228" s="2">
        <v>0</v>
      </c>
      <c r="AA228" s="2">
        <v>28</v>
      </c>
      <c r="AB228" s="2" t="s">
        <v>2997</v>
      </c>
      <c r="AC228" s="2" t="s">
        <v>3666</v>
      </c>
      <c r="AD228" s="2" t="s">
        <v>3667</v>
      </c>
    </row>
    <row r="229" s="1" customFormat="1" ht="11.25" spans="1:30">
      <c r="A229" s="2" t="s">
        <v>805</v>
      </c>
      <c r="B229" s="2" t="s">
        <v>919</v>
      </c>
      <c r="C229" s="2" t="s">
        <v>2979</v>
      </c>
      <c r="D229" s="2" t="s">
        <v>813</v>
      </c>
      <c r="E229" s="2" t="s">
        <v>96</v>
      </c>
      <c r="F229" s="2" t="s">
        <v>115</v>
      </c>
      <c r="G229" s="2"/>
      <c r="H229" s="2" t="s">
        <v>2980</v>
      </c>
      <c r="I229" s="2"/>
      <c r="J229" s="2"/>
      <c r="K229" s="2" t="s">
        <v>804</v>
      </c>
      <c r="L229" s="2" t="s">
        <v>3668</v>
      </c>
      <c r="M229" s="2" t="s">
        <v>2974</v>
      </c>
      <c r="N229" s="2" t="s">
        <v>908</v>
      </c>
      <c r="O229" s="2" t="s">
        <v>2975</v>
      </c>
      <c r="P229" s="2" t="s">
        <v>3669</v>
      </c>
      <c r="Q229" s="2">
        <v>0.37</v>
      </c>
      <c r="R229" s="2">
        <v>28</v>
      </c>
      <c r="S229" s="2">
        <v>76</v>
      </c>
      <c r="T229" s="2">
        <v>100</v>
      </c>
      <c r="U229" s="2">
        <v>0</v>
      </c>
      <c r="V229" s="2">
        <v>0</v>
      </c>
      <c r="W229" s="2">
        <v>0</v>
      </c>
      <c r="X229" s="2">
        <v>0</v>
      </c>
      <c r="Y229" s="2">
        <v>0</v>
      </c>
      <c r="Z229" s="2">
        <v>0</v>
      </c>
      <c r="AA229" s="2">
        <v>28</v>
      </c>
      <c r="AB229" s="2" t="s">
        <v>3054</v>
      </c>
      <c r="AC229" s="2" t="s">
        <v>3341</v>
      </c>
      <c r="AD229" s="2" t="s">
        <v>3670</v>
      </c>
    </row>
    <row r="230" s="1" customFormat="1" ht="11.25" spans="1:30">
      <c r="A230" s="2" t="s">
        <v>222</v>
      </c>
      <c r="B230" s="2" t="s">
        <v>919</v>
      </c>
      <c r="C230" s="2" t="s">
        <v>3004</v>
      </c>
      <c r="D230" s="2" t="s">
        <v>813</v>
      </c>
      <c r="E230" s="2" t="s">
        <v>96</v>
      </c>
      <c r="F230" s="2" t="s">
        <v>115</v>
      </c>
      <c r="G230" s="2"/>
      <c r="H230" s="2" t="s">
        <v>2980</v>
      </c>
      <c r="I230" s="2"/>
      <c r="J230" s="2"/>
      <c r="K230" s="2" t="s">
        <v>221</v>
      </c>
      <c r="L230" s="2" t="s">
        <v>3671</v>
      </c>
      <c r="M230" s="2" t="s">
        <v>2974</v>
      </c>
      <c r="N230" s="2" t="s">
        <v>908</v>
      </c>
      <c r="O230" s="2" t="s">
        <v>2975</v>
      </c>
      <c r="P230" s="2" t="s">
        <v>3672</v>
      </c>
      <c r="Q230" s="2">
        <v>1.86</v>
      </c>
      <c r="R230" s="2">
        <v>26</v>
      </c>
      <c r="S230" s="2">
        <v>14</v>
      </c>
      <c r="T230" s="2">
        <v>144</v>
      </c>
      <c r="U230" s="2">
        <v>0</v>
      </c>
      <c r="V230" s="2">
        <v>0</v>
      </c>
      <c r="W230" s="2">
        <v>0</v>
      </c>
      <c r="X230" s="2">
        <v>0</v>
      </c>
      <c r="Y230" s="2">
        <v>0</v>
      </c>
      <c r="Z230" s="2">
        <v>0</v>
      </c>
      <c r="AA230" s="2">
        <v>26</v>
      </c>
      <c r="AB230" s="2" t="s">
        <v>3011</v>
      </c>
      <c r="AC230" s="2" t="s">
        <v>3269</v>
      </c>
      <c r="AD230" s="2" t="s">
        <v>3673</v>
      </c>
    </row>
    <row r="231" s="1" customFormat="1" ht="11.25" spans="1:30">
      <c r="A231" s="2" t="s">
        <v>600</v>
      </c>
      <c r="B231" s="2" t="s">
        <v>919</v>
      </c>
      <c r="C231" s="2" t="s">
        <v>3023</v>
      </c>
      <c r="D231" s="2" t="s">
        <v>813</v>
      </c>
      <c r="E231" s="2" t="s">
        <v>96</v>
      </c>
      <c r="F231" s="2" t="s">
        <v>127</v>
      </c>
      <c r="G231" s="2"/>
      <c r="H231" s="2" t="s">
        <v>2980</v>
      </c>
      <c r="I231" s="2"/>
      <c r="J231" s="2"/>
      <c r="K231" s="2" t="s">
        <v>599</v>
      </c>
      <c r="L231" s="2" t="s">
        <v>3674</v>
      </c>
      <c r="M231" s="2" t="s">
        <v>2974</v>
      </c>
      <c r="N231" s="2" t="s">
        <v>908</v>
      </c>
      <c r="O231" s="2" t="s">
        <v>2975</v>
      </c>
      <c r="P231" s="2" t="s">
        <v>3675</v>
      </c>
      <c r="Q231" s="2">
        <v>0.96</v>
      </c>
      <c r="R231" s="2">
        <v>24</v>
      </c>
      <c r="S231" s="2">
        <v>25</v>
      </c>
      <c r="T231" s="2">
        <v>50</v>
      </c>
      <c r="U231" s="2">
        <v>0</v>
      </c>
      <c r="V231" s="2">
        <v>0</v>
      </c>
      <c r="W231" s="2">
        <v>0</v>
      </c>
      <c r="X231" s="2">
        <v>0</v>
      </c>
      <c r="Y231" s="2">
        <v>0</v>
      </c>
      <c r="Z231" s="2">
        <v>0</v>
      </c>
      <c r="AA231" s="2">
        <v>24</v>
      </c>
      <c r="AB231" s="2" t="s">
        <v>3229</v>
      </c>
      <c r="AC231" s="2" t="s">
        <v>3643</v>
      </c>
      <c r="AD231" s="2" t="s">
        <v>3676</v>
      </c>
    </row>
    <row r="232" s="1" customFormat="1" ht="11.25" spans="1:30">
      <c r="A232" s="2" t="s">
        <v>428</v>
      </c>
      <c r="B232" s="2" t="s">
        <v>919</v>
      </c>
      <c r="C232" s="2" t="s">
        <v>3023</v>
      </c>
      <c r="D232" s="2" t="s">
        <v>813</v>
      </c>
      <c r="E232" s="2" t="s">
        <v>96</v>
      </c>
      <c r="F232" s="2" t="s">
        <v>115</v>
      </c>
      <c r="G232" s="2"/>
      <c r="H232" s="2" t="s">
        <v>2980</v>
      </c>
      <c r="I232" s="2"/>
      <c r="J232" s="2"/>
      <c r="K232" s="2" t="s">
        <v>427</v>
      </c>
      <c r="L232" s="2" t="s">
        <v>3677</v>
      </c>
      <c r="M232" s="2" t="s">
        <v>2974</v>
      </c>
      <c r="N232" s="2" t="s">
        <v>908</v>
      </c>
      <c r="O232" s="2" t="s">
        <v>2975</v>
      </c>
      <c r="P232" s="2" t="s">
        <v>3678</v>
      </c>
      <c r="Q232" s="2">
        <v>0.26</v>
      </c>
      <c r="R232" s="2">
        <v>24</v>
      </c>
      <c r="S232" s="2">
        <v>92</v>
      </c>
      <c r="T232" s="2">
        <v>0</v>
      </c>
      <c r="U232" s="2">
        <v>0</v>
      </c>
      <c r="V232" s="2">
        <v>0</v>
      </c>
      <c r="W232" s="2">
        <v>0</v>
      </c>
      <c r="X232" s="2">
        <v>0</v>
      </c>
      <c r="Y232" s="2">
        <v>0</v>
      </c>
      <c r="Z232" s="2">
        <v>0</v>
      </c>
      <c r="AA232" s="2">
        <v>24</v>
      </c>
      <c r="AB232" s="2" t="s">
        <v>2997</v>
      </c>
      <c r="AC232" s="2" t="s">
        <v>3219</v>
      </c>
      <c r="AD232" s="2" t="s">
        <v>3679</v>
      </c>
    </row>
    <row r="233" s="1" customFormat="1" ht="11.25" spans="1:30">
      <c r="A233" s="2" t="s">
        <v>560</v>
      </c>
      <c r="B233" s="2" t="s">
        <v>919</v>
      </c>
      <c r="C233" s="2" t="s">
        <v>2979</v>
      </c>
      <c r="D233" s="2" t="s">
        <v>813</v>
      </c>
      <c r="E233" s="2" t="s">
        <v>96</v>
      </c>
      <c r="F233" s="2" t="s">
        <v>97</v>
      </c>
      <c r="G233" s="2"/>
      <c r="H233" s="2" t="s">
        <v>2980</v>
      </c>
      <c r="I233" s="2"/>
      <c r="J233" s="2"/>
      <c r="K233" s="2" t="s">
        <v>559</v>
      </c>
      <c r="L233" s="2" t="s">
        <v>3680</v>
      </c>
      <c r="M233" s="2" t="s">
        <v>2974</v>
      </c>
      <c r="N233" s="2" t="s">
        <v>908</v>
      </c>
      <c r="O233" s="2" t="s">
        <v>2975</v>
      </c>
      <c r="P233" s="2" t="s">
        <v>3681</v>
      </c>
      <c r="Q233" s="2">
        <v>0.2</v>
      </c>
      <c r="R233" s="2">
        <v>23</v>
      </c>
      <c r="S233" s="2">
        <v>115</v>
      </c>
      <c r="T233" s="2">
        <v>120</v>
      </c>
      <c r="U233" s="2">
        <v>0</v>
      </c>
      <c r="V233" s="2">
        <v>0</v>
      </c>
      <c r="W233" s="2">
        <v>0</v>
      </c>
      <c r="X233" s="2">
        <v>0</v>
      </c>
      <c r="Y233" s="2">
        <v>0</v>
      </c>
      <c r="Z233" s="2">
        <v>0</v>
      </c>
      <c r="AA233" s="2">
        <v>23</v>
      </c>
      <c r="AB233" s="2" t="s">
        <v>3119</v>
      </c>
      <c r="AC233" s="2" t="s">
        <v>3269</v>
      </c>
      <c r="AD233" s="2" t="s">
        <v>3682</v>
      </c>
    </row>
    <row r="234" s="1" customFormat="1" ht="11.25" spans="1:30">
      <c r="A234" s="2" t="s">
        <v>288</v>
      </c>
      <c r="B234" s="2" t="s">
        <v>919</v>
      </c>
      <c r="C234" s="2" t="s">
        <v>2979</v>
      </c>
      <c r="D234" s="2" t="s">
        <v>813</v>
      </c>
      <c r="E234" s="2" t="s">
        <v>96</v>
      </c>
      <c r="F234" s="2" t="s">
        <v>127</v>
      </c>
      <c r="G234" s="2"/>
      <c r="H234" s="2" t="s">
        <v>2980</v>
      </c>
      <c r="I234" s="2"/>
      <c r="J234" s="2"/>
      <c r="K234" s="2" t="s">
        <v>287</v>
      </c>
      <c r="L234" s="2" t="s">
        <v>3683</v>
      </c>
      <c r="M234" s="2" t="s">
        <v>2974</v>
      </c>
      <c r="N234" s="2" t="s">
        <v>908</v>
      </c>
      <c r="O234" s="2" t="s">
        <v>2975</v>
      </c>
      <c r="P234" s="2" t="s">
        <v>3684</v>
      </c>
      <c r="Q234" s="2">
        <v>0.3</v>
      </c>
      <c r="R234" s="2">
        <v>22</v>
      </c>
      <c r="S234" s="2">
        <v>73</v>
      </c>
      <c r="T234" s="2">
        <v>0</v>
      </c>
      <c r="U234" s="2">
        <v>0</v>
      </c>
      <c r="V234" s="2">
        <v>0</v>
      </c>
      <c r="W234" s="2">
        <v>0</v>
      </c>
      <c r="X234" s="2">
        <v>0</v>
      </c>
      <c r="Y234" s="2">
        <v>0</v>
      </c>
      <c r="Z234" s="2">
        <v>0</v>
      </c>
      <c r="AA234" s="2">
        <v>22</v>
      </c>
      <c r="AB234" s="2" t="s">
        <v>2997</v>
      </c>
      <c r="AC234" s="2" t="s">
        <v>1147</v>
      </c>
      <c r="AD234" s="2" t="s">
        <v>3685</v>
      </c>
    </row>
    <row r="235" s="1" customFormat="1" ht="11.25" spans="1:30">
      <c r="A235" s="2" t="s">
        <v>254</v>
      </c>
      <c r="B235" s="2" t="s">
        <v>919</v>
      </c>
      <c r="C235" s="2" t="s">
        <v>2979</v>
      </c>
      <c r="D235" s="2" t="s">
        <v>813</v>
      </c>
      <c r="E235" s="2" t="s">
        <v>108</v>
      </c>
      <c r="F235" s="2" t="s">
        <v>927</v>
      </c>
      <c r="G235" s="2"/>
      <c r="H235" s="2" t="s">
        <v>2980</v>
      </c>
      <c r="I235" s="2"/>
      <c r="J235" s="2"/>
      <c r="K235" s="2" t="s">
        <v>1994</v>
      </c>
      <c r="L235" s="2" t="s">
        <v>3686</v>
      </c>
      <c r="M235" s="2" t="s">
        <v>2974</v>
      </c>
      <c r="N235" s="2" t="s">
        <v>908</v>
      </c>
      <c r="O235" s="2" t="s">
        <v>2975</v>
      </c>
      <c r="P235" s="2" t="s">
        <v>3687</v>
      </c>
      <c r="Q235" s="2">
        <v>0.79</v>
      </c>
      <c r="R235" s="2">
        <v>22</v>
      </c>
      <c r="S235" s="2">
        <v>28</v>
      </c>
      <c r="T235" s="2">
        <v>60</v>
      </c>
      <c r="U235" s="2">
        <v>0</v>
      </c>
      <c r="V235" s="2">
        <v>0</v>
      </c>
      <c r="W235" s="2">
        <v>0</v>
      </c>
      <c r="X235" s="2">
        <v>0</v>
      </c>
      <c r="Y235" s="2">
        <v>0</v>
      </c>
      <c r="Z235" s="2">
        <v>0</v>
      </c>
      <c r="AA235" s="2">
        <v>22</v>
      </c>
      <c r="AB235" s="2" t="s">
        <v>2993</v>
      </c>
      <c r="AC235" s="2" t="s">
        <v>2993</v>
      </c>
      <c r="AD235" s="2" t="s">
        <v>3688</v>
      </c>
    </row>
    <row r="236" s="1" customFormat="1" ht="11.25" spans="1:30">
      <c r="A236" s="2" t="s">
        <v>684</v>
      </c>
      <c r="B236" s="2" t="s">
        <v>919</v>
      </c>
      <c r="C236" s="2" t="s">
        <v>3023</v>
      </c>
      <c r="D236" s="2" t="s">
        <v>813</v>
      </c>
      <c r="E236" s="2" t="s">
        <v>96</v>
      </c>
      <c r="F236" s="2" t="s">
        <v>115</v>
      </c>
      <c r="G236" s="2"/>
      <c r="H236" s="2" t="s">
        <v>2980</v>
      </c>
      <c r="I236" s="2"/>
      <c r="J236" s="2"/>
      <c r="K236" s="2" t="s">
        <v>683</v>
      </c>
      <c r="L236" s="2" t="s">
        <v>3689</v>
      </c>
      <c r="M236" s="2" t="s">
        <v>2974</v>
      </c>
      <c r="N236" s="2" t="s">
        <v>908</v>
      </c>
      <c r="O236" s="2" t="s">
        <v>2975</v>
      </c>
      <c r="P236" s="2" t="s">
        <v>3690</v>
      </c>
      <c r="Q236" s="2">
        <v>0.2</v>
      </c>
      <c r="R236" s="2">
        <v>22</v>
      </c>
      <c r="S236" s="2">
        <v>110</v>
      </c>
      <c r="T236" s="2">
        <v>0</v>
      </c>
      <c r="U236" s="2">
        <v>0</v>
      </c>
      <c r="V236" s="2">
        <v>0</v>
      </c>
      <c r="W236" s="2">
        <v>0</v>
      </c>
      <c r="X236" s="2">
        <v>0</v>
      </c>
      <c r="Y236" s="2">
        <v>0</v>
      </c>
      <c r="Z236" s="2">
        <v>0</v>
      </c>
      <c r="AA236" s="2">
        <v>22</v>
      </c>
      <c r="AB236" s="2" t="s">
        <v>3249</v>
      </c>
      <c r="AC236" s="2" t="s">
        <v>1345</v>
      </c>
      <c r="AD236" s="2" t="s">
        <v>3691</v>
      </c>
    </row>
    <row r="237" s="1" customFormat="1" ht="11.25" spans="1:30">
      <c r="A237" s="2" t="s">
        <v>1580</v>
      </c>
      <c r="B237" s="2" t="s">
        <v>2970</v>
      </c>
      <c r="C237" s="2" t="s">
        <v>3023</v>
      </c>
      <c r="D237" s="2" t="s">
        <v>813</v>
      </c>
      <c r="E237" s="2" t="s">
        <v>96</v>
      </c>
      <c r="F237" s="2" t="s">
        <v>186</v>
      </c>
      <c r="G237" s="2"/>
      <c r="H237" s="2" t="s">
        <v>2980</v>
      </c>
      <c r="I237" s="2"/>
      <c r="J237" s="2"/>
      <c r="K237" s="2" t="s">
        <v>396</v>
      </c>
      <c r="L237" s="2" t="s">
        <v>3099</v>
      </c>
      <c r="M237" s="2" t="s">
        <v>2974</v>
      </c>
      <c r="N237" s="2" t="s">
        <v>908</v>
      </c>
      <c r="O237" s="2" t="s">
        <v>2975</v>
      </c>
      <c r="P237" s="2" t="s">
        <v>3692</v>
      </c>
      <c r="Q237" s="2">
        <v>0.2</v>
      </c>
      <c r="R237" s="2">
        <v>20</v>
      </c>
      <c r="S237" s="2">
        <v>100</v>
      </c>
      <c r="T237" s="2">
        <v>0</v>
      </c>
      <c r="U237" s="2">
        <v>0</v>
      </c>
      <c r="V237" s="2">
        <v>0</v>
      </c>
      <c r="W237" s="2">
        <v>0</v>
      </c>
      <c r="X237" s="2">
        <v>0</v>
      </c>
      <c r="Y237" s="2">
        <v>0</v>
      </c>
      <c r="Z237" s="2">
        <v>0</v>
      </c>
      <c r="AA237" s="2">
        <v>20</v>
      </c>
      <c r="AB237" s="2" t="s">
        <v>3258</v>
      </c>
      <c r="AC237" s="2" t="s">
        <v>2997</v>
      </c>
      <c r="AD237" s="2" t="s">
        <v>3693</v>
      </c>
    </row>
    <row r="238" s="1" customFormat="1" ht="11.25" spans="1:30">
      <c r="A238" s="2" t="s">
        <v>590</v>
      </c>
      <c r="B238" s="2" t="s">
        <v>919</v>
      </c>
      <c r="C238" s="2" t="s">
        <v>3023</v>
      </c>
      <c r="D238" s="2" t="s">
        <v>813</v>
      </c>
      <c r="E238" s="2" t="s">
        <v>96</v>
      </c>
      <c r="F238" s="2" t="s">
        <v>97</v>
      </c>
      <c r="G238" s="2"/>
      <c r="H238" s="2" t="s">
        <v>2980</v>
      </c>
      <c r="I238" s="2"/>
      <c r="J238" s="2"/>
      <c r="K238" s="2" t="s">
        <v>589</v>
      </c>
      <c r="L238" s="2" t="s">
        <v>3694</v>
      </c>
      <c r="M238" s="2" t="s">
        <v>2974</v>
      </c>
      <c r="N238" s="2" t="s">
        <v>908</v>
      </c>
      <c r="O238" s="2" t="s">
        <v>2975</v>
      </c>
      <c r="P238" s="2" t="s">
        <v>2982</v>
      </c>
      <c r="Q238" s="2">
        <v>0</v>
      </c>
      <c r="R238" s="2">
        <v>20</v>
      </c>
      <c r="S238" s="2">
        <v>0</v>
      </c>
      <c r="T238" s="2">
        <v>0</v>
      </c>
      <c r="U238" s="2">
        <v>0</v>
      </c>
      <c r="V238" s="2">
        <v>0</v>
      </c>
      <c r="W238" s="2">
        <v>0</v>
      </c>
      <c r="X238" s="2">
        <v>0</v>
      </c>
      <c r="Y238" s="2">
        <v>0</v>
      </c>
      <c r="Z238" s="2">
        <v>0</v>
      </c>
      <c r="AA238" s="2">
        <v>20</v>
      </c>
      <c r="AB238" s="2" t="s">
        <v>3025</v>
      </c>
      <c r="AC238" s="2" t="s">
        <v>3325</v>
      </c>
      <c r="AD238" s="2" t="s">
        <v>3695</v>
      </c>
    </row>
    <row r="239" s="1" customFormat="1" ht="11.25" spans="1:30">
      <c r="A239" s="2" t="s">
        <v>817</v>
      </c>
      <c r="B239" s="2" t="s">
        <v>919</v>
      </c>
      <c r="C239" s="2" t="s">
        <v>3023</v>
      </c>
      <c r="D239" s="2" t="s">
        <v>813</v>
      </c>
      <c r="E239" s="2" t="s">
        <v>96</v>
      </c>
      <c r="F239" s="2" t="s">
        <v>97</v>
      </c>
      <c r="G239" s="2"/>
      <c r="H239" s="2" t="s">
        <v>2980</v>
      </c>
      <c r="I239" s="2"/>
      <c r="J239" s="2"/>
      <c r="K239" s="2" t="s">
        <v>816</v>
      </c>
      <c r="L239" s="2" t="s">
        <v>3696</v>
      </c>
      <c r="M239" s="2" t="s">
        <v>2974</v>
      </c>
      <c r="N239" s="2" t="s">
        <v>908</v>
      </c>
      <c r="O239" s="2" t="s">
        <v>2975</v>
      </c>
      <c r="P239" s="2" t="s">
        <v>3697</v>
      </c>
      <c r="Q239" s="2">
        <v>0.44</v>
      </c>
      <c r="R239" s="2">
        <v>20</v>
      </c>
      <c r="S239" s="2">
        <v>45</v>
      </c>
      <c r="T239" s="2">
        <v>0</v>
      </c>
      <c r="U239" s="2">
        <v>0</v>
      </c>
      <c r="V239" s="2">
        <v>0</v>
      </c>
      <c r="W239" s="2">
        <v>0</v>
      </c>
      <c r="X239" s="2">
        <v>0</v>
      </c>
      <c r="Y239" s="2">
        <v>0</v>
      </c>
      <c r="Z239" s="2">
        <v>0</v>
      </c>
      <c r="AA239" s="2">
        <v>20</v>
      </c>
      <c r="AB239" s="2" t="s">
        <v>2993</v>
      </c>
      <c r="AC239" s="2" t="s">
        <v>3054</v>
      </c>
      <c r="AD239" s="2" t="s">
        <v>3698</v>
      </c>
    </row>
    <row r="240" s="1" customFormat="1" ht="11.25" spans="1:30">
      <c r="A240" s="2" t="s">
        <v>1404</v>
      </c>
      <c r="B240" s="2" t="s">
        <v>2970</v>
      </c>
      <c r="C240" s="2" t="s">
        <v>3023</v>
      </c>
      <c r="D240" s="2" t="s">
        <v>813</v>
      </c>
      <c r="E240" s="2" t="s">
        <v>108</v>
      </c>
      <c r="F240" s="2" t="s">
        <v>168</v>
      </c>
      <c r="G240" s="2"/>
      <c r="H240" s="2" t="s">
        <v>2980</v>
      </c>
      <c r="I240" s="2"/>
      <c r="J240" s="2"/>
      <c r="K240" s="2" t="s">
        <v>1405</v>
      </c>
      <c r="L240" s="2" t="s">
        <v>3140</v>
      </c>
      <c r="M240" s="2" t="s">
        <v>2974</v>
      </c>
      <c r="N240" s="2" t="s">
        <v>908</v>
      </c>
      <c r="O240" s="2" t="s">
        <v>2975</v>
      </c>
      <c r="P240" s="2" t="s">
        <v>2982</v>
      </c>
      <c r="Q240" s="2">
        <v>0</v>
      </c>
      <c r="R240" s="2">
        <v>17</v>
      </c>
      <c r="S240" s="2">
        <v>0</v>
      </c>
      <c r="T240" s="2">
        <v>0</v>
      </c>
      <c r="U240" s="2">
        <v>0</v>
      </c>
      <c r="V240" s="2">
        <v>0</v>
      </c>
      <c r="W240" s="2">
        <v>0</v>
      </c>
      <c r="X240" s="2">
        <v>0</v>
      </c>
      <c r="Y240" s="2">
        <v>0</v>
      </c>
      <c r="Z240" s="2">
        <v>0</v>
      </c>
      <c r="AA240" s="2">
        <v>17</v>
      </c>
      <c r="AB240" s="2" t="s">
        <v>3656</v>
      </c>
      <c r="AC240" s="2" t="s">
        <v>1083</v>
      </c>
      <c r="AD240" s="2"/>
    </row>
    <row r="241" s="1" customFormat="1" ht="11.25" spans="1:30">
      <c r="A241" s="2" t="s">
        <v>210</v>
      </c>
      <c r="B241" s="2" t="s">
        <v>919</v>
      </c>
      <c r="C241" s="2" t="s">
        <v>2979</v>
      </c>
      <c r="D241" s="2" t="s">
        <v>813</v>
      </c>
      <c r="E241" s="2" t="s">
        <v>96</v>
      </c>
      <c r="F241" s="2" t="s">
        <v>115</v>
      </c>
      <c r="G241" s="2"/>
      <c r="H241" s="2" t="s">
        <v>2980</v>
      </c>
      <c r="I241" s="2"/>
      <c r="J241" s="2"/>
      <c r="K241" s="2" t="s">
        <v>209</v>
      </c>
      <c r="L241" s="2" t="s">
        <v>3699</v>
      </c>
      <c r="M241" s="2" t="s">
        <v>2974</v>
      </c>
      <c r="N241" s="2" t="s">
        <v>908</v>
      </c>
      <c r="O241" s="2" t="s">
        <v>2975</v>
      </c>
      <c r="P241" s="2" t="s">
        <v>3700</v>
      </c>
      <c r="Q241" s="2">
        <v>0.29</v>
      </c>
      <c r="R241" s="2">
        <v>17</v>
      </c>
      <c r="S241" s="2">
        <v>59</v>
      </c>
      <c r="T241" s="2">
        <v>0</v>
      </c>
      <c r="U241" s="2">
        <v>0</v>
      </c>
      <c r="V241" s="2">
        <v>0</v>
      </c>
      <c r="W241" s="2">
        <v>0</v>
      </c>
      <c r="X241" s="2">
        <v>0</v>
      </c>
      <c r="Y241" s="2">
        <v>0</v>
      </c>
      <c r="Z241" s="2">
        <v>0</v>
      </c>
      <c r="AA241" s="2">
        <v>17</v>
      </c>
      <c r="AB241" s="2" t="s">
        <v>3015</v>
      </c>
      <c r="AC241" s="2" t="s">
        <v>3219</v>
      </c>
      <c r="AD241" s="2" t="s">
        <v>3701</v>
      </c>
    </row>
    <row r="242" s="1" customFormat="1" ht="11.25" spans="1:30">
      <c r="A242" s="2" t="s">
        <v>623</v>
      </c>
      <c r="B242" s="2" t="s">
        <v>919</v>
      </c>
      <c r="C242" s="2" t="s">
        <v>2979</v>
      </c>
      <c r="D242" s="2" t="s">
        <v>813</v>
      </c>
      <c r="E242" s="2" t="s">
        <v>96</v>
      </c>
      <c r="F242" s="2" t="s">
        <v>127</v>
      </c>
      <c r="G242" s="2"/>
      <c r="H242" s="2" t="s">
        <v>2980</v>
      </c>
      <c r="I242" s="2"/>
      <c r="J242" s="2"/>
      <c r="K242" s="2" t="s">
        <v>622</v>
      </c>
      <c r="L242" s="2" t="s">
        <v>3702</v>
      </c>
      <c r="M242" s="2" t="s">
        <v>2974</v>
      </c>
      <c r="N242" s="2" t="s">
        <v>908</v>
      </c>
      <c r="O242" s="2" t="s">
        <v>2975</v>
      </c>
      <c r="P242" s="2" t="s">
        <v>3703</v>
      </c>
      <c r="Q242" s="2">
        <v>0.87</v>
      </c>
      <c r="R242" s="2">
        <v>17</v>
      </c>
      <c r="S242" s="2">
        <v>20</v>
      </c>
      <c r="T242" s="2">
        <v>80</v>
      </c>
      <c r="U242" s="2">
        <v>0</v>
      </c>
      <c r="V242" s="2">
        <v>0</v>
      </c>
      <c r="W242" s="2">
        <v>0</v>
      </c>
      <c r="X242" s="2">
        <v>0</v>
      </c>
      <c r="Y242" s="2">
        <v>0</v>
      </c>
      <c r="Z242" s="2">
        <v>0</v>
      </c>
      <c r="AA242" s="2">
        <v>17</v>
      </c>
      <c r="AB242" s="2" t="s">
        <v>2997</v>
      </c>
      <c r="AC242" s="2" t="s">
        <v>3360</v>
      </c>
      <c r="AD242" s="2" t="s">
        <v>3632</v>
      </c>
    </row>
    <row r="243" s="1" customFormat="1" ht="11.25" spans="1:30">
      <c r="A243" s="2" t="s">
        <v>592</v>
      </c>
      <c r="B243" s="2" t="s">
        <v>919</v>
      </c>
      <c r="C243" s="2" t="s">
        <v>3023</v>
      </c>
      <c r="D243" s="2" t="s">
        <v>813</v>
      </c>
      <c r="E243" s="2" t="s">
        <v>108</v>
      </c>
      <c r="F243" s="2" t="s">
        <v>146</v>
      </c>
      <c r="G243" s="2"/>
      <c r="H243" s="2" t="s">
        <v>2980</v>
      </c>
      <c r="I243" s="2"/>
      <c r="J243" s="2"/>
      <c r="K243" s="2" t="s">
        <v>591</v>
      </c>
      <c r="L243" s="2" t="s">
        <v>3704</v>
      </c>
      <c r="M243" s="2" t="s">
        <v>2974</v>
      </c>
      <c r="N243" s="2" t="s">
        <v>908</v>
      </c>
      <c r="O243" s="2" t="s">
        <v>2975</v>
      </c>
      <c r="P243" s="2" t="s">
        <v>3392</v>
      </c>
      <c r="Q243" s="2">
        <v>0.06</v>
      </c>
      <c r="R243" s="2">
        <v>16</v>
      </c>
      <c r="S243" s="2">
        <v>267</v>
      </c>
      <c r="T243" s="2">
        <v>0</v>
      </c>
      <c r="U243" s="2">
        <v>0</v>
      </c>
      <c r="V243" s="2">
        <v>0</v>
      </c>
      <c r="W243" s="2">
        <v>0</v>
      </c>
      <c r="X243" s="2">
        <v>0</v>
      </c>
      <c r="Y243" s="2">
        <v>0</v>
      </c>
      <c r="Z243" s="2">
        <v>0</v>
      </c>
      <c r="AA243" s="2">
        <v>16</v>
      </c>
      <c r="AB243" s="2" t="s">
        <v>3015</v>
      </c>
      <c r="AC243" s="2" t="s">
        <v>3705</v>
      </c>
      <c r="AD243" s="2" t="s">
        <v>3706</v>
      </c>
    </row>
    <row r="244" s="1" customFormat="1" ht="11.25" spans="1:30">
      <c r="A244" s="2" t="s">
        <v>517</v>
      </c>
      <c r="B244" s="2" t="s">
        <v>919</v>
      </c>
      <c r="C244" s="2" t="s">
        <v>2979</v>
      </c>
      <c r="D244" s="2" t="s">
        <v>813</v>
      </c>
      <c r="E244" s="2" t="s">
        <v>96</v>
      </c>
      <c r="F244" s="2" t="s">
        <v>115</v>
      </c>
      <c r="G244" s="2"/>
      <c r="H244" s="2" t="s">
        <v>2980</v>
      </c>
      <c r="I244" s="2"/>
      <c r="J244" s="2"/>
      <c r="K244" s="2" t="s">
        <v>382</v>
      </c>
      <c r="L244" s="2" t="s">
        <v>3152</v>
      </c>
      <c r="M244" s="2" t="s">
        <v>2974</v>
      </c>
      <c r="N244" s="2" t="s">
        <v>908</v>
      </c>
      <c r="O244" s="2" t="s">
        <v>3125</v>
      </c>
      <c r="P244" s="2" t="s">
        <v>3707</v>
      </c>
      <c r="Q244" s="2">
        <v>0.51</v>
      </c>
      <c r="R244" s="2">
        <v>15</v>
      </c>
      <c r="S244" s="2">
        <v>29</v>
      </c>
      <c r="T244" s="2">
        <v>200</v>
      </c>
      <c r="U244" s="2">
        <v>0</v>
      </c>
      <c r="V244" s="2">
        <v>0</v>
      </c>
      <c r="W244" s="2">
        <v>0</v>
      </c>
      <c r="X244" s="2">
        <v>0</v>
      </c>
      <c r="Y244" s="2">
        <v>0</v>
      </c>
      <c r="Z244" s="2">
        <v>0</v>
      </c>
      <c r="AA244" s="2">
        <v>15</v>
      </c>
      <c r="AB244" s="2" t="s">
        <v>2993</v>
      </c>
      <c r="AC244" s="2" t="s">
        <v>3169</v>
      </c>
      <c r="AD244" s="2" t="s">
        <v>3012</v>
      </c>
    </row>
    <row r="245" s="1" customFormat="1" ht="11.25" spans="1:30">
      <c r="A245" s="2" t="s">
        <v>277</v>
      </c>
      <c r="B245" s="2" t="s">
        <v>919</v>
      </c>
      <c r="C245" s="2" t="s">
        <v>3008</v>
      </c>
      <c r="D245" s="2" t="s">
        <v>813</v>
      </c>
      <c r="E245" s="2" t="s">
        <v>108</v>
      </c>
      <c r="F245" s="2" t="s">
        <v>109</v>
      </c>
      <c r="G245" s="2"/>
      <c r="H245" s="2" t="s">
        <v>2980</v>
      </c>
      <c r="I245" s="2"/>
      <c r="J245" s="2"/>
      <c r="K245" s="2" t="s">
        <v>276</v>
      </c>
      <c r="L245" s="2" t="s">
        <v>3708</v>
      </c>
      <c r="M245" s="2" t="s">
        <v>2974</v>
      </c>
      <c r="N245" s="2" t="s">
        <v>908</v>
      </c>
      <c r="O245" s="2" t="s">
        <v>2975</v>
      </c>
      <c r="P245" s="2" t="s">
        <v>3709</v>
      </c>
      <c r="Q245" s="2">
        <v>12.96</v>
      </c>
      <c r="R245" s="2">
        <v>15</v>
      </c>
      <c r="S245" s="2">
        <v>1</v>
      </c>
      <c r="T245" s="2">
        <v>1320</v>
      </c>
      <c r="U245" s="2">
        <v>0</v>
      </c>
      <c r="V245" s="2">
        <v>0</v>
      </c>
      <c r="W245" s="2">
        <v>0</v>
      </c>
      <c r="X245" s="2">
        <v>0</v>
      </c>
      <c r="Y245" s="2">
        <v>3</v>
      </c>
      <c r="Z245" s="2">
        <v>0</v>
      </c>
      <c r="AA245" s="2">
        <v>12</v>
      </c>
      <c r="AB245" s="2" t="s">
        <v>2997</v>
      </c>
      <c r="AC245" s="2" t="s">
        <v>2997</v>
      </c>
      <c r="AD245" s="2" t="s">
        <v>3710</v>
      </c>
    </row>
    <row r="246" s="1" customFormat="1" ht="11.25" spans="1:30">
      <c r="A246" s="2" t="s">
        <v>153</v>
      </c>
      <c r="B246" s="2" t="s">
        <v>2970</v>
      </c>
      <c r="C246" s="2" t="s">
        <v>3023</v>
      </c>
      <c r="D246" s="2" t="s">
        <v>813</v>
      </c>
      <c r="E246" s="2" t="s">
        <v>96</v>
      </c>
      <c r="F246" s="2" t="s">
        <v>97</v>
      </c>
      <c r="G246" s="2"/>
      <c r="H246" s="2" t="s">
        <v>2980</v>
      </c>
      <c r="I246" s="2"/>
      <c r="J246" s="2"/>
      <c r="K246" s="2" t="s">
        <v>152</v>
      </c>
      <c r="L246" s="2" t="s">
        <v>3711</v>
      </c>
      <c r="M246" s="2" t="s">
        <v>2974</v>
      </c>
      <c r="N246" s="2" t="s">
        <v>908</v>
      </c>
      <c r="O246" s="2" t="s">
        <v>2975</v>
      </c>
      <c r="P246" s="2" t="s">
        <v>3712</v>
      </c>
      <c r="Q246" s="2">
        <v>0.43</v>
      </c>
      <c r="R246" s="2">
        <v>14</v>
      </c>
      <c r="S246" s="2">
        <v>33</v>
      </c>
      <c r="T246" s="2">
        <v>0</v>
      </c>
      <c r="U246" s="2">
        <v>0</v>
      </c>
      <c r="V246" s="2">
        <v>0</v>
      </c>
      <c r="W246" s="2">
        <v>0</v>
      </c>
      <c r="X246" s="2">
        <v>0</v>
      </c>
      <c r="Y246" s="2">
        <v>0</v>
      </c>
      <c r="Z246" s="2">
        <v>0</v>
      </c>
      <c r="AA246" s="2">
        <v>14</v>
      </c>
      <c r="AB246" s="2" t="s">
        <v>2997</v>
      </c>
      <c r="AC246" s="2" t="s">
        <v>3054</v>
      </c>
      <c r="AD246" s="2" t="s">
        <v>3713</v>
      </c>
    </row>
    <row r="247" s="1" customFormat="1" ht="11.25" spans="1:30">
      <c r="A247" s="2" t="s">
        <v>479</v>
      </c>
      <c r="B247" s="2" t="s">
        <v>919</v>
      </c>
      <c r="C247" s="2" t="s">
        <v>2979</v>
      </c>
      <c r="D247" s="2" t="s">
        <v>813</v>
      </c>
      <c r="E247" s="2" t="s">
        <v>96</v>
      </c>
      <c r="F247" s="2" t="s">
        <v>115</v>
      </c>
      <c r="G247" s="2"/>
      <c r="H247" s="2" t="s">
        <v>2980</v>
      </c>
      <c r="I247" s="2"/>
      <c r="J247" s="2"/>
      <c r="K247" s="2" t="s">
        <v>478</v>
      </c>
      <c r="L247" s="2" t="s">
        <v>3714</v>
      </c>
      <c r="M247" s="2" t="s">
        <v>2974</v>
      </c>
      <c r="N247" s="2" t="s">
        <v>908</v>
      </c>
      <c r="O247" s="2" t="s">
        <v>2975</v>
      </c>
      <c r="P247" s="2" t="s">
        <v>3715</v>
      </c>
      <c r="Q247" s="2">
        <v>0.42</v>
      </c>
      <c r="R247" s="2">
        <v>14</v>
      </c>
      <c r="S247" s="2">
        <v>33</v>
      </c>
      <c r="T247" s="2">
        <v>100</v>
      </c>
      <c r="U247" s="2">
        <v>0</v>
      </c>
      <c r="V247" s="2">
        <v>0</v>
      </c>
      <c r="W247" s="2">
        <v>0</v>
      </c>
      <c r="X247" s="2">
        <v>0</v>
      </c>
      <c r="Y247" s="2">
        <v>0</v>
      </c>
      <c r="Z247" s="2">
        <v>0</v>
      </c>
      <c r="AA247" s="2">
        <v>14</v>
      </c>
      <c r="AB247" s="2" t="s">
        <v>3011</v>
      </c>
      <c r="AC247" s="2" t="s">
        <v>3341</v>
      </c>
      <c r="AD247" s="2" t="s">
        <v>3670</v>
      </c>
    </row>
    <row r="248" s="1" customFormat="1" ht="11.25" spans="1:30">
      <c r="A248" s="2" t="s">
        <v>289</v>
      </c>
      <c r="B248" s="2" t="s">
        <v>919</v>
      </c>
      <c r="C248" s="2" t="s">
        <v>3023</v>
      </c>
      <c r="D248" s="2" t="s">
        <v>813</v>
      </c>
      <c r="E248" s="2" t="s">
        <v>108</v>
      </c>
      <c r="F248" s="2" t="s">
        <v>927</v>
      </c>
      <c r="G248" s="2"/>
      <c r="H248" s="2" t="s">
        <v>2980</v>
      </c>
      <c r="I248" s="2"/>
      <c r="J248" s="2"/>
      <c r="K248" s="2" t="s">
        <v>999</v>
      </c>
      <c r="L248" s="2" t="s">
        <v>3716</v>
      </c>
      <c r="M248" s="2" t="s">
        <v>2974</v>
      </c>
      <c r="N248" s="2" t="s">
        <v>908</v>
      </c>
      <c r="O248" s="2" t="s">
        <v>2975</v>
      </c>
      <c r="P248" s="2" t="s">
        <v>3717</v>
      </c>
      <c r="Q248" s="2">
        <v>0.41</v>
      </c>
      <c r="R248" s="2">
        <v>13</v>
      </c>
      <c r="S248" s="2">
        <v>32</v>
      </c>
      <c r="T248" s="2">
        <v>90</v>
      </c>
      <c r="U248" s="2">
        <v>0</v>
      </c>
      <c r="V248" s="2">
        <v>0</v>
      </c>
      <c r="W248" s="2">
        <v>0</v>
      </c>
      <c r="X248" s="2">
        <v>0</v>
      </c>
      <c r="Y248" s="2">
        <v>1</v>
      </c>
      <c r="Z248" s="2">
        <v>0</v>
      </c>
      <c r="AA248" s="2">
        <v>12</v>
      </c>
      <c r="AB248" s="2" t="s">
        <v>3168</v>
      </c>
      <c r="AC248" s="2" t="s">
        <v>3282</v>
      </c>
      <c r="AD248" s="2" t="s">
        <v>3718</v>
      </c>
    </row>
    <row r="249" s="1" customFormat="1" ht="11.25" spans="1:30">
      <c r="A249" s="2" t="s">
        <v>165</v>
      </c>
      <c r="B249" s="2" t="s">
        <v>919</v>
      </c>
      <c r="C249" s="2" t="s">
        <v>2979</v>
      </c>
      <c r="D249" s="2" t="s">
        <v>813</v>
      </c>
      <c r="E249" s="2" t="s">
        <v>108</v>
      </c>
      <c r="F249" s="2" t="s">
        <v>109</v>
      </c>
      <c r="G249" s="2"/>
      <c r="H249" s="2" t="s">
        <v>2980</v>
      </c>
      <c r="I249" s="2"/>
      <c r="J249" s="2"/>
      <c r="K249" s="2" t="s">
        <v>164</v>
      </c>
      <c r="L249" s="2" t="s">
        <v>3719</v>
      </c>
      <c r="M249" s="2" t="s">
        <v>2974</v>
      </c>
      <c r="N249" s="2" t="s">
        <v>908</v>
      </c>
      <c r="O249" s="2" t="s">
        <v>2975</v>
      </c>
      <c r="P249" s="2" t="s">
        <v>3720</v>
      </c>
      <c r="Q249" s="2">
        <v>0.23</v>
      </c>
      <c r="R249" s="2">
        <v>13</v>
      </c>
      <c r="S249" s="2">
        <v>57</v>
      </c>
      <c r="T249" s="2">
        <v>0</v>
      </c>
      <c r="U249" s="2">
        <v>0</v>
      </c>
      <c r="V249" s="2">
        <v>0</v>
      </c>
      <c r="W249" s="2">
        <v>0</v>
      </c>
      <c r="X249" s="2">
        <v>0</v>
      </c>
      <c r="Y249" s="2">
        <v>0</v>
      </c>
      <c r="Z249" s="2">
        <v>0</v>
      </c>
      <c r="AA249" s="2">
        <v>13</v>
      </c>
      <c r="AB249" s="2" t="s">
        <v>3132</v>
      </c>
      <c r="AC249" s="2" t="s">
        <v>2828</v>
      </c>
      <c r="AD249" s="2" t="s">
        <v>3591</v>
      </c>
    </row>
    <row r="250" s="1" customFormat="1" ht="11.25" spans="1:30">
      <c r="A250" s="2" t="s">
        <v>2458</v>
      </c>
      <c r="B250" s="2" t="s">
        <v>2970</v>
      </c>
      <c r="C250" s="2" t="s">
        <v>3023</v>
      </c>
      <c r="D250" s="2" t="s">
        <v>813</v>
      </c>
      <c r="E250" s="2" t="s">
        <v>108</v>
      </c>
      <c r="F250" s="2" t="s">
        <v>168</v>
      </c>
      <c r="G250" s="2"/>
      <c r="H250" s="2" t="s">
        <v>2980</v>
      </c>
      <c r="I250" s="2"/>
      <c r="J250" s="2"/>
      <c r="K250" s="2" t="s">
        <v>1400</v>
      </c>
      <c r="L250" s="2" t="s">
        <v>3603</v>
      </c>
      <c r="M250" s="2" t="s">
        <v>2974</v>
      </c>
      <c r="N250" s="2" t="s">
        <v>908</v>
      </c>
      <c r="O250" s="2" t="s">
        <v>2975</v>
      </c>
      <c r="P250" s="2" t="s">
        <v>2982</v>
      </c>
      <c r="Q250" s="2">
        <v>0</v>
      </c>
      <c r="R250" s="2">
        <v>12</v>
      </c>
      <c r="S250" s="2">
        <v>0</v>
      </c>
      <c r="T250" s="2">
        <v>0</v>
      </c>
      <c r="U250" s="2">
        <v>0</v>
      </c>
      <c r="V250" s="2">
        <v>0</v>
      </c>
      <c r="W250" s="2">
        <v>0</v>
      </c>
      <c r="X250" s="2">
        <v>0</v>
      </c>
      <c r="Y250" s="2">
        <v>0</v>
      </c>
      <c r="Z250" s="2">
        <v>0</v>
      </c>
      <c r="AA250" s="2">
        <v>12</v>
      </c>
      <c r="AB250" s="2" t="s">
        <v>3721</v>
      </c>
      <c r="AC250" s="2" t="s">
        <v>1083</v>
      </c>
      <c r="AD250" s="2"/>
    </row>
    <row r="251" s="1" customFormat="1" ht="11.25" spans="1:30">
      <c r="A251" s="2" t="s">
        <v>118</v>
      </c>
      <c r="B251" s="2" t="s">
        <v>919</v>
      </c>
      <c r="C251" s="2" t="s">
        <v>2979</v>
      </c>
      <c r="D251" s="2" t="s">
        <v>813</v>
      </c>
      <c r="E251" s="2" t="s">
        <v>96</v>
      </c>
      <c r="F251" s="2" t="s">
        <v>115</v>
      </c>
      <c r="G251" s="2"/>
      <c r="H251" s="2" t="s">
        <v>2980</v>
      </c>
      <c r="I251" s="2"/>
      <c r="J251" s="2"/>
      <c r="K251" s="2" t="s">
        <v>116</v>
      </c>
      <c r="L251" s="2" t="s">
        <v>3722</v>
      </c>
      <c r="M251" s="2" t="s">
        <v>2974</v>
      </c>
      <c r="N251" s="2" t="s">
        <v>908</v>
      </c>
      <c r="O251" s="2" t="s">
        <v>2975</v>
      </c>
      <c r="P251" s="2" t="s">
        <v>3723</v>
      </c>
      <c r="Q251" s="2">
        <v>3.77</v>
      </c>
      <c r="R251" s="2">
        <v>12</v>
      </c>
      <c r="S251" s="2">
        <v>3</v>
      </c>
      <c r="T251" s="2">
        <v>256</v>
      </c>
      <c r="U251" s="2">
        <v>0</v>
      </c>
      <c r="V251" s="2">
        <v>0</v>
      </c>
      <c r="W251" s="2">
        <v>0</v>
      </c>
      <c r="X251" s="2">
        <v>0</v>
      </c>
      <c r="Y251" s="2">
        <v>1</v>
      </c>
      <c r="Z251" s="2">
        <v>0</v>
      </c>
      <c r="AA251" s="2">
        <v>11</v>
      </c>
      <c r="AB251" s="2" t="s">
        <v>2997</v>
      </c>
      <c r="AC251" s="2" t="s">
        <v>2667</v>
      </c>
      <c r="AD251" s="2" t="s">
        <v>3724</v>
      </c>
    </row>
    <row r="252" s="1" customFormat="1" ht="11.25" spans="1:30">
      <c r="A252" s="2" t="s">
        <v>809</v>
      </c>
      <c r="B252" s="2" t="s">
        <v>919</v>
      </c>
      <c r="C252" s="2" t="s">
        <v>2979</v>
      </c>
      <c r="D252" s="2" t="s">
        <v>813</v>
      </c>
      <c r="E252" s="2" t="s">
        <v>108</v>
      </c>
      <c r="F252" s="2" t="s">
        <v>146</v>
      </c>
      <c r="G252" s="2"/>
      <c r="H252" s="2" t="s">
        <v>2980</v>
      </c>
      <c r="I252" s="2"/>
      <c r="J252" s="2"/>
      <c r="K252" s="2" t="s">
        <v>808</v>
      </c>
      <c r="L252" s="2" t="s">
        <v>3725</v>
      </c>
      <c r="M252" s="2" t="s">
        <v>2974</v>
      </c>
      <c r="N252" s="2" t="s">
        <v>908</v>
      </c>
      <c r="O252" s="2" t="s">
        <v>2975</v>
      </c>
      <c r="P252" s="2" t="s">
        <v>3726</v>
      </c>
      <c r="Q252" s="2">
        <v>3.35</v>
      </c>
      <c r="R252" s="2">
        <v>12</v>
      </c>
      <c r="S252" s="2">
        <v>4</v>
      </c>
      <c r="T252" s="2">
        <v>410</v>
      </c>
      <c r="U252" s="2">
        <v>0</v>
      </c>
      <c r="V252" s="2">
        <v>0</v>
      </c>
      <c r="W252" s="2">
        <v>0</v>
      </c>
      <c r="X252" s="2">
        <v>0</v>
      </c>
      <c r="Y252" s="2">
        <v>2</v>
      </c>
      <c r="Z252" s="2">
        <v>0</v>
      </c>
      <c r="AA252" s="2">
        <v>10</v>
      </c>
      <c r="AB252" s="2" t="s">
        <v>2997</v>
      </c>
      <c r="AC252" s="2" t="s">
        <v>2997</v>
      </c>
      <c r="AD252" s="2" t="s">
        <v>3727</v>
      </c>
    </row>
    <row r="253" s="1" customFormat="1" ht="11.25" spans="1:30">
      <c r="A253" s="2" t="s">
        <v>679</v>
      </c>
      <c r="B253" s="2" t="s">
        <v>919</v>
      </c>
      <c r="C253" s="2" t="s">
        <v>3023</v>
      </c>
      <c r="D253" s="2" t="s">
        <v>813</v>
      </c>
      <c r="E253" s="2" t="s">
        <v>96</v>
      </c>
      <c r="F253" s="2" t="s">
        <v>115</v>
      </c>
      <c r="G253" s="2"/>
      <c r="H253" s="2" t="s">
        <v>2980</v>
      </c>
      <c r="I253" s="2"/>
      <c r="J253" s="2"/>
      <c r="K253" s="2" t="s">
        <v>678</v>
      </c>
      <c r="L253" s="2" t="s">
        <v>3728</v>
      </c>
      <c r="M253" s="2" t="s">
        <v>2974</v>
      </c>
      <c r="N253" s="2" t="s">
        <v>908</v>
      </c>
      <c r="O253" s="2" t="s">
        <v>2975</v>
      </c>
      <c r="P253" s="2" t="s">
        <v>3729</v>
      </c>
      <c r="Q253" s="2">
        <v>0.06</v>
      </c>
      <c r="R253" s="2">
        <v>12</v>
      </c>
      <c r="S253" s="2">
        <v>200</v>
      </c>
      <c r="T253" s="2">
        <v>18</v>
      </c>
      <c r="U253" s="2">
        <v>0</v>
      </c>
      <c r="V253" s="2">
        <v>0</v>
      </c>
      <c r="W253" s="2">
        <v>0</v>
      </c>
      <c r="X253" s="2">
        <v>0</v>
      </c>
      <c r="Y253" s="2">
        <v>0</v>
      </c>
      <c r="Z253" s="2">
        <v>0</v>
      </c>
      <c r="AA253" s="2">
        <v>12</v>
      </c>
      <c r="AB253" s="2" t="s">
        <v>3015</v>
      </c>
      <c r="AC253" s="2" t="s">
        <v>3219</v>
      </c>
      <c r="AD253" s="2" t="s">
        <v>3679</v>
      </c>
    </row>
    <row r="254" s="1" customFormat="1" ht="11.25" spans="1:30">
      <c r="A254" s="2" t="s">
        <v>709</v>
      </c>
      <c r="B254" s="2" t="s">
        <v>919</v>
      </c>
      <c r="C254" s="2" t="s">
        <v>3023</v>
      </c>
      <c r="D254" s="2" t="s">
        <v>813</v>
      </c>
      <c r="E254" s="2" t="s">
        <v>96</v>
      </c>
      <c r="F254" s="2" t="s">
        <v>115</v>
      </c>
      <c r="G254" s="2"/>
      <c r="H254" s="2" t="s">
        <v>2980</v>
      </c>
      <c r="I254" s="2"/>
      <c r="J254" s="2"/>
      <c r="K254" s="2" t="s">
        <v>708</v>
      </c>
      <c r="L254" s="2" t="s">
        <v>3730</v>
      </c>
      <c r="M254" s="2" t="s">
        <v>2974</v>
      </c>
      <c r="N254" s="2" t="s">
        <v>908</v>
      </c>
      <c r="O254" s="2" t="s">
        <v>2975</v>
      </c>
      <c r="P254" s="2" t="s">
        <v>3731</v>
      </c>
      <c r="Q254" s="2">
        <v>0.07</v>
      </c>
      <c r="R254" s="2">
        <v>12</v>
      </c>
      <c r="S254" s="2">
        <v>171</v>
      </c>
      <c r="T254" s="2">
        <v>0</v>
      </c>
      <c r="U254" s="2">
        <v>0</v>
      </c>
      <c r="V254" s="2">
        <v>0</v>
      </c>
      <c r="W254" s="2">
        <v>0</v>
      </c>
      <c r="X254" s="2">
        <v>0</v>
      </c>
      <c r="Y254" s="2">
        <v>0</v>
      </c>
      <c r="Z254" s="2">
        <v>0</v>
      </c>
      <c r="AA254" s="2">
        <v>12</v>
      </c>
      <c r="AB254" s="2" t="s">
        <v>3054</v>
      </c>
      <c r="AC254" s="2" t="s">
        <v>3619</v>
      </c>
      <c r="AD254" s="2" t="s">
        <v>3732</v>
      </c>
    </row>
    <row r="255" s="1" customFormat="1" ht="11.25" spans="1:30">
      <c r="A255" s="2" t="s">
        <v>460</v>
      </c>
      <c r="B255" s="2" t="s">
        <v>919</v>
      </c>
      <c r="C255" s="2" t="s">
        <v>3023</v>
      </c>
      <c r="D255" s="2" t="s">
        <v>813</v>
      </c>
      <c r="E255" s="2" t="s">
        <v>96</v>
      </c>
      <c r="F255" s="2" t="s">
        <v>115</v>
      </c>
      <c r="G255" s="2"/>
      <c r="H255" s="2" t="s">
        <v>2980</v>
      </c>
      <c r="I255" s="2"/>
      <c r="J255" s="2"/>
      <c r="K255" s="2" t="s">
        <v>459</v>
      </c>
      <c r="L255" s="2" t="s">
        <v>3733</v>
      </c>
      <c r="M255" s="2" t="s">
        <v>2974</v>
      </c>
      <c r="N255" s="2" t="s">
        <v>908</v>
      </c>
      <c r="O255" s="2" t="s">
        <v>2975</v>
      </c>
      <c r="P255" s="2" t="s">
        <v>3459</v>
      </c>
      <c r="Q255" s="2">
        <v>0.06</v>
      </c>
      <c r="R255" s="2">
        <v>11</v>
      </c>
      <c r="S255" s="2">
        <v>183</v>
      </c>
      <c r="T255" s="2">
        <v>20</v>
      </c>
      <c r="U255" s="2">
        <v>0</v>
      </c>
      <c r="V255" s="2">
        <v>0</v>
      </c>
      <c r="W255" s="2">
        <v>0</v>
      </c>
      <c r="X255" s="2">
        <v>0</v>
      </c>
      <c r="Y255" s="2">
        <v>0</v>
      </c>
      <c r="Z255" s="2">
        <v>0</v>
      </c>
      <c r="AA255" s="2">
        <v>11</v>
      </c>
      <c r="AB255" s="2" t="s">
        <v>3119</v>
      </c>
      <c r="AC255" s="2" t="s">
        <v>3577</v>
      </c>
      <c r="AD255" s="2" t="s">
        <v>3734</v>
      </c>
    </row>
    <row r="256" s="1" customFormat="1" ht="11.25" spans="1:30">
      <c r="A256" s="2" t="s">
        <v>437</v>
      </c>
      <c r="B256" s="2" t="s">
        <v>919</v>
      </c>
      <c r="C256" s="2" t="s">
        <v>2979</v>
      </c>
      <c r="D256" s="2" t="s">
        <v>813</v>
      </c>
      <c r="E256" s="2" t="s">
        <v>96</v>
      </c>
      <c r="F256" s="2" t="s">
        <v>115</v>
      </c>
      <c r="G256" s="2"/>
      <c r="H256" s="2" t="s">
        <v>2980</v>
      </c>
      <c r="I256" s="2"/>
      <c r="J256" s="2"/>
      <c r="K256" s="2" t="s">
        <v>436</v>
      </c>
      <c r="L256" s="2" t="s">
        <v>3735</v>
      </c>
      <c r="M256" s="2" t="s">
        <v>2974</v>
      </c>
      <c r="N256" s="2" t="s">
        <v>908</v>
      </c>
      <c r="O256" s="2" t="s">
        <v>2975</v>
      </c>
      <c r="P256" s="2" t="s">
        <v>3736</v>
      </c>
      <c r="Q256" s="2">
        <v>1.85</v>
      </c>
      <c r="R256" s="2">
        <v>10</v>
      </c>
      <c r="S256" s="2">
        <v>5</v>
      </c>
      <c r="T256" s="2">
        <v>132</v>
      </c>
      <c r="U256" s="2">
        <v>0</v>
      </c>
      <c r="V256" s="2">
        <v>0</v>
      </c>
      <c r="W256" s="2">
        <v>0</v>
      </c>
      <c r="X256" s="2">
        <v>0</v>
      </c>
      <c r="Y256" s="2">
        <v>0</v>
      </c>
      <c r="Z256" s="2">
        <v>0</v>
      </c>
      <c r="AA256" s="2">
        <v>10</v>
      </c>
      <c r="AB256" s="2" t="s">
        <v>2997</v>
      </c>
      <c r="AC256" s="2" t="s">
        <v>3282</v>
      </c>
      <c r="AD256" s="2" t="s">
        <v>3737</v>
      </c>
    </row>
    <row r="257" s="1" customFormat="1" ht="11.25" spans="1:30">
      <c r="A257" s="2" t="s">
        <v>316</v>
      </c>
      <c r="B257" s="2" t="s">
        <v>919</v>
      </c>
      <c r="C257" s="2" t="s">
        <v>2979</v>
      </c>
      <c r="D257" s="2" t="s">
        <v>813</v>
      </c>
      <c r="E257" s="2" t="s">
        <v>108</v>
      </c>
      <c r="F257" s="2" t="s">
        <v>927</v>
      </c>
      <c r="G257" s="2"/>
      <c r="H257" s="2" t="s">
        <v>2980</v>
      </c>
      <c r="I257" s="2"/>
      <c r="J257" s="2"/>
      <c r="K257" s="2" t="s">
        <v>1526</v>
      </c>
      <c r="L257" s="2" t="s">
        <v>3738</v>
      </c>
      <c r="M257" s="2" t="s">
        <v>2974</v>
      </c>
      <c r="N257" s="2" t="s">
        <v>908</v>
      </c>
      <c r="O257" s="2" t="s">
        <v>2975</v>
      </c>
      <c r="P257" s="2" t="s">
        <v>3739</v>
      </c>
      <c r="Q257" s="2">
        <v>3.22</v>
      </c>
      <c r="R257" s="2">
        <v>8</v>
      </c>
      <c r="S257" s="2">
        <v>2</v>
      </c>
      <c r="T257" s="2">
        <v>0</v>
      </c>
      <c r="U257" s="2">
        <v>0</v>
      </c>
      <c r="V257" s="2">
        <v>0</v>
      </c>
      <c r="W257" s="2">
        <v>0</v>
      </c>
      <c r="X257" s="2">
        <v>0</v>
      </c>
      <c r="Y257" s="2">
        <v>2</v>
      </c>
      <c r="Z257" s="2">
        <v>0</v>
      </c>
      <c r="AA257" s="2">
        <v>6</v>
      </c>
      <c r="AB257" s="2" t="s">
        <v>2997</v>
      </c>
      <c r="AC257" s="2" t="s">
        <v>3219</v>
      </c>
      <c r="AD257" s="2" t="s">
        <v>3740</v>
      </c>
    </row>
    <row r="258" s="1" customFormat="1" ht="11.25" spans="1:30">
      <c r="A258" s="2" t="s">
        <v>775</v>
      </c>
      <c r="B258" s="2" t="s">
        <v>2970</v>
      </c>
      <c r="C258" s="2" t="s">
        <v>3023</v>
      </c>
      <c r="D258" s="2" t="s">
        <v>813</v>
      </c>
      <c r="E258" s="2" t="s">
        <v>96</v>
      </c>
      <c r="F258" s="2" t="s">
        <v>115</v>
      </c>
      <c r="G258" s="2"/>
      <c r="H258" s="2" t="s">
        <v>2980</v>
      </c>
      <c r="I258" s="2"/>
      <c r="J258" s="2"/>
      <c r="K258" s="2" t="s">
        <v>774</v>
      </c>
      <c r="L258" s="2" t="s">
        <v>3741</v>
      </c>
      <c r="M258" s="2" t="s">
        <v>2974</v>
      </c>
      <c r="N258" s="2" t="s">
        <v>908</v>
      </c>
      <c r="O258" s="2" t="s">
        <v>2975</v>
      </c>
      <c r="P258" s="2" t="s">
        <v>2982</v>
      </c>
      <c r="Q258" s="2">
        <v>0</v>
      </c>
      <c r="R258" s="2">
        <v>8</v>
      </c>
      <c r="S258" s="2">
        <v>0</v>
      </c>
      <c r="T258" s="2">
        <v>0</v>
      </c>
      <c r="U258" s="2">
        <v>0</v>
      </c>
      <c r="V258" s="2">
        <v>0</v>
      </c>
      <c r="W258" s="2">
        <v>0</v>
      </c>
      <c r="X258" s="2">
        <v>0</v>
      </c>
      <c r="Y258" s="2">
        <v>0</v>
      </c>
      <c r="Z258" s="2">
        <v>0</v>
      </c>
      <c r="AA258" s="2">
        <v>8</v>
      </c>
      <c r="AB258" s="2" t="s">
        <v>3534</v>
      </c>
      <c r="AC258" s="2" t="s">
        <v>3361</v>
      </c>
      <c r="AD258" s="2" t="s">
        <v>3742</v>
      </c>
    </row>
    <row r="259" s="1" customFormat="1" ht="11.25" spans="1:30">
      <c r="A259" s="2" t="s">
        <v>301</v>
      </c>
      <c r="B259" s="2" t="s">
        <v>919</v>
      </c>
      <c r="C259" s="2" t="s">
        <v>2979</v>
      </c>
      <c r="D259" s="2" t="s">
        <v>813</v>
      </c>
      <c r="E259" s="2" t="s">
        <v>96</v>
      </c>
      <c r="F259" s="2" t="s">
        <v>115</v>
      </c>
      <c r="G259" s="2"/>
      <c r="H259" s="2" t="s">
        <v>2980</v>
      </c>
      <c r="I259" s="2"/>
      <c r="J259" s="2"/>
      <c r="K259" s="2" t="s">
        <v>300</v>
      </c>
      <c r="L259" s="2" t="s">
        <v>3040</v>
      </c>
      <c r="M259" s="2" t="s">
        <v>2974</v>
      </c>
      <c r="N259" s="2" t="s">
        <v>908</v>
      </c>
      <c r="O259" s="2" t="s">
        <v>2975</v>
      </c>
      <c r="P259" s="2" t="s">
        <v>3743</v>
      </c>
      <c r="Q259" s="2">
        <v>0.06</v>
      </c>
      <c r="R259" s="2">
        <v>7</v>
      </c>
      <c r="S259" s="2">
        <v>117</v>
      </c>
      <c r="T259" s="2">
        <v>0</v>
      </c>
      <c r="U259" s="2">
        <v>0</v>
      </c>
      <c r="V259" s="2">
        <v>0</v>
      </c>
      <c r="W259" s="2">
        <v>0</v>
      </c>
      <c r="X259" s="2">
        <v>0</v>
      </c>
      <c r="Y259" s="2">
        <v>0</v>
      </c>
      <c r="Z259" s="2">
        <v>0</v>
      </c>
      <c r="AA259" s="2">
        <v>7</v>
      </c>
      <c r="AB259" s="2" t="s">
        <v>3119</v>
      </c>
      <c r="AC259" s="2" t="s">
        <v>3169</v>
      </c>
      <c r="AD259" s="2" t="s">
        <v>3744</v>
      </c>
    </row>
    <row r="260" s="1" customFormat="1" ht="11.25" spans="1:30">
      <c r="A260" s="2" t="s">
        <v>657</v>
      </c>
      <c r="B260" s="2" t="s">
        <v>919</v>
      </c>
      <c r="C260" s="2" t="s">
        <v>2979</v>
      </c>
      <c r="D260" s="2" t="s">
        <v>813</v>
      </c>
      <c r="E260" s="2" t="s">
        <v>108</v>
      </c>
      <c r="F260" s="2" t="s">
        <v>168</v>
      </c>
      <c r="G260" s="2"/>
      <c r="H260" s="2" t="s">
        <v>2980</v>
      </c>
      <c r="I260" s="2"/>
      <c r="J260" s="2"/>
      <c r="K260" s="2" t="s">
        <v>656</v>
      </c>
      <c r="L260" s="2" t="s">
        <v>3745</v>
      </c>
      <c r="M260" s="2" t="s">
        <v>2974</v>
      </c>
      <c r="N260" s="2" t="s">
        <v>908</v>
      </c>
      <c r="O260" s="2" t="s">
        <v>2975</v>
      </c>
      <c r="P260" s="2" t="s">
        <v>3746</v>
      </c>
      <c r="Q260" s="2">
        <v>5</v>
      </c>
      <c r="R260" s="2">
        <v>7</v>
      </c>
      <c r="S260" s="2">
        <v>1</v>
      </c>
      <c r="T260" s="2">
        <v>250</v>
      </c>
      <c r="U260" s="2">
        <v>0</v>
      </c>
      <c r="V260" s="2">
        <v>0</v>
      </c>
      <c r="W260" s="2">
        <v>0</v>
      </c>
      <c r="X260" s="2">
        <v>0</v>
      </c>
      <c r="Y260" s="2">
        <v>1</v>
      </c>
      <c r="Z260" s="2">
        <v>0</v>
      </c>
      <c r="AA260" s="2">
        <v>6</v>
      </c>
      <c r="AB260" s="2" t="s">
        <v>2997</v>
      </c>
      <c r="AC260" s="2" t="s">
        <v>2993</v>
      </c>
      <c r="AD260" s="2" t="s">
        <v>3747</v>
      </c>
    </row>
    <row r="261" s="1" customFormat="1" ht="11.25" spans="1:30">
      <c r="A261" s="2" t="s">
        <v>856</v>
      </c>
      <c r="B261" s="2" t="s">
        <v>2970</v>
      </c>
      <c r="C261" s="2" t="s">
        <v>3023</v>
      </c>
      <c r="D261" s="2" t="s">
        <v>813</v>
      </c>
      <c r="E261" s="2" t="s">
        <v>108</v>
      </c>
      <c r="F261" s="2" t="s">
        <v>109</v>
      </c>
      <c r="G261" s="2"/>
      <c r="H261" s="2" t="s">
        <v>2980</v>
      </c>
      <c r="I261" s="2"/>
      <c r="J261" s="2"/>
      <c r="K261" s="2" t="s">
        <v>855</v>
      </c>
      <c r="L261" s="2" t="s">
        <v>3748</v>
      </c>
      <c r="M261" s="2" t="s">
        <v>2974</v>
      </c>
      <c r="N261" s="2" t="s">
        <v>908</v>
      </c>
      <c r="O261" s="2" t="s">
        <v>2975</v>
      </c>
      <c r="P261" s="2" t="s">
        <v>3749</v>
      </c>
      <c r="Q261" s="2">
        <v>0.06</v>
      </c>
      <c r="R261" s="2">
        <v>7</v>
      </c>
      <c r="S261" s="2">
        <v>117</v>
      </c>
      <c r="T261" s="2">
        <v>0</v>
      </c>
      <c r="U261" s="2">
        <v>0</v>
      </c>
      <c r="V261" s="2">
        <v>0</v>
      </c>
      <c r="W261" s="2">
        <v>0</v>
      </c>
      <c r="X261" s="2">
        <v>0</v>
      </c>
      <c r="Y261" s="2">
        <v>0</v>
      </c>
      <c r="Z261" s="2">
        <v>0</v>
      </c>
      <c r="AA261" s="2">
        <v>7</v>
      </c>
      <c r="AB261" s="2" t="s">
        <v>3196</v>
      </c>
      <c r="AC261" s="2" t="s">
        <v>3750</v>
      </c>
      <c r="AD261" s="2" t="s">
        <v>3751</v>
      </c>
    </row>
    <row r="262" s="1" customFormat="1" ht="11.25" spans="1:30">
      <c r="A262" s="2" t="s">
        <v>745</v>
      </c>
      <c r="B262" s="2" t="s">
        <v>919</v>
      </c>
      <c r="C262" s="2" t="s">
        <v>2979</v>
      </c>
      <c r="D262" s="2" t="s">
        <v>813</v>
      </c>
      <c r="E262" s="2" t="s">
        <v>108</v>
      </c>
      <c r="F262" s="2" t="s">
        <v>146</v>
      </c>
      <c r="G262" s="2"/>
      <c r="H262" s="2" t="s">
        <v>2980</v>
      </c>
      <c r="I262" s="2"/>
      <c r="J262" s="2"/>
      <c r="K262" s="2" t="s">
        <v>744</v>
      </c>
      <c r="L262" s="2" t="s">
        <v>3752</v>
      </c>
      <c r="M262" s="2" t="s">
        <v>2974</v>
      </c>
      <c r="N262" s="2" t="s">
        <v>908</v>
      </c>
      <c r="O262" s="2" t="s">
        <v>2975</v>
      </c>
      <c r="P262" s="2" t="s">
        <v>3753</v>
      </c>
      <c r="Q262" s="2">
        <v>4.02</v>
      </c>
      <c r="R262" s="2">
        <v>6</v>
      </c>
      <c r="S262" s="2">
        <v>1</v>
      </c>
      <c r="T262" s="2">
        <v>880</v>
      </c>
      <c r="U262" s="2">
        <v>0</v>
      </c>
      <c r="V262" s="2">
        <v>0</v>
      </c>
      <c r="W262" s="2">
        <v>0</v>
      </c>
      <c r="X262" s="2">
        <v>0</v>
      </c>
      <c r="Y262" s="2">
        <v>16</v>
      </c>
      <c r="Z262" s="2">
        <v>0</v>
      </c>
      <c r="AA262" s="2">
        <v>-10</v>
      </c>
      <c r="AB262" s="2" t="s">
        <v>3282</v>
      </c>
      <c r="AC262" s="2" t="s">
        <v>2997</v>
      </c>
      <c r="AD262" s="2" t="s">
        <v>3754</v>
      </c>
    </row>
    <row r="263" s="1" customFormat="1" ht="11.25" spans="1:30">
      <c r="A263" s="2" t="s">
        <v>315</v>
      </c>
      <c r="B263" s="2" t="s">
        <v>2970</v>
      </c>
      <c r="C263" s="2" t="s">
        <v>2979</v>
      </c>
      <c r="D263" s="2" t="s">
        <v>813</v>
      </c>
      <c r="E263" s="2" t="s">
        <v>108</v>
      </c>
      <c r="F263" s="2" t="s">
        <v>927</v>
      </c>
      <c r="G263" s="2"/>
      <c r="H263" s="2" t="s">
        <v>2980</v>
      </c>
      <c r="I263" s="2"/>
      <c r="J263" s="2"/>
      <c r="K263" s="2" t="s">
        <v>1305</v>
      </c>
      <c r="L263" s="2" t="s">
        <v>3755</v>
      </c>
      <c r="M263" s="2" t="s">
        <v>2974</v>
      </c>
      <c r="N263" s="2" t="s">
        <v>908</v>
      </c>
      <c r="O263" s="2" t="s">
        <v>2975</v>
      </c>
      <c r="P263" s="2" t="s">
        <v>3756</v>
      </c>
      <c r="Q263" s="2">
        <v>3</v>
      </c>
      <c r="R263" s="2">
        <v>6</v>
      </c>
      <c r="S263" s="2">
        <v>2</v>
      </c>
      <c r="T263" s="2">
        <v>0</v>
      </c>
      <c r="U263" s="2">
        <v>0</v>
      </c>
      <c r="V263" s="2">
        <v>0</v>
      </c>
      <c r="W263" s="2">
        <v>0</v>
      </c>
      <c r="X263" s="2">
        <v>0</v>
      </c>
      <c r="Y263" s="2">
        <v>1</v>
      </c>
      <c r="Z263" s="2">
        <v>0</v>
      </c>
      <c r="AA263" s="2">
        <v>5</v>
      </c>
      <c r="AB263" s="2" t="s">
        <v>2997</v>
      </c>
      <c r="AC263" s="2" t="s">
        <v>3249</v>
      </c>
      <c r="AD263" s="2" t="s">
        <v>3757</v>
      </c>
    </row>
    <row r="264" s="1" customFormat="1" ht="11.25" spans="1:30">
      <c r="A264" s="2" t="s">
        <v>772</v>
      </c>
      <c r="B264" s="2" t="s">
        <v>2970</v>
      </c>
      <c r="C264" s="2" t="s">
        <v>3023</v>
      </c>
      <c r="D264" s="2" t="s">
        <v>813</v>
      </c>
      <c r="E264" s="2" t="s">
        <v>108</v>
      </c>
      <c r="F264" s="2" t="s">
        <v>927</v>
      </c>
      <c r="G264" s="2"/>
      <c r="H264" s="2" t="s">
        <v>2980</v>
      </c>
      <c r="I264" s="2"/>
      <c r="J264" s="2"/>
      <c r="K264" s="2" t="s">
        <v>1892</v>
      </c>
      <c r="L264" s="2" t="s">
        <v>3758</v>
      </c>
      <c r="M264" s="2" t="s">
        <v>2974</v>
      </c>
      <c r="N264" s="2" t="s">
        <v>908</v>
      </c>
      <c r="O264" s="2" t="s">
        <v>2975</v>
      </c>
      <c r="P264" s="2" t="s">
        <v>3759</v>
      </c>
      <c r="Q264" s="2">
        <v>0.03</v>
      </c>
      <c r="R264" s="2">
        <v>6</v>
      </c>
      <c r="S264" s="2">
        <v>200</v>
      </c>
      <c r="T264" s="2">
        <v>0</v>
      </c>
      <c r="U264" s="2">
        <v>0</v>
      </c>
      <c r="V264" s="2">
        <v>0</v>
      </c>
      <c r="W264" s="2">
        <v>0</v>
      </c>
      <c r="X264" s="2">
        <v>0</v>
      </c>
      <c r="Y264" s="2">
        <v>0</v>
      </c>
      <c r="Z264" s="2">
        <v>0</v>
      </c>
      <c r="AA264" s="2">
        <v>6</v>
      </c>
      <c r="AB264" s="2" t="s">
        <v>3643</v>
      </c>
      <c r="AC264" s="2" t="s">
        <v>2977</v>
      </c>
      <c r="AD264" s="2" t="s">
        <v>3760</v>
      </c>
    </row>
    <row r="265" s="1" customFormat="1" ht="11.25" spans="1:30">
      <c r="A265" s="2" t="s">
        <v>40</v>
      </c>
      <c r="B265" s="2" t="s">
        <v>2970</v>
      </c>
      <c r="C265" s="2" t="s">
        <v>3023</v>
      </c>
      <c r="D265" s="2" t="s">
        <v>813</v>
      </c>
      <c r="E265" s="2" t="s">
        <v>96</v>
      </c>
      <c r="F265" s="2" t="s">
        <v>103</v>
      </c>
      <c r="G265" s="2"/>
      <c r="H265" s="2" t="s">
        <v>2980</v>
      </c>
      <c r="I265" s="2"/>
      <c r="J265" s="2"/>
      <c r="K265" s="2" t="s">
        <v>299</v>
      </c>
      <c r="L265" s="2" t="s">
        <v>3761</v>
      </c>
      <c r="M265" s="2" t="s">
        <v>2974</v>
      </c>
      <c r="N265" s="2" t="s">
        <v>908</v>
      </c>
      <c r="O265" s="2" t="s">
        <v>2975</v>
      </c>
      <c r="P265" s="2" t="s">
        <v>3762</v>
      </c>
      <c r="Q265" s="2">
        <v>9.22</v>
      </c>
      <c r="R265" s="2">
        <v>6</v>
      </c>
      <c r="S265" s="2">
        <v>1</v>
      </c>
      <c r="T265" s="2">
        <v>0</v>
      </c>
      <c r="U265" s="2">
        <v>0</v>
      </c>
      <c r="V265" s="2">
        <v>0</v>
      </c>
      <c r="W265" s="2">
        <v>0</v>
      </c>
      <c r="X265" s="2">
        <v>0</v>
      </c>
      <c r="Y265" s="2">
        <v>1</v>
      </c>
      <c r="Z265" s="2">
        <v>0</v>
      </c>
      <c r="AA265" s="2">
        <v>5</v>
      </c>
      <c r="AB265" s="2" t="s">
        <v>3054</v>
      </c>
      <c r="AC265" s="2" t="s">
        <v>2997</v>
      </c>
      <c r="AD265" s="2" t="s">
        <v>3763</v>
      </c>
    </row>
    <row r="266" s="1" customFormat="1" ht="11.25" spans="1:30">
      <c r="A266" s="2" t="s">
        <v>516</v>
      </c>
      <c r="B266" s="2" t="s">
        <v>919</v>
      </c>
      <c r="C266" s="2" t="s">
        <v>3023</v>
      </c>
      <c r="D266" s="2" t="s">
        <v>813</v>
      </c>
      <c r="E266" s="2" t="s">
        <v>96</v>
      </c>
      <c r="F266" s="2" t="s">
        <v>115</v>
      </c>
      <c r="G266" s="2"/>
      <c r="H266" s="2" t="s">
        <v>2980</v>
      </c>
      <c r="I266" s="2"/>
      <c r="J266" s="2"/>
      <c r="K266" s="2" t="s">
        <v>304</v>
      </c>
      <c r="L266" s="2" t="s">
        <v>3086</v>
      </c>
      <c r="M266" s="2" t="s">
        <v>2974</v>
      </c>
      <c r="N266" s="2" t="s">
        <v>908</v>
      </c>
      <c r="O266" s="2" t="s">
        <v>3125</v>
      </c>
      <c r="P266" s="2" t="s">
        <v>3764</v>
      </c>
      <c r="Q266" s="2">
        <v>0.47</v>
      </c>
      <c r="R266" s="2">
        <v>5</v>
      </c>
      <c r="S266" s="2">
        <v>11</v>
      </c>
      <c r="T266" s="2">
        <v>480</v>
      </c>
      <c r="U266" s="2">
        <v>0</v>
      </c>
      <c r="V266" s="2">
        <v>0</v>
      </c>
      <c r="W266" s="2">
        <v>0</v>
      </c>
      <c r="X266" s="2">
        <v>0</v>
      </c>
      <c r="Y266" s="2">
        <v>0</v>
      </c>
      <c r="Z266" s="2">
        <v>0</v>
      </c>
      <c r="AA266" s="2">
        <v>5</v>
      </c>
      <c r="AB266" s="2" t="s">
        <v>3015</v>
      </c>
      <c r="AC266" s="2" t="s">
        <v>2997</v>
      </c>
      <c r="AD266" s="2" t="s">
        <v>3012</v>
      </c>
    </row>
    <row r="267" s="1" customFormat="1" ht="11.25" spans="1:30">
      <c r="A267" s="2" t="s">
        <v>135</v>
      </c>
      <c r="B267" s="2" t="s">
        <v>919</v>
      </c>
      <c r="C267" s="2" t="s">
        <v>3023</v>
      </c>
      <c r="D267" s="2" t="s">
        <v>813</v>
      </c>
      <c r="E267" s="2" t="s">
        <v>96</v>
      </c>
      <c r="F267" s="2" t="s">
        <v>127</v>
      </c>
      <c r="G267" s="2"/>
      <c r="H267" s="2" t="s">
        <v>2980</v>
      </c>
      <c r="I267" s="2"/>
      <c r="J267" s="2"/>
      <c r="K267" s="2" t="s">
        <v>128</v>
      </c>
      <c r="L267" s="2" t="s">
        <v>3060</v>
      </c>
      <c r="M267" s="2" t="s">
        <v>2974</v>
      </c>
      <c r="N267" s="2" t="s">
        <v>908</v>
      </c>
      <c r="O267" s="2" t="s">
        <v>2975</v>
      </c>
      <c r="P267" s="2" t="s">
        <v>3765</v>
      </c>
      <c r="Q267" s="2">
        <v>0.82</v>
      </c>
      <c r="R267" s="2">
        <v>5</v>
      </c>
      <c r="S267" s="2">
        <v>6</v>
      </c>
      <c r="T267" s="2">
        <v>0</v>
      </c>
      <c r="U267" s="2">
        <v>0</v>
      </c>
      <c r="V267" s="2">
        <v>0</v>
      </c>
      <c r="W267" s="2">
        <v>0</v>
      </c>
      <c r="X267" s="2">
        <v>0</v>
      </c>
      <c r="Y267" s="2">
        <v>1</v>
      </c>
      <c r="Z267" s="2">
        <v>0</v>
      </c>
      <c r="AA267" s="2">
        <v>4</v>
      </c>
      <c r="AB267" s="2" t="s">
        <v>3196</v>
      </c>
      <c r="AC267" s="2" t="s">
        <v>3219</v>
      </c>
      <c r="AD267" s="2" t="s">
        <v>3062</v>
      </c>
    </row>
    <row r="268" s="1" customFormat="1" ht="11.25" spans="1:30">
      <c r="A268" s="2" t="s">
        <v>182</v>
      </c>
      <c r="B268" s="2" t="s">
        <v>919</v>
      </c>
      <c r="C268" s="2" t="s">
        <v>2979</v>
      </c>
      <c r="D268" s="2" t="s">
        <v>813</v>
      </c>
      <c r="E268" s="2" t="s">
        <v>108</v>
      </c>
      <c r="F268" s="2" t="s">
        <v>109</v>
      </c>
      <c r="G268" s="2"/>
      <c r="H268" s="2" t="s">
        <v>2980</v>
      </c>
      <c r="I268" s="2"/>
      <c r="J268" s="2"/>
      <c r="K268" s="2" t="s">
        <v>181</v>
      </c>
      <c r="L268" s="2" t="s">
        <v>3766</v>
      </c>
      <c r="M268" s="2" t="s">
        <v>2974</v>
      </c>
      <c r="N268" s="2" t="s">
        <v>908</v>
      </c>
      <c r="O268" s="2" t="s">
        <v>2975</v>
      </c>
      <c r="P268" s="2" t="s">
        <v>3767</v>
      </c>
      <c r="Q268" s="2">
        <v>0.55</v>
      </c>
      <c r="R268" s="2">
        <v>5</v>
      </c>
      <c r="S268" s="2">
        <v>9</v>
      </c>
      <c r="T268" s="2">
        <v>45</v>
      </c>
      <c r="U268" s="2">
        <v>0</v>
      </c>
      <c r="V268" s="2">
        <v>0</v>
      </c>
      <c r="W268" s="2">
        <v>0</v>
      </c>
      <c r="X268" s="2">
        <v>0</v>
      </c>
      <c r="Y268" s="2">
        <v>3</v>
      </c>
      <c r="Z268" s="2">
        <v>0</v>
      </c>
      <c r="AA268" s="2">
        <v>2</v>
      </c>
      <c r="AB268" s="2" t="s">
        <v>2993</v>
      </c>
      <c r="AC268" s="2" t="s">
        <v>3219</v>
      </c>
      <c r="AD268" s="2" t="s">
        <v>3768</v>
      </c>
    </row>
    <row r="269" s="1" customFormat="1" ht="11.25" spans="1:30">
      <c r="A269" s="2" t="s">
        <v>174</v>
      </c>
      <c r="B269" s="2" t="s">
        <v>919</v>
      </c>
      <c r="C269" s="2" t="s">
        <v>3023</v>
      </c>
      <c r="D269" s="2" t="s">
        <v>813</v>
      </c>
      <c r="E269" s="2" t="s">
        <v>108</v>
      </c>
      <c r="F269" s="2" t="s">
        <v>109</v>
      </c>
      <c r="G269" s="2"/>
      <c r="H269" s="2" t="s">
        <v>2980</v>
      </c>
      <c r="I269" s="2"/>
      <c r="J269" s="2"/>
      <c r="K269" s="2" t="s">
        <v>173</v>
      </c>
      <c r="L269" s="2" t="s">
        <v>3769</v>
      </c>
      <c r="M269" s="2" t="s">
        <v>2974</v>
      </c>
      <c r="N269" s="2" t="s">
        <v>908</v>
      </c>
      <c r="O269" s="2" t="s">
        <v>2975</v>
      </c>
      <c r="P269" s="2" t="s">
        <v>3770</v>
      </c>
      <c r="Q269" s="2">
        <v>0.11</v>
      </c>
      <c r="R269" s="2">
        <v>5</v>
      </c>
      <c r="S269" s="2">
        <v>45</v>
      </c>
      <c r="T269" s="2">
        <v>0</v>
      </c>
      <c r="U269" s="2">
        <v>0</v>
      </c>
      <c r="V269" s="2">
        <v>0</v>
      </c>
      <c r="W269" s="2">
        <v>0</v>
      </c>
      <c r="X269" s="2">
        <v>0</v>
      </c>
      <c r="Y269" s="2">
        <v>0</v>
      </c>
      <c r="Z269" s="2">
        <v>0</v>
      </c>
      <c r="AA269" s="2">
        <v>5</v>
      </c>
      <c r="AB269" s="2" t="s">
        <v>2997</v>
      </c>
      <c r="AC269" s="2" t="s">
        <v>3771</v>
      </c>
      <c r="AD269" s="2" t="s">
        <v>3768</v>
      </c>
    </row>
    <row r="270" s="1" customFormat="1" ht="11.25" spans="1:30">
      <c r="A270" s="2" t="s">
        <v>324</v>
      </c>
      <c r="B270" s="2" t="s">
        <v>919</v>
      </c>
      <c r="C270" s="2" t="s">
        <v>3004</v>
      </c>
      <c r="D270" s="2" t="s">
        <v>813</v>
      </c>
      <c r="E270" s="2" t="s">
        <v>108</v>
      </c>
      <c r="F270" s="2" t="s">
        <v>206</v>
      </c>
      <c r="G270" s="2"/>
      <c r="H270" s="2" t="s">
        <v>2980</v>
      </c>
      <c r="I270" s="2"/>
      <c r="J270" s="2"/>
      <c r="K270" s="2" t="s">
        <v>323</v>
      </c>
      <c r="L270" s="2" t="s">
        <v>3772</v>
      </c>
      <c r="M270" s="2" t="s">
        <v>2974</v>
      </c>
      <c r="N270" s="2" t="s">
        <v>908</v>
      </c>
      <c r="O270" s="2" t="s">
        <v>2975</v>
      </c>
      <c r="P270" s="2" t="s">
        <v>3773</v>
      </c>
      <c r="Q270" s="2">
        <v>2.64</v>
      </c>
      <c r="R270" s="2">
        <v>4</v>
      </c>
      <c r="S270" s="2">
        <v>2</v>
      </c>
      <c r="T270" s="2">
        <v>528</v>
      </c>
      <c r="U270" s="2">
        <v>0</v>
      </c>
      <c r="V270" s="2">
        <v>0</v>
      </c>
      <c r="W270" s="2">
        <v>0</v>
      </c>
      <c r="X270" s="2">
        <v>0</v>
      </c>
      <c r="Y270" s="2">
        <v>6</v>
      </c>
      <c r="Z270" s="2">
        <v>0</v>
      </c>
      <c r="AA270" s="2">
        <v>-2</v>
      </c>
      <c r="AB270" s="2" t="s">
        <v>3258</v>
      </c>
      <c r="AC270" s="2" t="s">
        <v>3132</v>
      </c>
      <c r="AD270" s="2" t="s">
        <v>3200</v>
      </c>
    </row>
    <row r="271" s="1" customFormat="1" ht="11.25" spans="1:30">
      <c r="A271" s="2" t="s">
        <v>763</v>
      </c>
      <c r="B271" s="2" t="s">
        <v>919</v>
      </c>
      <c r="C271" s="2" t="s">
        <v>2979</v>
      </c>
      <c r="D271" s="2" t="s">
        <v>813</v>
      </c>
      <c r="E271" s="2" t="s">
        <v>108</v>
      </c>
      <c r="F271" s="2" t="s">
        <v>146</v>
      </c>
      <c r="G271" s="2"/>
      <c r="H271" s="2" t="s">
        <v>2980</v>
      </c>
      <c r="I271" s="2"/>
      <c r="J271" s="2"/>
      <c r="K271" s="2" t="s">
        <v>762</v>
      </c>
      <c r="L271" s="2" t="s">
        <v>3774</v>
      </c>
      <c r="M271" s="2" t="s">
        <v>2974</v>
      </c>
      <c r="N271" s="2" t="s">
        <v>908</v>
      </c>
      <c r="O271" s="2" t="s">
        <v>2975</v>
      </c>
      <c r="P271" s="2" t="s">
        <v>3775</v>
      </c>
      <c r="Q271" s="2">
        <v>3.33</v>
      </c>
      <c r="R271" s="2">
        <v>4</v>
      </c>
      <c r="S271" s="2">
        <v>1</v>
      </c>
      <c r="T271" s="2">
        <v>600</v>
      </c>
      <c r="U271" s="2">
        <v>0</v>
      </c>
      <c r="V271" s="2">
        <v>0</v>
      </c>
      <c r="W271" s="2">
        <v>0</v>
      </c>
      <c r="X271" s="2">
        <v>0</v>
      </c>
      <c r="Y271" s="2">
        <v>4</v>
      </c>
      <c r="Z271" s="2">
        <v>0</v>
      </c>
      <c r="AA271" s="2">
        <v>0</v>
      </c>
      <c r="AB271" s="2" t="s">
        <v>3132</v>
      </c>
      <c r="AC271" s="2" t="s">
        <v>2997</v>
      </c>
      <c r="AD271" s="2" t="s">
        <v>3776</v>
      </c>
    </row>
    <row r="272" s="1" customFormat="1" ht="11.25" spans="1:30">
      <c r="A272" s="2" t="s">
        <v>359</v>
      </c>
      <c r="B272" s="2" t="s">
        <v>919</v>
      </c>
      <c r="C272" s="2" t="s">
        <v>3004</v>
      </c>
      <c r="D272" s="2" t="s">
        <v>813</v>
      </c>
      <c r="E272" s="2" t="s">
        <v>96</v>
      </c>
      <c r="F272" s="2" t="s">
        <v>115</v>
      </c>
      <c r="G272" s="2"/>
      <c r="H272" s="2" t="s">
        <v>2980</v>
      </c>
      <c r="I272" s="2"/>
      <c r="J272" s="2"/>
      <c r="K272" s="2" t="s">
        <v>358</v>
      </c>
      <c r="L272" s="2" t="s">
        <v>3777</v>
      </c>
      <c r="M272" s="2" t="s">
        <v>2974</v>
      </c>
      <c r="N272" s="2" t="s">
        <v>908</v>
      </c>
      <c r="O272" s="2" t="s">
        <v>2975</v>
      </c>
      <c r="P272" s="2" t="s">
        <v>3778</v>
      </c>
      <c r="Q272" s="2">
        <v>4.66</v>
      </c>
      <c r="R272" s="2">
        <v>4</v>
      </c>
      <c r="S272" s="2">
        <v>1</v>
      </c>
      <c r="T272" s="2">
        <v>708</v>
      </c>
      <c r="U272" s="2">
        <v>0</v>
      </c>
      <c r="V272" s="2">
        <v>0</v>
      </c>
      <c r="W272" s="2">
        <v>0</v>
      </c>
      <c r="X272" s="2">
        <v>0</v>
      </c>
      <c r="Y272" s="2">
        <v>5</v>
      </c>
      <c r="Z272" s="2">
        <v>0</v>
      </c>
      <c r="AA272" s="2">
        <v>-1</v>
      </c>
      <c r="AB272" s="2" t="s">
        <v>3054</v>
      </c>
      <c r="AC272" s="2" t="s">
        <v>2993</v>
      </c>
      <c r="AD272" s="2" t="s">
        <v>3779</v>
      </c>
    </row>
    <row r="273" s="1" customFormat="1" ht="11.25" spans="1:30">
      <c r="A273" s="2" t="s">
        <v>858</v>
      </c>
      <c r="B273" s="2" t="s">
        <v>2970</v>
      </c>
      <c r="C273" s="2" t="s">
        <v>3023</v>
      </c>
      <c r="D273" s="2" t="s">
        <v>813</v>
      </c>
      <c r="E273" s="2" t="s">
        <v>96</v>
      </c>
      <c r="F273" s="2" t="s">
        <v>103</v>
      </c>
      <c r="G273" s="2"/>
      <c r="H273" s="2" t="s">
        <v>2980</v>
      </c>
      <c r="I273" s="2"/>
      <c r="J273" s="2"/>
      <c r="K273" s="2" t="s">
        <v>857</v>
      </c>
      <c r="L273" s="2" t="s">
        <v>3780</v>
      </c>
      <c r="M273" s="2" t="s">
        <v>2974</v>
      </c>
      <c r="N273" s="2" t="s">
        <v>908</v>
      </c>
      <c r="O273" s="2" t="s">
        <v>2975</v>
      </c>
      <c r="P273" s="2" t="s">
        <v>3606</v>
      </c>
      <c r="Q273" s="2">
        <v>0.04</v>
      </c>
      <c r="R273" s="2">
        <v>4</v>
      </c>
      <c r="S273" s="2">
        <v>100</v>
      </c>
      <c r="T273" s="2">
        <v>0</v>
      </c>
      <c r="U273" s="2">
        <v>0</v>
      </c>
      <c r="V273" s="2">
        <v>0</v>
      </c>
      <c r="W273" s="2">
        <v>0</v>
      </c>
      <c r="X273" s="2">
        <v>0</v>
      </c>
      <c r="Y273" s="2">
        <v>0</v>
      </c>
      <c r="Z273" s="2">
        <v>0</v>
      </c>
      <c r="AA273" s="2">
        <v>4</v>
      </c>
      <c r="AB273" s="2" t="s">
        <v>3179</v>
      </c>
      <c r="AC273" s="2" t="s">
        <v>1083</v>
      </c>
      <c r="AD273" s="2" t="s">
        <v>3781</v>
      </c>
    </row>
    <row r="274" s="1" customFormat="1" ht="11.25" spans="1:30">
      <c r="A274" s="2" t="s">
        <v>661</v>
      </c>
      <c r="B274" s="2" t="s">
        <v>919</v>
      </c>
      <c r="C274" s="2" t="s">
        <v>3023</v>
      </c>
      <c r="D274" s="2" t="s">
        <v>813</v>
      </c>
      <c r="E274" s="2" t="s">
        <v>96</v>
      </c>
      <c r="F274" s="2" t="s">
        <v>127</v>
      </c>
      <c r="G274" s="2"/>
      <c r="H274" s="2" t="s">
        <v>2980</v>
      </c>
      <c r="I274" s="2"/>
      <c r="J274" s="2"/>
      <c r="K274" s="2" t="s">
        <v>660</v>
      </c>
      <c r="L274" s="2" t="s">
        <v>3782</v>
      </c>
      <c r="M274" s="2" t="s">
        <v>2974</v>
      </c>
      <c r="N274" s="2" t="s">
        <v>908</v>
      </c>
      <c r="O274" s="2" t="s">
        <v>2975</v>
      </c>
      <c r="P274" s="2" t="s">
        <v>2982</v>
      </c>
      <c r="Q274" s="2">
        <v>0</v>
      </c>
      <c r="R274" s="2">
        <v>4</v>
      </c>
      <c r="S274" s="2">
        <v>0</v>
      </c>
      <c r="T274" s="2">
        <v>0</v>
      </c>
      <c r="U274" s="2">
        <v>0</v>
      </c>
      <c r="V274" s="2">
        <v>0</v>
      </c>
      <c r="W274" s="2">
        <v>0</v>
      </c>
      <c r="X274" s="2">
        <v>0</v>
      </c>
      <c r="Y274" s="2">
        <v>0</v>
      </c>
      <c r="Z274" s="2">
        <v>0</v>
      </c>
      <c r="AA274" s="2">
        <v>4</v>
      </c>
      <c r="AB274" s="2" t="s">
        <v>3430</v>
      </c>
      <c r="AC274" s="2" t="s">
        <v>3783</v>
      </c>
      <c r="AD274" s="2" t="s">
        <v>3784</v>
      </c>
    </row>
    <row r="275" s="1" customFormat="1" ht="11.25" spans="1:30">
      <c r="A275" s="2" t="s">
        <v>212</v>
      </c>
      <c r="B275" s="2" t="s">
        <v>919</v>
      </c>
      <c r="C275" s="2" t="s">
        <v>2979</v>
      </c>
      <c r="D275" s="2" t="s">
        <v>813</v>
      </c>
      <c r="E275" s="2" t="s">
        <v>96</v>
      </c>
      <c r="F275" s="2" t="s">
        <v>115</v>
      </c>
      <c r="G275" s="2"/>
      <c r="H275" s="2" t="s">
        <v>2980</v>
      </c>
      <c r="I275" s="2"/>
      <c r="J275" s="2"/>
      <c r="K275" s="2" t="s">
        <v>211</v>
      </c>
      <c r="L275" s="2" t="s">
        <v>3785</v>
      </c>
      <c r="M275" s="2" t="s">
        <v>2974</v>
      </c>
      <c r="N275" s="2" t="s">
        <v>908</v>
      </c>
      <c r="O275" s="2" t="s">
        <v>2975</v>
      </c>
      <c r="P275" s="2" t="s">
        <v>3786</v>
      </c>
      <c r="Q275" s="2">
        <v>2.55</v>
      </c>
      <c r="R275" s="2">
        <v>4</v>
      </c>
      <c r="S275" s="2">
        <v>2</v>
      </c>
      <c r="T275" s="2">
        <v>144</v>
      </c>
      <c r="U275" s="2">
        <v>0</v>
      </c>
      <c r="V275" s="2">
        <v>0</v>
      </c>
      <c r="W275" s="2">
        <v>0</v>
      </c>
      <c r="X275" s="2">
        <v>0</v>
      </c>
      <c r="Y275" s="2">
        <v>2</v>
      </c>
      <c r="Z275" s="2">
        <v>0</v>
      </c>
      <c r="AA275" s="2">
        <v>2</v>
      </c>
      <c r="AB275" s="2" t="s">
        <v>2997</v>
      </c>
      <c r="AC275" s="2" t="s">
        <v>3269</v>
      </c>
      <c r="AD275" s="2" t="s">
        <v>3787</v>
      </c>
    </row>
    <row r="276" s="1" customFormat="1" ht="11.25" spans="1:30">
      <c r="A276" s="2" t="s">
        <v>741</v>
      </c>
      <c r="B276" s="2" t="s">
        <v>919</v>
      </c>
      <c r="C276" s="2" t="s">
        <v>3023</v>
      </c>
      <c r="D276" s="2" t="s">
        <v>813</v>
      </c>
      <c r="E276" s="2" t="s">
        <v>96</v>
      </c>
      <c r="F276" s="2" t="s">
        <v>115</v>
      </c>
      <c r="G276" s="2"/>
      <c r="H276" s="2" t="s">
        <v>2980</v>
      </c>
      <c r="I276" s="2"/>
      <c r="J276" s="2"/>
      <c r="K276" s="2" t="s">
        <v>740</v>
      </c>
      <c r="L276" s="2" t="s">
        <v>3788</v>
      </c>
      <c r="M276" s="2" t="s">
        <v>2974</v>
      </c>
      <c r="N276" s="2" t="s">
        <v>908</v>
      </c>
      <c r="O276" s="2" t="s">
        <v>2975</v>
      </c>
      <c r="P276" s="2" t="s">
        <v>2982</v>
      </c>
      <c r="Q276" s="2">
        <v>0</v>
      </c>
      <c r="R276" s="2">
        <v>4</v>
      </c>
      <c r="S276" s="2">
        <v>0</v>
      </c>
      <c r="T276" s="2">
        <v>0</v>
      </c>
      <c r="U276" s="2">
        <v>0</v>
      </c>
      <c r="V276" s="2">
        <v>0</v>
      </c>
      <c r="W276" s="2">
        <v>0</v>
      </c>
      <c r="X276" s="2">
        <v>0</v>
      </c>
      <c r="Y276" s="2">
        <v>0</v>
      </c>
      <c r="Z276" s="2">
        <v>0</v>
      </c>
      <c r="AA276" s="2">
        <v>4</v>
      </c>
      <c r="AB276" s="2" t="s">
        <v>3789</v>
      </c>
      <c r="AC276" s="2" t="s">
        <v>3619</v>
      </c>
      <c r="AD276" s="2" t="s">
        <v>3790</v>
      </c>
    </row>
    <row r="277" s="1" customFormat="1" ht="11.25" spans="1:30">
      <c r="A277" s="2" t="s">
        <v>668</v>
      </c>
      <c r="B277" s="2" t="s">
        <v>2970</v>
      </c>
      <c r="C277" s="2" t="s">
        <v>3023</v>
      </c>
      <c r="D277" s="2" t="s">
        <v>813</v>
      </c>
      <c r="E277" s="2" t="s">
        <v>96</v>
      </c>
      <c r="F277" s="2" t="s">
        <v>115</v>
      </c>
      <c r="G277" s="2"/>
      <c r="H277" s="2" t="s">
        <v>2980</v>
      </c>
      <c r="I277" s="2"/>
      <c r="J277" s="2"/>
      <c r="K277" s="2" t="s">
        <v>667</v>
      </c>
      <c r="L277" s="2" t="s">
        <v>3114</v>
      </c>
      <c r="M277" s="2" t="s">
        <v>2974</v>
      </c>
      <c r="N277" s="2" t="s">
        <v>908</v>
      </c>
      <c r="O277" s="2" t="s">
        <v>2975</v>
      </c>
      <c r="P277" s="2" t="s">
        <v>3646</v>
      </c>
      <c r="Q277" s="2">
        <v>0</v>
      </c>
      <c r="R277" s="2">
        <v>3</v>
      </c>
      <c r="S277" s="2">
        <v>0</v>
      </c>
      <c r="T277" s="2">
        <v>0</v>
      </c>
      <c r="U277" s="2">
        <v>0</v>
      </c>
      <c r="V277" s="2">
        <v>0</v>
      </c>
      <c r="W277" s="2">
        <v>0</v>
      </c>
      <c r="X277" s="2">
        <v>0</v>
      </c>
      <c r="Y277" s="2">
        <v>0</v>
      </c>
      <c r="Z277" s="2">
        <v>0</v>
      </c>
      <c r="AA277" s="2">
        <v>3</v>
      </c>
      <c r="AB277" s="2" t="s">
        <v>3590</v>
      </c>
      <c r="AC277" s="2" t="s">
        <v>3791</v>
      </c>
      <c r="AD277" s="2" t="s">
        <v>3116</v>
      </c>
    </row>
    <row r="278" s="1" customFormat="1" ht="11.25" spans="1:30">
      <c r="A278" s="2" t="s">
        <v>670</v>
      </c>
      <c r="B278" s="2" t="s">
        <v>919</v>
      </c>
      <c r="C278" s="2" t="s">
        <v>3008</v>
      </c>
      <c r="D278" s="2" t="s">
        <v>813</v>
      </c>
      <c r="E278" s="2" t="s">
        <v>96</v>
      </c>
      <c r="F278" s="2" t="s">
        <v>186</v>
      </c>
      <c r="G278" s="2"/>
      <c r="H278" s="2" t="s">
        <v>2980</v>
      </c>
      <c r="I278" s="2"/>
      <c r="J278" s="2"/>
      <c r="K278" s="2" t="s">
        <v>669</v>
      </c>
      <c r="L278" s="2" t="s">
        <v>3792</v>
      </c>
      <c r="M278" s="2" t="s">
        <v>2974</v>
      </c>
      <c r="N278" s="2" t="s">
        <v>908</v>
      </c>
      <c r="O278" s="2" t="s">
        <v>2975</v>
      </c>
      <c r="P278" s="2" t="s">
        <v>3793</v>
      </c>
      <c r="Q278" s="2">
        <v>0.06</v>
      </c>
      <c r="R278" s="2">
        <v>3</v>
      </c>
      <c r="S278" s="2">
        <v>50</v>
      </c>
      <c r="T278" s="2">
        <v>750</v>
      </c>
      <c r="U278" s="2">
        <v>0</v>
      </c>
      <c r="V278" s="2">
        <v>0</v>
      </c>
      <c r="W278" s="2">
        <v>0</v>
      </c>
      <c r="X278" s="2">
        <v>0</v>
      </c>
      <c r="Y278" s="2">
        <v>0</v>
      </c>
      <c r="Z278" s="2">
        <v>0</v>
      </c>
      <c r="AA278" s="2">
        <v>3</v>
      </c>
      <c r="AB278" s="2" t="s">
        <v>2977</v>
      </c>
      <c r="AC278" s="2" t="s">
        <v>3219</v>
      </c>
      <c r="AD278" s="2" t="s">
        <v>3794</v>
      </c>
    </row>
    <row r="279" s="1" customFormat="1" ht="11.25" spans="1:30">
      <c r="A279" s="2" t="s">
        <v>269</v>
      </c>
      <c r="B279" s="2" t="s">
        <v>2970</v>
      </c>
      <c r="C279" s="2" t="s">
        <v>3023</v>
      </c>
      <c r="D279" s="2" t="s">
        <v>813</v>
      </c>
      <c r="E279" s="2" t="s">
        <v>108</v>
      </c>
      <c r="F279" s="2" t="s">
        <v>927</v>
      </c>
      <c r="G279" s="2"/>
      <c r="H279" s="2" t="s">
        <v>2980</v>
      </c>
      <c r="I279" s="2"/>
      <c r="J279" s="2"/>
      <c r="K279" s="2" t="s">
        <v>1886</v>
      </c>
      <c r="L279" s="2" t="s">
        <v>3795</v>
      </c>
      <c r="M279" s="2" t="s">
        <v>2974</v>
      </c>
      <c r="N279" s="2" t="s">
        <v>908</v>
      </c>
      <c r="O279" s="2" t="s">
        <v>2975</v>
      </c>
      <c r="P279" s="2" t="s">
        <v>3796</v>
      </c>
      <c r="Q279" s="2">
        <v>0.07</v>
      </c>
      <c r="R279" s="2">
        <v>3</v>
      </c>
      <c r="S279" s="2">
        <v>43</v>
      </c>
      <c r="T279" s="2">
        <v>0</v>
      </c>
      <c r="U279" s="2">
        <v>0</v>
      </c>
      <c r="V279" s="2">
        <v>0</v>
      </c>
      <c r="W279" s="2">
        <v>0</v>
      </c>
      <c r="X279" s="2">
        <v>0</v>
      </c>
      <c r="Y279" s="2">
        <v>0</v>
      </c>
      <c r="Z279" s="2">
        <v>0</v>
      </c>
      <c r="AA279" s="2">
        <v>3</v>
      </c>
      <c r="AB279" s="2" t="s">
        <v>3229</v>
      </c>
      <c r="AC279" s="2" t="s">
        <v>3219</v>
      </c>
      <c r="AD279" s="2" t="s">
        <v>3760</v>
      </c>
    </row>
    <row r="280" s="1" customFormat="1" ht="11.25" spans="1:30">
      <c r="A280" s="2" t="s">
        <v>829</v>
      </c>
      <c r="B280" s="2" t="s">
        <v>2970</v>
      </c>
      <c r="C280" s="2" t="s">
        <v>3023</v>
      </c>
      <c r="D280" s="2" t="s">
        <v>813</v>
      </c>
      <c r="E280" s="2" t="s">
        <v>96</v>
      </c>
      <c r="F280" s="2" t="s">
        <v>97</v>
      </c>
      <c r="G280" s="2"/>
      <c r="H280" s="2" t="s">
        <v>2980</v>
      </c>
      <c r="I280" s="2"/>
      <c r="J280" s="2"/>
      <c r="K280" s="2" t="s">
        <v>828</v>
      </c>
      <c r="L280" s="2" t="s">
        <v>3797</v>
      </c>
      <c r="M280" s="2" t="s">
        <v>2974</v>
      </c>
      <c r="N280" s="2" t="s">
        <v>908</v>
      </c>
      <c r="O280" s="2" t="s">
        <v>2975</v>
      </c>
      <c r="P280" s="2" t="s">
        <v>2982</v>
      </c>
      <c r="Q280" s="2">
        <v>0</v>
      </c>
      <c r="R280" s="2">
        <v>3</v>
      </c>
      <c r="S280" s="2">
        <v>0</v>
      </c>
      <c r="T280" s="2">
        <v>0</v>
      </c>
      <c r="U280" s="2">
        <v>0</v>
      </c>
      <c r="V280" s="2">
        <v>0</v>
      </c>
      <c r="W280" s="2">
        <v>0</v>
      </c>
      <c r="X280" s="2">
        <v>0</v>
      </c>
      <c r="Y280" s="2">
        <v>0</v>
      </c>
      <c r="Z280" s="2">
        <v>0</v>
      </c>
      <c r="AA280" s="2">
        <v>3</v>
      </c>
      <c r="AB280" s="2" t="s">
        <v>3798</v>
      </c>
      <c r="AC280" s="2" t="s">
        <v>3219</v>
      </c>
      <c r="AD280" s="2" t="s">
        <v>3799</v>
      </c>
    </row>
    <row r="281" s="1" customFormat="1" ht="11.25" spans="1:30">
      <c r="A281" s="2" t="s">
        <v>803</v>
      </c>
      <c r="B281" s="2" t="s">
        <v>2970</v>
      </c>
      <c r="C281" s="2" t="s">
        <v>3023</v>
      </c>
      <c r="D281" s="2" t="s">
        <v>813</v>
      </c>
      <c r="E281" s="2" t="s">
        <v>96</v>
      </c>
      <c r="F281" s="2" t="s">
        <v>97</v>
      </c>
      <c r="G281" s="2"/>
      <c r="H281" s="2" t="s">
        <v>2980</v>
      </c>
      <c r="I281" s="2"/>
      <c r="J281" s="2"/>
      <c r="K281" s="2" t="s">
        <v>802</v>
      </c>
      <c r="L281" s="2" t="s">
        <v>3800</v>
      </c>
      <c r="M281" s="2" t="s">
        <v>2974</v>
      </c>
      <c r="N281" s="2" t="s">
        <v>908</v>
      </c>
      <c r="O281" s="2" t="s">
        <v>2975</v>
      </c>
      <c r="P281" s="2" t="s">
        <v>2982</v>
      </c>
      <c r="Q281" s="2">
        <v>0</v>
      </c>
      <c r="R281" s="2">
        <v>3</v>
      </c>
      <c r="S281" s="2">
        <v>0</v>
      </c>
      <c r="T281" s="2">
        <v>0</v>
      </c>
      <c r="U281" s="2">
        <v>0</v>
      </c>
      <c r="V281" s="2">
        <v>0</v>
      </c>
      <c r="W281" s="2">
        <v>0</v>
      </c>
      <c r="X281" s="2">
        <v>0</v>
      </c>
      <c r="Y281" s="2">
        <v>0</v>
      </c>
      <c r="Z281" s="2">
        <v>0</v>
      </c>
      <c r="AA281" s="2">
        <v>3</v>
      </c>
      <c r="AB281" s="2" t="s">
        <v>3430</v>
      </c>
      <c r="AC281" s="2" t="s">
        <v>3219</v>
      </c>
      <c r="AD281" s="2" t="s">
        <v>3801</v>
      </c>
    </row>
    <row r="282" s="1" customFormat="1" ht="11.25" spans="1:30">
      <c r="A282" s="2" t="s">
        <v>191</v>
      </c>
      <c r="B282" s="2" t="s">
        <v>2970</v>
      </c>
      <c r="C282" s="2" t="s">
        <v>3023</v>
      </c>
      <c r="D282" s="2" t="s">
        <v>813</v>
      </c>
      <c r="E282" s="2" t="s">
        <v>96</v>
      </c>
      <c r="F282" s="2" t="s">
        <v>97</v>
      </c>
      <c r="G282" s="2"/>
      <c r="H282" s="2" t="s">
        <v>2980</v>
      </c>
      <c r="I282" s="2"/>
      <c r="J282" s="2"/>
      <c r="K282" s="2" t="s">
        <v>190</v>
      </c>
      <c r="L282" s="2" t="s">
        <v>3802</v>
      </c>
      <c r="M282" s="2" t="s">
        <v>2974</v>
      </c>
      <c r="N282" s="2" t="s">
        <v>908</v>
      </c>
      <c r="O282" s="2" t="s">
        <v>2975</v>
      </c>
      <c r="P282" s="2" t="s">
        <v>3328</v>
      </c>
      <c r="Q282" s="2">
        <v>0.12</v>
      </c>
      <c r="R282" s="2">
        <v>3</v>
      </c>
      <c r="S282" s="2">
        <v>25</v>
      </c>
      <c r="T282" s="2">
        <v>0</v>
      </c>
      <c r="U282" s="2">
        <v>0</v>
      </c>
      <c r="V282" s="2">
        <v>0</v>
      </c>
      <c r="W282" s="2">
        <v>0</v>
      </c>
      <c r="X282" s="2">
        <v>0</v>
      </c>
      <c r="Y282" s="2">
        <v>0</v>
      </c>
      <c r="Z282" s="2">
        <v>0</v>
      </c>
      <c r="AA282" s="2">
        <v>3</v>
      </c>
      <c r="AB282" s="2" t="s">
        <v>3054</v>
      </c>
      <c r="AC282" s="2" t="s">
        <v>2667</v>
      </c>
      <c r="AD282" s="2" t="s">
        <v>3803</v>
      </c>
    </row>
    <row r="283" s="1" customFormat="1" ht="11.25" spans="1:30">
      <c r="A283" s="2" t="s">
        <v>313</v>
      </c>
      <c r="B283" s="2" t="s">
        <v>919</v>
      </c>
      <c r="C283" s="2" t="s">
        <v>3008</v>
      </c>
      <c r="D283" s="2" t="s">
        <v>813</v>
      </c>
      <c r="E283" s="2" t="s">
        <v>108</v>
      </c>
      <c r="F283" s="2" t="s">
        <v>109</v>
      </c>
      <c r="G283" s="2"/>
      <c r="H283" s="2" t="s">
        <v>2980</v>
      </c>
      <c r="I283" s="2"/>
      <c r="J283" s="2"/>
      <c r="K283" s="2" t="s">
        <v>312</v>
      </c>
      <c r="L283" s="2" t="s">
        <v>3804</v>
      </c>
      <c r="M283" s="2" t="s">
        <v>2974</v>
      </c>
      <c r="N283" s="2" t="s">
        <v>908</v>
      </c>
      <c r="O283" s="2" t="s">
        <v>2975</v>
      </c>
      <c r="P283" s="2" t="s">
        <v>3805</v>
      </c>
      <c r="Q283" s="2">
        <v>4.21</v>
      </c>
      <c r="R283" s="2">
        <v>2</v>
      </c>
      <c r="S283" s="2">
        <v>0</v>
      </c>
      <c r="T283" s="2">
        <v>464</v>
      </c>
      <c r="U283" s="2">
        <v>0</v>
      </c>
      <c r="V283" s="2">
        <v>0</v>
      </c>
      <c r="W283" s="2">
        <v>0</v>
      </c>
      <c r="X283" s="2">
        <v>0</v>
      </c>
      <c r="Y283" s="2">
        <v>13</v>
      </c>
      <c r="Z283" s="2">
        <v>0</v>
      </c>
      <c r="AA283" s="2">
        <v>-11</v>
      </c>
      <c r="AB283" s="2" t="s">
        <v>3015</v>
      </c>
      <c r="AC283" s="2" t="s">
        <v>3065</v>
      </c>
      <c r="AD283" s="2" t="s">
        <v>3806</v>
      </c>
    </row>
    <row r="284" s="1" customFormat="1" ht="11.25" spans="1:30">
      <c r="A284" s="2" t="s">
        <v>350</v>
      </c>
      <c r="B284" s="2" t="s">
        <v>919</v>
      </c>
      <c r="C284" s="2" t="s">
        <v>3004</v>
      </c>
      <c r="D284" s="2" t="s">
        <v>813</v>
      </c>
      <c r="E284" s="2" t="s">
        <v>108</v>
      </c>
      <c r="F284" s="2" t="s">
        <v>109</v>
      </c>
      <c r="G284" s="2"/>
      <c r="H284" s="2" t="s">
        <v>2980</v>
      </c>
      <c r="I284" s="2"/>
      <c r="J284" s="2"/>
      <c r="K284" s="2" t="s">
        <v>349</v>
      </c>
      <c r="L284" s="2" t="s">
        <v>3807</v>
      </c>
      <c r="M284" s="2" t="s">
        <v>2974</v>
      </c>
      <c r="N284" s="2" t="s">
        <v>908</v>
      </c>
      <c r="O284" s="2" t="s">
        <v>2975</v>
      </c>
      <c r="P284" s="2" t="s">
        <v>3808</v>
      </c>
      <c r="Q284" s="2">
        <v>2.96</v>
      </c>
      <c r="R284" s="2">
        <v>2</v>
      </c>
      <c r="S284" s="2">
        <v>1</v>
      </c>
      <c r="T284" s="2">
        <v>282</v>
      </c>
      <c r="U284" s="2">
        <v>0</v>
      </c>
      <c r="V284" s="2">
        <v>0</v>
      </c>
      <c r="W284" s="2">
        <v>0</v>
      </c>
      <c r="X284" s="2">
        <v>0</v>
      </c>
      <c r="Y284" s="2">
        <v>13</v>
      </c>
      <c r="Z284" s="2">
        <v>0</v>
      </c>
      <c r="AA284" s="2">
        <v>-11</v>
      </c>
      <c r="AB284" s="2" t="s">
        <v>3011</v>
      </c>
      <c r="AC284" s="2" t="s">
        <v>2997</v>
      </c>
      <c r="AD284" s="2" t="s">
        <v>3809</v>
      </c>
    </row>
    <row r="285" s="1" customFormat="1" ht="11.25" spans="1:30">
      <c r="A285" s="2" t="s">
        <v>2073</v>
      </c>
      <c r="B285" s="2" t="s">
        <v>2970</v>
      </c>
      <c r="C285" s="2" t="s">
        <v>2979</v>
      </c>
      <c r="D285" s="2" t="s">
        <v>813</v>
      </c>
      <c r="E285" s="2" t="s">
        <v>96</v>
      </c>
      <c r="F285" s="2" t="s">
        <v>186</v>
      </c>
      <c r="G285" s="2"/>
      <c r="H285" s="2" t="s">
        <v>2980</v>
      </c>
      <c r="I285" s="2"/>
      <c r="J285" s="2"/>
      <c r="K285" s="2" t="s">
        <v>2074</v>
      </c>
      <c r="L285" s="2" t="s">
        <v>3810</v>
      </c>
      <c r="M285" s="2" t="s">
        <v>2974</v>
      </c>
      <c r="N285" s="2" t="s">
        <v>908</v>
      </c>
      <c r="O285" s="2" t="s">
        <v>2975</v>
      </c>
      <c r="P285" s="2" t="s">
        <v>2982</v>
      </c>
      <c r="Q285" s="2">
        <v>0</v>
      </c>
      <c r="R285" s="2">
        <v>2</v>
      </c>
      <c r="S285" s="2">
        <v>0</v>
      </c>
      <c r="T285" s="2">
        <v>0</v>
      </c>
      <c r="U285" s="2">
        <v>0</v>
      </c>
      <c r="V285" s="2">
        <v>0</v>
      </c>
      <c r="W285" s="2">
        <v>0</v>
      </c>
      <c r="X285" s="2">
        <v>0</v>
      </c>
      <c r="Y285" s="2">
        <v>0</v>
      </c>
      <c r="Z285" s="2">
        <v>0</v>
      </c>
      <c r="AA285" s="2">
        <v>2</v>
      </c>
      <c r="AB285" s="2" t="s">
        <v>3011</v>
      </c>
      <c r="AC285" s="2" t="s">
        <v>3334</v>
      </c>
      <c r="AD285" s="2" t="s">
        <v>3811</v>
      </c>
    </row>
    <row r="286" s="1" customFormat="1" ht="11.25" spans="1:30">
      <c r="A286" s="2" t="s">
        <v>1702</v>
      </c>
      <c r="B286" s="2" t="s">
        <v>919</v>
      </c>
      <c r="C286" s="2" t="s">
        <v>2979</v>
      </c>
      <c r="D286" s="2" t="s">
        <v>813</v>
      </c>
      <c r="E286" s="2" t="s">
        <v>108</v>
      </c>
      <c r="F286" s="2" t="s">
        <v>168</v>
      </c>
      <c r="G286" s="2"/>
      <c r="H286" s="2" t="s">
        <v>2980</v>
      </c>
      <c r="I286" s="2"/>
      <c r="J286" s="2"/>
      <c r="K286" s="2" t="s">
        <v>1703</v>
      </c>
      <c r="L286" s="2" t="s">
        <v>3812</v>
      </c>
      <c r="M286" s="2" t="s">
        <v>2974</v>
      </c>
      <c r="N286" s="2" t="s">
        <v>908</v>
      </c>
      <c r="O286" s="2" t="s">
        <v>2975</v>
      </c>
      <c r="P286" s="2" t="s">
        <v>3813</v>
      </c>
      <c r="Q286" s="2">
        <v>0.29</v>
      </c>
      <c r="R286" s="2">
        <v>2</v>
      </c>
      <c r="S286" s="2">
        <v>7</v>
      </c>
      <c r="T286" s="2">
        <v>0</v>
      </c>
      <c r="U286" s="2">
        <v>0</v>
      </c>
      <c r="V286" s="2">
        <v>0</v>
      </c>
      <c r="W286" s="2">
        <v>0</v>
      </c>
      <c r="X286" s="2">
        <v>0</v>
      </c>
      <c r="Y286" s="2">
        <v>0</v>
      </c>
      <c r="Z286" s="2">
        <v>0</v>
      </c>
      <c r="AA286" s="2">
        <v>2</v>
      </c>
      <c r="AB286" s="2" t="s">
        <v>3249</v>
      </c>
      <c r="AC286" s="2" t="s">
        <v>2997</v>
      </c>
      <c r="AD286" s="2"/>
    </row>
    <row r="287" s="1" customFormat="1" ht="11.25" spans="1:30">
      <c r="A287" s="2" t="s">
        <v>807</v>
      </c>
      <c r="B287" s="2" t="s">
        <v>2970</v>
      </c>
      <c r="C287" s="2" t="s">
        <v>3023</v>
      </c>
      <c r="D287" s="2" t="s">
        <v>813</v>
      </c>
      <c r="E287" s="2" t="s">
        <v>96</v>
      </c>
      <c r="F287" s="2" t="s">
        <v>103</v>
      </c>
      <c r="G287" s="2"/>
      <c r="H287" s="2" t="s">
        <v>2980</v>
      </c>
      <c r="I287" s="2"/>
      <c r="J287" s="2"/>
      <c r="K287" s="2" t="s">
        <v>806</v>
      </c>
      <c r="L287" s="2" t="s">
        <v>3814</v>
      </c>
      <c r="M287" s="2" t="s">
        <v>2974</v>
      </c>
      <c r="N287" s="2" t="s">
        <v>908</v>
      </c>
      <c r="O287" s="2" t="s">
        <v>2975</v>
      </c>
      <c r="P287" s="2" t="s">
        <v>2982</v>
      </c>
      <c r="Q287" s="2">
        <v>0</v>
      </c>
      <c r="R287" s="2">
        <v>2</v>
      </c>
      <c r="S287" s="2">
        <v>0</v>
      </c>
      <c r="T287" s="2">
        <v>0</v>
      </c>
      <c r="U287" s="2">
        <v>0</v>
      </c>
      <c r="V287" s="2">
        <v>0</v>
      </c>
      <c r="W287" s="2">
        <v>0</v>
      </c>
      <c r="X287" s="2">
        <v>0</v>
      </c>
      <c r="Y287" s="2">
        <v>0</v>
      </c>
      <c r="Z287" s="2">
        <v>0</v>
      </c>
      <c r="AA287" s="2">
        <v>2</v>
      </c>
      <c r="AB287" s="2" t="s">
        <v>3815</v>
      </c>
      <c r="AC287" s="2" t="s">
        <v>1083</v>
      </c>
      <c r="AD287" s="2" t="s">
        <v>3816</v>
      </c>
    </row>
    <row r="288" s="1" customFormat="1" ht="11.25" spans="1:30">
      <c r="A288" s="2" t="s">
        <v>271</v>
      </c>
      <c r="B288" s="2" t="s">
        <v>919</v>
      </c>
      <c r="C288" s="2" t="s">
        <v>2979</v>
      </c>
      <c r="D288" s="2" t="s">
        <v>813</v>
      </c>
      <c r="E288" s="2" t="s">
        <v>96</v>
      </c>
      <c r="F288" s="2" t="s">
        <v>115</v>
      </c>
      <c r="G288" s="2"/>
      <c r="H288" s="2" t="s">
        <v>2980</v>
      </c>
      <c r="I288" s="2"/>
      <c r="J288" s="2"/>
      <c r="K288" s="2" t="s">
        <v>270</v>
      </c>
      <c r="L288" s="2" t="s">
        <v>3817</v>
      </c>
      <c r="M288" s="2" t="s">
        <v>2974</v>
      </c>
      <c r="N288" s="2" t="s">
        <v>908</v>
      </c>
      <c r="O288" s="2" t="s">
        <v>2975</v>
      </c>
      <c r="P288" s="2" t="s">
        <v>3818</v>
      </c>
      <c r="Q288" s="2">
        <v>2.64</v>
      </c>
      <c r="R288" s="2">
        <v>2</v>
      </c>
      <c r="S288" s="2">
        <v>1</v>
      </c>
      <c r="T288" s="2">
        <v>0</v>
      </c>
      <c r="U288" s="2">
        <v>0</v>
      </c>
      <c r="V288" s="2">
        <v>0</v>
      </c>
      <c r="W288" s="2">
        <v>0</v>
      </c>
      <c r="X288" s="2">
        <v>0</v>
      </c>
      <c r="Y288" s="2">
        <v>24</v>
      </c>
      <c r="Z288" s="2">
        <v>0</v>
      </c>
      <c r="AA288" s="2">
        <v>-22</v>
      </c>
      <c r="AB288" s="2" t="s">
        <v>3015</v>
      </c>
      <c r="AC288" s="2" t="s">
        <v>3269</v>
      </c>
      <c r="AD288" s="2" t="s">
        <v>3819</v>
      </c>
    </row>
    <row r="289" s="1" customFormat="1" ht="11.25" spans="1:30">
      <c r="A289" s="2" t="s">
        <v>854</v>
      </c>
      <c r="B289" s="2" t="s">
        <v>919</v>
      </c>
      <c r="C289" s="2" t="s">
        <v>3023</v>
      </c>
      <c r="D289" s="2" t="s">
        <v>813</v>
      </c>
      <c r="E289" s="2" t="s">
        <v>96</v>
      </c>
      <c r="F289" s="2" t="s">
        <v>115</v>
      </c>
      <c r="G289" s="2"/>
      <c r="H289" s="2" t="s">
        <v>2980</v>
      </c>
      <c r="I289" s="2"/>
      <c r="J289" s="2"/>
      <c r="K289" s="2" t="s">
        <v>853</v>
      </c>
      <c r="L289" s="2" t="s">
        <v>3820</v>
      </c>
      <c r="M289" s="2" t="s">
        <v>2974</v>
      </c>
      <c r="N289" s="2" t="s">
        <v>908</v>
      </c>
      <c r="O289" s="2" t="s">
        <v>2975</v>
      </c>
      <c r="P289" s="2" t="s">
        <v>3821</v>
      </c>
      <c r="Q289" s="2">
        <v>0.01</v>
      </c>
      <c r="R289" s="2">
        <v>2</v>
      </c>
      <c r="S289" s="2">
        <v>200</v>
      </c>
      <c r="T289" s="2">
        <v>240</v>
      </c>
      <c r="U289" s="2">
        <v>0</v>
      </c>
      <c r="V289" s="2">
        <v>0</v>
      </c>
      <c r="W289" s="2">
        <v>0</v>
      </c>
      <c r="X289" s="2">
        <v>0</v>
      </c>
      <c r="Y289" s="2">
        <v>0</v>
      </c>
      <c r="Z289" s="2">
        <v>0</v>
      </c>
      <c r="AA289" s="2">
        <v>2</v>
      </c>
      <c r="AB289" s="2" t="s">
        <v>1273</v>
      </c>
      <c r="AC289" s="2" t="s">
        <v>3169</v>
      </c>
      <c r="AD289" s="2" t="s">
        <v>3504</v>
      </c>
    </row>
    <row r="290" s="1" customFormat="1" ht="11.25" spans="1:30">
      <c r="A290" s="2" t="s">
        <v>570</v>
      </c>
      <c r="B290" s="2" t="s">
        <v>919</v>
      </c>
      <c r="C290" s="2" t="s">
        <v>2979</v>
      </c>
      <c r="D290" s="2" t="s">
        <v>813</v>
      </c>
      <c r="E290" s="2" t="s">
        <v>96</v>
      </c>
      <c r="F290" s="2" t="s">
        <v>115</v>
      </c>
      <c r="G290" s="2"/>
      <c r="H290" s="2" t="s">
        <v>2980</v>
      </c>
      <c r="I290" s="2"/>
      <c r="J290" s="2"/>
      <c r="K290" s="2" t="s">
        <v>1195</v>
      </c>
      <c r="L290" s="2" t="s">
        <v>3822</v>
      </c>
      <c r="M290" s="2" t="s">
        <v>2974</v>
      </c>
      <c r="N290" s="2" t="s">
        <v>908</v>
      </c>
      <c r="O290" s="2" t="s">
        <v>3125</v>
      </c>
      <c r="P290" s="2" t="s">
        <v>3823</v>
      </c>
      <c r="Q290" s="2">
        <v>2.97</v>
      </c>
      <c r="R290" s="2">
        <v>1</v>
      </c>
      <c r="S290" s="2">
        <v>0</v>
      </c>
      <c r="T290" s="2">
        <v>260</v>
      </c>
      <c r="U290" s="2">
        <v>0</v>
      </c>
      <c r="V290" s="2">
        <v>0</v>
      </c>
      <c r="W290" s="2">
        <v>0</v>
      </c>
      <c r="X290" s="2">
        <v>0</v>
      </c>
      <c r="Y290" s="2">
        <v>0</v>
      </c>
      <c r="Z290" s="2">
        <v>0</v>
      </c>
      <c r="AA290" s="2">
        <v>1</v>
      </c>
      <c r="AB290" s="2" t="s">
        <v>3132</v>
      </c>
      <c r="AC290" s="2" t="s">
        <v>2997</v>
      </c>
      <c r="AD290" s="2" t="s">
        <v>3824</v>
      </c>
    </row>
    <row r="291" s="1" customFormat="1" ht="11.25" spans="1:30">
      <c r="A291" s="2" t="s">
        <v>814</v>
      </c>
      <c r="B291" s="2" t="s">
        <v>919</v>
      </c>
      <c r="C291" s="2" t="s">
        <v>3023</v>
      </c>
      <c r="D291" s="2" t="s">
        <v>813</v>
      </c>
      <c r="E291" s="2" t="s">
        <v>108</v>
      </c>
      <c r="F291" s="2" t="s">
        <v>146</v>
      </c>
      <c r="G291" s="2"/>
      <c r="H291" s="2" t="s">
        <v>2980</v>
      </c>
      <c r="I291" s="2"/>
      <c r="J291" s="2"/>
      <c r="K291" s="2" t="s">
        <v>1179</v>
      </c>
      <c r="L291" s="2" t="s">
        <v>3825</v>
      </c>
      <c r="M291" s="2" t="s">
        <v>2974</v>
      </c>
      <c r="N291" s="2" t="s">
        <v>908</v>
      </c>
      <c r="O291" s="2" t="s">
        <v>3125</v>
      </c>
      <c r="P291" s="2" t="s">
        <v>3826</v>
      </c>
      <c r="Q291" s="2">
        <v>0.13</v>
      </c>
      <c r="R291" s="2">
        <v>1</v>
      </c>
      <c r="S291" s="2">
        <v>8</v>
      </c>
      <c r="T291" s="2">
        <v>50</v>
      </c>
      <c r="U291" s="2">
        <v>0</v>
      </c>
      <c r="V291" s="2">
        <v>0</v>
      </c>
      <c r="W291" s="2">
        <v>0</v>
      </c>
      <c r="X291" s="2">
        <v>0</v>
      </c>
      <c r="Y291" s="2">
        <v>0</v>
      </c>
      <c r="Z291" s="2">
        <v>0</v>
      </c>
      <c r="AA291" s="2">
        <v>1</v>
      </c>
      <c r="AB291" s="2" t="s">
        <v>1147</v>
      </c>
      <c r="AC291" s="2" t="s">
        <v>3015</v>
      </c>
      <c r="AD291" s="2" t="s">
        <v>3827</v>
      </c>
    </row>
    <row r="292" s="1" customFormat="1" ht="11.25" spans="1:30">
      <c r="A292" s="2" t="s">
        <v>845</v>
      </c>
      <c r="B292" s="2" t="s">
        <v>2970</v>
      </c>
      <c r="C292" s="2" t="s">
        <v>3023</v>
      </c>
      <c r="D292" s="2" t="s">
        <v>813</v>
      </c>
      <c r="E292" s="2" t="s">
        <v>96</v>
      </c>
      <c r="F292" s="2" t="s">
        <v>97</v>
      </c>
      <c r="G292" s="2"/>
      <c r="H292" s="2" t="s">
        <v>2980</v>
      </c>
      <c r="I292" s="2"/>
      <c r="J292" s="2"/>
      <c r="K292" s="2" t="s">
        <v>844</v>
      </c>
      <c r="L292" s="2" t="s">
        <v>3828</v>
      </c>
      <c r="M292" s="2" t="s">
        <v>2974</v>
      </c>
      <c r="N292" s="2" t="s">
        <v>908</v>
      </c>
      <c r="O292" s="2" t="s">
        <v>2975</v>
      </c>
      <c r="P292" s="2" t="s">
        <v>2982</v>
      </c>
      <c r="Q292" s="2">
        <v>0</v>
      </c>
      <c r="R292" s="2">
        <v>1</v>
      </c>
      <c r="S292" s="2">
        <v>0</v>
      </c>
      <c r="T292" s="2">
        <v>0</v>
      </c>
      <c r="U292" s="2">
        <v>0</v>
      </c>
      <c r="V292" s="2">
        <v>0</v>
      </c>
      <c r="W292" s="2">
        <v>0</v>
      </c>
      <c r="X292" s="2">
        <v>0</v>
      </c>
      <c r="Y292" s="2">
        <v>0</v>
      </c>
      <c r="Z292" s="2">
        <v>0</v>
      </c>
      <c r="AA292" s="2">
        <v>1</v>
      </c>
      <c r="AB292" s="2" t="s">
        <v>3334</v>
      </c>
      <c r="AC292" s="2" t="s">
        <v>1345</v>
      </c>
      <c r="AD292" s="2" t="s">
        <v>3829</v>
      </c>
    </row>
    <row r="293" s="1" customFormat="1" ht="11.25" spans="1:30">
      <c r="A293" s="2" t="s">
        <v>583</v>
      </c>
      <c r="B293" s="2" t="s">
        <v>919</v>
      </c>
      <c r="C293" s="2" t="s">
        <v>2979</v>
      </c>
      <c r="D293" s="2" t="s">
        <v>813</v>
      </c>
      <c r="E293" s="2" t="s">
        <v>96</v>
      </c>
      <c r="F293" s="2" t="s">
        <v>127</v>
      </c>
      <c r="G293" s="2"/>
      <c r="H293" s="2" t="s">
        <v>2980</v>
      </c>
      <c r="I293" s="2"/>
      <c r="J293" s="2"/>
      <c r="K293" s="2" t="s">
        <v>581</v>
      </c>
      <c r="L293" s="2" t="s">
        <v>3240</v>
      </c>
      <c r="M293" s="2" t="s">
        <v>2974</v>
      </c>
      <c r="N293" s="2" t="s">
        <v>908</v>
      </c>
      <c r="O293" s="2" t="s">
        <v>2975</v>
      </c>
      <c r="P293" s="2" t="s">
        <v>2982</v>
      </c>
      <c r="Q293" s="2">
        <v>0</v>
      </c>
      <c r="R293" s="2">
        <v>1</v>
      </c>
      <c r="S293" s="2">
        <v>0</v>
      </c>
      <c r="T293" s="2">
        <v>500</v>
      </c>
      <c r="U293" s="2">
        <v>0</v>
      </c>
      <c r="V293" s="2">
        <v>0</v>
      </c>
      <c r="W293" s="2">
        <v>0</v>
      </c>
      <c r="X293" s="2">
        <v>0</v>
      </c>
      <c r="Y293" s="2">
        <v>0</v>
      </c>
      <c r="Z293" s="2">
        <v>0</v>
      </c>
      <c r="AA293" s="2">
        <v>1</v>
      </c>
      <c r="AB293" s="2" t="s">
        <v>3830</v>
      </c>
      <c r="AC293" s="2" t="s">
        <v>3065</v>
      </c>
      <c r="AD293" s="2" t="s">
        <v>3831</v>
      </c>
    </row>
    <row r="294" s="1" customFormat="1" ht="11.25" spans="1:30">
      <c r="A294" s="2" t="s">
        <v>1572</v>
      </c>
      <c r="B294" s="2" t="s">
        <v>2970</v>
      </c>
      <c r="C294" s="2" t="s">
        <v>3023</v>
      </c>
      <c r="D294" s="2" t="s">
        <v>813</v>
      </c>
      <c r="E294" s="2" t="s">
        <v>96</v>
      </c>
      <c r="F294" s="2" t="s">
        <v>186</v>
      </c>
      <c r="G294" s="2"/>
      <c r="H294" s="2" t="s">
        <v>2980</v>
      </c>
      <c r="I294" s="2"/>
      <c r="J294" s="2"/>
      <c r="K294" s="2" t="s">
        <v>773</v>
      </c>
      <c r="L294" s="2" t="s">
        <v>3160</v>
      </c>
      <c r="M294" s="2" t="s">
        <v>2974</v>
      </c>
      <c r="N294" s="2" t="s">
        <v>908</v>
      </c>
      <c r="O294" s="2" t="s">
        <v>2975</v>
      </c>
      <c r="P294" s="2" t="s">
        <v>2982</v>
      </c>
      <c r="Q294" s="2">
        <v>0</v>
      </c>
      <c r="R294" s="2">
        <v>1</v>
      </c>
      <c r="S294" s="2">
        <v>0</v>
      </c>
      <c r="T294" s="2">
        <v>0</v>
      </c>
      <c r="U294" s="2">
        <v>0</v>
      </c>
      <c r="V294" s="2">
        <v>0</v>
      </c>
      <c r="W294" s="2">
        <v>0</v>
      </c>
      <c r="X294" s="2">
        <v>0</v>
      </c>
      <c r="Y294" s="2">
        <v>0</v>
      </c>
      <c r="Z294" s="2">
        <v>0</v>
      </c>
      <c r="AA294" s="2">
        <v>1</v>
      </c>
      <c r="AB294" s="2" t="s">
        <v>3832</v>
      </c>
      <c r="AC294" s="2" t="s">
        <v>3169</v>
      </c>
      <c r="AD294" s="2" t="s">
        <v>3833</v>
      </c>
    </row>
    <row r="295" s="1" customFormat="1" ht="11.25" spans="1:30">
      <c r="A295" s="2" t="s">
        <v>849</v>
      </c>
      <c r="B295" s="2" t="s">
        <v>2970</v>
      </c>
      <c r="C295" s="2" t="s">
        <v>3023</v>
      </c>
      <c r="D295" s="2" t="s">
        <v>813</v>
      </c>
      <c r="E295" s="2" t="s">
        <v>96</v>
      </c>
      <c r="F295" s="2" t="s">
        <v>115</v>
      </c>
      <c r="G295" s="2"/>
      <c r="H295" s="2" t="s">
        <v>2980</v>
      </c>
      <c r="I295" s="2"/>
      <c r="J295" s="2"/>
      <c r="K295" s="2" t="s">
        <v>848</v>
      </c>
      <c r="L295" s="2" t="s">
        <v>3834</v>
      </c>
      <c r="M295" s="2" t="s">
        <v>2974</v>
      </c>
      <c r="N295" s="2" t="s">
        <v>908</v>
      </c>
      <c r="O295" s="2" t="s">
        <v>2975</v>
      </c>
      <c r="P295" s="2" t="s">
        <v>2982</v>
      </c>
      <c r="Q295" s="2">
        <v>0</v>
      </c>
      <c r="R295" s="2">
        <v>1</v>
      </c>
      <c r="S295" s="2">
        <v>0</v>
      </c>
      <c r="T295" s="2">
        <v>0</v>
      </c>
      <c r="U295" s="2">
        <v>0</v>
      </c>
      <c r="V295" s="2">
        <v>0</v>
      </c>
      <c r="W295" s="2">
        <v>0</v>
      </c>
      <c r="X295" s="2">
        <v>0</v>
      </c>
      <c r="Y295" s="2">
        <v>0</v>
      </c>
      <c r="Z295" s="2">
        <v>0</v>
      </c>
      <c r="AA295" s="2">
        <v>1</v>
      </c>
      <c r="AB295" s="2" t="s">
        <v>3490</v>
      </c>
      <c r="AC295" s="2" t="s">
        <v>3470</v>
      </c>
      <c r="AD295" s="2" t="s">
        <v>3835</v>
      </c>
    </row>
    <row r="296" s="1" customFormat="1" ht="11.25" spans="1:30">
      <c r="A296" s="2" t="s">
        <v>635</v>
      </c>
      <c r="B296" s="2" t="s">
        <v>2970</v>
      </c>
      <c r="C296" s="2" t="s">
        <v>3023</v>
      </c>
      <c r="D296" s="2" t="s">
        <v>813</v>
      </c>
      <c r="E296" s="2" t="s">
        <v>96</v>
      </c>
      <c r="F296" s="2" t="s">
        <v>115</v>
      </c>
      <c r="G296" s="2"/>
      <c r="H296" s="2" t="s">
        <v>2980</v>
      </c>
      <c r="I296" s="2"/>
      <c r="J296" s="2"/>
      <c r="K296" s="2" t="s">
        <v>634</v>
      </c>
      <c r="L296" s="2" t="s">
        <v>3201</v>
      </c>
      <c r="M296" s="2" t="s">
        <v>2974</v>
      </c>
      <c r="N296" s="2" t="s">
        <v>908</v>
      </c>
      <c r="O296" s="2" t="s">
        <v>2975</v>
      </c>
      <c r="P296" s="2" t="s">
        <v>3486</v>
      </c>
      <c r="Q296" s="2">
        <v>0</v>
      </c>
      <c r="R296" s="2">
        <v>1</v>
      </c>
      <c r="S296" s="2">
        <v>0</v>
      </c>
      <c r="T296" s="2">
        <v>0</v>
      </c>
      <c r="U296" s="2">
        <v>0</v>
      </c>
      <c r="V296" s="2">
        <v>0</v>
      </c>
      <c r="W296" s="2">
        <v>0</v>
      </c>
      <c r="X296" s="2">
        <v>0</v>
      </c>
      <c r="Y296" s="2">
        <v>0</v>
      </c>
      <c r="Z296" s="2">
        <v>0</v>
      </c>
      <c r="AA296" s="2">
        <v>1</v>
      </c>
      <c r="AB296" s="2" t="s">
        <v>3705</v>
      </c>
      <c r="AC296" s="2" t="s">
        <v>3169</v>
      </c>
      <c r="AD296" s="2" t="s">
        <v>3203</v>
      </c>
    </row>
    <row r="297" s="1" customFormat="1" ht="11.25" spans="1:30">
      <c r="A297" s="2" t="s">
        <v>676</v>
      </c>
      <c r="B297" s="2" t="s">
        <v>919</v>
      </c>
      <c r="C297" s="2" t="s">
        <v>3008</v>
      </c>
      <c r="D297" s="2" t="s">
        <v>813</v>
      </c>
      <c r="E297" s="2" t="s">
        <v>96</v>
      </c>
      <c r="F297" s="2" t="s">
        <v>186</v>
      </c>
      <c r="G297" s="2"/>
      <c r="H297" s="2" t="s">
        <v>2980</v>
      </c>
      <c r="I297" s="2"/>
      <c r="J297" s="2"/>
      <c r="K297" s="2" t="s">
        <v>675</v>
      </c>
      <c r="L297" s="2" t="s">
        <v>3836</v>
      </c>
      <c r="M297" s="2" t="s">
        <v>2974</v>
      </c>
      <c r="N297" s="2" t="s">
        <v>908</v>
      </c>
      <c r="O297" s="2" t="s">
        <v>2975</v>
      </c>
      <c r="P297" s="2" t="s">
        <v>3837</v>
      </c>
      <c r="Q297" s="2">
        <v>0.28</v>
      </c>
      <c r="R297" s="2">
        <v>1</v>
      </c>
      <c r="S297" s="2">
        <v>4</v>
      </c>
      <c r="T297" s="2">
        <v>2656</v>
      </c>
      <c r="U297" s="2">
        <v>0</v>
      </c>
      <c r="V297" s="2">
        <v>0</v>
      </c>
      <c r="W297" s="2">
        <v>0</v>
      </c>
      <c r="X297" s="2">
        <v>0</v>
      </c>
      <c r="Y297" s="2">
        <v>3</v>
      </c>
      <c r="Z297" s="2">
        <v>0</v>
      </c>
      <c r="AA297" s="2">
        <v>-2</v>
      </c>
      <c r="AB297" s="2" t="s">
        <v>3196</v>
      </c>
      <c r="AC297" s="2" t="s">
        <v>3196</v>
      </c>
      <c r="AD297" s="2" t="s">
        <v>3838</v>
      </c>
    </row>
    <row r="298" s="1" customFormat="1" ht="11.25" spans="1:30">
      <c r="A298" s="2" t="s">
        <v>2088</v>
      </c>
      <c r="B298" s="2" t="s">
        <v>2970</v>
      </c>
      <c r="C298" s="2" t="s">
        <v>3023</v>
      </c>
      <c r="D298" s="2" t="s">
        <v>813</v>
      </c>
      <c r="E298" s="2" t="s">
        <v>96</v>
      </c>
      <c r="F298" s="2" t="s">
        <v>186</v>
      </c>
      <c r="G298" s="2"/>
      <c r="H298" s="2" t="s">
        <v>2980</v>
      </c>
      <c r="I298" s="2"/>
      <c r="J298" s="2"/>
      <c r="K298" s="2" t="s">
        <v>2089</v>
      </c>
      <c r="L298" s="2" t="s">
        <v>3839</v>
      </c>
      <c r="M298" s="2" t="s">
        <v>2974</v>
      </c>
      <c r="N298" s="2" t="s">
        <v>908</v>
      </c>
      <c r="O298" s="2" t="s">
        <v>2975</v>
      </c>
      <c r="P298" s="2" t="s">
        <v>2982</v>
      </c>
      <c r="Q298" s="2">
        <v>0</v>
      </c>
      <c r="R298" s="2">
        <v>1</v>
      </c>
      <c r="S298" s="2">
        <v>0</v>
      </c>
      <c r="T298" s="2">
        <v>0</v>
      </c>
      <c r="U298" s="2">
        <v>0</v>
      </c>
      <c r="V298" s="2">
        <v>0</v>
      </c>
      <c r="W298" s="2">
        <v>0</v>
      </c>
      <c r="X298" s="2">
        <v>0</v>
      </c>
      <c r="Y298" s="2">
        <v>0</v>
      </c>
      <c r="Z298" s="2">
        <v>0</v>
      </c>
      <c r="AA298" s="2">
        <v>1</v>
      </c>
      <c r="AB298" s="2" t="s">
        <v>3840</v>
      </c>
      <c r="AC298" s="2" t="s">
        <v>3721</v>
      </c>
      <c r="AD298" s="2" t="s">
        <v>3841</v>
      </c>
    </row>
    <row r="299" s="1" customFormat="1" ht="11.25" spans="1:30">
      <c r="A299" s="2" t="s">
        <v>123</v>
      </c>
      <c r="B299" s="2" t="s">
        <v>919</v>
      </c>
      <c r="C299" s="2" t="s">
        <v>2979</v>
      </c>
      <c r="D299" s="2" t="s">
        <v>813</v>
      </c>
      <c r="E299" s="2" t="s">
        <v>108</v>
      </c>
      <c r="F299" s="2" t="s">
        <v>927</v>
      </c>
      <c r="G299" s="2"/>
      <c r="H299" s="2" t="s">
        <v>2980</v>
      </c>
      <c r="I299" s="2"/>
      <c r="J299" s="2"/>
      <c r="K299" s="2" t="s">
        <v>1979</v>
      </c>
      <c r="L299" s="2" t="s">
        <v>3842</v>
      </c>
      <c r="M299" s="2" t="s">
        <v>2974</v>
      </c>
      <c r="N299" s="2" t="s">
        <v>908</v>
      </c>
      <c r="O299" s="2" t="s">
        <v>2975</v>
      </c>
      <c r="P299" s="2" t="s">
        <v>3843</v>
      </c>
      <c r="Q299" s="2">
        <v>1.48</v>
      </c>
      <c r="R299" s="2">
        <v>1</v>
      </c>
      <c r="S299" s="2">
        <v>1</v>
      </c>
      <c r="T299" s="2">
        <v>120</v>
      </c>
      <c r="U299" s="2">
        <v>0</v>
      </c>
      <c r="V299" s="2">
        <v>0</v>
      </c>
      <c r="W299" s="2">
        <v>0</v>
      </c>
      <c r="X299" s="2">
        <v>0</v>
      </c>
      <c r="Y299" s="2">
        <v>2</v>
      </c>
      <c r="Z299" s="2">
        <v>0</v>
      </c>
      <c r="AA299" s="2">
        <v>-1</v>
      </c>
      <c r="AB299" s="2" t="s">
        <v>2993</v>
      </c>
      <c r="AC299" s="2" t="s">
        <v>2993</v>
      </c>
      <c r="AD299" s="2" t="s">
        <v>3844</v>
      </c>
    </row>
    <row r="300" s="1" customFormat="1" ht="11.25" spans="1:30">
      <c r="A300" s="2" t="s">
        <v>370</v>
      </c>
      <c r="B300" s="2" t="s">
        <v>919</v>
      </c>
      <c r="C300" s="2" t="s">
        <v>2979</v>
      </c>
      <c r="D300" s="2" t="s">
        <v>813</v>
      </c>
      <c r="E300" s="2" t="s">
        <v>108</v>
      </c>
      <c r="F300" s="2" t="s">
        <v>109</v>
      </c>
      <c r="G300" s="2"/>
      <c r="H300" s="2" t="s">
        <v>2980</v>
      </c>
      <c r="I300" s="2"/>
      <c r="J300" s="2"/>
      <c r="K300" s="2" t="s">
        <v>369</v>
      </c>
      <c r="L300" s="2" t="s">
        <v>3845</v>
      </c>
      <c r="M300" s="2" t="s">
        <v>2974</v>
      </c>
      <c r="N300" s="2" t="s">
        <v>908</v>
      </c>
      <c r="O300" s="2" t="s">
        <v>2975</v>
      </c>
      <c r="P300" s="2" t="s">
        <v>3846</v>
      </c>
      <c r="Q300" s="2">
        <v>1.72</v>
      </c>
      <c r="R300" s="2">
        <v>1</v>
      </c>
      <c r="S300" s="2">
        <v>1</v>
      </c>
      <c r="T300" s="2">
        <v>112</v>
      </c>
      <c r="U300" s="2">
        <v>0</v>
      </c>
      <c r="V300" s="2">
        <v>0</v>
      </c>
      <c r="W300" s="2">
        <v>0</v>
      </c>
      <c r="X300" s="2">
        <v>0</v>
      </c>
      <c r="Y300" s="2">
        <v>3</v>
      </c>
      <c r="Z300" s="2">
        <v>0</v>
      </c>
      <c r="AA300" s="2">
        <v>-2</v>
      </c>
      <c r="AB300" s="2" t="s">
        <v>2993</v>
      </c>
      <c r="AC300" s="2" t="s">
        <v>3832</v>
      </c>
      <c r="AD300" s="2" t="s">
        <v>3847</v>
      </c>
    </row>
    <row r="301" s="1" customFormat="1" ht="11.25" spans="1:30">
      <c r="A301" s="2" t="s">
        <v>835</v>
      </c>
      <c r="B301" s="2" t="s">
        <v>919</v>
      </c>
      <c r="C301" s="2" t="s">
        <v>3023</v>
      </c>
      <c r="D301" s="2" t="s">
        <v>813</v>
      </c>
      <c r="E301" s="2" t="s">
        <v>108</v>
      </c>
      <c r="F301" s="2" t="s">
        <v>146</v>
      </c>
      <c r="G301" s="2"/>
      <c r="H301" s="2" t="s">
        <v>2980</v>
      </c>
      <c r="I301" s="2"/>
      <c r="J301" s="2"/>
      <c r="K301" s="2" t="s">
        <v>834</v>
      </c>
      <c r="L301" s="2" t="s">
        <v>3848</v>
      </c>
      <c r="M301" s="2" t="s">
        <v>2974</v>
      </c>
      <c r="N301" s="2" t="s">
        <v>908</v>
      </c>
      <c r="O301" s="2" t="s">
        <v>2975</v>
      </c>
      <c r="P301" s="2" t="s">
        <v>2982</v>
      </c>
      <c r="Q301" s="2">
        <v>0</v>
      </c>
      <c r="R301" s="2">
        <v>1</v>
      </c>
      <c r="S301" s="2">
        <v>0</v>
      </c>
      <c r="T301" s="2">
        <v>0</v>
      </c>
      <c r="U301" s="2">
        <v>0</v>
      </c>
      <c r="V301" s="2">
        <v>0</v>
      </c>
      <c r="W301" s="2">
        <v>0</v>
      </c>
      <c r="X301" s="2">
        <v>0</v>
      </c>
      <c r="Y301" s="2">
        <v>0</v>
      </c>
      <c r="Z301" s="2">
        <v>0</v>
      </c>
      <c r="AA301" s="2">
        <v>1</v>
      </c>
      <c r="AB301" s="2" t="s">
        <v>1160</v>
      </c>
      <c r="AC301" s="2" t="s">
        <v>3849</v>
      </c>
      <c r="AD301" s="2" t="s">
        <v>3850</v>
      </c>
    </row>
    <row r="302" s="1" customFormat="1" ht="11.25" spans="1:30">
      <c r="A302" s="2" t="s">
        <v>826</v>
      </c>
      <c r="B302" s="2" t="s">
        <v>919</v>
      </c>
      <c r="C302" s="2" t="s">
        <v>2979</v>
      </c>
      <c r="D302" s="2" t="s">
        <v>813</v>
      </c>
      <c r="E302" s="2" t="s">
        <v>108</v>
      </c>
      <c r="F302" s="2" t="s">
        <v>278</v>
      </c>
      <c r="G302" s="2"/>
      <c r="H302" s="2" t="s">
        <v>2980</v>
      </c>
      <c r="I302" s="2"/>
      <c r="J302" s="2"/>
      <c r="K302" s="2" t="s">
        <v>825</v>
      </c>
      <c r="L302" s="2" t="s">
        <v>3851</v>
      </c>
      <c r="M302" s="2" t="s">
        <v>2974</v>
      </c>
      <c r="N302" s="2" t="s">
        <v>908</v>
      </c>
      <c r="O302" s="2" t="s">
        <v>2975</v>
      </c>
      <c r="P302" s="2" t="s">
        <v>3486</v>
      </c>
      <c r="Q302" s="2">
        <v>0.01</v>
      </c>
      <c r="R302" s="2">
        <v>1</v>
      </c>
      <c r="S302" s="2">
        <v>100</v>
      </c>
      <c r="T302" s="2">
        <v>0</v>
      </c>
      <c r="U302" s="2">
        <v>0</v>
      </c>
      <c r="V302" s="2">
        <v>0</v>
      </c>
      <c r="W302" s="2">
        <v>0</v>
      </c>
      <c r="X302" s="2">
        <v>0</v>
      </c>
      <c r="Y302" s="2">
        <v>0</v>
      </c>
      <c r="Z302" s="2">
        <v>0</v>
      </c>
      <c r="AA302" s="2">
        <v>1</v>
      </c>
      <c r="AB302" s="2" t="s">
        <v>2667</v>
      </c>
      <c r="AC302" s="2" t="s">
        <v>1273</v>
      </c>
      <c r="AD302" s="2" t="s">
        <v>3852</v>
      </c>
    </row>
    <row r="303" s="1" customFormat="1" ht="11.25" spans="1:30">
      <c r="A303" s="2" t="s">
        <v>646</v>
      </c>
      <c r="B303" s="2" t="s">
        <v>919</v>
      </c>
      <c r="C303" s="2" t="s">
        <v>3023</v>
      </c>
      <c r="D303" s="2" t="s">
        <v>813</v>
      </c>
      <c r="E303" s="2" t="s">
        <v>108</v>
      </c>
      <c r="F303" s="2" t="s">
        <v>168</v>
      </c>
      <c r="G303" s="2"/>
      <c r="H303" s="2" t="s">
        <v>2980</v>
      </c>
      <c r="I303" s="2"/>
      <c r="J303" s="2"/>
      <c r="K303" s="2" t="s">
        <v>644</v>
      </c>
      <c r="L303" s="2" t="s">
        <v>2999</v>
      </c>
      <c r="M303" s="2" t="s">
        <v>2974</v>
      </c>
      <c r="N303" s="2" t="s">
        <v>908</v>
      </c>
      <c r="O303" s="2" t="s">
        <v>2975</v>
      </c>
      <c r="P303" s="2" t="s">
        <v>2982</v>
      </c>
      <c r="Q303" s="2">
        <v>0</v>
      </c>
      <c r="R303" s="2">
        <v>1</v>
      </c>
      <c r="S303" s="2">
        <v>0</v>
      </c>
      <c r="T303" s="2">
        <v>0</v>
      </c>
      <c r="U303" s="2">
        <v>0</v>
      </c>
      <c r="V303" s="2">
        <v>0</v>
      </c>
      <c r="W303" s="2">
        <v>0</v>
      </c>
      <c r="X303" s="2">
        <v>0</v>
      </c>
      <c r="Y303" s="2">
        <v>0</v>
      </c>
      <c r="Z303" s="2">
        <v>0</v>
      </c>
      <c r="AA303" s="2">
        <v>1</v>
      </c>
      <c r="AB303" s="2" t="s">
        <v>3361</v>
      </c>
      <c r="AC303" s="2" t="s">
        <v>3705</v>
      </c>
      <c r="AD303" s="2" t="s">
        <v>3853</v>
      </c>
    </row>
    <row r="304" s="1" customFormat="1" ht="11.25" spans="1:30">
      <c r="A304" s="2" t="s">
        <v>111</v>
      </c>
      <c r="B304" s="2" t="s">
        <v>919</v>
      </c>
      <c r="C304" s="2" t="s">
        <v>3004</v>
      </c>
      <c r="D304" s="2" t="s">
        <v>813</v>
      </c>
      <c r="E304" s="2" t="s">
        <v>108</v>
      </c>
      <c r="F304" s="2" t="s">
        <v>109</v>
      </c>
      <c r="G304" s="2"/>
      <c r="H304" s="2" t="s">
        <v>2980</v>
      </c>
      <c r="I304" s="2"/>
      <c r="J304" s="2"/>
      <c r="K304" s="2" t="s">
        <v>110</v>
      </c>
      <c r="L304" s="2" t="s">
        <v>3854</v>
      </c>
      <c r="M304" s="2" t="s">
        <v>2974</v>
      </c>
      <c r="N304" s="2" t="s">
        <v>908</v>
      </c>
      <c r="O304" s="2" t="s">
        <v>2975</v>
      </c>
      <c r="P304" s="2" t="s">
        <v>3743</v>
      </c>
      <c r="Q304" s="2">
        <v>0.06</v>
      </c>
      <c r="R304" s="2">
        <v>1</v>
      </c>
      <c r="S304" s="2">
        <v>17</v>
      </c>
      <c r="T304" s="2">
        <v>0</v>
      </c>
      <c r="U304" s="2">
        <v>0</v>
      </c>
      <c r="V304" s="2">
        <v>0</v>
      </c>
      <c r="W304" s="2">
        <v>0</v>
      </c>
      <c r="X304" s="2">
        <v>0</v>
      </c>
      <c r="Y304" s="2">
        <v>0</v>
      </c>
      <c r="Z304" s="2">
        <v>0</v>
      </c>
      <c r="AA304" s="2">
        <v>1</v>
      </c>
      <c r="AB304" s="2" t="s">
        <v>3054</v>
      </c>
      <c r="AC304" s="2" t="s">
        <v>3011</v>
      </c>
      <c r="AD304" s="2" t="s">
        <v>3855</v>
      </c>
    </row>
    <row r="305" s="1" customFormat="1" ht="11.25" spans="1:30">
      <c r="A305" s="2" t="s">
        <v>235</v>
      </c>
      <c r="B305" s="2" t="s">
        <v>919</v>
      </c>
      <c r="C305" s="2" t="s">
        <v>2979</v>
      </c>
      <c r="D305" s="2" t="s">
        <v>813</v>
      </c>
      <c r="E305" s="2" t="s">
        <v>96</v>
      </c>
      <c r="F305" s="2" t="s">
        <v>97</v>
      </c>
      <c r="G305" s="2"/>
      <c r="H305" s="2" t="s">
        <v>2980</v>
      </c>
      <c r="I305" s="2"/>
      <c r="J305" s="2"/>
      <c r="K305" s="2" t="s">
        <v>234</v>
      </c>
      <c r="L305" s="2" t="s">
        <v>3856</v>
      </c>
      <c r="M305" s="2" t="s">
        <v>2974</v>
      </c>
      <c r="N305" s="2" t="s">
        <v>908</v>
      </c>
      <c r="O305" s="2" t="s">
        <v>2975</v>
      </c>
      <c r="P305" s="2" t="s">
        <v>3857</v>
      </c>
      <c r="Q305" s="2">
        <v>0.32</v>
      </c>
      <c r="R305" s="2">
        <v>1</v>
      </c>
      <c r="S305" s="2">
        <v>3</v>
      </c>
      <c r="T305" s="2">
        <v>60</v>
      </c>
      <c r="U305" s="2">
        <v>0</v>
      </c>
      <c r="V305" s="2">
        <v>0</v>
      </c>
      <c r="W305" s="2">
        <v>0</v>
      </c>
      <c r="X305" s="2">
        <v>0</v>
      </c>
      <c r="Y305" s="2">
        <v>0</v>
      </c>
      <c r="Z305" s="2">
        <v>0</v>
      </c>
      <c r="AA305" s="2">
        <v>1</v>
      </c>
      <c r="AB305" s="2" t="s">
        <v>3119</v>
      </c>
      <c r="AC305" s="2" t="s">
        <v>1345</v>
      </c>
      <c r="AD305" s="2" t="s">
        <v>3858</v>
      </c>
    </row>
    <row r="306" s="1" customFormat="1" ht="11.25" spans="1:30">
      <c r="A306" s="2" t="s">
        <v>430</v>
      </c>
      <c r="B306" s="2" t="s">
        <v>919</v>
      </c>
      <c r="C306" s="2" t="s">
        <v>2979</v>
      </c>
      <c r="D306" s="2" t="s">
        <v>813</v>
      </c>
      <c r="E306" s="2" t="s">
        <v>96</v>
      </c>
      <c r="F306" s="2" t="s">
        <v>97</v>
      </c>
      <c r="G306" s="2"/>
      <c r="H306" s="2" t="s">
        <v>2980</v>
      </c>
      <c r="I306" s="2"/>
      <c r="J306" s="2"/>
      <c r="K306" s="2" t="s">
        <v>429</v>
      </c>
      <c r="L306" s="2" t="s">
        <v>3859</v>
      </c>
      <c r="M306" s="2" t="s">
        <v>2974</v>
      </c>
      <c r="N306" s="2" t="s">
        <v>908</v>
      </c>
      <c r="O306" s="2" t="s">
        <v>2975</v>
      </c>
      <c r="P306" s="2" t="s">
        <v>3860</v>
      </c>
      <c r="Q306" s="2">
        <v>0.25</v>
      </c>
      <c r="R306" s="2">
        <v>1</v>
      </c>
      <c r="S306" s="2">
        <v>4</v>
      </c>
      <c r="T306" s="2">
        <v>180</v>
      </c>
      <c r="U306" s="2">
        <v>0</v>
      </c>
      <c r="V306" s="2">
        <v>0</v>
      </c>
      <c r="W306" s="2">
        <v>0</v>
      </c>
      <c r="X306" s="2">
        <v>0</v>
      </c>
      <c r="Y306" s="2">
        <v>1</v>
      </c>
      <c r="Z306" s="2">
        <v>0</v>
      </c>
      <c r="AA306" s="2">
        <v>0</v>
      </c>
      <c r="AB306" s="2" t="s">
        <v>3229</v>
      </c>
      <c r="AC306" s="2" t="s">
        <v>2997</v>
      </c>
      <c r="AD306" s="2" t="s">
        <v>3861</v>
      </c>
    </row>
    <row r="307" s="1" customFormat="1" ht="11.25" spans="1:30">
      <c r="A307" s="2" t="s">
        <v>172</v>
      </c>
      <c r="B307" s="2" t="s">
        <v>919</v>
      </c>
      <c r="C307" s="2" t="s">
        <v>2979</v>
      </c>
      <c r="D307" s="2" t="s">
        <v>813</v>
      </c>
      <c r="E307" s="2" t="s">
        <v>96</v>
      </c>
      <c r="F307" s="2" t="s">
        <v>97</v>
      </c>
      <c r="G307" s="2"/>
      <c r="H307" s="2" t="s">
        <v>2980</v>
      </c>
      <c r="I307" s="2"/>
      <c r="J307" s="2"/>
      <c r="K307" s="2" t="s">
        <v>171</v>
      </c>
      <c r="L307" s="2" t="s">
        <v>3862</v>
      </c>
      <c r="M307" s="2" t="s">
        <v>2974</v>
      </c>
      <c r="N307" s="2" t="s">
        <v>908</v>
      </c>
      <c r="O307" s="2" t="s">
        <v>2975</v>
      </c>
      <c r="P307" s="2" t="s">
        <v>3863</v>
      </c>
      <c r="Q307" s="2">
        <v>0.84</v>
      </c>
      <c r="R307" s="2">
        <v>1</v>
      </c>
      <c r="S307" s="2">
        <v>1</v>
      </c>
      <c r="T307" s="2">
        <v>150</v>
      </c>
      <c r="U307" s="2">
        <v>0</v>
      </c>
      <c r="V307" s="2">
        <v>0</v>
      </c>
      <c r="W307" s="2">
        <v>0</v>
      </c>
      <c r="X307" s="2">
        <v>0</v>
      </c>
      <c r="Y307" s="2">
        <v>5</v>
      </c>
      <c r="Z307" s="2">
        <v>0</v>
      </c>
      <c r="AA307" s="2">
        <v>-4</v>
      </c>
      <c r="AB307" s="2" t="s">
        <v>3249</v>
      </c>
      <c r="AC307" s="2" t="s">
        <v>2997</v>
      </c>
      <c r="AD307" s="2" t="s">
        <v>3864</v>
      </c>
    </row>
    <row r="308" s="1" customFormat="1" ht="11.25" spans="1:30">
      <c r="A308" s="2" t="s">
        <v>833</v>
      </c>
      <c r="B308" s="2" t="s">
        <v>919</v>
      </c>
      <c r="C308" s="2" t="s">
        <v>3023</v>
      </c>
      <c r="D308" s="2" t="s">
        <v>813</v>
      </c>
      <c r="E308" s="2" t="s">
        <v>96</v>
      </c>
      <c r="F308" s="2" t="s">
        <v>115</v>
      </c>
      <c r="G308" s="2"/>
      <c r="H308" s="2" t="s">
        <v>2980</v>
      </c>
      <c r="I308" s="2"/>
      <c r="J308" s="2"/>
      <c r="K308" s="2" t="s">
        <v>832</v>
      </c>
      <c r="L308" s="2" t="s">
        <v>3865</v>
      </c>
      <c r="M308" s="2" t="s">
        <v>2974</v>
      </c>
      <c r="N308" s="2" t="s">
        <v>908</v>
      </c>
      <c r="O308" s="2" t="s">
        <v>2975</v>
      </c>
      <c r="P308" s="2" t="s">
        <v>2982</v>
      </c>
      <c r="Q308" s="2">
        <v>0</v>
      </c>
      <c r="R308" s="2">
        <v>1</v>
      </c>
      <c r="S308" s="2">
        <v>0</v>
      </c>
      <c r="T308" s="2">
        <v>280</v>
      </c>
      <c r="U308" s="2">
        <v>0</v>
      </c>
      <c r="V308" s="2">
        <v>0</v>
      </c>
      <c r="W308" s="2">
        <v>0</v>
      </c>
      <c r="X308" s="2">
        <v>0</v>
      </c>
      <c r="Y308" s="2">
        <v>0</v>
      </c>
      <c r="Z308" s="2">
        <v>0</v>
      </c>
      <c r="AA308" s="2">
        <v>1</v>
      </c>
      <c r="AB308" s="2" t="s">
        <v>3866</v>
      </c>
      <c r="AC308" s="2" t="s">
        <v>3867</v>
      </c>
      <c r="AD308" s="2" t="s">
        <v>3868</v>
      </c>
    </row>
    <row r="309" s="1" customFormat="1" ht="11.25" spans="1:30">
      <c r="A309" s="2" t="s">
        <v>831</v>
      </c>
      <c r="B309" s="2" t="s">
        <v>919</v>
      </c>
      <c r="C309" s="2" t="s">
        <v>3023</v>
      </c>
      <c r="D309" s="2" t="s">
        <v>813</v>
      </c>
      <c r="E309" s="2" t="s">
        <v>96</v>
      </c>
      <c r="F309" s="2" t="s">
        <v>115</v>
      </c>
      <c r="G309" s="2"/>
      <c r="H309" s="2" t="s">
        <v>2980</v>
      </c>
      <c r="I309" s="2"/>
      <c r="J309" s="2"/>
      <c r="K309" s="2" t="s">
        <v>830</v>
      </c>
      <c r="L309" s="2" t="s">
        <v>3869</v>
      </c>
      <c r="M309" s="2" t="s">
        <v>2974</v>
      </c>
      <c r="N309" s="2" t="s">
        <v>908</v>
      </c>
      <c r="O309" s="2" t="s">
        <v>2975</v>
      </c>
      <c r="P309" s="2" t="s">
        <v>2982</v>
      </c>
      <c r="Q309" s="2">
        <v>0</v>
      </c>
      <c r="R309" s="2">
        <v>1</v>
      </c>
      <c r="S309" s="2">
        <v>0</v>
      </c>
      <c r="T309" s="2">
        <v>150</v>
      </c>
      <c r="U309" s="2">
        <v>0</v>
      </c>
      <c r="V309" s="2">
        <v>0</v>
      </c>
      <c r="W309" s="2">
        <v>0</v>
      </c>
      <c r="X309" s="2">
        <v>0</v>
      </c>
      <c r="Y309" s="2">
        <v>0</v>
      </c>
      <c r="Z309" s="2">
        <v>0</v>
      </c>
      <c r="AA309" s="2">
        <v>1</v>
      </c>
      <c r="AB309" s="2" t="s">
        <v>3870</v>
      </c>
      <c r="AC309" s="2" t="s">
        <v>3361</v>
      </c>
      <c r="AD309" s="2" t="s">
        <v>3871</v>
      </c>
    </row>
    <row r="310" s="1" customFormat="1" ht="11.25" spans="1:30">
      <c r="A310" s="2" t="s">
        <v>502</v>
      </c>
      <c r="B310" s="2" t="s">
        <v>919</v>
      </c>
      <c r="C310" s="2" t="s">
        <v>2979</v>
      </c>
      <c r="D310" s="2" t="s">
        <v>813</v>
      </c>
      <c r="E310" s="2" t="s">
        <v>96</v>
      </c>
      <c r="F310" s="2" t="s">
        <v>115</v>
      </c>
      <c r="G310" s="2"/>
      <c r="H310" s="2" t="s">
        <v>2980</v>
      </c>
      <c r="I310" s="2"/>
      <c r="J310" s="2"/>
      <c r="K310" s="2" t="s">
        <v>501</v>
      </c>
      <c r="L310" s="2" t="s">
        <v>3872</v>
      </c>
      <c r="M310" s="2" t="s">
        <v>2974</v>
      </c>
      <c r="N310" s="2" t="s">
        <v>908</v>
      </c>
      <c r="O310" s="2" t="s">
        <v>2975</v>
      </c>
      <c r="P310" s="2" t="s">
        <v>3873</v>
      </c>
      <c r="Q310" s="2">
        <v>1.41</v>
      </c>
      <c r="R310" s="2">
        <v>1</v>
      </c>
      <c r="S310" s="2">
        <v>1</v>
      </c>
      <c r="T310" s="2">
        <v>168</v>
      </c>
      <c r="U310" s="2">
        <v>0</v>
      </c>
      <c r="V310" s="2">
        <v>0</v>
      </c>
      <c r="W310" s="2">
        <v>0</v>
      </c>
      <c r="X310" s="2">
        <v>0</v>
      </c>
      <c r="Y310" s="2">
        <v>0</v>
      </c>
      <c r="Z310" s="2">
        <v>0</v>
      </c>
      <c r="AA310" s="2">
        <v>1</v>
      </c>
      <c r="AB310" s="2" t="s">
        <v>2993</v>
      </c>
      <c r="AC310" s="2" t="s">
        <v>2997</v>
      </c>
      <c r="AD310" s="2" t="s">
        <v>3623</v>
      </c>
    </row>
    <row r="311" s="1" customFormat="1" ht="11.25" spans="1:30">
      <c r="A311" s="2" t="s">
        <v>504</v>
      </c>
      <c r="B311" s="2" t="s">
        <v>919</v>
      </c>
      <c r="C311" s="2" t="s">
        <v>3023</v>
      </c>
      <c r="D311" s="2" t="s">
        <v>813</v>
      </c>
      <c r="E311" s="2" t="s">
        <v>96</v>
      </c>
      <c r="F311" s="2" t="s">
        <v>115</v>
      </c>
      <c r="G311" s="2"/>
      <c r="H311" s="2" t="s">
        <v>2980</v>
      </c>
      <c r="I311" s="2"/>
      <c r="J311" s="2"/>
      <c r="K311" s="2" t="s">
        <v>503</v>
      </c>
      <c r="L311" s="2" t="s">
        <v>3874</v>
      </c>
      <c r="M311" s="2" t="s">
        <v>2974</v>
      </c>
      <c r="N311" s="2" t="s">
        <v>908</v>
      </c>
      <c r="O311" s="2" t="s">
        <v>2975</v>
      </c>
      <c r="P311" s="2" t="s">
        <v>3875</v>
      </c>
      <c r="Q311" s="2">
        <v>0.15</v>
      </c>
      <c r="R311" s="2">
        <v>1</v>
      </c>
      <c r="S311" s="2">
        <v>7</v>
      </c>
      <c r="T311" s="2">
        <v>240</v>
      </c>
      <c r="U311" s="2">
        <v>0</v>
      </c>
      <c r="V311" s="2">
        <v>0</v>
      </c>
      <c r="W311" s="2">
        <v>0</v>
      </c>
      <c r="X311" s="2">
        <v>0</v>
      </c>
      <c r="Y311" s="2">
        <v>0</v>
      </c>
      <c r="Z311" s="2">
        <v>0</v>
      </c>
      <c r="AA311" s="2">
        <v>1</v>
      </c>
      <c r="AB311" s="2" t="s">
        <v>3258</v>
      </c>
      <c r="AC311" s="2" t="s">
        <v>3169</v>
      </c>
      <c r="AD311" s="2" t="s">
        <v>3623</v>
      </c>
    </row>
    <row r="312" s="1" customFormat="1" ht="11.25" spans="1:30">
      <c r="A312" s="2" t="s">
        <v>573</v>
      </c>
      <c r="B312" s="2" t="s">
        <v>812</v>
      </c>
      <c r="C312" s="2"/>
      <c r="D312" s="2" t="s">
        <v>813</v>
      </c>
      <c r="E312" s="2" t="s">
        <v>108</v>
      </c>
      <c r="F312" s="2" t="s">
        <v>927</v>
      </c>
      <c r="G312" s="2"/>
      <c r="H312" s="2" t="s">
        <v>2980</v>
      </c>
      <c r="I312" s="2"/>
      <c r="J312" s="2"/>
      <c r="K312" s="2" t="s">
        <v>1300</v>
      </c>
      <c r="L312" s="2" t="s">
        <v>3876</v>
      </c>
      <c r="M312" s="2" t="s">
        <v>2974</v>
      </c>
      <c r="N312" s="2" t="s">
        <v>908</v>
      </c>
      <c r="O312" s="2"/>
      <c r="P312" s="2" t="s">
        <v>2982</v>
      </c>
      <c r="Q312" s="2">
        <v>0</v>
      </c>
      <c r="R312" s="2">
        <v>0</v>
      </c>
      <c r="S312" s="2">
        <v>0</v>
      </c>
      <c r="T312" s="2">
        <v>0</v>
      </c>
      <c r="U312" s="2">
        <v>0</v>
      </c>
      <c r="V312" s="2">
        <v>0</v>
      </c>
      <c r="W312" s="2">
        <v>0</v>
      </c>
      <c r="X312" s="2">
        <v>0</v>
      </c>
      <c r="Y312" s="2">
        <v>0</v>
      </c>
      <c r="Z312" s="2">
        <v>0</v>
      </c>
      <c r="AA312" s="2">
        <v>0</v>
      </c>
      <c r="AB312" s="2"/>
      <c r="AC312" s="2"/>
      <c r="AD312" s="2"/>
    </row>
    <row r="313" s="1" customFormat="1" ht="11.25" spans="1:30">
      <c r="A313" s="2" t="s">
        <v>3877</v>
      </c>
      <c r="B313" s="2" t="s">
        <v>3878</v>
      </c>
      <c r="C313" s="2"/>
      <c r="D313" s="2" t="s">
        <v>813</v>
      </c>
      <c r="E313" s="2" t="s">
        <v>96</v>
      </c>
      <c r="F313" s="2" t="s">
        <v>97</v>
      </c>
      <c r="G313" s="2"/>
      <c r="H313" s="2" t="s">
        <v>2980</v>
      </c>
      <c r="I313" s="2"/>
      <c r="J313" s="2"/>
      <c r="K313" s="2" t="s">
        <v>3879</v>
      </c>
      <c r="L313" s="2" t="s">
        <v>3880</v>
      </c>
      <c r="M313" s="2" t="s">
        <v>2974</v>
      </c>
      <c r="N313" s="2" t="s">
        <v>908</v>
      </c>
      <c r="O313" s="2"/>
      <c r="P313" s="2" t="s">
        <v>2982</v>
      </c>
      <c r="Q313" s="2">
        <v>0</v>
      </c>
      <c r="R313" s="2">
        <v>0</v>
      </c>
      <c r="S313" s="2">
        <v>0</v>
      </c>
      <c r="T313" s="2">
        <v>0</v>
      </c>
      <c r="U313" s="2">
        <v>0</v>
      </c>
      <c r="V313" s="2">
        <v>0</v>
      </c>
      <c r="W313" s="2">
        <v>0</v>
      </c>
      <c r="X313" s="2">
        <v>0</v>
      </c>
      <c r="Y313" s="2">
        <v>0</v>
      </c>
      <c r="Z313" s="2">
        <v>0</v>
      </c>
      <c r="AA313" s="2">
        <v>0</v>
      </c>
      <c r="AB313" s="2"/>
      <c r="AC313" s="2"/>
      <c r="AD313" s="2" t="s">
        <v>3881</v>
      </c>
    </row>
    <row r="314" s="1" customFormat="1" ht="11.25" spans="1:30">
      <c r="A314" s="2" t="s">
        <v>438</v>
      </c>
      <c r="B314" s="2" t="s">
        <v>919</v>
      </c>
      <c r="C314" s="2" t="s">
        <v>3023</v>
      </c>
      <c r="D314" s="2" t="s">
        <v>813</v>
      </c>
      <c r="E314" s="2" t="s">
        <v>96</v>
      </c>
      <c r="F314" s="2" t="s">
        <v>115</v>
      </c>
      <c r="G314" s="2"/>
      <c r="H314" s="2" t="s">
        <v>2980</v>
      </c>
      <c r="I314" s="2"/>
      <c r="J314" s="2"/>
      <c r="K314" s="2" t="s">
        <v>341</v>
      </c>
      <c r="L314" s="2" t="s">
        <v>3091</v>
      </c>
      <c r="M314" s="2" t="s">
        <v>2974</v>
      </c>
      <c r="N314" s="2" t="s">
        <v>908</v>
      </c>
      <c r="O314" s="2"/>
      <c r="P314" s="2" t="s">
        <v>2982</v>
      </c>
      <c r="Q314" s="2">
        <v>0</v>
      </c>
      <c r="R314" s="2">
        <v>0</v>
      </c>
      <c r="S314" s="2">
        <v>0</v>
      </c>
      <c r="T314" s="2">
        <v>0</v>
      </c>
      <c r="U314" s="2">
        <v>0</v>
      </c>
      <c r="V314" s="2">
        <v>0</v>
      </c>
      <c r="W314" s="2">
        <v>0</v>
      </c>
      <c r="X314" s="2">
        <v>0</v>
      </c>
      <c r="Y314" s="2">
        <v>0</v>
      </c>
      <c r="Z314" s="2">
        <v>0</v>
      </c>
      <c r="AA314" s="2">
        <v>0</v>
      </c>
      <c r="AB314" s="2"/>
      <c r="AC314" s="2"/>
      <c r="AD314" s="2" t="s">
        <v>3882</v>
      </c>
    </row>
    <row r="315" s="1" customFormat="1" ht="11.25" spans="1:30">
      <c r="A315" s="2" t="s">
        <v>25</v>
      </c>
      <c r="B315" s="2" t="s">
        <v>919</v>
      </c>
      <c r="C315" s="2" t="s">
        <v>2979</v>
      </c>
      <c r="D315" s="2" t="s">
        <v>813</v>
      </c>
      <c r="E315" s="2" t="s">
        <v>96</v>
      </c>
      <c r="F315" s="2" t="s">
        <v>115</v>
      </c>
      <c r="G315" s="2"/>
      <c r="H315" s="2" t="s">
        <v>2980</v>
      </c>
      <c r="I315" s="2"/>
      <c r="J315" s="2"/>
      <c r="K315" s="2" t="s">
        <v>22</v>
      </c>
      <c r="L315" s="2" t="s">
        <v>3052</v>
      </c>
      <c r="M315" s="2" t="s">
        <v>2974</v>
      </c>
      <c r="N315" s="2" t="s">
        <v>908</v>
      </c>
      <c r="O315" s="2"/>
      <c r="P315" s="2" t="s">
        <v>2982</v>
      </c>
      <c r="Q315" s="2">
        <v>0</v>
      </c>
      <c r="R315" s="2">
        <v>0</v>
      </c>
      <c r="S315" s="2">
        <v>0</v>
      </c>
      <c r="T315" s="2">
        <v>0</v>
      </c>
      <c r="U315" s="2">
        <v>0</v>
      </c>
      <c r="V315" s="2">
        <v>0</v>
      </c>
      <c r="W315" s="2">
        <v>0</v>
      </c>
      <c r="X315" s="2">
        <v>0</v>
      </c>
      <c r="Y315" s="2">
        <v>0</v>
      </c>
      <c r="Z315" s="2">
        <v>0</v>
      </c>
      <c r="AA315" s="2">
        <v>0</v>
      </c>
      <c r="AB315" s="2"/>
      <c r="AC315" s="2"/>
      <c r="AD315" s="2" t="s">
        <v>3036</v>
      </c>
    </row>
    <row r="316" s="1" customFormat="1" ht="11.25" spans="1:30">
      <c r="A316" s="2" t="s">
        <v>24</v>
      </c>
      <c r="B316" s="2" t="s">
        <v>919</v>
      </c>
      <c r="C316" s="2" t="s">
        <v>3004</v>
      </c>
      <c r="D316" s="2" t="s">
        <v>813</v>
      </c>
      <c r="E316" s="2" t="s">
        <v>96</v>
      </c>
      <c r="F316" s="2" t="s">
        <v>115</v>
      </c>
      <c r="G316" s="2"/>
      <c r="H316" s="2" t="s">
        <v>2980</v>
      </c>
      <c r="I316" s="2"/>
      <c r="J316" s="2"/>
      <c r="K316" s="2" t="s">
        <v>18</v>
      </c>
      <c r="L316" s="2" t="s">
        <v>3034</v>
      </c>
      <c r="M316" s="2" t="s">
        <v>2974</v>
      </c>
      <c r="N316" s="2" t="s">
        <v>908</v>
      </c>
      <c r="O316" s="2"/>
      <c r="P316" s="2" t="s">
        <v>2982</v>
      </c>
      <c r="Q316" s="2">
        <v>0</v>
      </c>
      <c r="R316" s="2">
        <v>0</v>
      </c>
      <c r="S316" s="2">
        <v>0</v>
      </c>
      <c r="T316" s="2">
        <v>0</v>
      </c>
      <c r="U316" s="2">
        <v>0</v>
      </c>
      <c r="V316" s="2">
        <v>0</v>
      </c>
      <c r="W316" s="2">
        <v>0</v>
      </c>
      <c r="X316" s="2">
        <v>0</v>
      </c>
      <c r="Y316" s="2">
        <v>0</v>
      </c>
      <c r="Z316" s="2">
        <v>0</v>
      </c>
      <c r="AA316" s="2">
        <v>0</v>
      </c>
      <c r="AB316" s="2"/>
      <c r="AC316" s="2"/>
      <c r="AD316" s="2" t="s">
        <v>3036</v>
      </c>
    </row>
    <row r="317" s="1" customFormat="1" ht="11.25" spans="1:30">
      <c r="A317" s="2" t="s">
        <v>469</v>
      </c>
      <c r="B317" s="2" t="s">
        <v>812</v>
      </c>
      <c r="C317" s="2"/>
      <c r="D317" s="2" t="s">
        <v>813</v>
      </c>
      <c r="E317" s="2" t="s">
        <v>96</v>
      </c>
      <c r="F317" s="2" t="s">
        <v>115</v>
      </c>
      <c r="G317" s="2"/>
      <c r="H317" s="2" t="s">
        <v>2980</v>
      </c>
      <c r="I317" s="2"/>
      <c r="J317" s="2"/>
      <c r="K317" s="2" t="s">
        <v>468</v>
      </c>
      <c r="L317" s="2" t="s">
        <v>3883</v>
      </c>
      <c r="M317" s="2" t="s">
        <v>2974</v>
      </c>
      <c r="N317" s="2" t="s">
        <v>908</v>
      </c>
      <c r="O317" s="2"/>
      <c r="P317" s="2" t="s">
        <v>2982</v>
      </c>
      <c r="Q317" s="2">
        <v>0</v>
      </c>
      <c r="R317" s="2">
        <v>0</v>
      </c>
      <c r="S317" s="2">
        <v>0</v>
      </c>
      <c r="T317" s="2">
        <v>0</v>
      </c>
      <c r="U317" s="2">
        <v>0</v>
      </c>
      <c r="V317" s="2">
        <v>0</v>
      </c>
      <c r="W317" s="2">
        <v>0</v>
      </c>
      <c r="X317" s="2">
        <v>0</v>
      </c>
      <c r="Y317" s="2">
        <v>0</v>
      </c>
      <c r="Z317" s="2">
        <v>0</v>
      </c>
      <c r="AA317" s="2">
        <v>0</v>
      </c>
      <c r="AB317" s="2"/>
      <c r="AC317" s="2"/>
      <c r="AD317" s="2" t="s">
        <v>3051</v>
      </c>
    </row>
    <row r="318" s="1" customFormat="1" ht="11.25" spans="1:30">
      <c r="A318" s="2" t="s">
        <v>2634</v>
      </c>
      <c r="B318" s="2" t="s">
        <v>919</v>
      </c>
      <c r="C318" s="2" t="s">
        <v>2979</v>
      </c>
      <c r="D318" s="2" t="s">
        <v>813</v>
      </c>
      <c r="E318" s="2" t="s">
        <v>96</v>
      </c>
      <c r="F318" s="2" t="s">
        <v>97</v>
      </c>
      <c r="G318" s="2"/>
      <c r="H318" s="2" t="s">
        <v>2980</v>
      </c>
      <c r="I318" s="2"/>
      <c r="J318" s="2"/>
      <c r="K318" s="2" t="s">
        <v>2635</v>
      </c>
      <c r="L318" s="2" t="s">
        <v>3884</v>
      </c>
      <c r="M318" s="2" t="s">
        <v>2974</v>
      </c>
      <c r="N318" s="2" t="s">
        <v>908</v>
      </c>
      <c r="O318" s="2"/>
      <c r="P318" s="2" t="s">
        <v>2982</v>
      </c>
      <c r="Q318" s="2">
        <v>0</v>
      </c>
      <c r="R318" s="2">
        <v>0</v>
      </c>
      <c r="S318" s="2">
        <v>0</v>
      </c>
      <c r="T318" s="2">
        <v>0</v>
      </c>
      <c r="U318" s="2">
        <v>0</v>
      </c>
      <c r="V318" s="2">
        <v>0</v>
      </c>
      <c r="W318" s="2">
        <v>0</v>
      </c>
      <c r="X318" s="2">
        <v>0</v>
      </c>
      <c r="Y318" s="2">
        <v>0</v>
      </c>
      <c r="Z318" s="2">
        <v>0</v>
      </c>
      <c r="AA318" s="2">
        <v>0</v>
      </c>
      <c r="AB318" s="2"/>
      <c r="AC318" s="2"/>
      <c r="AD318" s="2" t="s">
        <v>3885</v>
      </c>
    </row>
    <row r="319" s="1" customFormat="1" ht="11.25" spans="1:30">
      <c r="A319" s="2" t="s">
        <v>2641</v>
      </c>
      <c r="B319" s="2" t="s">
        <v>919</v>
      </c>
      <c r="C319" s="2" t="s">
        <v>2979</v>
      </c>
      <c r="D319" s="2" t="s">
        <v>813</v>
      </c>
      <c r="E319" s="2" t="s">
        <v>96</v>
      </c>
      <c r="F319" s="2" t="s">
        <v>97</v>
      </c>
      <c r="G319" s="2"/>
      <c r="H319" s="2" t="s">
        <v>2980</v>
      </c>
      <c r="I319" s="2"/>
      <c r="J319" s="2"/>
      <c r="K319" s="2" t="s">
        <v>2642</v>
      </c>
      <c r="L319" s="2" t="s">
        <v>3886</v>
      </c>
      <c r="M319" s="2" t="s">
        <v>2974</v>
      </c>
      <c r="N319" s="2" t="s">
        <v>908</v>
      </c>
      <c r="O319" s="2"/>
      <c r="P319" s="2" t="s">
        <v>2982</v>
      </c>
      <c r="Q319" s="2">
        <v>0</v>
      </c>
      <c r="R319" s="2">
        <v>0</v>
      </c>
      <c r="S319" s="2">
        <v>0</v>
      </c>
      <c r="T319" s="2">
        <v>0</v>
      </c>
      <c r="U319" s="2">
        <v>0</v>
      </c>
      <c r="V319" s="2">
        <v>0</v>
      </c>
      <c r="W319" s="2">
        <v>0</v>
      </c>
      <c r="X319" s="2">
        <v>0</v>
      </c>
      <c r="Y319" s="2">
        <v>0</v>
      </c>
      <c r="Z319" s="2">
        <v>0</v>
      </c>
      <c r="AA319" s="2">
        <v>0</v>
      </c>
      <c r="AB319" s="2"/>
      <c r="AC319" s="2"/>
      <c r="AD319" s="2" t="s">
        <v>3887</v>
      </c>
    </row>
    <row r="320" s="1" customFormat="1" ht="11.25" spans="1:30">
      <c r="A320" s="2" t="s">
        <v>519</v>
      </c>
      <c r="B320" s="2" t="s">
        <v>812</v>
      </c>
      <c r="C320" s="2"/>
      <c r="D320" s="2" t="s">
        <v>813</v>
      </c>
      <c r="E320" s="2" t="s">
        <v>96</v>
      </c>
      <c r="F320" s="2" t="s">
        <v>103</v>
      </c>
      <c r="G320" s="2"/>
      <c r="H320" s="2" t="s">
        <v>2980</v>
      </c>
      <c r="I320" s="2"/>
      <c r="J320" s="2"/>
      <c r="K320" s="2" t="s">
        <v>518</v>
      </c>
      <c r="L320" s="2" t="s">
        <v>3888</v>
      </c>
      <c r="M320" s="2" t="s">
        <v>2974</v>
      </c>
      <c r="N320" s="2" t="s">
        <v>908</v>
      </c>
      <c r="O320" s="2"/>
      <c r="P320" s="2" t="s">
        <v>2982</v>
      </c>
      <c r="Q320" s="2">
        <v>0</v>
      </c>
      <c r="R320" s="2">
        <v>0</v>
      </c>
      <c r="S320" s="2">
        <v>0</v>
      </c>
      <c r="T320" s="2">
        <v>0</v>
      </c>
      <c r="U320" s="2">
        <v>0</v>
      </c>
      <c r="V320" s="2">
        <v>0</v>
      </c>
      <c r="W320" s="2">
        <v>0</v>
      </c>
      <c r="X320" s="2">
        <v>0</v>
      </c>
      <c r="Y320" s="2">
        <v>0</v>
      </c>
      <c r="Z320" s="2">
        <v>0</v>
      </c>
      <c r="AA320" s="2">
        <v>0</v>
      </c>
      <c r="AB320" s="2"/>
      <c r="AC320" s="2"/>
      <c r="AD320" s="2" t="s">
        <v>3889</v>
      </c>
    </row>
    <row r="321" s="1" customFormat="1" ht="11.25" spans="1:30">
      <c r="A321" s="2" t="s">
        <v>521</v>
      </c>
      <c r="B321" s="2" t="s">
        <v>812</v>
      </c>
      <c r="C321" s="2"/>
      <c r="D321" s="2" t="s">
        <v>813</v>
      </c>
      <c r="E321" s="2" t="s">
        <v>96</v>
      </c>
      <c r="F321" s="2" t="s">
        <v>103</v>
      </c>
      <c r="G321" s="2"/>
      <c r="H321" s="2" t="s">
        <v>2980</v>
      </c>
      <c r="I321" s="2"/>
      <c r="J321" s="2"/>
      <c r="K321" s="2" t="s">
        <v>520</v>
      </c>
      <c r="L321" s="2" t="s">
        <v>3890</v>
      </c>
      <c r="M321" s="2" t="s">
        <v>2974</v>
      </c>
      <c r="N321" s="2" t="s">
        <v>908</v>
      </c>
      <c r="O321" s="2"/>
      <c r="P321" s="2" t="s">
        <v>2982</v>
      </c>
      <c r="Q321" s="2">
        <v>0</v>
      </c>
      <c r="R321" s="2">
        <v>0</v>
      </c>
      <c r="S321" s="2">
        <v>0</v>
      </c>
      <c r="T321" s="2">
        <v>0</v>
      </c>
      <c r="U321" s="2">
        <v>0</v>
      </c>
      <c r="V321" s="2">
        <v>0</v>
      </c>
      <c r="W321" s="2">
        <v>0</v>
      </c>
      <c r="X321" s="2">
        <v>0</v>
      </c>
      <c r="Y321" s="2">
        <v>0</v>
      </c>
      <c r="Z321" s="2">
        <v>0</v>
      </c>
      <c r="AA321" s="2">
        <v>0</v>
      </c>
      <c r="AB321" s="2"/>
      <c r="AC321" s="2"/>
      <c r="AD321" s="2" t="s">
        <v>3891</v>
      </c>
    </row>
    <row r="322" s="1" customFormat="1" ht="11.25" spans="1:30">
      <c r="A322" s="2" t="s">
        <v>533</v>
      </c>
      <c r="B322" s="2" t="s">
        <v>812</v>
      </c>
      <c r="C322" s="2"/>
      <c r="D322" s="2" t="s">
        <v>813</v>
      </c>
      <c r="E322" s="2" t="s">
        <v>96</v>
      </c>
      <c r="F322" s="2" t="s">
        <v>103</v>
      </c>
      <c r="G322" s="2"/>
      <c r="H322" s="2" t="s">
        <v>2980</v>
      </c>
      <c r="I322" s="2"/>
      <c r="J322" s="2"/>
      <c r="K322" s="2" t="s">
        <v>532</v>
      </c>
      <c r="L322" s="2" t="s">
        <v>3892</v>
      </c>
      <c r="M322" s="2" t="s">
        <v>2974</v>
      </c>
      <c r="N322" s="2" t="s">
        <v>908</v>
      </c>
      <c r="O322" s="2"/>
      <c r="P322" s="2" t="s">
        <v>2982</v>
      </c>
      <c r="Q322" s="2">
        <v>0</v>
      </c>
      <c r="R322" s="2">
        <v>0</v>
      </c>
      <c r="S322" s="2">
        <v>0</v>
      </c>
      <c r="T322" s="2">
        <v>0</v>
      </c>
      <c r="U322" s="2">
        <v>0</v>
      </c>
      <c r="V322" s="2">
        <v>0</v>
      </c>
      <c r="W322" s="2">
        <v>0</v>
      </c>
      <c r="X322" s="2">
        <v>0</v>
      </c>
      <c r="Y322" s="2">
        <v>0</v>
      </c>
      <c r="Z322" s="2">
        <v>0</v>
      </c>
      <c r="AA322" s="2">
        <v>0</v>
      </c>
      <c r="AB322" s="2"/>
      <c r="AC322" s="2"/>
      <c r="AD322" s="2" t="s">
        <v>3893</v>
      </c>
    </row>
    <row r="323" s="1" customFormat="1" ht="11.25" spans="1:30">
      <c r="A323" s="2" t="s">
        <v>535</v>
      </c>
      <c r="B323" s="2" t="s">
        <v>812</v>
      </c>
      <c r="C323" s="2"/>
      <c r="D323" s="2" t="s">
        <v>813</v>
      </c>
      <c r="E323" s="2" t="s">
        <v>96</v>
      </c>
      <c r="F323" s="2" t="s">
        <v>103</v>
      </c>
      <c r="G323" s="2"/>
      <c r="H323" s="2" t="s">
        <v>2980</v>
      </c>
      <c r="I323" s="2"/>
      <c r="J323" s="2"/>
      <c r="K323" s="2" t="s">
        <v>534</v>
      </c>
      <c r="L323" s="2" t="s">
        <v>3894</v>
      </c>
      <c r="M323" s="2" t="s">
        <v>2974</v>
      </c>
      <c r="N323" s="2" t="s">
        <v>908</v>
      </c>
      <c r="O323" s="2"/>
      <c r="P323" s="2" t="s">
        <v>2982</v>
      </c>
      <c r="Q323" s="2">
        <v>0</v>
      </c>
      <c r="R323" s="2">
        <v>0</v>
      </c>
      <c r="S323" s="2">
        <v>0</v>
      </c>
      <c r="T323" s="2">
        <v>0</v>
      </c>
      <c r="U323" s="2">
        <v>0</v>
      </c>
      <c r="V323" s="2">
        <v>0</v>
      </c>
      <c r="W323" s="2">
        <v>0</v>
      </c>
      <c r="X323" s="2">
        <v>0</v>
      </c>
      <c r="Y323" s="2">
        <v>0</v>
      </c>
      <c r="Z323" s="2">
        <v>0</v>
      </c>
      <c r="AA323" s="2">
        <v>0</v>
      </c>
      <c r="AB323" s="2"/>
      <c r="AC323" s="2"/>
      <c r="AD323" s="2" t="s">
        <v>3895</v>
      </c>
    </row>
    <row r="324" s="1" customFormat="1" ht="11.25" spans="1:30">
      <c r="A324" s="2" t="s">
        <v>537</v>
      </c>
      <c r="B324" s="2" t="s">
        <v>812</v>
      </c>
      <c r="C324" s="2"/>
      <c r="D324" s="2" t="s">
        <v>813</v>
      </c>
      <c r="E324" s="2" t="s">
        <v>96</v>
      </c>
      <c r="F324" s="2" t="s">
        <v>103</v>
      </c>
      <c r="G324" s="2"/>
      <c r="H324" s="2" t="s">
        <v>2980</v>
      </c>
      <c r="I324" s="2"/>
      <c r="J324" s="2"/>
      <c r="K324" s="2" t="s">
        <v>536</v>
      </c>
      <c r="L324" s="2" t="s">
        <v>3896</v>
      </c>
      <c r="M324" s="2" t="s">
        <v>2974</v>
      </c>
      <c r="N324" s="2" t="s">
        <v>908</v>
      </c>
      <c r="O324" s="2"/>
      <c r="P324" s="2" t="s">
        <v>2982</v>
      </c>
      <c r="Q324" s="2">
        <v>0</v>
      </c>
      <c r="R324" s="2">
        <v>0</v>
      </c>
      <c r="S324" s="2">
        <v>0</v>
      </c>
      <c r="T324" s="2">
        <v>0</v>
      </c>
      <c r="U324" s="2">
        <v>0</v>
      </c>
      <c r="V324" s="2">
        <v>0</v>
      </c>
      <c r="W324" s="2">
        <v>0</v>
      </c>
      <c r="X324" s="2">
        <v>0</v>
      </c>
      <c r="Y324" s="2">
        <v>0</v>
      </c>
      <c r="Z324" s="2">
        <v>0</v>
      </c>
      <c r="AA324" s="2">
        <v>0</v>
      </c>
      <c r="AB324" s="2"/>
      <c r="AC324" s="2"/>
      <c r="AD324" s="2" t="s">
        <v>3897</v>
      </c>
    </row>
    <row r="325" s="1" customFormat="1" ht="11.25" spans="1:30">
      <c r="A325" s="2" t="s">
        <v>632</v>
      </c>
      <c r="B325" s="2" t="s">
        <v>812</v>
      </c>
      <c r="C325" s="2"/>
      <c r="D325" s="2" t="s">
        <v>813</v>
      </c>
      <c r="E325" s="2" t="s">
        <v>108</v>
      </c>
      <c r="F325" s="2" t="s">
        <v>109</v>
      </c>
      <c r="G325" s="2"/>
      <c r="H325" s="2" t="s">
        <v>2980</v>
      </c>
      <c r="I325" s="2"/>
      <c r="J325" s="2"/>
      <c r="K325" s="2" t="s">
        <v>2611</v>
      </c>
      <c r="L325" s="2" t="s">
        <v>3898</v>
      </c>
      <c r="M325" s="2" t="s">
        <v>2974</v>
      </c>
      <c r="N325" s="2" t="s">
        <v>908</v>
      </c>
      <c r="O325" s="2"/>
      <c r="P325" s="2" t="s">
        <v>2982</v>
      </c>
      <c r="Q325" s="2">
        <v>0</v>
      </c>
      <c r="R325" s="2">
        <v>0</v>
      </c>
      <c r="S325" s="2">
        <v>0</v>
      </c>
      <c r="T325" s="2">
        <v>0</v>
      </c>
      <c r="U325" s="2">
        <v>0</v>
      </c>
      <c r="V325" s="2">
        <v>0</v>
      </c>
      <c r="W325" s="2">
        <v>0</v>
      </c>
      <c r="X325" s="2">
        <v>0</v>
      </c>
      <c r="Y325" s="2">
        <v>0</v>
      </c>
      <c r="Z325" s="2">
        <v>0</v>
      </c>
      <c r="AA325" s="2">
        <v>0</v>
      </c>
      <c r="AB325" s="2"/>
      <c r="AC325" s="2"/>
      <c r="AD325" s="2" t="s">
        <v>3899</v>
      </c>
    </row>
    <row r="326" s="1" customFormat="1" ht="11.25" spans="1:30">
      <c r="A326" s="2" t="s">
        <v>633</v>
      </c>
      <c r="B326" s="2" t="s">
        <v>812</v>
      </c>
      <c r="C326" s="2"/>
      <c r="D326" s="2" t="s">
        <v>813</v>
      </c>
      <c r="E326" s="2" t="s">
        <v>108</v>
      </c>
      <c r="F326" s="2" t="s">
        <v>109</v>
      </c>
      <c r="G326" s="2"/>
      <c r="H326" s="2" t="s">
        <v>2980</v>
      </c>
      <c r="I326" s="2"/>
      <c r="J326" s="2"/>
      <c r="K326" s="2" t="s">
        <v>2617</v>
      </c>
      <c r="L326" s="2" t="s">
        <v>3900</v>
      </c>
      <c r="M326" s="2" t="s">
        <v>2974</v>
      </c>
      <c r="N326" s="2" t="s">
        <v>908</v>
      </c>
      <c r="O326" s="2"/>
      <c r="P326" s="2" t="s">
        <v>2982</v>
      </c>
      <c r="Q326" s="2">
        <v>0</v>
      </c>
      <c r="R326" s="2">
        <v>0</v>
      </c>
      <c r="S326" s="2">
        <v>0</v>
      </c>
      <c r="T326" s="2">
        <v>0</v>
      </c>
      <c r="U326" s="2">
        <v>0</v>
      </c>
      <c r="V326" s="2">
        <v>0</v>
      </c>
      <c r="W326" s="2">
        <v>0</v>
      </c>
      <c r="X326" s="2">
        <v>0</v>
      </c>
      <c r="Y326" s="2">
        <v>0</v>
      </c>
      <c r="Z326" s="2">
        <v>0</v>
      </c>
      <c r="AA326" s="2">
        <v>0</v>
      </c>
      <c r="AB326" s="2"/>
      <c r="AC326" s="2"/>
      <c r="AD326" s="2" t="s">
        <v>3901</v>
      </c>
    </row>
    <row r="327" s="1" customFormat="1" ht="11.25" spans="1:30">
      <c r="A327" s="2" t="s">
        <v>552</v>
      </c>
      <c r="B327" s="2" t="s">
        <v>919</v>
      </c>
      <c r="C327" s="2" t="s">
        <v>3023</v>
      </c>
      <c r="D327" s="2" t="s">
        <v>813</v>
      </c>
      <c r="E327" s="2" t="s">
        <v>96</v>
      </c>
      <c r="F327" s="2" t="s">
        <v>103</v>
      </c>
      <c r="G327" s="2"/>
      <c r="H327" s="2" t="s">
        <v>2980</v>
      </c>
      <c r="I327" s="2"/>
      <c r="J327" s="2"/>
      <c r="K327" s="2" t="s">
        <v>551</v>
      </c>
      <c r="L327" s="2" t="s">
        <v>3902</v>
      </c>
      <c r="M327" s="2" t="s">
        <v>2974</v>
      </c>
      <c r="N327" s="2" t="s">
        <v>908</v>
      </c>
      <c r="O327" s="2"/>
      <c r="P327" s="2" t="s">
        <v>2982</v>
      </c>
      <c r="Q327" s="2">
        <v>0</v>
      </c>
      <c r="R327" s="2">
        <v>0</v>
      </c>
      <c r="S327" s="2">
        <v>0</v>
      </c>
      <c r="T327" s="2">
        <v>0</v>
      </c>
      <c r="U327" s="2">
        <v>0</v>
      </c>
      <c r="V327" s="2">
        <v>0</v>
      </c>
      <c r="W327" s="2">
        <v>0</v>
      </c>
      <c r="X327" s="2">
        <v>0</v>
      </c>
      <c r="Y327" s="2">
        <v>0</v>
      </c>
      <c r="Z327" s="2">
        <v>0</v>
      </c>
      <c r="AA327" s="2">
        <v>0</v>
      </c>
      <c r="AB327" s="2"/>
      <c r="AC327" s="2"/>
      <c r="AD327" s="2" t="s">
        <v>3903</v>
      </c>
    </row>
    <row r="328" s="1" customFormat="1" ht="11.25" spans="1:30">
      <c r="A328" s="2" t="s">
        <v>554</v>
      </c>
      <c r="B328" s="2" t="s">
        <v>812</v>
      </c>
      <c r="C328" s="2"/>
      <c r="D328" s="2" t="s">
        <v>813</v>
      </c>
      <c r="E328" s="2" t="s">
        <v>96</v>
      </c>
      <c r="F328" s="2" t="s">
        <v>103</v>
      </c>
      <c r="G328" s="2"/>
      <c r="H328" s="2" t="s">
        <v>2980</v>
      </c>
      <c r="I328" s="2"/>
      <c r="J328" s="2"/>
      <c r="K328" s="2" t="s">
        <v>553</v>
      </c>
      <c r="L328" s="2" t="s">
        <v>3904</v>
      </c>
      <c r="M328" s="2" t="s">
        <v>2974</v>
      </c>
      <c r="N328" s="2" t="s">
        <v>908</v>
      </c>
      <c r="O328" s="2"/>
      <c r="P328" s="2" t="s">
        <v>2982</v>
      </c>
      <c r="Q328" s="2">
        <v>0</v>
      </c>
      <c r="R328" s="2">
        <v>0</v>
      </c>
      <c r="S328" s="2">
        <v>0</v>
      </c>
      <c r="T328" s="2">
        <v>0</v>
      </c>
      <c r="U328" s="2">
        <v>0</v>
      </c>
      <c r="V328" s="2">
        <v>0</v>
      </c>
      <c r="W328" s="2">
        <v>0</v>
      </c>
      <c r="X328" s="2">
        <v>0</v>
      </c>
      <c r="Y328" s="2">
        <v>0</v>
      </c>
      <c r="Z328" s="2">
        <v>0</v>
      </c>
      <c r="AA328" s="2">
        <v>0</v>
      </c>
      <c r="AB328" s="2"/>
      <c r="AC328" s="2"/>
      <c r="AD328" s="2" t="s">
        <v>3905</v>
      </c>
    </row>
    <row r="329" s="1" customFormat="1" ht="11.25" spans="1:30">
      <c r="A329" s="2" t="s">
        <v>556</v>
      </c>
      <c r="B329" s="2" t="s">
        <v>812</v>
      </c>
      <c r="C329" s="2"/>
      <c r="D329" s="2" t="s">
        <v>813</v>
      </c>
      <c r="E329" s="2" t="s">
        <v>96</v>
      </c>
      <c r="F329" s="2" t="s">
        <v>103</v>
      </c>
      <c r="G329" s="2"/>
      <c r="H329" s="2" t="s">
        <v>2980</v>
      </c>
      <c r="I329" s="2"/>
      <c r="J329" s="2"/>
      <c r="K329" s="2" t="s">
        <v>555</v>
      </c>
      <c r="L329" s="2" t="s">
        <v>3906</v>
      </c>
      <c r="M329" s="2" t="s">
        <v>2974</v>
      </c>
      <c r="N329" s="2" t="s">
        <v>908</v>
      </c>
      <c r="O329" s="2"/>
      <c r="P329" s="2" t="s">
        <v>2982</v>
      </c>
      <c r="Q329" s="2">
        <v>0</v>
      </c>
      <c r="R329" s="2">
        <v>0</v>
      </c>
      <c r="S329" s="2">
        <v>0</v>
      </c>
      <c r="T329" s="2">
        <v>0</v>
      </c>
      <c r="U329" s="2">
        <v>0</v>
      </c>
      <c r="V329" s="2">
        <v>0</v>
      </c>
      <c r="W329" s="2">
        <v>0</v>
      </c>
      <c r="X329" s="2">
        <v>0</v>
      </c>
      <c r="Y329" s="2">
        <v>0</v>
      </c>
      <c r="Z329" s="2">
        <v>0</v>
      </c>
      <c r="AA329" s="2">
        <v>0</v>
      </c>
      <c r="AB329" s="2"/>
      <c r="AC329" s="2"/>
      <c r="AD329" s="2" t="s">
        <v>3907</v>
      </c>
    </row>
    <row r="330" s="1" customFormat="1" ht="11.25" spans="1:30">
      <c r="A330" s="2" t="s">
        <v>538</v>
      </c>
      <c r="B330" s="2" t="s">
        <v>919</v>
      </c>
      <c r="C330" s="2"/>
      <c r="D330" s="2" t="s">
        <v>813</v>
      </c>
      <c r="E330" s="2" t="s">
        <v>96</v>
      </c>
      <c r="F330" s="2" t="s">
        <v>103</v>
      </c>
      <c r="G330" s="2"/>
      <c r="H330" s="2" t="s">
        <v>2980</v>
      </c>
      <c r="I330" s="2"/>
      <c r="J330" s="2"/>
      <c r="K330" s="2" t="s">
        <v>258</v>
      </c>
      <c r="L330" s="2" t="s">
        <v>3908</v>
      </c>
      <c r="M330" s="2" t="s">
        <v>2974</v>
      </c>
      <c r="N330" s="2" t="s">
        <v>908</v>
      </c>
      <c r="O330" s="2"/>
      <c r="P330" s="2" t="s">
        <v>2982</v>
      </c>
      <c r="Q330" s="2">
        <v>0</v>
      </c>
      <c r="R330" s="2">
        <v>0</v>
      </c>
      <c r="S330" s="2">
        <v>0</v>
      </c>
      <c r="T330" s="2">
        <v>0</v>
      </c>
      <c r="U330" s="2">
        <v>0</v>
      </c>
      <c r="V330" s="2">
        <v>0</v>
      </c>
      <c r="W330" s="2">
        <v>0</v>
      </c>
      <c r="X330" s="2">
        <v>0</v>
      </c>
      <c r="Y330" s="2">
        <v>0</v>
      </c>
      <c r="Z330" s="2">
        <v>0</v>
      </c>
      <c r="AA330" s="2">
        <v>0</v>
      </c>
      <c r="AB330" s="2"/>
      <c r="AC330" s="2"/>
      <c r="AD330" s="2" t="s">
        <v>3909</v>
      </c>
    </row>
    <row r="331" s="1" customFormat="1" ht="11.25" spans="1:30">
      <c r="A331" s="2" t="s">
        <v>637</v>
      </c>
      <c r="B331" s="2" t="s">
        <v>919</v>
      </c>
      <c r="C331" s="2" t="s">
        <v>3008</v>
      </c>
      <c r="D331" s="2" t="s">
        <v>813</v>
      </c>
      <c r="E331" s="2" t="s">
        <v>96</v>
      </c>
      <c r="F331" s="2" t="s">
        <v>103</v>
      </c>
      <c r="G331" s="2"/>
      <c r="H331" s="2" t="s">
        <v>2980</v>
      </c>
      <c r="I331" s="2"/>
      <c r="J331" s="2"/>
      <c r="K331" s="2" t="s">
        <v>2865</v>
      </c>
      <c r="L331" s="2" t="s">
        <v>3910</v>
      </c>
      <c r="M331" s="2" t="s">
        <v>2974</v>
      </c>
      <c r="N331" s="2" t="s">
        <v>908</v>
      </c>
      <c r="O331" s="2"/>
      <c r="P331" s="2" t="s">
        <v>2982</v>
      </c>
      <c r="Q331" s="2">
        <v>0</v>
      </c>
      <c r="R331" s="2">
        <v>0</v>
      </c>
      <c r="S331" s="2">
        <v>0</v>
      </c>
      <c r="T331" s="2">
        <v>0</v>
      </c>
      <c r="U331" s="2">
        <v>0</v>
      </c>
      <c r="V331" s="2">
        <v>0</v>
      </c>
      <c r="W331" s="2">
        <v>0</v>
      </c>
      <c r="X331" s="2">
        <v>0</v>
      </c>
      <c r="Y331" s="2">
        <v>0</v>
      </c>
      <c r="Z331" s="2">
        <v>0</v>
      </c>
      <c r="AA331" s="2">
        <v>0</v>
      </c>
      <c r="AB331" s="2"/>
      <c r="AC331" s="2"/>
      <c r="AD331" s="2" t="s">
        <v>3911</v>
      </c>
    </row>
    <row r="332" s="1" customFormat="1" ht="11.25" spans="1:30">
      <c r="A332" s="2" t="s">
        <v>255</v>
      </c>
      <c r="B332" s="2" t="s">
        <v>812</v>
      </c>
      <c r="C332" s="2"/>
      <c r="D332" s="2" t="s">
        <v>813</v>
      </c>
      <c r="E332" s="2" t="s">
        <v>96</v>
      </c>
      <c r="F332" s="2" t="s">
        <v>186</v>
      </c>
      <c r="G332" s="2"/>
      <c r="H332" s="2" t="s">
        <v>2980</v>
      </c>
      <c r="I332" s="2"/>
      <c r="J332" s="2"/>
      <c r="K332" s="2" t="s">
        <v>252</v>
      </c>
      <c r="L332" s="2" t="s">
        <v>3070</v>
      </c>
      <c r="M332" s="2" t="s">
        <v>2974</v>
      </c>
      <c r="N332" s="2" t="s">
        <v>908</v>
      </c>
      <c r="O332" s="2"/>
      <c r="P332" s="2" t="s">
        <v>2982</v>
      </c>
      <c r="Q332" s="2">
        <v>0</v>
      </c>
      <c r="R332" s="2">
        <v>0</v>
      </c>
      <c r="S332" s="2">
        <v>0</v>
      </c>
      <c r="T332" s="2">
        <v>0</v>
      </c>
      <c r="U332" s="2">
        <v>0</v>
      </c>
      <c r="V332" s="2">
        <v>0</v>
      </c>
      <c r="W332" s="2">
        <v>0</v>
      </c>
      <c r="X332" s="2">
        <v>0</v>
      </c>
      <c r="Y332" s="2">
        <v>0</v>
      </c>
      <c r="Z332" s="2">
        <v>0</v>
      </c>
      <c r="AA332" s="2">
        <v>0</v>
      </c>
      <c r="AB332" s="2"/>
      <c r="AC332" s="2"/>
      <c r="AD332" s="2" t="s">
        <v>3072</v>
      </c>
    </row>
    <row r="333" s="1" customFormat="1" ht="11.25" spans="1:30">
      <c r="A333" s="2" t="s">
        <v>189</v>
      </c>
      <c r="B333" s="2" t="s">
        <v>812</v>
      </c>
      <c r="C333" s="2"/>
      <c r="D333" s="2" t="s">
        <v>813</v>
      </c>
      <c r="E333" s="2" t="s">
        <v>96</v>
      </c>
      <c r="F333" s="2" t="s">
        <v>186</v>
      </c>
      <c r="G333" s="2"/>
      <c r="H333" s="2" t="s">
        <v>2980</v>
      </c>
      <c r="I333" s="2"/>
      <c r="J333" s="2"/>
      <c r="K333" s="2" t="s">
        <v>187</v>
      </c>
      <c r="L333" s="2" t="s">
        <v>3102</v>
      </c>
      <c r="M333" s="2" t="s">
        <v>2974</v>
      </c>
      <c r="N333" s="2" t="s">
        <v>908</v>
      </c>
      <c r="O333" s="2"/>
      <c r="P333" s="2" t="s">
        <v>2982</v>
      </c>
      <c r="Q333" s="2">
        <v>0</v>
      </c>
      <c r="R333" s="2">
        <v>0</v>
      </c>
      <c r="S333" s="2">
        <v>0</v>
      </c>
      <c r="T333" s="2">
        <v>0</v>
      </c>
      <c r="U333" s="2">
        <v>0</v>
      </c>
      <c r="V333" s="2">
        <v>0</v>
      </c>
      <c r="W333" s="2">
        <v>0</v>
      </c>
      <c r="X333" s="2">
        <v>0</v>
      </c>
      <c r="Y333" s="2">
        <v>0</v>
      </c>
      <c r="Z333" s="2">
        <v>0</v>
      </c>
      <c r="AA333" s="2">
        <v>0</v>
      </c>
      <c r="AB333" s="2"/>
      <c r="AC333" s="2"/>
      <c r="AD333" s="2" t="s">
        <v>3104</v>
      </c>
    </row>
    <row r="334" s="1" customFormat="1" ht="11.25" spans="1:30">
      <c r="A334" s="2" t="s">
        <v>586</v>
      </c>
      <c r="B334" s="2" t="s">
        <v>812</v>
      </c>
      <c r="C334" s="2"/>
      <c r="D334" s="2" t="s">
        <v>813</v>
      </c>
      <c r="E334" s="2" t="s">
        <v>108</v>
      </c>
      <c r="F334" s="2" t="s">
        <v>278</v>
      </c>
      <c r="G334" s="2"/>
      <c r="H334" s="2" t="s">
        <v>2980</v>
      </c>
      <c r="I334" s="2"/>
      <c r="J334" s="2"/>
      <c r="K334" s="2" t="s">
        <v>584</v>
      </c>
      <c r="L334" s="2" t="s">
        <v>3382</v>
      </c>
      <c r="M334" s="2" t="s">
        <v>2974</v>
      </c>
      <c r="N334" s="2" t="s">
        <v>908</v>
      </c>
      <c r="O334" s="2"/>
      <c r="P334" s="2" t="s">
        <v>2982</v>
      </c>
      <c r="Q334" s="2">
        <v>0</v>
      </c>
      <c r="R334" s="2">
        <v>0</v>
      </c>
      <c r="S334" s="2">
        <v>0</v>
      </c>
      <c r="T334" s="2">
        <v>0</v>
      </c>
      <c r="U334" s="2">
        <v>0</v>
      </c>
      <c r="V334" s="2">
        <v>0</v>
      </c>
      <c r="W334" s="2">
        <v>0</v>
      </c>
      <c r="X334" s="2">
        <v>0</v>
      </c>
      <c r="Y334" s="2">
        <v>0</v>
      </c>
      <c r="Z334" s="2">
        <v>0</v>
      </c>
      <c r="AA334" s="2">
        <v>0</v>
      </c>
      <c r="AB334" s="2"/>
      <c r="AC334" s="2"/>
      <c r="AD334" s="2" t="s">
        <v>3384</v>
      </c>
    </row>
    <row r="335" s="1" customFormat="1" ht="11.25" spans="1:30">
      <c r="A335" s="2" t="s">
        <v>215</v>
      </c>
      <c r="B335" s="2" t="s">
        <v>812</v>
      </c>
      <c r="C335" s="2"/>
      <c r="D335" s="2" t="s">
        <v>909</v>
      </c>
      <c r="E335" s="2" t="s">
        <v>96</v>
      </c>
      <c r="F335" s="2" t="s">
        <v>186</v>
      </c>
      <c r="G335" s="2"/>
      <c r="H335" s="2" t="s">
        <v>2980</v>
      </c>
      <c r="I335" s="2"/>
      <c r="J335" s="2"/>
      <c r="K335" s="2" t="s">
        <v>213</v>
      </c>
      <c r="L335" s="2" t="s">
        <v>3013</v>
      </c>
      <c r="M335" s="2" t="s">
        <v>2974</v>
      </c>
      <c r="N335" s="2" t="s">
        <v>908</v>
      </c>
      <c r="O335" s="2"/>
      <c r="P335" s="2" t="s">
        <v>2982</v>
      </c>
      <c r="Q335" s="2">
        <v>0</v>
      </c>
      <c r="R335" s="2">
        <v>0</v>
      </c>
      <c r="S335" s="2">
        <v>0</v>
      </c>
      <c r="T335" s="2">
        <v>0</v>
      </c>
      <c r="U335" s="2">
        <v>0</v>
      </c>
      <c r="V335" s="2">
        <v>0</v>
      </c>
      <c r="W335" s="2">
        <v>0</v>
      </c>
      <c r="X335" s="2">
        <v>0</v>
      </c>
      <c r="Y335" s="2">
        <v>0</v>
      </c>
      <c r="Z335" s="2">
        <v>0</v>
      </c>
      <c r="AA335" s="2">
        <v>0</v>
      </c>
      <c r="AB335" s="2"/>
      <c r="AC335" s="2"/>
      <c r="AD335" s="2" t="s">
        <v>3016</v>
      </c>
    </row>
    <row r="336" s="1" customFormat="1" ht="11.25" spans="1:30">
      <c r="A336" s="2" t="s">
        <v>226</v>
      </c>
      <c r="B336" s="2" t="s">
        <v>812</v>
      </c>
      <c r="C336" s="2"/>
      <c r="D336" s="2" t="s">
        <v>909</v>
      </c>
      <c r="E336" s="2" t="s">
        <v>96</v>
      </c>
      <c r="F336" s="2" t="s">
        <v>115</v>
      </c>
      <c r="G336" s="2"/>
      <c r="H336" s="2" t="s">
        <v>2980</v>
      </c>
      <c r="I336" s="2"/>
      <c r="J336" s="2"/>
      <c r="K336" s="2" t="s">
        <v>223</v>
      </c>
      <c r="L336" s="2" t="s">
        <v>3009</v>
      </c>
      <c r="M336" s="2" t="s">
        <v>2974</v>
      </c>
      <c r="N336" s="2" t="s">
        <v>908</v>
      </c>
      <c r="O336" s="2"/>
      <c r="P336" s="2" t="s">
        <v>2982</v>
      </c>
      <c r="Q336" s="2">
        <v>0</v>
      </c>
      <c r="R336" s="2">
        <v>0</v>
      </c>
      <c r="S336" s="2">
        <v>0</v>
      </c>
      <c r="T336" s="2">
        <v>0</v>
      </c>
      <c r="U336" s="2">
        <v>0</v>
      </c>
      <c r="V336" s="2">
        <v>0</v>
      </c>
      <c r="W336" s="2">
        <v>0</v>
      </c>
      <c r="X336" s="2">
        <v>0</v>
      </c>
      <c r="Y336" s="2">
        <v>0</v>
      </c>
      <c r="Z336" s="2">
        <v>0</v>
      </c>
      <c r="AA336" s="2">
        <v>0</v>
      </c>
      <c r="AB336" s="2"/>
      <c r="AC336" s="2"/>
      <c r="AD336" s="2" t="s">
        <v>3012</v>
      </c>
    </row>
    <row r="337" s="1" customFormat="1" ht="11.25" spans="1:30">
      <c r="A337" s="2" t="s">
        <v>850</v>
      </c>
      <c r="B337" s="2" t="s">
        <v>812</v>
      </c>
      <c r="C337" s="2"/>
      <c r="D337" s="2" t="s">
        <v>909</v>
      </c>
      <c r="E337" s="2" t="s">
        <v>96</v>
      </c>
      <c r="F337" s="2" t="s">
        <v>115</v>
      </c>
      <c r="G337" s="2"/>
      <c r="H337" s="2" t="s">
        <v>2980</v>
      </c>
      <c r="I337" s="2"/>
      <c r="J337" s="2"/>
      <c r="K337" s="2" t="s">
        <v>304</v>
      </c>
      <c r="L337" s="2" t="s">
        <v>3086</v>
      </c>
      <c r="M337" s="2" t="s">
        <v>2974</v>
      </c>
      <c r="N337" s="2" t="s">
        <v>908</v>
      </c>
      <c r="O337" s="2"/>
      <c r="P337" s="2" t="s">
        <v>2982</v>
      </c>
      <c r="Q337" s="2">
        <v>0</v>
      </c>
      <c r="R337" s="2">
        <v>0</v>
      </c>
      <c r="S337" s="2">
        <v>0</v>
      </c>
      <c r="T337" s="2">
        <v>0</v>
      </c>
      <c r="U337" s="2">
        <v>0</v>
      </c>
      <c r="V337" s="2">
        <v>0</v>
      </c>
      <c r="W337" s="2">
        <v>0</v>
      </c>
      <c r="X337" s="2">
        <v>0</v>
      </c>
      <c r="Y337" s="2">
        <v>0</v>
      </c>
      <c r="Z337" s="2">
        <v>0</v>
      </c>
      <c r="AA337" s="2">
        <v>0</v>
      </c>
      <c r="AB337" s="2"/>
      <c r="AC337" s="2"/>
      <c r="AD337" s="2" t="s">
        <v>3012</v>
      </c>
    </row>
    <row r="338" s="1" customFormat="1" ht="11.25" spans="1:30">
      <c r="A338" s="2" t="s">
        <v>851</v>
      </c>
      <c r="B338" s="2" t="s">
        <v>812</v>
      </c>
      <c r="C338" s="2"/>
      <c r="D338" s="2" t="s">
        <v>909</v>
      </c>
      <c r="E338" s="2" t="s">
        <v>96</v>
      </c>
      <c r="F338" s="2" t="s">
        <v>115</v>
      </c>
      <c r="G338" s="2"/>
      <c r="H338" s="2" t="s">
        <v>2980</v>
      </c>
      <c r="I338" s="2"/>
      <c r="J338" s="2"/>
      <c r="K338" s="2" t="s">
        <v>382</v>
      </c>
      <c r="L338" s="2" t="s">
        <v>3152</v>
      </c>
      <c r="M338" s="2" t="s">
        <v>2974</v>
      </c>
      <c r="N338" s="2" t="s">
        <v>908</v>
      </c>
      <c r="O338" s="2"/>
      <c r="P338" s="2" t="s">
        <v>2982</v>
      </c>
      <c r="Q338" s="2">
        <v>0</v>
      </c>
      <c r="R338" s="2">
        <v>0</v>
      </c>
      <c r="S338" s="2">
        <v>0</v>
      </c>
      <c r="T338" s="2">
        <v>0</v>
      </c>
      <c r="U338" s="2">
        <v>0</v>
      </c>
      <c r="V338" s="2">
        <v>0</v>
      </c>
      <c r="W338" s="2">
        <v>0</v>
      </c>
      <c r="X338" s="2">
        <v>0</v>
      </c>
      <c r="Y338" s="2">
        <v>0</v>
      </c>
      <c r="Z338" s="2">
        <v>0</v>
      </c>
      <c r="AA338" s="2">
        <v>0</v>
      </c>
      <c r="AB338" s="2"/>
      <c r="AC338" s="2"/>
      <c r="AD338" s="2" t="s">
        <v>3012</v>
      </c>
    </row>
    <row r="339" s="1" customFormat="1" ht="11.25" spans="1:30">
      <c r="A339" s="2" t="s">
        <v>2937</v>
      </c>
      <c r="B339" s="2" t="s">
        <v>812</v>
      </c>
      <c r="C339" s="2"/>
      <c r="D339" s="2" t="s">
        <v>909</v>
      </c>
      <c r="E339" s="2" t="s">
        <v>96</v>
      </c>
      <c r="F339" s="2" t="s">
        <v>186</v>
      </c>
      <c r="G339" s="2"/>
      <c r="H339" s="2" t="s">
        <v>2980</v>
      </c>
      <c r="I339" s="2"/>
      <c r="J339" s="2"/>
      <c r="K339" s="2" t="s">
        <v>2463</v>
      </c>
      <c r="L339" s="2" t="s">
        <v>3002</v>
      </c>
      <c r="M339" s="2" t="s">
        <v>2974</v>
      </c>
      <c r="N339" s="2" t="s">
        <v>908</v>
      </c>
      <c r="O339" s="2"/>
      <c r="P339" s="2" t="s">
        <v>2982</v>
      </c>
      <c r="Q339" s="2">
        <v>0</v>
      </c>
      <c r="R339" s="2">
        <v>0</v>
      </c>
      <c r="S339" s="2">
        <v>0</v>
      </c>
      <c r="T339" s="2">
        <v>0</v>
      </c>
      <c r="U339" s="2">
        <v>0</v>
      </c>
      <c r="V339" s="2">
        <v>0</v>
      </c>
      <c r="W339" s="2">
        <v>0</v>
      </c>
      <c r="X339" s="2">
        <v>0</v>
      </c>
      <c r="Y339" s="2">
        <v>0</v>
      </c>
      <c r="Z339" s="2">
        <v>0</v>
      </c>
      <c r="AA339" s="2">
        <v>0</v>
      </c>
      <c r="AB339" s="2"/>
      <c r="AC339" s="2"/>
      <c r="AD339" s="2" t="s">
        <v>3912</v>
      </c>
    </row>
    <row r="340" s="1" customFormat="1" ht="11.25" spans="1:30">
      <c r="A340" s="2" t="s">
        <v>129</v>
      </c>
      <c r="B340" s="2" t="s">
        <v>919</v>
      </c>
      <c r="C340" s="2" t="s">
        <v>2979</v>
      </c>
      <c r="D340" s="2" t="s">
        <v>813</v>
      </c>
      <c r="E340" s="2" t="s">
        <v>96</v>
      </c>
      <c r="F340" s="2" t="s">
        <v>127</v>
      </c>
      <c r="G340" s="2"/>
      <c r="H340" s="2" t="s">
        <v>2980</v>
      </c>
      <c r="I340" s="2"/>
      <c r="J340" s="2"/>
      <c r="K340" s="2" t="s">
        <v>128</v>
      </c>
      <c r="L340" s="2" t="s">
        <v>3060</v>
      </c>
      <c r="M340" s="2" t="s">
        <v>2974</v>
      </c>
      <c r="N340" s="2" t="s">
        <v>908</v>
      </c>
      <c r="O340" s="2" t="s">
        <v>3125</v>
      </c>
      <c r="P340" s="2" t="s">
        <v>2982</v>
      </c>
      <c r="Q340" s="2">
        <v>0</v>
      </c>
      <c r="R340" s="2">
        <v>0</v>
      </c>
      <c r="S340" s="2">
        <v>0</v>
      </c>
      <c r="T340" s="2">
        <v>0</v>
      </c>
      <c r="U340" s="2">
        <v>0</v>
      </c>
      <c r="V340" s="2">
        <v>0</v>
      </c>
      <c r="W340" s="2">
        <v>0</v>
      </c>
      <c r="X340" s="2">
        <v>0</v>
      </c>
      <c r="Y340" s="2">
        <v>0</v>
      </c>
      <c r="Z340" s="2">
        <v>0</v>
      </c>
      <c r="AA340" s="2">
        <v>0</v>
      </c>
      <c r="AB340" s="2" t="s">
        <v>3849</v>
      </c>
      <c r="AC340" s="2"/>
      <c r="AD340" s="2" t="s">
        <v>3062</v>
      </c>
    </row>
    <row r="341" s="1" customFormat="1" ht="11.25" spans="1:30">
      <c r="A341" s="2" t="s">
        <v>293</v>
      </c>
      <c r="B341" s="2" t="s">
        <v>812</v>
      </c>
      <c r="C341" s="2" t="s">
        <v>3023</v>
      </c>
      <c r="D341" s="2" t="s">
        <v>813</v>
      </c>
      <c r="E341" s="2" t="s">
        <v>96</v>
      </c>
      <c r="F341" s="2" t="s">
        <v>115</v>
      </c>
      <c r="G341" s="2"/>
      <c r="H341" s="2" t="s">
        <v>2980</v>
      </c>
      <c r="I341" s="2"/>
      <c r="J341" s="2"/>
      <c r="K341" s="2" t="s">
        <v>292</v>
      </c>
      <c r="L341" s="2" t="s">
        <v>3913</v>
      </c>
      <c r="M341" s="2" t="s">
        <v>2974</v>
      </c>
      <c r="N341" s="2" t="s">
        <v>908</v>
      </c>
      <c r="O341" s="2" t="s">
        <v>3125</v>
      </c>
      <c r="P341" s="2" t="s">
        <v>2982</v>
      </c>
      <c r="Q341" s="2">
        <v>0</v>
      </c>
      <c r="R341" s="2">
        <v>0</v>
      </c>
      <c r="S341" s="2">
        <v>0</v>
      </c>
      <c r="T341" s="2">
        <v>120</v>
      </c>
      <c r="U341" s="2">
        <v>0</v>
      </c>
      <c r="V341" s="2">
        <v>0</v>
      </c>
      <c r="W341" s="2">
        <v>0</v>
      </c>
      <c r="X341" s="2">
        <v>0</v>
      </c>
      <c r="Y341" s="2">
        <v>0</v>
      </c>
      <c r="Z341" s="2">
        <v>0</v>
      </c>
      <c r="AA341" s="2">
        <v>0</v>
      </c>
      <c r="AB341" s="2" t="s">
        <v>2667</v>
      </c>
      <c r="AC341" s="2"/>
      <c r="AD341" s="2" t="s">
        <v>3095</v>
      </c>
    </row>
    <row r="342" s="1" customFormat="1" ht="11.25" spans="1:30">
      <c r="A342" s="2" t="s">
        <v>441</v>
      </c>
      <c r="B342" s="2" t="s">
        <v>812</v>
      </c>
      <c r="C342" s="2" t="s">
        <v>3023</v>
      </c>
      <c r="D342" s="2" t="s">
        <v>813</v>
      </c>
      <c r="E342" s="2" t="s">
        <v>108</v>
      </c>
      <c r="F342" s="2" t="s">
        <v>927</v>
      </c>
      <c r="G342" s="2"/>
      <c r="H342" s="2" t="s">
        <v>2980</v>
      </c>
      <c r="I342" s="2"/>
      <c r="J342" s="2"/>
      <c r="K342" s="2" t="s">
        <v>1726</v>
      </c>
      <c r="L342" s="2" t="s">
        <v>3260</v>
      </c>
      <c r="M342" s="2" t="s">
        <v>2974</v>
      </c>
      <c r="N342" s="2" t="s">
        <v>908</v>
      </c>
      <c r="O342" s="2" t="s">
        <v>3125</v>
      </c>
      <c r="P342" s="2" t="s">
        <v>2982</v>
      </c>
      <c r="Q342" s="2">
        <v>0</v>
      </c>
      <c r="R342" s="2">
        <v>0</v>
      </c>
      <c r="S342" s="2">
        <v>0</v>
      </c>
      <c r="T342" s="2">
        <v>30</v>
      </c>
      <c r="U342" s="2">
        <v>0</v>
      </c>
      <c r="V342" s="2">
        <v>0</v>
      </c>
      <c r="W342" s="2">
        <v>0</v>
      </c>
      <c r="X342" s="2">
        <v>0</v>
      </c>
      <c r="Y342" s="2">
        <v>0</v>
      </c>
      <c r="Z342" s="2">
        <v>0</v>
      </c>
      <c r="AA342" s="2">
        <v>0</v>
      </c>
      <c r="AB342" s="2" t="s">
        <v>2667</v>
      </c>
      <c r="AC342" s="2"/>
      <c r="AD342" s="2" t="s">
        <v>3261</v>
      </c>
    </row>
    <row r="343" s="1" customFormat="1" ht="11.25" spans="1:30">
      <c r="A343" s="2" t="s">
        <v>704</v>
      </c>
      <c r="B343" s="2" t="s">
        <v>919</v>
      </c>
      <c r="C343" s="2" t="s">
        <v>2979</v>
      </c>
      <c r="D343" s="2" t="s">
        <v>813</v>
      </c>
      <c r="E343" s="2" t="s">
        <v>96</v>
      </c>
      <c r="F343" s="2" t="s">
        <v>115</v>
      </c>
      <c r="G343" s="2"/>
      <c r="H343" s="2" t="s">
        <v>2980</v>
      </c>
      <c r="I343" s="2"/>
      <c r="J343" s="2"/>
      <c r="K343" s="2" t="s">
        <v>703</v>
      </c>
      <c r="L343" s="2" t="s">
        <v>3194</v>
      </c>
      <c r="M343" s="2" t="s">
        <v>2974</v>
      </c>
      <c r="N343" s="2" t="s">
        <v>908</v>
      </c>
      <c r="O343" s="2" t="s">
        <v>3125</v>
      </c>
      <c r="P343" s="2" t="s">
        <v>2982</v>
      </c>
      <c r="Q343" s="2">
        <v>0</v>
      </c>
      <c r="R343" s="2">
        <v>0</v>
      </c>
      <c r="S343" s="2">
        <v>0</v>
      </c>
      <c r="T343" s="2">
        <v>544</v>
      </c>
      <c r="U343" s="2">
        <v>0</v>
      </c>
      <c r="V343" s="2">
        <v>0</v>
      </c>
      <c r="W343" s="2">
        <v>0</v>
      </c>
      <c r="X343" s="2">
        <v>0</v>
      </c>
      <c r="Y343" s="2">
        <v>0</v>
      </c>
      <c r="Z343" s="2">
        <v>0</v>
      </c>
      <c r="AA343" s="2">
        <v>0</v>
      </c>
      <c r="AB343" s="2" t="s">
        <v>3914</v>
      </c>
      <c r="AC343" s="2"/>
      <c r="AD343" s="2" t="s">
        <v>3197</v>
      </c>
    </row>
    <row r="344" s="1" customFormat="1" ht="11.25" spans="1:30">
      <c r="A344" s="2" t="s">
        <v>471</v>
      </c>
      <c r="B344" s="2" t="s">
        <v>812</v>
      </c>
      <c r="C344" s="2"/>
      <c r="D344" s="2" t="s">
        <v>813</v>
      </c>
      <c r="E344" s="2" t="s">
        <v>96</v>
      </c>
      <c r="F344" s="2" t="s">
        <v>103</v>
      </c>
      <c r="G344" s="2"/>
      <c r="H344" s="2" t="s">
        <v>2980</v>
      </c>
      <c r="I344" s="2"/>
      <c r="J344" s="2"/>
      <c r="K344" s="2" t="s">
        <v>470</v>
      </c>
      <c r="L344" s="2" t="s">
        <v>3915</v>
      </c>
      <c r="M344" s="2" t="s">
        <v>2974</v>
      </c>
      <c r="N344" s="2" t="s">
        <v>908</v>
      </c>
      <c r="O344" s="2" t="s">
        <v>3125</v>
      </c>
      <c r="P344" s="2" t="s">
        <v>2982</v>
      </c>
      <c r="Q344" s="2">
        <v>0</v>
      </c>
      <c r="R344" s="2">
        <v>0</v>
      </c>
      <c r="S344" s="2">
        <v>0</v>
      </c>
      <c r="T344" s="2">
        <v>0</v>
      </c>
      <c r="U344" s="2">
        <v>0</v>
      </c>
      <c r="V344" s="2">
        <v>0</v>
      </c>
      <c r="W344" s="2">
        <v>0</v>
      </c>
      <c r="X344" s="2">
        <v>0</v>
      </c>
      <c r="Y344" s="2">
        <v>0</v>
      </c>
      <c r="Z344" s="2">
        <v>0</v>
      </c>
      <c r="AA344" s="2">
        <v>0</v>
      </c>
      <c r="AB344" s="2" t="s">
        <v>2987</v>
      </c>
      <c r="AC344" s="2"/>
      <c r="AD344" s="2" t="s">
        <v>3916</v>
      </c>
    </row>
    <row r="345" s="1" customFormat="1" ht="11.25" spans="1:30">
      <c r="A345" s="2" t="s">
        <v>225</v>
      </c>
      <c r="B345" s="2" t="s">
        <v>919</v>
      </c>
      <c r="C345" s="2" t="s">
        <v>2979</v>
      </c>
      <c r="D345" s="2" t="s">
        <v>813</v>
      </c>
      <c r="E345" s="2" t="s">
        <v>96</v>
      </c>
      <c r="F345" s="2" t="s">
        <v>115</v>
      </c>
      <c r="G345" s="2"/>
      <c r="H345" s="2" t="s">
        <v>2980</v>
      </c>
      <c r="I345" s="2"/>
      <c r="J345" s="2"/>
      <c r="K345" s="2" t="s">
        <v>223</v>
      </c>
      <c r="L345" s="2" t="s">
        <v>3009</v>
      </c>
      <c r="M345" s="2" t="s">
        <v>2974</v>
      </c>
      <c r="N345" s="2" t="s">
        <v>908</v>
      </c>
      <c r="O345" s="2" t="s">
        <v>3125</v>
      </c>
      <c r="P345" s="2" t="s">
        <v>3917</v>
      </c>
      <c r="Q345" s="2">
        <v>0.25</v>
      </c>
      <c r="R345" s="2">
        <v>0</v>
      </c>
      <c r="S345" s="2">
        <v>0</v>
      </c>
      <c r="T345" s="2">
        <v>500</v>
      </c>
      <c r="U345" s="2">
        <v>0</v>
      </c>
      <c r="V345" s="2">
        <v>0</v>
      </c>
      <c r="W345" s="2">
        <v>0</v>
      </c>
      <c r="X345" s="2">
        <v>0</v>
      </c>
      <c r="Y345" s="2">
        <v>0</v>
      </c>
      <c r="Z345" s="2">
        <v>0</v>
      </c>
      <c r="AA345" s="2">
        <v>0</v>
      </c>
      <c r="AB345" s="2" t="s">
        <v>3015</v>
      </c>
      <c r="AC345" s="2" t="s">
        <v>3219</v>
      </c>
      <c r="AD345" s="2" t="s">
        <v>3012</v>
      </c>
    </row>
    <row r="346" s="1" customFormat="1" ht="11.25" spans="1:30">
      <c r="A346" s="2" t="s">
        <v>571</v>
      </c>
      <c r="B346" s="2" t="s">
        <v>812</v>
      </c>
      <c r="C346" s="2" t="s">
        <v>3023</v>
      </c>
      <c r="D346" s="2" t="s">
        <v>813</v>
      </c>
      <c r="E346" s="2" t="s">
        <v>96</v>
      </c>
      <c r="F346" s="2" t="s">
        <v>115</v>
      </c>
      <c r="G346" s="2"/>
      <c r="H346" s="2" t="s">
        <v>2980</v>
      </c>
      <c r="I346" s="2"/>
      <c r="J346" s="2"/>
      <c r="K346" s="2" t="s">
        <v>1201</v>
      </c>
      <c r="L346" s="2" t="s">
        <v>3918</v>
      </c>
      <c r="M346" s="2" t="s">
        <v>2974</v>
      </c>
      <c r="N346" s="2" t="s">
        <v>908</v>
      </c>
      <c r="O346" s="2" t="s">
        <v>3125</v>
      </c>
      <c r="P346" s="2" t="s">
        <v>2982</v>
      </c>
      <c r="Q346" s="2">
        <v>0</v>
      </c>
      <c r="R346" s="2">
        <v>0</v>
      </c>
      <c r="S346" s="2">
        <v>0</v>
      </c>
      <c r="T346" s="2">
        <v>50</v>
      </c>
      <c r="U346" s="2">
        <v>0</v>
      </c>
      <c r="V346" s="2">
        <v>0</v>
      </c>
      <c r="W346" s="2">
        <v>0</v>
      </c>
      <c r="X346" s="2">
        <v>0</v>
      </c>
      <c r="Y346" s="2">
        <v>0</v>
      </c>
      <c r="Z346" s="2">
        <v>0</v>
      </c>
      <c r="AA346" s="2">
        <v>0</v>
      </c>
      <c r="AB346" s="2" t="s">
        <v>3919</v>
      </c>
      <c r="AC346" s="2"/>
      <c r="AD346" s="2" t="s">
        <v>3920</v>
      </c>
    </row>
    <row r="347" s="1" customFormat="1" ht="11.25" spans="1:30">
      <c r="A347" s="2" t="s">
        <v>776</v>
      </c>
      <c r="B347" s="2" t="s">
        <v>812</v>
      </c>
      <c r="C347" s="2"/>
      <c r="D347" s="2" t="s">
        <v>813</v>
      </c>
      <c r="E347" s="2" t="s">
        <v>108</v>
      </c>
      <c r="F347" s="2" t="s">
        <v>146</v>
      </c>
      <c r="G347" s="2"/>
      <c r="H347" s="2" t="s">
        <v>2980</v>
      </c>
      <c r="I347" s="2"/>
      <c r="J347" s="2"/>
      <c r="K347" s="2" t="s">
        <v>1165</v>
      </c>
      <c r="L347" s="2" t="s">
        <v>3921</v>
      </c>
      <c r="M347" s="2" t="s">
        <v>2974</v>
      </c>
      <c r="N347" s="2" t="s">
        <v>908</v>
      </c>
      <c r="O347" s="2" t="s">
        <v>3125</v>
      </c>
      <c r="P347" s="2" t="s">
        <v>2982</v>
      </c>
      <c r="Q347" s="2">
        <v>0</v>
      </c>
      <c r="R347" s="2">
        <v>0</v>
      </c>
      <c r="S347" s="2">
        <v>0</v>
      </c>
      <c r="T347" s="2">
        <v>20</v>
      </c>
      <c r="U347" s="2">
        <v>0</v>
      </c>
      <c r="V347" s="2">
        <v>0</v>
      </c>
      <c r="W347" s="2">
        <v>0</v>
      </c>
      <c r="X347" s="2">
        <v>0</v>
      </c>
      <c r="Y347" s="2">
        <v>0</v>
      </c>
      <c r="Z347" s="2">
        <v>0</v>
      </c>
      <c r="AA347" s="2">
        <v>0</v>
      </c>
      <c r="AB347" s="2" t="s">
        <v>2868</v>
      </c>
      <c r="AC347" s="2"/>
      <c r="AD347" s="2" t="s">
        <v>3922</v>
      </c>
    </row>
    <row r="348" s="1" customFormat="1" ht="11.25" spans="1:30">
      <c r="A348" s="2" t="s">
        <v>777</v>
      </c>
      <c r="B348" s="2" t="s">
        <v>812</v>
      </c>
      <c r="C348" s="2"/>
      <c r="D348" s="2" t="s">
        <v>813</v>
      </c>
      <c r="E348" s="2" t="s">
        <v>108</v>
      </c>
      <c r="F348" s="2" t="s">
        <v>146</v>
      </c>
      <c r="G348" s="2"/>
      <c r="H348" s="2" t="s">
        <v>2980</v>
      </c>
      <c r="I348" s="2"/>
      <c r="J348" s="2"/>
      <c r="K348" s="2" t="s">
        <v>1173</v>
      </c>
      <c r="L348" s="2" t="s">
        <v>3923</v>
      </c>
      <c r="M348" s="2" t="s">
        <v>2974</v>
      </c>
      <c r="N348" s="2" t="s">
        <v>908</v>
      </c>
      <c r="O348" s="2" t="s">
        <v>3125</v>
      </c>
      <c r="P348" s="2" t="s">
        <v>2982</v>
      </c>
      <c r="Q348" s="2">
        <v>0</v>
      </c>
      <c r="R348" s="2">
        <v>0</v>
      </c>
      <c r="S348" s="2">
        <v>0</v>
      </c>
      <c r="T348" s="2">
        <v>50</v>
      </c>
      <c r="U348" s="2">
        <v>0</v>
      </c>
      <c r="V348" s="2">
        <v>0</v>
      </c>
      <c r="W348" s="2">
        <v>0</v>
      </c>
      <c r="X348" s="2">
        <v>0</v>
      </c>
      <c r="Y348" s="2">
        <v>0</v>
      </c>
      <c r="Z348" s="2">
        <v>0</v>
      </c>
      <c r="AA348" s="2">
        <v>0</v>
      </c>
      <c r="AB348" s="2" t="s">
        <v>2868</v>
      </c>
      <c r="AC348" s="2"/>
      <c r="AD348" s="2" t="s">
        <v>3924</v>
      </c>
    </row>
    <row r="349" s="1" customFormat="1" ht="11.25" spans="1:30">
      <c r="A349" s="2" t="s">
        <v>630</v>
      </c>
      <c r="B349" s="2" t="s">
        <v>919</v>
      </c>
      <c r="C349" s="2" t="s">
        <v>3023</v>
      </c>
      <c r="D349" s="2" t="s">
        <v>813</v>
      </c>
      <c r="E349" s="2" t="s">
        <v>96</v>
      </c>
      <c r="F349" s="2" t="s">
        <v>186</v>
      </c>
      <c r="G349" s="2"/>
      <c r="H349" s="2" t="s">
        <v>2980</v>
      </c>
      <c r="I349" s="2"/>
      <c r="J349" s="2"/>
      <c r="K349" s="2" t="s">
        <v>2596</v>
      </c>
      <c r="L349" s="2" t="s">
        <v>3925</v>
      </c>
      <c r="M349" s="2" t="s">
        <v>2974</v>
      </c>
      <c r="N349" s="2" t="s">
        <v>908</v>
      </c>
      <c r="O349" s="2" t="s">
        <v>3125</v>
      </c>
      <c r="P349" s="2" t="s">
        <v>2982</v>
      </c>
      <c r="Q349" s="2">
        <v>0</v>
      </c>
      <c r="R349" s="2">
        <v>0</v>
      </c>
      <c r="S349" s="2">
        <v>0</v>
      </c>
      <c r="T349" s="2">
        <v>126</v>
      </c>
      <c r="U349" s="2">
        <v>0</v>
      </c>
      <c r="V349" s="2">
        <v>0</v>
      </c>
      <c r="W349" s="2">
        <v>0</v>
      </c>
      <c r="X349" s="2">
        <v>0</v>
      </c>
      <c r="Y349" s="2">
        <v>0</v>
      </c>
      <c r="Z349" s="2">
        <v>0</v>
      </c>
      <c r="AA349" s="2">
        <v>0</v>
      </c>
      <c r="AB349" s="2" t="s">
        <v>3656</v>
      </c>
      <c r="AC349" s="2"/>
      <c r="AD349" s="2" t="s">
        <v>3926</v>
      </c>
    </row>
    <row r="350" s="1" customFormat="1" ht="11.25" spans="1:30">
      <c r="A350" s="2" t="s">
        <v>631</v>
      </c>
      <c r="B350" s="2" t="s">
        <v>919</v>
      </c>
      <c r="C350" s="2" t="s">
        <v>2979</v>
      </c>
      <c r="D350" s="2" t="s">
        <v>813</v>
      </c>
      <c r="E350" s="2" t="s">
        <v>96</v>
      </c>
      <c r="F350" s="2" t="s">
        <v>186</v>
      </c>
      <c r="G350" s="2"/>
      <c r="H350" s="2" t="s">
        <v>2980</v>
      </c>
      <c r="I350" s="2"/>
      <c r="J350" s="2"/>
      <c r="K350" s="2" t="s">
        <v>2601</v>
      </c>
      <c r="L350" s="2" t="s">
        <v>3927</v>
      </c>
      <c r="M350" s="2" t="s">
        <v>2974</v>
      </c>
      <c r="N350" s="2" t="s">
        <v>908</v>
      </c>
      <c r="O350" s="2" t="s">
        <v>3125</v>
      </c>
      <c r="P350" s="2" t="s">
        <v>2982</v>
      </c>
      <c r="Q350" s="2">
        <v>0</v>
      </c>
      <c r="R350" s="2">
        <v>0</v>
      </c>
      <c r="S350" s="2">
        <v>0</v>
      </c>
      <c r="T350" s="2">
        <v>63</v>
      </c>
      <c r="U350" s="2">
        <v>0</v>
      </c>
      <c r="V350" s="2">
        <v>0</v>
      </c>
      <c r="W350" s="2">
        <v>0</v>
      </c>
      <c r="X350" s="2">
        <v>0</v>
      </c>
      <c r="Y350" s="2">
        <v>0</v>
      </c>
      <c r="Z350" s="2">
        <v>0</v>
      </c>
      <c r="AA350" s="2">
        <v>0</v>
      </c>
      <c r="AB350" s="2" t="s">
        <v>3656</v>
      </c>
      <c r="AC350" s="2"/>
      <c r="AD350" s="2" t="s">
        <v>3928</v>
      </c>
    </row>
    <row r="351" s="1" customFormat="1" ht="11.25" spans="1:30">
      <c r="A351" s="2" t="s">
        <v>843</v>
      </c>
      <c r="B351" s="2" t="s">
        <v>919</v>
      </c>
      <c r="C351" s="2" t="s">
        <v>2979</v>
      </c>
      <c r="D351" s="2" t="s">
        <v>813</v>
      </c>
      <c r="E351" s="2" t="s">
        <v>108</v>
      </c>
      <c r="F351" s="2" t="s">
        <v>109</v>
      </c>
      <c r="G351" s="2"/>
      <c r="H351" s="2" t="s">
        <v>2980</v>
      </c>
      <c r="I351" s="2"/>
      <c r="J351" s="2"/>
      <c r="K351" s="2" t="s">
        <v>2566</v>
      </c>
      <c r="L351" s="2" t="s">
        <v>3929</v>
      </c>
      <c r="M351" s="2" t="s">
        <v>2974</v>
      </c>
      <c r="N351" s="2" t="s">
        <v>908</v>
      </c>
      <c r="O351" s="2" t="s">
        <v>3125</v>
      </c>
      <c r="P351" s="2" t="s">
        <v>2982</v>
      </c>
      <c r="Q351" s="2">
        <v>0</v>
      </c>
      <c r="R351" s="2">
        <v>0</v>
      </c>
      <c r="S351" s="2">
        <v>0</v>
      </c>
      <c r="T351" s="2">
        <v>300</v>
      </c>
      <c r="U351" s="2">
        <v>0</v>
      </c>
      <c r="V351" s="2">
        <v>0</v>
      </c>
      <c r="W351" s="2">
        <v>0</v>
      </c>
      <c r="X351" s="2">
        <v>0</v>
      </c>
      <c r="Y351" s="2">
        <v>0</v>
      </c>
      <c r="Z351" s="2">
        <v>0</v>
      </c>
      <c r="AA351" s="2">
        <v>0</v>
      </c>
      <c r="AB351" s="2" t="s">
        <v>2828</v>
      </c>
      <c r="AC351" s="2"/>
      <c r="AD351" s="2" t="s">
        <v>3930</v>
      </c>
    </row>
    <row r="352" s="1" customFormat="1" ht="11.25" spans="1:30">
      <c r="A352" s="2" t="s">
        <v>629</v>
      </c>
      <c r="B352" s="2" t="s">
        <v>812</v>
      </c>
      <c r="C352" s="2" t="s">
        <v>3023</v>
      </c>
      <c r="D352" s="2" t="s">
        <v>813</v>
      </c>
      <c r="E352" s="2" t="s">
        <v>108</v>
      </c>
      <c r="F352" s="2" t="s">
        <v>109</v>
      </c>
      <c r="G352" s="2"/>
      <c r="H352" s="2" t="s">
        <v>2980</v>
      </c>
      <c r="I352" s="2"/>
      <c r="J352" s="2"/>
      <c r="K352" s="2" t="s">
        <v>2573</v>
      </c>
      <c r="L352" s="2" t="s">
        <v>3931</v>
      </c>
      <c r="M352" s="2" t="s">
        <v>2974</v>
      </c>
      <c r="N352" s="2" t="s">
        <v>908</v>
      </c>
      <c r="O352" s="2" t="s">
        <v>3125</v>
      </c>
      <c r="P352" s="2" t="s">
        <v>2982</v>
      </c>
      <c r="Q352" s="2">
        <v>0</v>
      </c>
      <c r="R352" s="2">
        <v>0</v>
      </c>
      <c r="S352" s="2">
        <v>0</v>
      </c>
      <c r="T352" s="2">
        <v>300</v>
      </c>
      <c r="U352" s="2">
        <v>0</v>
      </c>
      <c r="V352" s="2">
        <v>0</v>
      </c>
      <c r="W352" s="2">
        <v>0</v>
      </c>
      <c r="X352" s="2">
        <v>0</v>
      </c>
      <c r="Y352" s="2">
        <v>0</v>
      </c>
      <c r="Z352" s="2">
        <v>0</v>
      </c>
      <c r="AA352" s="2">
        <v>0</v>
      </c>
      <c r="AB352" s="2" t="s">
        <v>2828</v>
      </c>
      <c r="AC352" s="2"/>
      <c r="AD352" s="2" t="s">
        <v>3932</v>
      </c>
    </row>
    <row r="353" s="1" customFormat="1" ht="11.25" spans="1:30">
      <c r="A353" s="2" t="s">
        <v>815</v>
      </c>
      <c r="B353" s="2" t="s">
        <v>919</v>
      </c>
      <c r="C353" s="2" t="s">
        <v>3023</v>
      </c>
      <c r="D353" s="2" t="s">
        <v>813</v>
      </c>
      <c r="E353" s="2" t="s">
        <v>108</v>
      </c>
      <c r="F353" s="2" t="s">
        <v>146</v>
      </c>
      <c r="G353" s="2"/>
      <c r="H353" s="2" t="s">
        <v>2980</v>
      </c>
      <c r="I353" s="2"/>
      <c r="J353" s="2"/>
      <c r="K353" s="2" t="s">
        <v>2760</v>
      </c>
      <c r="L353" s="2" t="s">
        <v>3933</v>
      </c>
      <c r="M353" s="2" t="s">
        <v>2974</v>
      </c>
      <c r="N353" s="2" t="s">
        <v>908</v>
      </c>
      <c r="O353" s="2" t="s">
        <v>3125</v>
      </c>
      <c r="P353" s="2" t="s">
        <v>2982</v>
      </c>
      <c r="Q353" s="2">
        <v>0</v>
      </c>
      <c r="R353" s="2">
        <v>0</v>
      </c>
      <c r="S353" s="2">
        <v>0</v>
      </c>
      <c r="T353" s="2">
        <v>40</v>
      </c>
      <c r="U353" s="2">
        <v>0</v>
      </c>
      <c r="V353" s="2">
        <v>0</v>
      </c>
      <c r="W353" s="2">
        <v>0</v>
      </c>
      <c r="X353" s="2">
        <v>0</v>
      </c>
      <c r="Y353" s="2">
        <v>0</v>
      </c>
      <c r="Z353" s="2">
        <v>0</v>
      </c>
      <c r="AA353" s="2">
        <v>0</v>
      </c>
      <c r="AB353" s="2" t="s">
        <v>2667</v>
      </c>
      <c r="AC353" s="2"/>
      <c r="AD353" s="2" t="s">
        <v>3934</v>
      </c>
    </row>
    <row r="354" s="1" customFormat="1" ht="11.25" spans="1:30">
      <c r="A354" s="2" t="s">
        <v>787</v>
      </c>
      <c r="B354" s="2" t="s">
        <v>812</v>
      </c>
      <c r="C354" s="2"/>
      <c r="D354" s="2" t="s">
        <v>813</v>
      </c>
      <c r="E354" s="2" t="s">
        <v>108</v>
      </c>
      <c r="F354" s="2" t="s">
        <v>146</v>
      </c>
      <c r="G354" s="2"/>
      <c r="H354" s="2" t="s">
        <v>2980</v>
      </c>
      <c r="I354" s="2"/>
      <c r="J354" s="2"/>
      <c r="K354" s="2" t="s">
        <v>2628</v>
      </c>
      <c r="L354" s="2" t="s">
        <v>3935</v>
      </c>
      <c r="M354" s="2" t="s">
        <v>2974</v>
      </c>
      <c r="N354" s="2" t="s">
        <v>908</v>
      </c>
      <c r="O354" s="2" t="s">
        <v>3125</v>
      </c>
      <c r="P354" s="2" t="s">
        <v>2982</v>
      </c>
      <c r="Q354" s="2">
        <v>0</v>
      </c>
      <c r="R354" s="2">
        <v>0</v>
      </c>
      <c r="S354" s="2">
        <v>0</v>
      </c>
      <c r="T354" s="2">
        <v>30</v>
      </c>
      <c r="U354" s="2">
        <v>0</v>
      </c>
      <c r="V354" s="2">
        <v>0</v>
      </c>
      <c r="W354" s="2">
        <v>0</v>
      </c>
      <c r="X354" s="2">
        <v>0</v>
      </c>
      <c r="Y354" s="2">
        <v>0</v>
      </c>
      <c r="Z354" s="2">
        <v>0</v>
      </c>
      <c r="AA354" s="2">
        <v>0</v>
      </c>
      <c r="AB354" s="2" t="s">
        <v>2868</v>
      </c>
      <c r="AC354" s="2"/>
      <c r="AD354" s="2" t="s">
        <v>3936</v>
      </c>
    </row>
    <row r="355" s="1" customFormat="1" ht="11.25" spans="1:30">
      <c r="A355" s="2" t="s">
        <v>523</v>
      </c>
      <c r="B355" s="2" t="s">
        <v>812</v>
      </c>
      <c r="C355" s="2"/>
      <c r="D355" s="2" t="s">
        <v>813</v>
      </c>
      <c r="E355" s="2" t="s">
        <v>96</v>
      </c>
      <c r="F355" s="2" t="s">
        <v>103</v>
      </c>
      <c r="G355" s="2"/>
      <c r="H355" s="2" t="s">
        <v>2980</v>
      </c>
      <c r="I355" s="2"/>
      <c r="J355" s="2"/>
      <c r="K355" s="2" t="s">
        <v>522</v>
      </c>
      <c r="L355" s="2" t="s">
        <v>3937</v>
      </c>
      <c r="M355" s="2" t="s">
        <v>2974</v>
      </c>
      <c r="N355" s="2" t="s">
        <v>908</v>
      </c>
      <c r="O355" s="2" t="s">
        <v>3125</v>
      </c>
      <c r="P355" s="2" t="s">
        <v>2982</v>
      </c>
      <c r="Q355" s="2">
        <v>0</v>
      </c>
      <c r="R355" s="2">
        <v>0</v>
      </c>
      <c r="S355" s="2">
        <v>0</v>
      </c>
      <c r="T355" s="2">
        <v>0</v>
      </c>
      <c r="U355" s="2">
        <v>0</v>
      </c>
      <c r="V355" s="2">
        <v>0</v>
      </c>
      <c r="W355" s="2">
        <v>0</v>
      </c>
      <c r="X355" s="2">
        <v>0</v>
      </c>
      <c r="Y355" s="2">
        <v>0</v>
      </c>
      <c r="Z355" s="2">
        <v>0</v>
      </c>
      <c r="AA355" s="2">
        <v>0</v>
      </c>
      <c r="AB355" s="2" t="s">
        <v>3721</v>
      </c>
      <c r="AC355" s="2"/>
      <c r="AD355" s="2" t="s">
        <v>3938</v>
      </c>
    </row>
    <row r="356" s="1" customFormat="1" ht="11.25" spans="1:30">
      <c r="A356" s="2" t="s">
        <v>525</v>
      </c>
      <c r="B356" s="2" t="s">
        <v>812</v>
      </c>
      <c r="C356" s="2"/>
      <c r="D356" s="2" t="s">
        <v>813</v>
      </c>
      <c r="E356" s="2" t="s">
        <v>96</v>
      </c>
      <c r="F356" s="2" t="s">
        <v>103</v>
      </c>
      <c r="G356" s="2"/>
      <c r="H356" s="2" t="s">
        <v>2980</v>
      </c>
      <c r="I356" s="2"/>
      <c r="J356" s="2"/>
      <c r="K356" s="2" t="s">
        <v>524</v>
      </c>
      <c r="L356" s="2" t="s">
        <v>3939</v>
      </c>
      <c r="M356" s="2" t="s">
        <v>2974</v>
      </c>
      <c r="N356" s="2" t="s">
        <v>908</v>
      </c>
      <c r="O356" s="2" t="s">
        <v>3125</v>
      </c>
      <c r="P356" s="2" t="s">
        <v>2982</v>
      </c>
      <c r="Q356" s="2">
        <v>0</v>
      </c>
      <c r="R356" s="2">
        <v>0</v>
      </c>
      <c r="S356" s="2">
        <v>0</v>
      </c>
      <c r="T356" s="2">
        <v>0</v>
      </c>
      <c r="U356" s="2">
        <v>0</v>
      </c>
      <c r="V356" s="2">
        <v>0</v>
      </c>
      <c r="W356" s="2">
        <v>0</v>
      </c>
      <c r="X356" s="2">
        <v>0</v>
      </c>
      <c r="Y356" s="2">
        <v>0</v>
      </c>
      <c r="Z356" s="2">
        <v>0</v>
      </c>
      <c r="AA356" s="2">
        <v>0</v>
      </c>
      <c r="AB356" s="2" t="s">
        <v>3721</v>
      </c>
      <c r="AC356" s="2"/>
      <c r="AD356" s="2" t="s">
        <v>3940</v>
      </c>
    </row>
    <row r="357" s="1" customFormat="1" ht="11.25" spans="1:30">
      <c r="A357" s="2" t="s">
        <v>527</v>
      </c>
      <c r="B357" s="2" t="s">
        <v>812</v>
      </c>
      <c r="C357" s="2"/>
      <c r="D357" s="2" t="s">
        <v>813</v>
      </c>
      <c r="E357" s="2" t="s">
        <v>96</v>
      </c>
      <c r="F357" s="2" t="s">
        <v>103</v>
      </c>
      <c r="G357" s="2"/>
      <c r="H357" s="2" t="s">
        <v>2980</v>
      </c>
      <c r="I357" s="2"/>
      <c r="J357" s="2"/>
      <c r="K357" s="2" t="s">
        <v>526</v>
      </c>
      <c r="L357" s="2" t="s">
        <v>3941</v>
      </c>
      <c r="M357" s="2" t="s">
        <v>2974</v>
      </c>
      <c r="N357" s="2" t="s">
        <v>908</v>
      </c>
      <c r="O357" s="2" t="s">
        <v>3125</v>
      </c>
      <c r="P357" s="2" t="s">
        <v>2982</v>
      </c>
      <c r="Q357" s="2">
        <v>0</v>
      </c>
      <c r="R357" s="2">
        <v>0</v>
      </c>
      <c r="S357" s="2">
        <v>0</v>
      </c>
      <c r="T357" s="2">
        <v>0</v>
      </c>
      <c r="U357" s="2">
        <v>0</v>
      </c>
      <c r="V357" s="2">
        <v>0</v>
      </c>
      <c r="W357" s="2">
        <v>0</v>
      </c>
      <c r="X357" s="2">
        <v>0</v>
      </c>
      <c r="Y357" s="2">
        <v>0</v>
      </c>
      <c r="Z357" s="2">
        <v>0</v>
      </c>
      <c r="AA357" s="2">
        <v>0</v>
      </c>
      <c r="AB357" s="2" t="s">
        <v>3721</v>
      </c>
      <c r="AC357" s="2"/>
      <c r="AD357" s="2" t="s">
        <v>3942</v>
      </c>
    </row>
    <row r="358" s="1" customFormat="1" ht="11.25" spans="1:30">
      <c r="A358" s="2" t="s">
        <v>529</v>
      </c>
      <c r="B358" s="2" t="s">
        <v>812</v>
      </c>
      <c r="C358" s="2"/>
      <c r="D358" s="2" t="s">
        <v>813</v>
      </c>
      <c r="E358" s="2" t="s">
        <v>96</v>
      </c>
      <c r="F358" s="2" t="s">
        <v>103</v>
      </c>
      <c r="G358" s="2"/>
      <c r="H358" s="2" t="s">
        <v>2980</v>
      </c>
      <c r="I358" s="2"/>
      <c r="J358" s="2"/>
      <c r="K358" s="2" t="s">
        <v>528</v>
      </c>
      <c r="L358" s="2" t="s">
        <v>3943</v>
      </c>
      <c r="M358" s="2" t="s">
        <v>2974</v>
      </c>
      <c r="N358" s="2" t="s">
        <v>908</v>
      </c>
      <c r="O358" s="2" t="s">
        <v>3125</v>
      </c>
      <c r="P358" s="2" t="s">
        <v>2982</v>
      </c>
      <c r="Q358" s="2">
        <v>0</v>
      </c>
      <c r="R358" s="2">
        <v>0</v>
      </c>
      <c r="S358" s="2">
        <v>0</v>
      </c>
      <c r="T358" s="2">
        <v>0</v>
      </c>
      <c r="U358" s="2">
        <v>0</v>
      </c>
      <c r="V358" s="2">
        <v>0</v>
      </c>
      <c r="W358" s="2">
        <v>0</v>
      </c>
      <c r="X358" s="2">
        <v>0</v>
      </c>
      <c r="Y358" s="2">
        <v>0</v>
      </c>
      <c r="Z358" s="2">
        <v>0</v>
      </c>
      <c r="AA358" s="2">
        <v>0</v>
      </c>
      <c r="AB358" s="2" t="s">
        <v>3721</v>
      </c>
      <c r="AC358" s="2"/>
      <c r="AD358" s="2" t="s">
        <v>3944</v>
      </c>
    </row>
    <row r="359" s="1" customFormat="1" ht="11.25" spans="1:30">
      <c r="A359" s="2" t="s">
        <v>531</v>
      </c>
      <c r="B359" s="2" t="s">
        <v>812</v>
      </c>
      <c r="C359" s="2"/>
      <c r="D359" s="2" t="s">
        <v>813</v>
      </c>
      <c r="E359" s="2" t="s">
        <v>96</v>
      </c>
      <c r="F359" s="2" t="s">
        <v>103</v>
      </c>
      <c r="G359" s="2"/>
      <c r="H359" s="2" t="s">
        <v>2980</v>
      </c>
      <c r="I359" s="2"/>
      <c r="J359" s="2"/>
      <c r="K359" s="2" t="s">
        <v>530</v>
      </c>
      <c r="L359" s="2" t="s">
        <v>3945</v>
      </c>
      <c r="M359" s="2" t="s">
        <v>2974</v>
      </c>
      <c r="N359" s="2" t="s">
        <v>908</v>
      </c>
      <c r="O359" s="2" t="s">
        <v>3125</v>
      </c>
      <c r="P359" s="2" t="s">
        <v>2982</v>
      </c>
      <c r="Q359" s="2">
        <v>0</v>
      </c>
      <c r="R359" s="2">
        <v>0</v>
      </c>
      <c r="S359" s="2">
        <v>0</v>
      </c>
      <c r="T359" s="2">
        <v>0</v>
      </c>
      <c r="U359" s="2">
        <v>0</v>
      </c>
      <c r="V359" s="2">
        <v>0</v>
      </c>
      <c r="W359" s="2">
        <v>0</v>
      </c>
      <c r="X359" s="2">
        <v>0</v>
      </c>
      <c r="Y359" s="2">
        <v>0</v>
      </c>
      <c r="Z359" s="2">
        <v>0</v>
      </c>
      <c r="AA359" s="2">
        <v>0</v>
      </c>
      <c r="AB359" s="2" t="s">
        <v>3721</v>
      </c>
      <c r="AC359" s="2"/>
      <c r="AD359" s="2" t="s">
        <v>3946</v>
      </c>
    </row>
    <row r="360" s="1" customFormat="1" ht="11.25" spans="1:30">
      <c r="A360" s="2" t="s">
        <v>572</v>
      </c>
      <c r="B360" s="2" t="s">
        <v>812</v>
      </c>
      <c r="C360" s="2"/>
      <c r="D360" s="2" t="s">
        <v>813</v>
      </c>
      <c r="E360" s="2" t="s">
        <v>96</v>
      </c>
      <c r="F360" s="2" t="s">
        <v>103</v>
      </c>
      <c r="G360" s="2"/>
      <c r="H360" s="2" t="s">
        <v>2980</v>
      </c>
      <c r="I360" s="2"/>
      <c r="J360" s="2"/>
      <c r="K360" s="2" t="s">
        <v>1278</v>
      </c>
      <c r="L360" s="2" t="s">
        <v>3947</v>
      </c>
      <c r="M360" s="2" t="s">
        <v>2974</v>
      </c>
      <c r="N360" s="2" t="s">
        <v>908</v>
      </c>
      <c r="O360" s="2" t="s">
        <v>3125</v>
      </c>
      <c r="P360" s="2" t="s">
        <v>2982</v>
      </c>
      <c r="Q360" s="2">
        <v>0</v>
      </c>
      <c r="R360" s="2">
        <v>0</v>
      </c>
      <c r="S360" s="2">
        <v>0</v>
      </c>
      <c r="T360" s="2">
        <v>200</v>
      </c>
      <c r="U360" s="2">
        <v>0</v>
      </c>
      <c r="V360" s="2">
        <v>0</v>
      </c>
      <c r="W360" s="2">
        <v>0</v>
      </c>
      <c r="X360" s="2">
        <v>0</v>
      </c>
      <c r="Y360" s="2">
        <v>0</v>
      </c>
      <c r="Z360" s="2">
        <v>0</v>
      </c>
      <c r="AA360" s="2">
        <v>0</v>
      </c>
      <c r="AB360" s="2" t="s">
        <v>2828</v>
      </c>
      <c r="AC360" s="2"/>
      <c r="AD360" s="2" t="s">
        <v>3948</v>
      </c>
    </row>
    <row r="361" s="1" customFormat="1" ht="11.25" spans="1:30">
      <c r="A361" s="2" t="s">
        <v>811</v>
      </c>
      <c r="B361" s="2" t="s">
        <v>812</v>
      </c>
      <c r="C361" s="2"/>
      <c r="D361" s="2" t="s">
        <v>813</v>
      </c>
      <c r="E361" s="2" t="s">
        <v>108</v>
      </c>
      <c r="F361" s="2" t="s">
        <v>146</v>
      </c>
      <c r="G361" s="2"/>
      <c r="H361" s="2" t="s">
        <v>2980</v>
      </c>
      <c r="I361" s="2"/>
      <c r="J361" s="2"/>
      <c r="K361" s="2" t="s">
        <v>810</v>
      </c>
      <c r="L361" s="2" t="s">
        <v>3949</v>
      </c>
      <c r="M361" s="2" t="s">
        <v>2974</v>
      </c>
      <c r="N361" s="2" t="s">
        <v>908</v>
      </c>
      <c r="O361" s="2" t="s">
        <v>3125</v>
      </c>
      <c r="P361" s="2" t="s">
        <v>2982</v>
      </c>
      <c r="Q361" s="2">
        <v>0</v>
      </c>
      <c r="R361" s="2">
        <v>0</v>
      </c>
      <c r="S361" s="2">
        <v>0</v>
      </c>
      <c r="T361" s="2">
        <v>150</v>
      </c>
      <c r="U361" s="2">
        <v>0</v>
      </c>
      <c r="V361" s="2">
        <v>0</v>
      </c>
      <c r="W361" s="2">
        <v>0</v>
      </c>
      <c r="X361" s="2">
        <v>0</v>
      </c>
      <c r="Y361" s="2">
        <v>0</v>
      </c>
      <c r="Z361" s="2">
        <v>0</v>
      </c>
      <c r="AA361" s="2">
        <v>0</v>
      </c>
      <c r="AB361" s="2" t="s">
        <v>2667</v>
      </c>
      <c r="AC361" s="2"/>
      <c r="AD361" s="2" t="s">
        <v>3950</v>
      </c>
    </row>
    <row r="362" s="1" customFormat="1" ht="11.25" spans="1:30">
      <c r="A362" s="2" t="s">
        <v>818</v>
      </c>
      <c r="B362" s="2" t="s">
        <v>812</v>
      </c>
      <c r="C362" s="2" t="s">
        <v>3023</v>
      </c>
      <c r="D362" s="2" t="s">
        <v>813</v>
      </c>
      <c r="E362" s="2" t="s">
        <v>108</v>
      </c>
      <c r="F362" s="2" t="s">
        <v>278</v>
      </c>
      <c r="G362" s="2"/>
      <c r="H362" s="2" t="s">
        <v>2980</v>
      </c>
      <c r="I362" s="2"/>
      <c r="J362" s="2"/>
      <c r="K362" s="2" t="s">
        <v>2560</v>
      </c>
      <c r="L362" s="2" t="s">
        <v>3951</v>
      </c>
      <c r="M362" s="2" t="s">
        <v>2974</v>
      </c>
      <c r="N362" s="2" t="s">
        <v>908</v>
      </c>
      <c r="O362" s="2" t="s">
        <v>3125</v>
      </c>
      <c r="P362" s="2" t="s">
        <v>2982</v>
      </c>
      <c r="Q362" s="2">
        <v>0</v>
      </c>
      <c r="R362" s="2">
        <v>0</v>
      </c>
      <c r="S362" s="2">
        <v>0</v>
      </c>
      <c r="T362" s="2">
        <v>1800</v>
      </c>
      <c r="U362" s="2">
        <v>0</v>
      </c>
      <c r="V362" s="2">
        <v>0</v>
      </c>
      <c r="W362" s="2">
        <v>0</v>
      </c>
      <c r="X362" s="2">
        <v>0</v>
      </c>
      <c r="Y362" s="2">
        <v>0</v>
      </c>
      <c r="Z362" s="2">
        <v>0</v>
      </c>
      <c r="AA362" s="2">
        <v>0</v>
      </c>
      <c r="AB362" s="2" t="s">
        <v>3952</v>
      </c>
      <c r="AC362" s="2"/>
      <c r="AD362" s="2" t="s">
        <v>3953</v>
      </c>
    </row>
    <row r="363" s="1" customFormat="1" ht="11.25" spans="1:30">
      <c r="A363" s="2" t="s">
        <v>628</v>
      </c>
      <c r="B363" s="2" t="s">
        <v>812</v>
      </c>
      <c r="C363" s="2"/>
      <c r="D363" s="2" t="s">
        <v>813</v>
      </c>
      <c r="E363" s="2" t="s">
        <v>108</v>
      </c>
      <c r="F363" s="2" t="s">
        <v>109</v>
      </c>
      <c r="G363" s="2"/>
      <c r="H363" s="2" t="s">
        <v>2980</v>
      </c>
      <c r="I363" s="2"/>
      <c r="J363" s="2"/>
      <c r="K363" s="2" t="s">
        <v>2536</v>
      </c>
      <c r="L363" s="2" t="s">
        <v>3954</v>
      </c>
      <c r="M363" s="2" t="s">
        <v>2974</v>
      </c>
      <c r="N363" s="2" t="s">
        <v>908</v>
      </c>
      <c r="O363" s="2" t="s">
        <v>3125</v>
      </c>
      <c r="P363" s="2" t="s">
        <v>2982</v>
      </c>
      <c r="Q363" s="2">
        <v>0</v>
      </c>
      <c r="R363" s="2">
        <v>0</v>
      </c>
      <c r="S363" s="2">
        <v>0</v>
      </c>
      <c r="T363" s="2">
        <v>40</v>
      </c>
      <c r="U363" s="2">
        <v>0</v>
      </c>
      <c r="V363" s="2">
        <v>0</v>
      </c>
      <c r="W363" s="2">
        <v>0</v>
      </c>
      <c r="X363" s="2">
        <v>0</v>
      </c>
      <c r="Y363" s="2">
        <v>0</v>
      </c>
      <c r="Z363" s="2">
        <v>0</v>
      </c>
      <c r="AA363" s="2">
        <v>0</v>
      </c>
      <c r="AB363" s="2" t="s">
        <v>3470</v>
      </c>
      <c r="AC363" s="2"/>
      <c r="AD363" s="2" t="s">
        <v>3955</v>
      </c>
    </row>
    <row r="364" s="1" customFormat="1" ht="11.25" spans="1:30">
      <c r="A364" s="2" t="s">
        <v>786</v>
      </c>
      <c r="B364" s="2" t="s">
        <v>812</v>
      </c>
      <c r="C364" s="2"/>
      <c r="D364" s="2" t="s">
        <v>813</v>
      </c>
      <c r="E364" s="2" t="s">
        <v>108</v>
      </c>
      <c r="F364" s="2" t="s">
        <v>146</v>
      </c>
      <c r="G364" s="2"/>
      <c r="H364" s="2" t="s">
        <v>2980</v>
      </c>
      <c r="I364" s="2"/>
      <c r="J364" s="2"/>
      <c r="K364" s="2" t="s">
        <v>2542</v>
      </c>
      <c r="L364" s="2" t="s">
        <v>3956</v>
      </c>
      <c r="M364" s="2" t="s">
        <v>2974</v>
      </c>
      <c r="N364" s="2" t="s">
        <v>908</v>
      </c>
      <c r="O364" s="2" t="s">
        <v>3125</v>
      </c>
      <c r="P364" s="2" t="s">
        <v>2982</v>
      </c>
      <c r="Q364" s="2">
        <v>0</v>
      </c>
      <c r="R364" s="2">
        <v>0</v>
      </c>
      <c r="S364" s="2">
        <v>0</v>
      </c>
      <c r="T364" s="2">
        <v>40</v>
      </c>
      <c r="U364" s="2">
        <v>0</v>
      </c>
      <c r="V364" s="2">
        <v>0</v>
      </c>
      <c r="W364" s="2">
        <v>0</v>
      </c>
      <c r="X364" s="2">
        <v>0</v>
      </c>
      <c r="Y364" s="2">
        <v>0</v>
      </c>
      <c r="Z364" s="2">
        <v>0</v>
      </c>
      <c r="AA364" s="2">
        <v>0</v>
      </c>
      <c r="AB364" s="2" t="s">
        <v>2667</v>
      </c>
      <c r="AC364" s="2"/>
      <c r="AD364" s="2" t="s">
        <v>3957</v>
      </c>
    </row>
    <row r="365" s="1" customFormat="1" ht="11.25" spans="1:30">
      <c r="A365" s="2" t="s">
        <v>767</v>
      </c>
      <c r="B365" s="2" t="s">
        <v>812</v>
      </c>
      <c r="C365" s="2"/>
      <c r="D365" s="2" t="s">
        <v>813</v>
      </c>
      <c r="E365" s="2" t="s">
        <v>108</v>
      </c>
      <c r="F365" s="2" t="s">
        <v>146</v>
      </c>
      <c r="G365" s="2"/>
      <c r="H365" s="2" t="s">
        <v>2980</v>
      </c>
      <c r="I365" s="2"/>
      <c r="J365" s="2"/>
      <c r="K365" s="2" t="s">
        <v>2549</v>
      </c>
      <c r="L365" s="2" t="s">
        <v>3958</v>
      </c>
      <c r="M365" s="2" t="s">
        <v>2974</v>
      </c>
      <c r="N365" s="2" t="s">
        <v>908</v>
      </c>
      <c r="O365" s="2" t="s">
        <v>3125</v>
      </c>
      <c r="P365" s="2" t="s">
        <v>2982</v>
      </c>
      <c r="Q365" s="2">
        <v>0</v>
      </c>
      <c r="R365" s="2">
        <v>0</v>
      </c>
      <c r="S365" s="2">
        <v>0</v>
      </c>
      <c r="T365" s="2">
        <v>48</v>
      </c>
      <c r="U365" s="2">
        <v>0</v>
      </c>
      <c r="V365" s="2">
        <v>0</v>
      </c>
      <c r="W365" s="2">
        <v>0</v>
      </c>
      <c r="X365" s="2">
        <v>0</v>
      </c>
      <c r="Y365" s="2">
        <v>0</v>
      </c>
      <c r="Z365" s="2">
        <v>0</v>
      </c>
      <c r="AA365" s="2">
        <v>0</v>
      </c>
      <c r="AB365" s="2" t="s">
        <v>2667</v>
      </c>
      <c r="AC365" s="2"/>
      <c r="AD365" s="2" t="s">
        <v>3959</v>
      </c>
    </row>
    <row r="366" s="1" customFormat="1" ht="11.25" spans="1:30">
      <c r="A366" s="2" t="s">
        <v>766</v>
      </c>
      <c r="B366" s="2" t="s">
        <v>812</v>
      </c>
      <c r="C366" s="2"/>
      <c r="D366" s="2" t="s">
        <v>813</v>
      </c>
      <c r="E366" s="2" t="s">
        <v>108</v>
      </c>
      <c r="F366" s="2" t="s">
        <v>146</v>
      </c>
      <c r="G366" s="2"/>
      <c r="H366" s="2" t="s">
        <v>2980</v>
      </c>
      <c r="I366" s="2"/>
      <c r="J366" s="2"/>
      <c r="K366" s="2" t="s">
        <v>2555</v>
      </c>
      <c r="L366" s="2" t="s">
        <v>3960</v>
      </c>
      <c r="M366" s="2" t="s">
        <v>2974</v>
      </c>
      <c r="N366" s="2" t="s">
        <v>908</v>
      </c>
      <c r="O366" s="2" t="s">
        <v>3125</v>
      </c>
      <c r="P366" s="2" t="s">
        <v>2982</v>
      </c>
      <c r="Q366" s="2">
        <v>0</v>
      </c>
      <c r="R366" s="2">
        <v>0</v>
      </c>
      <c r="S366" s="2">
        <v>0</v>
      </c>
      <c r="T366" s="2">
        <v>48</v>
      </c>
      <c r="U366" s="2">
        <v>0</v>
      </c>
      <c r="V366" s="2">
        <v>0</v>
      </c>
      <c r="W366" s="2">
        <v>0</v>
      </c>
      <c r="X366" s="2">
        <v>0</v>
      </c>
      <c r="Y366" s="2">
        <v>0</v>
      </c>
      <c r="Z366" s="2">
        <v>0</v>
      </c>
      <c r="AA366" s="2">
        <v>0</v>
      </c>
      <c r="AB366" s="2" t="s">
        <v>2667</v>
      </c>
      <c r="AC366" s="2"/>
      <c r="AD366" s="2" t="s">
        <v>3961</v>
      </c>
    </row>
    <row r="367" s="1" customFormat="1" ht="11.25" spans="1:30">
      <c r="A367" s="2" t="s">
        <v>540</v>
      </c>
      <c r="B367" s="2" t="s">
        <v>919</v>
      </c>
      <c r="C367" s="2" t="s">
        <v>3023</v>
      </c>
      <c r="D367" s="2" t="s">
        <v>813</v>
      </c>
      <c r="E367" s="2" t="s">
        <v>96</v>
      </c>
      <c r="F367" s="2" t="s">
        <v>103</v>
      </c>
      <c r="G367" s="2"/>
      <c r="H367" s="2" t="s">
        <v>2980</v>
      </c>
      <c r="I367" s="2"/>
      <c r="J367" s="2"/>
      <c r="K367" s="2" t="s">
        <v>539</v>
      </c>
      <c r="L367" s="2" t="s">
        <v>3962</v>
      </c>
      <c r="M367" s="2" t="s">
        <v>2974</v>
      </c>
      <c r="N367" s="2" t="s">
        <v>908</v>
      </c>
      <c r="O367" s="2" t="s">
        <v>3125</v>
      </c>
      <c r="P367" s="2" t="s">
        <v>2982</v>
      </c>
      <c r="Q367" s="2">
        <v>0</v>
      </c>
      <c r="R367" s="2">
        <v>0</v>
      </c>
      <c r="S367" s="2">
        <v>0</v>
      </c>
      <c r="T367" s="2">
        <v>40</v>
      </c>
      <c r="U367" s="2">
        <v>0</v>
      </c>
      <c r="V367" s="2">
        <v>0</v>
      </c>
      <c r="W367" s="2">
        <v>0</v>
      </c>
      <c r="X367" s="2">
        <v>0</v>
      </c>
      <c r="Y367" s="2">
        <v>0</v>
      </c>
      <c r="Z367" s="2">
        <v>0</v>
      </c>
      <c r="AA367" s="2">
        <v>0</v>
      </c>
      <c r="AB367" s="2" t="s">
        <v>3798</v>
      </c>
      <c r="AC367" s="2"/>
      <c r="AD367" s="2" t="s">
        <v>3963</v>
      </c>
    </row>
    <row r="368" s="1" customFormat="1" ht="11.25" spans="1:30">
      <c r="A368" s="2" t="s">
        <v>542</v>
      </c>
      <c r="B368" s="2" t="s">
        <v>919</v>
      </c>
      <c r="C368" s="2" t="s">
        <v>3023</v>
      </c>
      <c r="D368" s="2" t="s">
        <v>813</v>
      </c>
      <c r="E368" s="2" t="s">
        <v>96</v>
      </c>
      <c r="F368" s="2" t="s">
        <v>103</v>
      </c>
      <c r="G368" s="2"/>
      <c r="H368" s="2" t="s">
        <v>2980</v>
      </c>
      <c r="I368" s="2"/>
      <c r="J368" s="2"/>
      <c r="K368" s="2" t="s">
        <v>541</v>
      </c>
      <c r="L368" s="2" t="s">
        <v>3964</v>
      </c>
      <c r="M368" s="2" t="s">
        <v>2974</v>
      </c>
      <c r="N368" s="2" t="s">
        <v>908</v>
      </c>
      <c r="O368" s="2" t="s">
        <v>3125</v>
      </c>
      <c r="P368" s="2" t="s">
        <v>2982</v>
      </c>
      <c r="Q368" s="2">
        <v>0</v>
      </c>
      <c r="R368" s="2">
        <v>0</v>
      </c>
      <c r="S368" s="2">
        <v>0</v>
      </c>
      <c r="T368" s="2">
        <v>0</v>
      </c>
      <c r="U368" s="2">
        <v>0</v>
      </c>
      <c r="V368" s="2">
        <v>0</v>
      </c>
      <c r="W368" s="2">
        <v>0</v>
      </c>
      <c r="X368" s="2">
        <v>0</v>
      </c>
      <c r="Y368" s="2">
        <v>0</v>
      </c>
      <c r="Z368" s="2">
        <v>0</v>
      </c>
      <c r="AA368" s="2">
        <v>0</v>
      </c>
      <c r="AB368" s="2" t="s">
        <v>3798</v>
      </c>
      <c r="AC368" s="2"/>
      <c r="AD368" s="2" t="s">
        <v>3965</v>
      </c>
    </row>
    <row r="369" s="1" customFormat="1" ht="11.25" spans="1:30">
      <c r="A369" s="2" t="s">
        <v>544</v>
      </c>
      <c r="B369" s="2" t="s">
        <v>812</v>
      </c>
      <c r="C369" s="2"/>
      <c r="D369" s="2" t="s">
        <v>813</v>
      </c>
      <c r="E369" s="2" t="s">
        <v>96</v>
      </c>
      <c r="F369" s="2" t="s">
        <v>103</v>
      </c>
      <c r="G369" s="2"/>
      <c r="H369" s="2" t="s">
        <v>2980</v>
      </c>
      <c r="I369" s="2"/>
      <c r="J369" s="2"/>
      <c r="K369" s="2" t="s">
        <v>543</v>
      </c>
      <c r="L369" s="2" t="s">
        <v>3966</v>
      </c>
      <c r="M369" s="2" t="s">
        <v>2974</v>
      </c>
      <c r="N369" s="2" t="s">
        <v>908</v>
      </c>
      <c r="O369" s="2" t="s">
        <v>3125</v>
      </c>
      <c r="P369" s="2" t="s">
        <v>2982</v>
      </c>
      <c r="Q369" s="2">
        <v>0</v>
      </c>
      <c r="R369" s="2">
        <v>0</v>
      </c>
      <c r="S369" s="2">
        <v>0</v>
      </c>
      <c r="T369" s="2">
        <v>40</v>
      </c>
      <c r="U369" s="2">
        <v>0</v>
      </c>
      <c r="V369" s="2">
        <v>0</v>
      </c>
      <c r="W369" s="2">
        <v>0</v>
      </c>
      <c r="X369" s="2">
        <v>0</v>
      </c>
      <c r="Y369" s="2">
        <v>0</v>
      </c>
      <c r="Z369" s="2">
        <v>0</v>
      </c>
      <c r="AA369" s="2">
        <v>0</v>
      </c>
      <c r="AB369" s="2" t="s">
        <v>3798</v>
      </c>
      <c r="AC369" s="2"/>
      <c r="AD369" s="2" t="s">
        <v>3967</v>
      </c>
    </row>
    <row r="370" s="1" customFormat="1" ht="11.25" spans="1:30">
      <c r="A370" s="2" t="s">
        <v>546</v>
      </c>
      <c r="B370" s="2" t="s">
        <v>919</v>
      </c>
      <c r="C370" s="2" t="s">
        <v>3023</v>
      </c>
      <c r="D370" s="2" t="s">
        <v>813</v>
      </c>
      <c r="E370" s="2" t="s">
        <v>96</v>
      </c>
      <c r="F370" s="2" t="s">
        <v>103</v>
      </c>
      <c r="G370" s="2"/>
      <c r="H370" s="2" t="s">
        <v>2980</v>
      </c>
      <c r="I370" s="2"/>
      <c r="J370" s="2"/>
      <c r="K370" s="2" t="s">
        <v>545</v>
      </c>
      <c r="L370" s="2" t="s">
        <v>3968</v>
      </c>
      <c r="M370" s="2" t="s">
        <v>2974</v>
      </c>
      <c r="N370" s="2" t="s">
        <v>908</v>
      </c>
      <c r="O370" s="2" t="s">
        <v>3125</v>
      </c>
      <c r="P370" s="2" t="s">
        <v>2982</v>
      </c>
      <c r="Q370" s="2">
        <v>0</v>
      </c>
      <c r="R370" s="2">
        <v>0</v>
      </c>
      <c r="S370" s="2">
        <v>0</v>
      </c>
      <c r="T370" s="2">
        <v>0</v>
      </c>
      <c r="U370" s="2">
        <v>0</v>
      </c>
      <c r="V370" s="2">
        <v>0</v>
      </c>
      <c r="W370" s="2">
        <v>0</v>
      </c>
      <c r="X370" s="2">
        <v>0</v>
      </c>
      <c r="Y370" s="2">
        <v>0</v>
      </c>
      <c r="Z370" s="2">
        <v>0</v>
      </c>
      <c r="AA370" s="2">
        <v>0</v>
      </c>
      <c r="AB370" s="2" t="s">
        <v>3798</v>
      </c>
      <c r="AC370" s="2"/>
      <c r="AD370" s="2" t="s">
        <v>3969</v>
      </c>
    </row>
    <row r="371" s="1" customFormat="1" ht="11.25" spans="1:30">
      <c r="A371" s="2" t="s">
        <v>548</v>
      </c>
      <c r="B371" s="2" t="s">
        <v>919</v>
      </c>
      <c r="C371" s="2" t="s">
        <v>3023</v>
      </c>
      <c r="D371" s="2" t="s">
        <v>813</v>
      </c>
      <c r="E371" s="2" t="s">
        <v>96</v>
      </c>
      <c r="F371" s="2" t="s">
        <v>103</v>
      </c>
      <c r="G371" s="2"/>
      <c r="H371" s="2" t="s">
        <v>2980</v>
      </c>
      <c r="I371" s="2"/>
      <c r="J371" s="2"/>
      <c r="K371" s="2" t="s">
        <v>547</v>
      </c>
      <c r="L371" s="2" t="s">
        <v>3970</v>
      </c>
      <c r="M371" s="2" t="s">
        <v>2974</v>
      </c>
      <c r="N371" s="2" t="s">
        <v>908</v>
      </c>
      <c r="O371" s="2" t="s">
        <v>3125</v>
      </c>
      <c r="P371" s="2" t="s">
        <v>2982</v>
      </c>
      <c r="Q371" s="2">
        <v>0</v>
      </c>
      <c r="R371" s="2">
        <v>0</v>
      </c>
      <c r="S371" s="2">
        <v>0</v>
      </c>
      <c r="T371" s="2">
        <v>24</v>
      </c>
      <c r="U371" s="2">
        <v>0</v>
      </c>
      <c r="V371" s="2">
        <v>0</v>
      </c>
      <c r="W371" s="2">
        <v>0</v>
      </c>
      <c r="X371" s="2">
        <v>0</v>
      </c>
      <c r="Y371" s="2">
        <v>0</v>
      </c>
      <c r="Z371" s="2">
        <v>0</v>
      </c>
      <c r="AA371" s="2">
        <v>0</v>
      </c>
      <c r="AB371" s="2" t="s">
        <v>3798</v>
      </c>
      <c r="AC371" s="2"/>
      <c r="AD371" s="2" t="s">
        <v>3971</v>
      </c>
    </row>
    <row r="372" s="1" customFormat="1" ht="11.25" spans="1:30">
      <c r="A372" s="2" t="s">
        <v>550</v>
      </c>
      <c r="B372" s="2" t="s">
        <v>919</v>
      </c>
      <c r="C372" s="2" t="s">
        <v>3023</v>
      </c>
      <c r="D372" s="2" t="s">
        <v>813</v>
      </c>
      <c r="E372" s="2" t="s">
        <v>96</v>
      </c>
      <c r="F372" s="2" t="s">
        <v>103</v>
      </c>
      <c r="G372" s="2"/>
      <c r="H372" s="2" t="s">
        <v>2980</v>
      </c>
      <c r="I372" s="2"/>
      <c r="J372" s="2"/>
      <c r="K372" s="2" t="s">
        <v>549</v>
      </c>
      <c r="L372" s="2" t="s">
        <v>3972</v>
      </c>
      <c r="M372" s="2" t="s">
        <v>2974</v>
      </c>
      <c r="N372" s="2" t="s">
        <v>908</v>
      </c>
      <c r="O372" s="2" t="s">
        <v>3125</v>
      </c>
      <c r="P372" s="2" t="s">
        <v>2982</v>
      </c>
      <c r="Q372" s="2">
        <v>0</v>
      </c>
      <c r="R372" s="2">
        <v>0</v>
      </c>
      <c r="S372" s="2">
        <v>0</v>
      </c>
      <c r="T372" s="2">
        <v>0</v>
      </c>
      <c r="U372" s="2">
        <v>0</v>
      </c>
      <c r="V372" s="2">
        <v>0</v>
      </c>
      <c r="W372" s="2">
        <v>0</v>
      </c>
      <c r="X372" s="2">
        <v>0</v>
      </c>
      <c r="Y372" s="2">
        <v>0</v>
      </c>
      <c r="Z372" s="2">
        <v>0</v>
      </c>
      <c r="AA372" s="2">
        <v>0</v>
      </c>
      <c r="AB372" s="2" t="s">
        <v>3798</v>
      </c>
      <c r="AC372" s="2"/>
      <c r="AD372" s="2" t="s">
        <v>3973</v>
      </c>
    </row>
    <row r="373" s="1" customFormat="1" ht="11.25" spans="1:30">
      <c r="A373" s="2" t="s">
        <v>636</v>
      </c>
      <c r="B373" s="2" t="s">
        <v>919</v>
      </c>
      <c r="C373" s="2"/>
      <c r="D373" s="2" t="s">
        <v>813</v>
      </c>
      <c r="E373" s="2" t="s">
        <v>96</v>
      </c>
      <c r="F373" s="2" t="s">
        <v>103</v>
      </c>
      <c r="G373" s="2"/>
      <c r="H373" s="2" t="s">
        <v>2980</v>
      </c>
      <c r="I373" s="2"/>
      <c r="J373" s="2"/>
      <c r="K373" s="2" t="s">
        <v>258</v>
      </c>
      <c r="L373" s="2" t="s">
        <v>3908</v>
      </c>
      <c r="M373" s="2" t="s">
        <v>2974</v>
      </c>
      <c r="N373" s="2" t="s">
        <v>908</v>
      </c>
      <c r="O373" s="2" t="s">
        <v>3125</v>
      </c>
      <c r="P373" s="2" t="s">
        <v>2982</v>
      </c>
      <c r="Q373" s="2">
        <v>0</v>
      </c>
      <c r="R373" s="2">
        <v>0</v>
      </c>
      <c r="S373" s="2">
        <v>0</v>
      </c>
      <c r="T373" s="2">
        <v>3000</v>
      </c>
      <c r="U373" s="2">
        <v>0</v>
      </c>
      <c r="V373" s="2">
        <v>0</v>
      </c>
      <c r="W373" s="2">
        <v>0</v>
      </c>
      <c r="X373" s="2">
        <v>0</v>
      </c>
      <c r="Y373" s="2">
        <v>0</v>
      </c>
      <c r="Z373" s="2">
        <v>0</v>
      </c>
      <c r="AA373" s="2">
        <v>0</v>
      </c>
      <c r="AB373" s="2" t="s">
        <v>3798</v>
      </c>
      <c r="AC373" s="2"/>
      <c r="AD373" s="2" t="s">
        <v>3911</v>
      </c>
    </row>
    <row r="374" s="1" customFormat="1" ht="11.25" spans="1:30">
      <c r="A374" s="2" t="s">
        <v>824</v>
      </c>
      <c r="B374" s="2" t="s">
        <v>812</v>
      </c>
      <c r="C374" s="2" t="s">
        <v>3023</v>
      </c>
      <c r="D374" s="2" t="s">
        <v>813</v>
      </c>
      <c r="E374" s="2" t="s">
        <v>108</v>
      </c>
      <c r="F374" s="2" t="s">
        <v>278</v>
      </c>
      <c r="G374" s="2"/>
      <c r="H374" s="2" t="s">
        <v>2980</v>
      </c>
      <c r="I374" s="2"/>
      <c r="J374" s="2"/>
      <c r="K374" s="2" t="s">
        <v>823</v>
      </c>
      <c r="L374" s="2" t="s">
        <v>3974</v>
      </c>
      <c r="M374" s="2" t="s">
        <v>2974</v>
      </c>
      <c r="N374" s="2" t="s">
        <v>908</v>
      </c>
      <c r="O374" s="2" t="s">
        <v>3125</v>
      </c>
      <c r="P374" s="2" t="s">
        <v>2982</v>
      </c>
      <c r="Q374" s="2">
        <v>0</v>
      </c>
      <c r="R374" s="2">
        <v>0</v>
      </c>
      <c r="S374" s="2">
        <v>0</v>
      </c>
      <c r="T374" s="2">
        <v>96</v>
      </c>
      <c r="U374" s="2">
        <v>0</v>
      </c>
      <c r="V374" s="2">
        <v>0</v>
      </c>
      <c r="W374" s="2">
        <v>0</v>
      </c>
      <c r="X374" s="2">
        <v>0</v>
      </c>
      <c r="Y374" s="2">
        <v>0</v>
      </c>
      <c r="Z374" s="2">
        <v>0</v>
      </c>
      <c r="AA374" s="2">
        <v>0</v>
      </c>
      <c r="AB374" s="2" t="s">
        <v>2667</v>
      </c>
      <c r="AC374" s="2"/>
      <c r="AD374" s="2" t="s">
        <v>3975</v>
      </c>
    </row>
    <row r="375" s="1" customFormat="1" ht="11.25" spans="1:30">
      <c r="A375" s="2" t="s">
        <v>827</v>
      </c>
      <c r="B375" s="2" t="s">
        <v>812</v>
      </c>
      <c r="C375" s="2"/>
      <c r="D375" s="2" t="s">
        <v>813</v>
      </c>
      <c r="E375" s="2" t="s">
        <v>108</v>
      </c>
      <c r="F375" s="2" t="s">
        <v>278</v>
      </c>
      <c r="G375" s="2"/>
      <c r="H375" s="2" t="s">
        <v>2980</v>
      </c>
      <c r="I375" s="2"/>
      <c r="J375" s="2"/>
      <c r="K375" s="2" t="s">
        <v>825</v>
      </c>
      <c r="L375" s="2" t="s">
        <v>3851</v>
      </c>
      <c r="M375" s="2" t="s">
        <v>2974</v>
      </c>
      <c r="N375" s="2" t="s">
        <v>908</v>
      </c>
      <c r="O375" s="2" t="s">
        <v>3125</v>
      </c>
      <c r="P375" s="2" t="s">
        <v>2982</v>
      </c>
      <c r="Q375" s="2">
        <v>0</v>
      </c>
      <c r="R375" s="2">
        <v>0</v>
      </c>
      <c r="S375" s="2">
        <v>0</v>
      </c>
      <c r="T375" s="2">
        <v>460</v>
      </c>
      <c r="U375" s="2">
        <v>0</v>
      </c>
      <c r="V375" s="2">
        <v>0</v>
      </c>
      <c r="W375" s="2">
        <v>0</v>
      </c>
      <c r="X375" s="2">
        <v>0</v>
      </c>
      <c r="Y375" s="2">
        <v>0</v>
      </c>
      <c r="Z375" s="2">
        <v>0</v>
      </c>
      <c r="AA375" s="2">
        <v>0</v>
      </c>
      <c r="AB375" s="2" t="s">
        <v>2667</v>
      </c>
      <c r="AC375" s="2"/>
      <c r="AD375" s="2" t="s">
        <v>3852</v>
      </c>
    </row>
    <row r="376" s="1" customFormat="1" ht="11.25" spans="1:30">
      <c r="A376" s="2" t="s">
        <v>701</v>
      </c>
      <c r="B376" s="2" t="s">
        <v>812</v>
      </c>
      <c r="C376" s="2"/>
      <c r="D376" s="2" t="s">
        <v>813</v>
      </c>
      <c r="E376" s="2" t="s">
        <v>96</v>
      </c>
      <c r="F376" s="2" t="s">
        <v>186</v>
      </c>
      <c r="G376" s="2"/>
      <c r="H376" s="2" t="s">
        <v>2980</v>
      </c>
      <c r="I376" s="2"/>
      <c r="J376" s="2"/>
      <c r="K376" s="2" t="s">
        <v>698</v>
      </c>
      <c r="L376" s="2" t="s">
        <v>3234</v>
      </c>
      <c r="M376" s="2" t="s">
        <v>2974</v>
      </c>
      <c r="N376" s="2" t="s">
        <v>908</v>
      </c>
      <c r="O376" s="2" t="s">
        <v>3125</v>
      </c>
      <c r="P376" s="2" t="s">
        <v>2982</v>
      </c>
      <c r="Q376" s="2">
        <v>0</v>
      </c>
      <c r="R376" s="2">
        <v>0</v>
      </c>
      <c r="S376" s="2">
        <v>0</v>
      </c>
      <c r="T376" s="2">
        <v>600</v>
      </c>
      <c r="U376" s="2">
        <v>0</v>
      </c>
      <c r="V376" s="2">
        <v>0</v>
      </c>
      <c r="W376" s="2">
        <v>0</v>
      </c>
      <c r="X376" s="2">
        <v>0</v>
      </c>
      <c r="Y376" s="2">
        <v>0</v>
      </c>
      <c r="Z376" s="2">
        <v>0</v>
      </c>
      <c r="AA376" s="2">
        <v>0</v>
      </c>
      <c r="AB376" s="2" t="s">
        <v>2868</v>
      </c>
      <c r="AC376" s="2"/>
      <c r="AD376" s="2" t="s">
        <v>3236</v>
      </c>
    </row>
    <row r="377" s="1" customFormat="1" ht="11.25" spans="1:30">
      <c r="A377" s="2" t="s">
        <v>233</v>
      </c>
      <c r="B377" s="2" t="s">
        <v>812</v>
      </c>
      <c r="C377" s="2"/>
      <c r="D377" s="2" t="s">
        <v>909</v>
      </c>
      <c r="E377" s="2" t="s">
        <v>96</v>
      </c>
      <c r="F377" s="2" t="s">
        <v>186</v>
      </c>
      <c r="G377" s="2"/>
      <c r="H377" s="2" t="s">
        <v>2980</v>
      </c>
      <c r="I377" s="2"/>
      <c r="J377" s="2"/>
      <c r="K377" s="2" t="s">
        <v>229</v>
      </c>
      <c r="L377" s="2" t="s">
        <v>3017</v>
      </c>
      <c r="M377" s="2" t="s">
        <v>2974</v>
      </c>
      <c r="N377" s="2" t="s">
        <v>908</v>
      </c>
      <c r="O377" s="2" t="s">
        <v>3125</v>
      </c>
      <c r="P377" s="2" t="s">
        <v>2982</v>
      </c>
      <c r="Q377" s="2">
        <v>0</v>
      </c>
      <c r="R377" s="2">
        <v>0</v>
      </c>
      <c r="S377" s="2">
        <v>0</v>
      </c>
      <c r="T377" s="2">
        <v>378</v>
      </c>
      <c r="U377" s="2">
        <v>0</v>
      </c>
      <c r="V377" s="2">
        <v>0</v>
      </c>
      <c r="W377" s="2">
        <v>0</v>
      </c>
      <c r="X377" s="2">
        <v>0</v>
      </c>
      <c r="Y377" s="2">
        <v>0</v>
      </c>
      <c r="Z377" s="2">
        <v>0</v>
      </c>
      <c r="AA377" s="2">
        <v>0</v>
      </c>
      <c r="AB377" s="2" t="s">
        <v>2667</v>
      </c>
      <c r="AC377" s="2"/>
      <c r="AD377" s="2" t="s">
        <v>3019</v>
      </c>
    </row>
    <row r="378" s="1" customFormat="1" ht="11.25" spans="1:30">
      <c r="A378" s="2" t="s">
        <v>638</v>
      </c>
      <c r="B378" s="2" t="s">
        <v>812</v>
      </c>
      <c r="C378" s="2"/>
      <c r="D378" s="2" t="s">
        <v>909</v>
      </c>
      <c r="E378" s="2" t="s">
        <v>108</v>
      </c>
      <c r="F378" s="2" t="s">
        <v>109</v>
      </c>
      <c r="G378" s="2"/>
      <c r="H378" s="2" t="s">
        <v>2980</v>
      </c>
      <c r="I378" s="2"/>
      <c r="J378" s="2"/>
      <c r="K378" s="2" t="s">
        <v>2882</v>
      </c>
      <c r="L378" s="2" t="s">
        <v>3976</v>
      </c>
      <c r="M378" s="2" t="s">
        <v>2974</v>
      </c>
      <c r="N378" s="2" t="s">
        <v>908</v>
      </c>
      <c r="O378" s="2" t="s">
        <v>3125</v>
      </c>
      <c r="P378" s="2" t="s">
        <v>2982</v>
      </c>
      <c r="Q378" s="2">
        <v>0</v>
      </c>
      <c r="R378" s="2">
        <v>0</v>
      </c>
      <c r="S378" s="2">
        <v>0</v>
      </c>
      <c r="T378" s="2">
        <v>48</v>
      </c>
      <c r="U378" s="2">
        <v>0</v>
      </c>
      <c r="V378" s="2">
        <v>0</v>
      </c>
      <c r="W378" s="2">
        <v>0</v>
      </c>
      <c r="X378" s="2">
        <v>0</v>
      </c>
      <c r="Y378" s="2">
        <v>0</v>
      </c>
      <c r="Z378" s="2">
        <v>0</v>
      </c>
      <c r="AA378" s="2">
        <v>0</v>
      </c>
      <c r="AB378" s="2" t="s">
        <v>2667</v>
      </c>
      <c r="AC378" s="2"/>
      <c r="AD378" s="2" t="s">
        <v>3977</v>
      </c>
    </row>
    <row r="379" s="1" customFormat="1" ht="11.25" spans="1:30">
      <c r="A379" s="2" t="s">
        <v>639</v>
      </c>
      <c r="B379" s="2" t="s">
        <v>812</v>
      </c>
      <c r="C379" s="2" t="s">
        <v>3023</v>
      </c>
      <c r="D379" s="2" t="s">
        <v>909</v>
      </c>
      <c r="E379" s="2" t="s">
        <v>108</v>
      </c>
      <c r="F379" s="2" t="s">
        <v>927</v>
      </c>
      <c r="G379" s="2"/>
      <c r="H379" s="2" t="s">
        <v>2980</v>
      </c>
      <c r="I379" s="2"/>
      <c r="J379" s="2"/>
      <c r="K379" s="2" t="s">
        <v>2894</v>
      </c>
      <c r="L379" s="2" t="s">
        <v>3978</v>
      </c>
      <c r="M379" s="2" t="s">
        <v>2974</v>
      </c>
      <c r="N379" s="2" t="s">
        <v>908</v>
      </c>
      <c r="O379" s="2" t="s">
        <v>3125</v>
      </c>
      <c r="P379" s="2" t="s">
        <v>2982</v>
      </c>
      <c r="Q379" s="2">
        <v>0</v>
      </c>
      <c r="R379" s="2">
        <v>0</v>
      </c>
      <c r="S379" s="2">
        <v>0</v>
      </c>
      <c r="T379" s="2">
        <v>18</v>
      </c>
      <c r="U379" s="2">
        <v>0</v>
      </c>
      <c r="V379" s="2">
        <v>0</v>
      </c>
      <c r="W379" s="2">
        <v>0</v>
      </c>
      <c r="X379" s="2">
        <v>0</v>
      </c>
      <c r="Y379" s="2">
        <v>0</v>
      </c>
      <c r="Z379" s="2">
        <v>0</v>
      </c>
      <c r="AA379" s="2">
        <v>0</v>
      </c>
      <c r="AB379" s="2" t="s">
        <v>2667</v>
      </c>
      <c r="AC379" s="2"/>
      <c r="AD379" s="2" t="s">
        <v>3979</v>
      </c>
    </row>
    <row r="380" s="1" customFormat="1" ht="11.25" spans="1:30">
      <c r="A380" s="2" t="s">
        <v>640</v>
      </c>
      <c r="B380" s="2" t="s">
        <v>812</v>
      </c>
      <c r="C380" s="2"/>
      <c r="D380" s="2" t="s">
        <v>909</v>
      </c>
      <c r="E380" s="2" t="s">
        <v>108</v>
      </c>
      <c r="F380" s="2" t="s">
        <v>927</v>
      </c>
      <c r="G380" s="2"/>
      <c r="H380" s="2" t="s">
        <v>2980</v>
      </c>
      <c r="I380" s="2"/>
      <c r="J380" s="2"/>
      <c r="K380" s="2" t="s">
        <v>2900</v>
      </c>
      <c r="L380" s="2" t="s">
        <v>3980</v>
      </c>
      <c r="M380" s="2" t="s">
        <v>2974</v>
      </c>
      <c r="N380" s="2" t="s">
        <v>908</v>
      </c>
      <c r="O380" s="2" t="s">
        <v>3125</v>
      </c>
      <c r="P380" s="2" t="s">
        <v>2982</v>
      </c>
      <c r="Q380" s="2">
        <v>0</v>
      </c>
      <c r="R380" s="2">
        <v>0</v>
      </c>
      <c r="S380" s="2">
        <v>0</v>
      </c>
      <c r="T380" s="2">
        <v>60</v>
      </c>
      <c r="U380" s="2">
        <v>0</v>
      </c>
      <c r="V380" s="2">
        <v>0</v>
      </c>
      <c r="W380" s="2">
        <v>0</v>
      </c>
      <c r="X380" s="2">
        <v>0</v>
      </c>
      <c r="Y380" s="2">
        <v>0</v>
      </c>
      <c r="Z380" s="2">
        <v>0</v>
      </c>
      <c r="AA380" s="2">
        <v>0</v>
      </c>
      <c r="AB380" s="2" t="s">
        <v>2667</v>
      </c>
      <c r="AC380" s="2"/>
      <c r="AD380" s="2" t="s">
        <v>3981</v>
      </c>
    </row>
    <row r="381" s="1" customFormat="1" ht="11.25" spans="1:30">
      <c r="A381" s="2" t="s">
        <v>641</v>
      </c>
      <c r="B381" s="2" t="s">
        <v>812</v>
      </c>
      <c r="C381" s="2"/>
      <c r="D381" s="2" t="s">
        <v>909</v>
      </c>
      <c r="E381" s="2" t="s">
        <v>108</v>
      </c>
      <c r="F381" s="2" t="s">
        <v>927</v>
      </c>
      <c r="G381" s="2"/>
      <c r="H381" s="2" t="s">
        <v>2980</v>
      </c>
      <c r="I381" s="2"/>
      <c r="J381" s="2"/>
      <c r="K381" s="2" t="s">
        <v>2906</v>
      </c>
      <c r="L381" s="2" t="s">
        <v>3982</v>
      </c>
      <c r="M381" s="2" t="s">
        <v>2974</v>
      </c>
      <c r="N381" s="2" t="s">
        <v>908</v>
      </c>
      <c r="O381" s="2" t="s">
        <v>3125</v>
      </c>
      <c r="P381" s="2" t="s">
        <v>2982</v>
      </c>
      <c r="Q381" s="2">
        <v>0</v>
      </c>
      <c r="R381" s="2">
        <v>0</v>
      </c>
      <c r="S381" s="2">
        <v>0</v>
      </c>
      <c r="T381" s="2">
        <v>20</v>
      </c>
      <c r="U381" s="2">
        <v>0</v>
      </c>
      <c r="V381" s="2">
        <v>0</v>
      </c>
      <c r="W381" s="2">
        <v>0</v>
      </c>
      <c r="X381" s="2">
        <v>0</v>
      </c>
      <c r="Y381" s="2">
        <v>0</v>
      </c>
      <c r="Z381" s="2">
        <v>0</v>
      </c>
      <c r="AA381" s="2">
        <v>0</v>
      </c>
      <c r="AB381" s="2" t="s">
        <v>2667</v>
      </c>
      <c r="AC381" s="2"/>
      <c r="AD381" s="2" t="s">
        <v>3983</v>
      </c>
    </row>
    <row r="382" s="1" customFormat="1" ht="11.25" spans="1:30">
      <c r="A382" s="2" t="s">
        <v>642</v>
      </c>
      <c r="B382" s="2" t="s">
        <v>812</v>
      </c>
      <c r="C382" s="2"/>
      <c r="D382" s="2" t="s">
        <v>909</v>
      </c>
      <c r="E382" s="2" t="s">
        <v>108</v>
      </c>
      <c r="F382" s="2" t="s">
        <v>927</v>
      </c>
      <c r="G382" s="2"/>
      <c r="H382" s="2" t="s">
        <v>2980</v>
      </c>
      <c r="I382" s="2"/>
      <c r="J382" s="2"/>
      <c r="K382" s="2" t="s">
        <v>2910</v>
      </c>
      <c r="L382" s="2" t="s">
        <v>3984</v>
      </c>
      <c r="M382" s="2" t="s">
        <v>2974</v>
      </c>
      <c r="N382" s="2" t="s">
        <v>908</v>
      </c>
      <c r="O382" s="2" t="s">
        <v>3125</v>
      </c>
      <c r="P382" s="2" t="s">
        <v>2982</v>
      </c>
      <c r="Q382" s="2">
        <v>0</v>
      </c>
      <c r="R382" s="2">
        <v>0</v>
      </c>
      <c r="S382" s="2">
        <v>0</v>
      </c>
      <c r="T382" s="2">
        <v>10</v>
      </c>
      <c r="U382" s="2">
        <v>0</v>
      </c>
      <c r="V382" s="2">
        <v>0</v>
      </c>
      <c r="W382" s="2">
        <v>0</v>
      </c>
      <c r="X382" s="2">
        <v>0</v>
      </c>
      <c r="Y382" s="2">
        <v>0</v>
      </c>
      <c r="Z382" s="2">
        <v>0</v>
      </c>
      <c r="AA382" s="2">
        <v>0</v>
      </c>
      <c r="AB382" s="2" t="s">
        <v>2667</v>
      </c>
      <c r="AC382" s="2"/>
      <c r="AD382" s="2" t="s">
        <v>3985</v>
      </c>
    </row>
    <row r="383" s="1" customFormat="1" ht="11.25" spans="1:30">
      <c r="A383" s="2" t="s">
        <v>643</v>
      </c>
      <c r="B383" s="2" t="s">
        <v>812</v>
      </c>
      <c r="C383" s="2"/>
      <c r="D383" s="2" t="s">
        <v>909</v>
      </c>
      <c r="E383" s="2" t="s">
        <v>108</v>
      </c>
      <c r="F383" s="2" t="s">
        <v>927</v>
      </c>
      <c r="G383" s="2"/>
      <c r="H383" s="2" t="s">
        <v>2980</v>
      </c>
      <c r="I383" s="2"/>
      <c r="J383" s="2"/>
      <c r="K383" s="2" t="s">
        <v>2916</v>
      </c>
      <c r="L383" s="2" t="s">
        <v>3986</v>
      </c>
      <c r="M383" s="2" t="s">
        <v>2974</v>
      </c>
      <c r="N383" s="2" t="s">
        <v>908</v>
      </c>
      <c r="O383" s="2" t="s">
        <v>3125</v>
      </c>
      <c r="P383" s="2" t="s">
        <v>2982</v>
      </c>
      <c r="Q383" s="2">
        <v>0</v>
      </c>
      <c r="R383" s="2">
        <v>0</v>
      </c>
      <c r="S383" s="2">
        <v>0</v>
      </c>
      <c r="T383" s="2">
        <v>10</v>
      </c>
      <c r="U383" s="2">
        <v>0</v>
      </c>
      <c r="V383" s="2">
        <v>0</v>
      </c>
      <c r="W383" s="2">
        <v>0</v>
      </c>
      <c r="X383" s="2">
        <v>0</v>
      </c>
      <c r="Y383" s="2">
        <v>0</v>
      </c>
      <c r="Z383" s="2">
        <v>0</v>
      </c>
      <c r="AA383" s="2">
        <v>0</v>
      </c>
      <c r="AB383" s="2" t="s">
        <v>2667</v>
      </c>
      <c r="AC383" s="2"/>
      <c r="AD383" s="2" t="s">
        <v>3987</v>
      </c>
    </row>
    <row r="384" s="1" customFormat="1" ht="11.25" spans="1:30">
      <c r="A384" s="2" t="s">
        <v>771</v>
      </c>
      <c r="B384" s="2" t="s">
        <v>812</v>
      </c>
      <c r="C384" s="2" t="s">
        <v>3023</v>
      </c>
      <c r="D384" s="2" t="s">
        <v>909</v>
      </c>
      <c r="E384" s="2" t="s">
        <v>108</v>
      </c>
      <c r="F384" s="2" t="s">
        <v>146</v>
      </c>
      <c r="G384" s="2"/>
      <c r="H384" s="2" t="s">
        <v>2980</v>
      </c>
      <c r="I384" s="2"/>
      <c r="J384" s="2"/>
      <c r="K384" s="2" t="s">
        <v>2930</v>
      </c>
      <c r="L384" s="2" t="s">
        <v>3988</v>
      </c>
      <c r="M384" s="2" t="s">
        <v>2974</v>
      </c>
      <c r="N384" s="2" t="s">
        <v>908</v>
      </c>
      <c r="O384" s="2" t="s">
        <v>3125</v>
      </c>
      <c r="P384" s="2" t="s">
        <v>2982</v>
      </c>
      <c r="Q384" s="2">
        <v>0</v>
      </c>
      <c r="R384" s="2">
        <v>0</v>
      </c>
      <c r="S384" s="2">
        <v>0</v>
      </c>
      <c r="T384" s="2">
        <v>12</v>
      </c>
      <c r="U384" s="2">
        <v>0</v>
      </c>
      <c r="V384" s="2">
        <v>0</v>
      </c>
      <c r="W384" s="2">
        <v>0</v>
      </c>
      <c r="X384" s="2">
        <v>0</v>
      </c>
      <c r="Y384" s="2">
        <v>0</v>
      </c>
      <c r="Z384" s="2">
        <v>0</v>
      </c>
      <c r="AA384" s="2">
        <v>0</v>
      </c>
      <c r="AB384" s="2" t="s">
        <v>2667</v>
      </c>
      <c r="AC384" s="2"/>
      <c r="AD384" s="2" t="s">
        <v>3989</v>
      </c>
    </row>
    <row r="385" s="1" customFormat="1" ht="11.25" spans="1:30">
      <c r="A385" s="2" t="s">
        <v>768</v>
      </c>
      <c r="B385" s="2" t="s">
        <v>812</v>
      </c>
      <c r="C385" s="2"/>
      <c r="D385" s="2" t="s">
        <v>909</v>
      </c>
      <c r="E385" s="2" t="s">
        <v>108</v>
      </c>
      <c r="F385" s="2" t="s">
        <v>146</v>
      </c>
      <c r="G385" s="2"/>
      <c r="H385" s="2" t="s">
        <v>2980</v>
      </c>
      <c r="I385" s="2"/>
      <c r="J385" s="2"/>
      <c r="K385" s="2" t="s">
        <v>2773</v>
      </c>
      <c r="L385" s="2" t="s">
        <v>3990</v>
      </c>
      <c r="M385" s="2" t="s">
        <v>2974</v>
      </c>
      <c r="N385" s="2" t="s">
        <v>908</v>
      </c>
      <c r="O385" s="2" t="s">
        <v>3125</v>
      </c>
      <c r="P385" s="2" t="s">
        <v>2982</v>
      </c>
      <c r="Q385" s="2">
        <v>0</v>
      </c>
      <c r="R385" s="2">
        <v>0</v>
      </c>
      <c r="S385" s="2">
        <v>0</v>
      </c>
      <c r="T385" s="2">
        <v>100</v>
      </c>
      <c r="U385" s="2">
        <v>0</v>
      </c>
      <c r="V385" s="2">
        <v>0</v>
      </c>
      <c r="W385" s="2">
        <v>0</v>
      </c>
      <c r="X385" s="2">
        <v>0</v>
      </c>
      <c r="Y385" s="2">
        <v>0</v>
      </c>
      <c r="Z385" s="2">
        <v>0</v>
      </c>
      <c r="AA385" s="2">
        <v>0</v>
      </c>
      <c r="AB385" s="2" t="s">
        <v>2667</v>
      </c>
      <c r="AC385" s="2"/>
      <c r="AD385" s="2" t="s">
        <v>3991</v>
      </c>
    </row>
    <row r="386" s="1" customFormat="1" ht="11.25" spans="1:30">
      <c r="A386" s="2" t="s">
        <v>769</v>
      </c>
      <c r="B386" s="2" t="s">
        <v>812</v>
      </c>
      <c r="C386" s="2"/>
      <c r="D386" s="2" t="s">
        <v>909</v>
      </c>
      <c r="E386" s="2" t="s">
        <v>108</v>
      </c>
      <c r="F386" s="2" t="s">
        <v>146</v>
      </c>
      <c r="G386" s="2"/>
      <c r="H386" s="2" t="s">
        <v>2980</v>
      </c>
      <c r="I386" s="2"/>
      <c r="J386" s="2"/>
      <c r="K386" s="2" t="s">
        <v>2780</v>
      </c>
      <c r="L386" s="2" t="s">
        <v>3992</v>
      </c>
      <c r="M386" s="2" t="s">
        <v>2974</v>
      </c>
      <c r="N386" s="2" t="s">
        <v>908</v>
      </c>
      <c r="O386" s="2" t="s">
        <v>3125</v>
      </c>
      <c r="P386" s="2" t="s">
        <v>2982</v>
      </c>
      <c r="Q386" s="2">
        <v>0</v>
      </c>
      <c r="R386" s="2">
        <v>0</v>
      </c>
      <c r="S386" s="2">
        <v>0</v>
      </c>
      <c r="T386" s="2">
        <v>100</v>
      </c>
      <c r="U386" s="2">
        <v>0</v>
      </c>
      <c r="V386" s="2">
        <v>0</v>
      </c>
      <c r="W386" s="2">
        <v>0</v>
      </c>
      <c r="X386" s="2">
        <v>0</v>
      </c>
      <c r="Y386" s="2">
        <v>0</v>
      </c>
      <c r="Z386" s="2">
        <v>0</v>
      </c>
      <c r="AA386" s="2">
        <v>0</v>
      </c>
      <c r="AB386" s="2" t="s">
        <v>2667</v>
      </c>
      <c r="AC386" s="2"/>
      <c r="AD386" s="2" t="s">
        <v>3993</v>
      </c>
    </row>
    <row r="387" s="1" customFormat="1" ht="11.25" spans="1:30">
      <c r="A387" s="2" t="s">
        <v>770</v>
      </c>
      <c r="B387" s="2" t="s">
        <v>812</v>
      </c>
      <c r="C387" s="2"/>
      <c r="D387" s="2" t="s">
        <v>909</v>
      </c>
      <c r="E387" s="2" t="s">
        <v>108</v>
      </c>
      <c r="F387" s="2" t="s">
        <v>146</v>
      </c>
      <c r="G387" s="2"/>
      <c r="H387" s="2" t="s">
        <v>2980</v>
      </c>
      <c r="I387" s="2"/>
      <c r="J387" s="2"/>
      <c r="K387" s="2" t="s">
        <v>2786</v>
      </c>
      <c r="L387" s="2" t="s">
        <v>3994</v>
      </c>
      <c r="M387" s="2" t="s">
        <v>2974</v>
      </c>
      <c r="N387" s="2" t="s">
        <v>908</v>
      </c>
      <c r="O387" s="2" t="s">
        <v>3125</v>
      </c>
      <c r="P387" s="2" t="s">
        <v>2982</v>
      </c>
      <c r="Q387" s="2">
        <v>0</v>
      </c>
      <c r="R387" s="2">
        <v>0</v>
      </c>
      <c r="S387" s="2">
        <v>0</v>
      </c>
      <c r="T387" s="2">
        <v>100</v>
      </c>
      <c r="U387" s="2">
        <v>0</v>
      </c>
      <c r="V387" s="2">
        <v>0</v>
      </c>
      <c r="W387" s="2">
        <v>0</v>
      </c>
      <c r="X387" s="2">
        <v>0</v>
      </c>
      <c r="Y387" s="2">
        <v>0</v>
      </c>
      <c r="Z387" s="2">
        <v>0</v>
      </c>
      <c r="AA387" s="2">
        <v>0</v>
      </c>
      <c r="AB387" s="2" t="s">
        <v>2667</v>
      </c>
      <c r="AC387" s="2"/>
      <c r="AD387" s="2" t="s">
        <v>3995</v>
      </c>
    </row>
    <row r="388" s="1" customFormat="1" ht="11.25" spans="1:30">
      <c r="A388" s="2" t="s">
        <v>617</v>
      </c>
      <c r="B388" s="2" t="s">
        <v>812</v>
      </c>
      <c r="C388" s="2"/>
      <c r="D388" s="2" t="s">
        <v>909</v>
      </c>
      <c r="E388" s="2" t="s">
        <v>96</v>
      </c>
      <c r="F388" s="2" t="s">
        <v>127</v>
      </c>
      <c r="G388" s="2"/>
      <c r="H388" s="2" t="s">
        <v>2980</v>
      </c>
      <c r="I388" s="2"/>
      <c r="J388" s="2"/>
      <c r="K388" s="2" t="s">
        <v>2469</v>
      </c>
      <c r="L388" s="2" t="s">
        <v>3996</v>
      </c>
      <c r="M388" s="2" t="s">
        <v>2974</v>
      </c>
      <c r="N388" s="2" t="s">
        <v>908</v>
      </c>
      <c r="O388" s="2" t="s">
        <v>3125</v>
      </c>
      <c r="P388" s="2" t="s">
        <v>2982</v>
      </c>
      <c r="Q388" s="2">
        <v>0</v>
      </c>
      <c r="R388" s="2">
        <v>0</v>
      </c>
      <c r="S388" s="2">
        <v>0</v>
      </c>
      <c r="T388" s="2">
        <v>60</v>
      </c>
      <c r="U388" s="2">
        <v>0</v>
      </c>
      <c r="V388" s="2">
        <v>0</v>
      </c>
      <c r="W388" s="2">
        <v>0</v>
      </c>
      <c r="X388" s="2">
        <v>0</v>
      </c>
      <c r="Y388" s="2">
        <v>0</v>
      </c>
      <c r="Z388" s="2">
        <v>0</v>
      </c>
      <c r="AA388" s="2">
        <v>0</v>
      </c>
      <c r="AB388" s="2" t="s">
        <v>2667</v>
      </c>
      <c r="AC388" s="2"/>
      <c r="AD388" s="2" t="s">
        <v>3997</v>
      </c>
    </row>
    <row r="389" s="1" customFormat="1" ht="11.25" spans="1:30">
      <c r="A389" s="2" t="s">
        <v>618</v>
      </c>
      <c r="B389" s="2" t="s">
        <v>812</v>
      </c>
      <c r="C389" s="2"/>
      <c r="D389" s="2" t="s">
        <v>909</v>
      </c>
      <c r="E389" s="2" t="s">
        <v>96</v>
      </c>
      <c r="F389" s="2" t="s">
        <v>127</v>
      </c>
      <c r="G389" s="2"/>
      <c r="H389" s="2" t="s">
        <v>2980</v>
      </c>
      <c r="I389" s="2"/>
      <c r="J389" s="2"/>
      <c r="K389" s="2" t="s">
        <v>2475</v>
      </c>
      <c r="L389" s="2" t="s">
        <v>3998</v>
      </c>
      <c r="M389" s="2" t="s">
        <v>2974</v>
      </c>
      <c r="N389" s="2" t="s">
        <v>908</v>
      </c>
      <c r="O389" s="2" t="s">
        <v>3125</v>
      </c>
      <c r="P389" s="2" t="s">
        <v>3141</v>
      </c>
      <c r="Q389" s="2">
        <v>0.06</v>
      </c>
      <c r="R389" s="2">
        <v>0</v>
      </c>
      <c r="S389" s="2">
        <v>0</v>
      </c>
      <c r="T389" s="2">
        <v>40</v>
      </c>
      <c r="U389" s="2">
        <v>0</v>
      </c>
      <c r="V389" s="2">
        <v>0</v>
      </c>
      <c r="W389" s="2">
        <v>0</v>
      </c>
      <c r="X389" s="2">
        <v>0</v>
      </c>
      <c r="Y389" s="2">
        <v>1</v>
      </c>
      <c r="Z389" s="2">
        <v>0</v>
      </c>
      <c r="AA389" s="2">
        <v>-1</v>
      </c>
      <c r="AB389" s="2" t="s">
        <v>2667</v>
      </c>
      <c r="AC389" s="2"/>
      <c r="AD389" s="2" t="s">
        <v>3997</v>
      </c>
    </row>
    <row r="390" s="1" customFormat="1" ht="11.25" spans="1:30">
      <c r="A390" s="2" t="s">
        <v>619</v>
      </c>
      <c r="B390" s="2" t="s">
        <v>812</v>
      </c>
      <c r="C390" s="2"/>
      <c r="D390" s="2" t="s">
        <v>909</v>
      </c>
      <c r="E390" s="2" t="s">
        <v>96</v>
      </c>
      <c r="F390" s="2" t="s">
        <v>127</v>
      </c>
      <c r="G390" s="2"/>
      <c r="H390" s="2" t="s">
        <v>2980</v>
      </c>
      <c r="I390" s="2"/>
      <c r="J390" s="2"/>
      <c r="K390" s="2" t="s">
        <v>2480</v>
      </c>
      <c r="L390" s="2" t="s">
        <v>3999</v>
      </c>
      <c r="M390" s="2" t="s">
        <v>2974</v>
      </c>
      <c r="N390" s="2" t="s">
        <v>908</v>
      </c>
      <c r="O390" s="2" t="s">
        <v>3125</v>
      </c>
      <c r="P390" s="2" t="s">
        <v>2982</v>
      </c>
      <c r="Q390" s="2">
        <v>0</v>
      </c>
      <c r="R390" s="2">
        <v>0</v>
      </c>
      <c r="S390" s="2">
        <v>0</v>
      </c>
      <c r="T390" s="2">
        <v>60</v>
      </c>
      <c r="U390" s="2">
        <v>0</v>
      </c>
      <c r="V390" s="2">
        <v>0</v>
      </c>
      <c r="W390" s="2">
        <v>0</v>
      </c>
      <c r="X390" s="2">
        <v>0</v>
      </c>
      <c r="Y390" s="2">
        <v>0</v>
      </c>
      <c r="Z390" s="2">
        <v>0</v>
      </c>
      <c r="AA390" s="2">
        <v>0</v>
      </c>
      <c r="AB390" s="2" t="s">
        <v>2667</v>
      </c>
      <c r="AC390" s="2"/>
      <c r="AD390" s="2" t="s">
        <v>3997</v>
      </c>
    </row>
    <row r="391" s="1" customFormat="1" ht="11.25" spans="1:30">
      <c r="A391" s="2" t="s">
        <v>611</v>
      </c>
      <c r="B391" s="2" t="s">
        <v>812</v>
      </c>
      <c r="C391" s="2"/>
      <c r="D391" s="2" t="s">
        <v>909</v>
      </c>
      <c r="E391" s="2" t="s">
        <v>96</v>
      </c>
      <c r="F391" s="2" t="s">
        <v>127</v>
      </c>
      <c r="G391" s="2"/>
      <c r="H391" s="2" t="s">
        <v>2980</v>
      </c>
      <c r="I391" s="2"/>
      <c r="J391" s="2"/>
      <c r="K391" s="2" t="s">
        <v>2485</v>
      </c>
      <c r="L391" s="2" t="s">
        <v>4000</v>
      </c>
      <c r="M391" s="2" t="s">
        <v>2974</v>
      </c>
      <c r="N391" s="2" t="s">
        <v>908</v>
      </c>
      <c r="O391" s="2" t="s">
        <v>3125</v>
      </c>
      <c r="P391" s="2" t="s">
        <v>2982</v>
      </c>
      <c r="Q391" s="2">
        <v>0</v>
      </c>
      <c r="R391" s="2">
        <v>0</v>
      </c>
      <c r="S391" s="2">
        <v>0</v>
      </c>
      <c r="T391" s="2">
        <v>40</v>
      </c>
      <c r="U391" s="2">
        <v>0</v>
      </c>
      <c r="V391" s="2">
        <v>0</v>
      </c>
      <c r="W391" s="2">
        <v>0</v>
      </c>
      <c r="X391" s="2">
        <v>0</v>
      </c>
      <c r="Y391" s="2">
        <v>0</v>
      </c>
      <c r="Z391" s="2">
        <v>0</v>
      </c>
      <c r="AA391" s="2">
        <v>0</v>
      </c>
      <c r="AB391" s="2" t="s">
        <v>2667</v>
      </c>
      <c r="AC391" s="2"/>
      <c r="AD391" s="2" t="s">
        <v>3997</v>
      </c>
    </row>
    <row r="392" s="1" customFormat="1" ht="11.25" spans="1:30">
      <c r="A392" s="2" t="s">
        <v>612</v>
      </c>
      <c r="B392" s="2" t="s">
        <v>812</v>
      </c>
      <c r="C392" s="2"/>
      <c r="D392" s="2" t="s">
        <v>909</v>
      </c>
      <c r="E392" s="2" t="s">
        <v>96</v>
      </c>
      <c r="F392" s="2" t="s">
        <v>127</v>
      </c>
      <c r="G392" s="2"/>
      <c r="H392" s="2" t="s">
        <v>2980</v>
      </c>
      <c r="I392" s="2"/>
      <c r="J392" s="2"/>
      <c r="K392" s="2" t="s">
        <v>2490</v>
      </c>
      <c r="L392" s="2" t="s">
        <v>4001</v>
      </c>
      <c r="M392" s="2" t="s">
        <v>2974</v>
      </c>
      <c r="N392" s="2" t="s">
        <v>908</v>
      </c>
      <c r="O392" s="2" t="s">
        <v>3125</v>
      </c>
      <c r="P392" s="2" t="s">
        <v>3141</v>
      </c>
      <c r="Q392" s="2">
        <v>0.06</v>
      </c>
      <c r="R392" s="2">
        <v>0</v>
      </c>
      <c r="S392" s="2">
        <v>0</v>
      </c>
      <c r="T392" s="2">
        <v>40</v>
      </c>
      <c r="U392" s="2">
        <v>0</v>
      </c>
      <c r="V392" s="2">
        <v>0</v>
      </c>
      <c r="W392" s="2">
        <v>0</v>
      </c>
      <c r="X392" s="2">
        <v>0</v>
      </c>
      <c r="Y392" s="2">
        <v>1</v>
      </c>
      <c r="Z392" s="2">
        <v>0</v>
      </c>
      <c r="AA392" s="2">
        <v>-1</v>
      </c>
      <c r="AB392" s="2" t="s">
        <v>2667</v>
      </c>
      <c r="AC392" s="2"/>
      <c r="AD392" s="2" t="s">
        <v>3997</v>
      </c>
    </row>
    <row r="393" s="1" customFormat="1" ht="11.25" spans="1:30">
      <c r="A393" s="2" t="s">
        <v>607</v>
      </c>
      <c r="B393" s="2" t="s">
        <v>812</v>
      </c>
      <c r="C393" s="2"/>
      <c r="D393" s="2" t="s">
        <v>909</v>
      </c>
      <c r="E393" s="2" t="s">
        <v>96</v>
      </c>
      <c r="F393" s="2" t="s">
        <v>127</v>
      </c>
      <c r="G393" s="2"/>
      <c r="H393" s="2" t="s">
        <v>2980</v>
      </c>
      <c r="I393" s="2"/>
      <c r="J393" s="2"/>
      <c r="K393" s="2" t="s">
        <v>2495</v>
      </c>
      <c r="L393" s="2" t="s">
        <v>4002</v>
      </c>
      <c r="M393" s="2" t="s">
        <v>2974</v>
      </c>
      <c r="N393" s="2" t="s">
        <v>908</v>
      </c>
      <c r="O393" s="2" t="s">
        <v>3125</v>
      </c>
      <c r="P393" s="2" t="s">
        <v>2982</v>
      </c>
      <c r="Q393" s="2">
        <v>0</v>
      </c>
      <c r="R393" s="2">
        <v>0</v>
      </c>
      <c r="S393" s="2">
        <v>0</v>
      </c>
      <c r="T393" s="2">
        <v>40</v>
      </c>
      <c r="U393" s="2">
        <v>0</v>
      </c>
      <c r="V393" s="2">
        <v>0</v>
      </c>
      <c r="W393" s="2">
        <v>0</v>
      </c>
      <c r="X393" s="2">
        <v>0</v>
      </c>
      <c r="Y393" s="2">
        <v>0</v>
      </c>
      <c r="Z393" s="2">
        <v>0</v>
      </c>
      <c r="AA393" s="2">
        <v>0</v>
      </c>
      <c r="AB393" s="2" t="s">
        <v>2667</v>
      </c>
      <c r="AC393" s="2"/>
      <c r="AD393" s="2" t="s">
        <v>3997</v>
      </c>
    </row>
    <row r="394" s="1" customFormat="1" ht="11.25" spans="1:30">
      <c r="A394" s="2" t="s">
        <v>608</v>
      </c>
      <c r="B394" s="2" t="s">
        <v>812</v>
      </c>
      <c r="C394" s="2"/>
      <c r="D394" s="2" t="s">
        <v>909</v>
      </c>
      <c r="E394" s="2" t="s">
        <v>96</v>
      </c>
      <c r="F394" s="2" t="s">
        <v>127</v>
      </c>
      <c r="G394" s="2"/>
      <c r="H394" s="2" t="s">
        <v>2980</v>
      </c>
      <c r="I394" s="2"/>
      <c r="J394" s="2"/>
      <c r="K394" s="2" t="s">
        <v>2500</v>
      </c>
      <c r="L394" s="2" t="s">
        <v>4003</v>
      </c>
      <c r="M394" s="2" t="s">
        <v>2974</v>
      </c>
      <c r="N394" s="2" t="s">
        <v>908</v>
      </c>
      <c r="O394" s="2" t="s">
        <v>3125</v>
      </c>
      <c r="P394" s="2" t="s">
        <v>3141</v>
      </c>
      <c r="Q394" s="2">
        <v>0.06</v>
      </c>
      <c r="R394" s="2">
        <v>0</v>
      </c>
      <c r="S394" s="2">
        <v>0</v>
      </c>
      <c r="T394" s="2">
        <v>40</v>
      </c>
      <c r="U394" s="2">
        <v>0</v>
      </c>
      <c r="V394" s="2">
        <v>0</v>
      </c>
      <c r="W394" s="2">
        <v>0</v>
      </c>
      <c r="X394" s="2">
        <v>0</v>
      </c>
      <c r="Y394" s="2">
        <v>1</v>
      </c>
      <c r="Z394" s="2">
        <v>0</v>
      </c>
      <c r="AA394" s="2">
        <v>-1</v>
      </c>
      <c r="AB394" s="2" t="s">
        <v>2667</v>
      </c>
      <c r="AC394" s="2"/>
      <c r="AD394" s="2" t="s">
        <v>3997</v>
      </c>
    </row>
    <row r="395" s="1" customFormat="1" ht="11.25" spans="1:30">
      <c r="A395" s="2" t="s">
        <v>620</v>
      </c>
      <c r="B395" s="2" t="s">
        <v>812</v>
      </c>
      <c r="C395" s="2"/>
      <c r="D395" s="2" t="s">
        <v>909</v>
      </c>
      <c r="E395" s="2" t="s">
        <v>96</v>
      </c>
      <c r="F395" s="2" t="s">
        <v>127</v>
      </c>
      <c r="G395" s="2"/>
      <c r="H395" s="2" t="s">
        <v>2980</v>
      </c>
      <c r="I395" s="2"/>
      <c r="J395" s="2"/>
      <c r="K395" s="2" t="s">
        <v>2505</v>
      </c>
      <c r="L395" s="2" t="s">
        <v>4004</v>
      </c>
      <c r="M395" s="2" t="s">
        <v>2974</v>
      </c>
      <c r="N395" s="2" t="s">
        <v>908</v>
      </c>
      <c r="O395" s="2" t="s">
        <v>3125</v>
      </c>
      <c r="P395" s="2" t="s">
        <v>2982</v>
      </c>
      <c r="Q395" s="2">
        <v>0</v>
      </c>
      <c r="R395" s="2">
        <v>0</v>
      </c>
      <c r="S395" s="2">
        <v>0</v>
      </c>
      <c r="T395" s="2">
        <v>30</v>
      </c>
      <c r="U395" s="2">
        <v>0</v>
      </c>
      <c r="V395" s="2">
        <v>0</v>
      </c>
      <c r="W395" s="2">
        <v>0</v>
      </c>
      <c r="X395" s="2">
        <v>0</v>
      </c>
      <c r="Y395" s="2">
        <v>0</v>
      </c>
      <c r="Z395" s="2">
        <v>0</v>
      </c>
      <c r="AA395" s="2">
        <v>0</v>
      </c>
      <c r="AB395" s="2" t="s">
        <v>2667</v>
      </c>
      <c r="AC395" s="2"/>
      <c r="AD395" s="2" t="s">
        <v>4005</v>
      </c>
    </row>
    <row r="396" s="1" customFormat="1" ht="11.25" spans="1:30">
      <c r="A396" s="2" t="s">
        <v>621</v>
      </c>
      <c r="B396" s="2" t="s">
        <v>812</v>
      </c>
      <c r="C396" s="2"/>
      <c r="D396" s="2" t="s">
        <v>909</v>
      </c>
      <c r="E396" s="2" t="s">
        <v>96</v>
      </c>
      <c r="F396" s="2" t="s">
        <v>127</v>
      </c>
      <c r="G396" s="2"/>
      <c r="H396" s="2" t="s">
        <v>2980</v>
      </c>
      <c r="I396" s="2"/>
      <c r="J396" s="2"/>
      <c r="K396" s="2" t="s">
        <v>2510</v>
      </c>
      <c r="L396" s="2" t="s">
        <v>4006</v>
      </c>
      <c r="M396" s="2" t="s">
        <v>2974</v>
      </c>
      <c r="N396" s="2" t="s">
        <v>908</v>
      </c>
      <c r="O396" s="2" t="s">
        <v>3125</v>
      </c>
      <c r="P396" s="2" t="s">
        <v>2982</v>
      </c>
      <c r="Q396" s="2">
        <v>0</v>
      </c>
      <c r="R396" s="2">
        <v>0</v>
      </c>
      <c r="S396" s="2">
        <v>0</v>
      </c>
      <c r="T396" s="2">
        <v>30</v>
      </c>
      <c r="U396" s="2">
        <v>0</v>
      </c>
      <c r="V396" s="2">
        <v>0</v>
      </c>
      <c r="W396" s="2">
        <v>0</v>
      </c>
      <c r="X396" s="2">
        <v>0</v>
      </c>
      <c r="Y396" s="2">
        <v>0</v>
      </c>
      <c r="Z396" s="2">
        <v>0</v>
      </c>
      <c r="AA396" s="2">
        <v>0</v>
      </c>
      <c r="AB396" s="2" t="s">
        <v>2667</v>
      </c>
      <c r="AC396" s="2"/>
      <c r="AD396" s="2" t="s">
        <v>4005</v>
      </c>
    </row>
    <row r="397" s="1" customFormat="1" ht="11.25" spans="1:30">
      <c r="A397" s="2" t="s">
        <v>861</v>
      </c>
      <c r="B397" s="2" t="s">
        <v>812</v>
      </c>
      <c r="C397" s="2"/>
      <c r="D397" s="2" t="s">
        <v>909</v>
      </c>
      <c r="E397" s="2" t="s">
        <v>108</v>
      </c>
      <c r="F397" s="2" t="s">
        <v>109</v>
      </c>
      <c r="G397" s="2"/>
      <c r="H397" s="2" t="s">
        <v>2980</v>
      </c>
      <c r="I397" s="2"/>
      <c r="J397" s="2"/>
      <c r="K397" s="2" t="s">
        <v>2870</v>
      </c>
      <c r="L397" s="2" t="s">
        <v>4007</v>
      </c>
      <c r="M397" s="2" t="s">
        <v>2974</v>
      </c>
      <c r="N397" s="2" t="s">
        <v>908</v>
      </c>
      <c r="O397" s="2" t="s">
        <v>3125</v>
      </c>
      <c r="P397" s="2" t="s">
        <v>2982</v>
      </c>
      <c r="Q397" s="2">
        <v>0</v>
      </c>
      <c r="R397" s="2">
        <v>0</v>
      </c>
      <c r="S397" s="2">
        <v>0</v>
      </c>
      <c r="T397" s="2">
        <v>120</v>
      </c>
      <c r="U397" s="2">
        <v>0</v>
      </c>
      <c r="V397" s="2">
        <v>0</v>
      </c>
      <c r="W397" s="2">
        <v>0</v>
      </c>
      <c r="X397" s="2">
        <v>0</v>
      </c>
      <c r="Y397" s="2">
        <v>0</v>
      </c>
      <c r="Z397" s="2">
        <v>0</v>
      </c>
      <c r="AA397" s="2">
        <v>0</v>
      </c>
      <c r="AB397" s="2" t="s">
        <v>3544</v>
      </c>
      <c r="AC397" s="2"/>
      <c r="AD397" s="2" t="s">
        <v>4008</v>
      </c>
    </row>
    <row r="398" s="1" customFormat="1" ht="11.25" spans="1:30">
      <c r="A398" s="2" t="s">
        <v>862</v>
      </c>
      <c r="B398" s="2" t="s">
        <v>812</v>
      </c>
      <c r="C398" s="2"/>
      <c r="D398" s="2" t="s">
        <v>909</v>
      </c>
      <c r="E398" s="2" t="s">
        <v>108</v>
      </c>
      <c r="F398" s="2" t="s">
        <v>109</v>
      </c>
      <c r="G398" s="2"/>
      <c r="H398" s="2" t="s">
        <v>2980</v>
      </c>
      <c r="I398" s="2"/>
      <c r="J398" s="2"/>
      <c r="K398" s="2" t="s">
        <v>2876</v>
      </c>
      <c r="L398" s="2" t="s">
        <v>4009</v>
      </c>
      <c r="M398" s="2" t="s">
        <v>2974</v>
      </c>
      <c r="N398" s="2" t="s">
        <v>908</v>
      </c>
      <c r="O398" s="2" t="s">
        <v>3125</v>
      </c>
      <c r="P398" s="2" t="s">
        <v>2982</v>
      </c>
      <c r="Q398" s="2">
        <v>0</v>
      </c>
      <c r="R398" s="2">
        <v>0</v>
      </c>
      <c r="S398" s="2">
        <v>0</v>
      </c>
      <c r="T398" s="2">
        <v>180</v>
      </c>
      <c r="U398" s="2">
        <v>0</v>
      </c>
      <c r="V398" s="2">
        <v>0</v>
      </c>
      <c r="W398" s="2">
        <v>0</v>
      </c>
      <c r="X398" s="2">
        <v>0</v>
      </c>
      <c r="Y398" s="2">
        <v>0</v>
      </c>
      <c r="Z398" s="2">
        <v>0</v>
      </c>
      <c r="AA398" s="2">
        <v>0</v>
      </c>
      <c r="AB398" s="2" t="s">
        <v>3544</v>
      </c>
      <c r="AC398" s="2"/>
      <c r="AD398" s="2" t="s">
        <v>4010</v>
      </c>
    </row>
    <row r="399" s="1" customFormat="1" ht="11.25" spans="1:30">
      <c r="A399" s="2" t="s">
        <v>863</v>
      </c>
      <c r="B399" s="2" t="s">
        <v>812</v>
      </c>
      <c r="C399" s="2"/>
      <c r="D399" s="2" t="s">
        <v>909</v>
      </c>
      <c r="E399" s="2" t="s">
        <v>108</v>
      </c>
      <c r="F399" s="2" t="s">
        <v>109</v>
      </c>
      <c r="G399" s="2"/>
      <c r="H399" s="2" t="s">
        <v>2980</v>
      </c>
      <c r="I399" s="2"/>
      <c r="J399" s="2"/>
      <c r="K399" s="2" t="s">
        <v>2888</v>
      </c>
      <c r="L399" s="2" t="s">
        <v>4011</v>
      </c>
      <c r="M399" s="2" t="s">
        <v>2974</v>
      </c>
      <c r="N399" s="2" t="s">
        <v>908</v>
      </c>
      <c r="O399" s="2" t="s">
        <v>3125</v>
      </c>
      <c r="P399" s="2" t="s">
        <v>2982</v>
      </c>
      <c r="Q399" s="2">
        <v>0</v>
      </c>
      <c r="R399" s="2">
        <v>0</v>
      </c>
      <c r="S399" s="2">
        <v>0</v>
      </c>
      <c r="T399" s="2">
        <v>80</v>
      </c>
      <c r="U399" s="2">
        <v>0</v>
      </c>
      <c r="V399" s="2">
        <v>0</v>
      </c>
      <c r="W399" s="2">
        <v>0</v>
      </c>
      <c r="X399" s="2">
        <v>0</v>
      </c>
      <c r="Y399" s="2">
        <v>0</v>
      </c>
      <c r="Z399" s="2">
        <v>0</v>
      </c>
      <c r="AA399" s="2">
        <v>0</v>
      </c>
      <c r="AB399" s="2" t="s">
        <v>3544</v>
      </c>
      <c r="AC399" s="2"/>
      <c r="AD399" s="2" t="s">
        <v>4012</v>
      </c>
    </row>
    <row r="400" s="1" customFormat="1" ht="11.25" spans="1:30">
      <c r="A400" s="2" t="s">
        <v>864</v>
      </c>
      <c r="B400" s="2" t="s">
        <v>812</v>
      </c>
      <c r="C400" s="2" t="s">
        <v>3023</v>
      </c>
      <c r="D400" s="2" t="s">
        <v>909</v>
      </c>
      <c r="E400" s="2" t="s">
        <v>108</v>
      </c>
      <c r="F400" s="2" t="s">
        <v>927</v>
      </c>
      <c r="G400" s="2"/>
      <c r="H400" s="2" t="s">
        <v>2980</v>
      </c>
      <c r="I400" s="2"/>
      <c r="J400" s="2"/>
      <c r="K400" s="2" t="s">
        <v>2920</v>
      </c>
      <c r="L400" s="2" t="s">
        <v>4013</v>
      </c>
      <c r="M400" s="2" t="s">
        <v>2974</v>
      </c>
      <c r="N400" s="2" t="s">
        <v>908</v>
      </c>
      <c r="O400" s="2" t="s">
        <v>3125</v>
      </c>
      <c r="P400" s="2" t="s">
        <v>2982</v>
      </c>
      <c r="Q400" s="2">
        <v>0</v>
      </c>
      <c r="R400" s="2">
        <v>0</v>
      </c>
      <c r="S400" s="2">
        <v>0</v>
      </c>
      <c r="T400" s="2">
        <v>60</v>
      </c>
      <c r="U400" s="2">
        <v>0</v>
      </c>
      <c r="V400" s="2">
        <v>0</v>
      </c>
      <c r="W400" s="2">
        <v>0</v>
      </c>
      <c r="X400" s="2">
        <v>0</v>
      </c>
      <c r="Y400" s="2">
        <v>0</v>
      </c>
      <c r="Z400" s="2">
        <v>0</v>
      </c>
      <c r="AA400" s="2">
        <v>0</v>
      </c>
      <c r="AB400" s="2" t="s">
        <v>3544</v>
      </c>
      <c r="AC400" s="2"/>
      <c r="AD400" s="2" t="s">
        <v>4014</v>
      </c>
    </row>
    <row r="401" s="1" customFormat="1" ht="11.25" spans="1:30">
      <c r="A401" s="2" t="s">
        <v>865</v>
      </c>
      <c r="B401" s="2" t="s">
        <v>812</v>
      </c>
      <c r="C401" s="2" t="s">
        <v>3023</v>
      </c>
      <c r="D401" s="2" t="s">
        <v>909</v>
      </c>
      <c r="E401" s="2" t="s">
        <v>108</v>
      </c>
      <c r="F401" s="2" t="s">
        <v>927</v>
      </c>
      <c r="G401" s="2"/>
      <c r="H401" s="2" t="s">
        <v>2980</v>
      </c>
      <c r="I401" s="2"/>
      <c r="J401" s="2"/>
      <c r="K401" s="2" t="s">
        <v>2926</v>
      </c>
      <c r="L401" s="2" t="s">
        <v>4015</v>
      </c>
      <c r="M401" s="2" t="s">
        <v>2974</v>
      </c>
      <c r="N401" s="2" t="s">
        <v>908</v>
      </c>
      <c r="O401" s="2" t="s">
        <v>3125</v>
      </c>
      <c r="P401" s="2" t="s">
        <v>2982</v>
      </c>
      <c r="Q401" s="2">
        <v>0</v>
      </c>
      <c r="R401" s="2">
        <v>0</v>
      </c>
      <c r="S401" s="2">
        <v>0</v>
      </c>
      <c r="T401" s="2">
        <v>20</v>
      </c>
      <c r="U401" s="2">
        <v>0</v>
      </c>
      <c r="V401" s="2">
        <v>0</v>
      </c>
      <c r="W401" s="2">
        <v>0</v>
      </c>
      <c r="X401" s="2">
        <v>0</v>
      </c>
      <c r="Y401" s="2">
        <v>0</v>
      </c>
      <c r="Z401" s="2">
        <v>0</v>
      </c>
      <c r="AA401" s="2">
        <v>0</v>
      </c>
      <c r="AB401" s="2" t="s">
        <v>3544</v>
      </c>
      <c r="AC401" s="2"/>
      <c r="AD401" s="2" t="s">
        <v>4016</v>
      </c>
    </row>
    <row r="402" s="1" customFormat="1" ht="11.25" spans="1:30">
      <c r="A402" s="2" t="s">
        <v>852</v>
      </c>
      <c r="B402" s="2" t="s">
        <v>812</v>
      </c>
      <c r="C402" s="2"/>
      <c r="D402" s="2" t="s">
        <v>909</v>
      </c>
      <c r="E402" s="2" t="s">
        <v>108</v>
      </c>
      <c r="F402" s="2" t="s">
        <v>146</v>
      </c>
      <c r="G402" s="2"/>
      <c r="H402" s="2" t="s">
        <v>2980</v>
      </c>
      <c r="I402" s="2"/>
      <c r="J402" s="2"/>
      <c r="K402" s="2" t="s">
        <v>2686</v>
      </c>
      <c r="L402" s="2" t="s">
        <v>4017</v>
      </c>
      <c r="M402" s="2" t="s">
        <v>2974</v>
      </c>
      <c r="N402" s="2" t="s">
        <v>908</v>
      </c>
      <c r="O402" s="2" t="s">
        <v>3125</v>
      </c>
      <c r="P402" s="2" t="s">
        <v>2982</v>
      </c>
      <c r="Q402" s="2">
        <v>0</v>
      </c>
      <c r="R402" s="2">
        <v>0</v>
      </c>
      <c r="S402" s="2">
        <v>0</v>
      </c>
      <c r="T402" s="2">
        <v>80</v>
      </c>
      <c r="U402" s="2">
        <v>0</v>
      </c>
      <c r="V402" s="2">
        <v>0</v>
      </c>
      <c r="W402" s="2">
        <v>0</v>
      </c>
      <c r="X402" s="2">
        <v>0</v>
      </c>
      <c r="Y402" s="2">
        <v>0</v>
      </c>
      <c r="Z402" s="2">
        <v>0</v>
      </c>
      <c r="AA402" s="2">
        <v>0</v>
      </c>
      <c r="AB402" s="2" t="s">
        <v>3015</v>
      </c>
      <c r="AC402" s="2"/>
      <c r="AD402" s="2" t="s">
        <v>4018</v>
      </c>
    </row>
    <row r="403" s="1" customFormat="1" ht="11.25" spans="1:30">
      <c r="A403" s="2" t="s">
        <v>859</v>
      </c>
      <c r="B403" s="2" t="s">
        <v>812</v>
      </c>
      <c r="C403" s="2" t="s">
        <v>3023</v>
      </c>
      <c r="D403" s="2" t="s">
        <v>909</v>
      </c>
      <c r="E403" s="2" t="s">
        <v>108</v>
      </c>
      <c r="F403" s="2" t="s">
        <v>278</v>
      </c>
      <c r="G403" s="2"/>
      <c r="H403" s="2" t="s">
        <v>2980</v>
      </c>
      <c r="I403" s="2"/>
      <c r="J403" s="2"/>
      <c r="K403" s="2" t="s">
        <v>2838</v>
      </c>
      <c r="L403" s="2" t="s">
        <v>4019</v>
      </c>
      <c r="M403" s="2" t="s">
        <v>2974</v>
      </c>
      <c r="N403" s="2" t="s">
        <v>908</v>
      </c>
      <c r="O403" s="2" t="s">
        <v>3125</v>
      </c>
      <c r="P403" s="2" t="s">
        <v>2982</v>
      </c>
      <c r="Q403" s="2">
        <v>0</v>
      </c>
      <c r="R403" s="2">
        <v>0</v>
      </c>
      <c r="S403" s="2">
        <v>0</v>
      </c>
      <c r="T403" s="2">
        <v>120</v>
      </c>
      <c r="U403" s="2">
        <v>0</v>
      </c>
      <c r="V403" s="2">
        <v>0</v>
      </c>
      <c r="W403" s="2">
        <v>0</v>
      </c>
      <c r="X403" s="2">
        <v>0</v>
      </c>
      <c r="Y403" s="2">
        <v>0</v>
      </c>
      <c r="Z403" s="2">
        <v>0</v>
      </c>
      <c r="AA403" s="2">
        <v>0</v>
      </c>
      <c r="AB403" s="2" t="s">
        <v>3015</v>
      </c>
      <c r="AC403" s="2"/>
      <c r="AD403" s="2" t="s">
        <v>4020</v>
      </c>
    </row>
    <row r="404" s="1" customFormat="1" ht="11.25" spans="1:30">
      <c r="A404" s="2" t="s">
        <v>860</v>
      </c>
      <c r="B404" s="2" t="s">
        <v>812</v>
      </c>
      <c r="C404" s="2"/>
      <c r="D404" s="2" t="s">
        <v>909</v>
      </c>
      <c r="E404" s="2" t="s">
        <v>108</v>
      </c>
      <c r="F404" s="2" t="s">
        <v>146</v>
      </c>
      <c r="G404" s="2"/>
      <c r="H404" s="2" t="s">
        <v>2980</v>
      </c>
      <c r="I404" s="2"/>
      <c r="J404" s="2"/>
      <c r="K404" s="2" t="s">
        <v>2846</v>
      </c>
      <c r="L404" s="2" t="s">
        <v>4021</v>
      </c>
      <c r="M404" s="2" t="s">
        <v>2974</v>
      </c>
      <c r="N404" s="2" t="s">
        <v>908</v>
      </c>
      <c r="O404" s="2" t="s">
        <v>3125</v>
      </c>
      <c r="P404" s="2" t="s">
        <v>2982</v>
      </c>
      <c r="Q404" s="2">
        <v>0</v>
      </c>
      <c r="R404" s="2">
        <v>0</v>
      </c>
      <c r="S404" s="2">
        <v>0</v>
      </c>
      <c r="T404" s="2">
        <v>204</v>
      </c>
      <c r="U404" s="2">
        <v>0</v>
      </c>
      <c r="V404" s="2">
        <v>0</v>
      </c>
      <c r="W404" s="2">
        <v>0</v>
      </c>
      <c r="X404" s="2">
        <v>0</v>
      </c>
      <c r="Y404" s="2">
        <v>0</v>
      </c>
      <c r="Z404" s="2">
        <v>0</v>
      </c>
      <c r="AA404" s="2">
        <v>0</v>
      </c>
      <c r="AB404" s="2" t="s">
        <v>3544</v>
      </c>
      <c r="AC404" s="2"/>
      <c r="AD404" s="2" t="s">
        <v>4022</v>
      </c>
    </row>
    <row r="405" s="1" customFormat="1" ht="11.25" spans="1:30">
      <c r="A405" s="2" t="s">
        <v>1269</v>
      </c>
      <c r="B405" s="2" t="s">
        <v>812</v>
      </c>
      <c r="C405" s="2"/>
      <c r="D405" s="2" t="s">
        <v>909</v>
      </c>
      <c r="E405" s="2" t="s">
        <v>108</v>
      </c>
      <c r="F405" s="2" t="s">
        <v>146</v>
      </c>
      <c r="G405" s="2"/>
      <c r="H405" s="2" t="s">
        <v>2980</v>
      </c>
      <c r="I405" s="2"/>
      <c r="J405" s="2"/>
      <c r="K405" s="2" t="s">
        <v>1270</v>
      </c>
      <c r="L405" s="2" t="s">
        <v>4023</v>
      </c>
      <c r="M405" s="2" t="s">
        <v>2974</v>
      </c>
      <c r="N405" s="2" t="s">
        <v>908</v>
      </c>
      <c r="O405" s="2" t="s">
        <v>3125</v>
      </c>
      <c r="P405" s="2" t="s">
        <v>2982</v>
      </c>
      <c r="Q405" s="2">
        <v>0</v>
      </c>
      <c r="R405" s="2">
        <v>0</v>
      </c>
      <c r="S405" s="2">
        <v>0</v>
      </c>
      <c r="T405" s="2">
        <v>12</v>
      </c>
      <c r="U405" s="2">
        <v>0</v>
      </c>
      <c r="V405" s="2">
        <v>0</v>
      </c>
      <c r="W405" s="2">
        <v>0</v>
      </c>
      <c r="X405" s="2">
        <v>0</v>
      </c>
      <c r="Y405" s="2">
        <v>0</v>
      </c>
      <c r="Z405" s="2">
        <v>0</v>
      </c>
      <c r="AA405" s="2">
        <v>0</v>
      </c>
      <c r="AB405" s="2" t="s">
        <v>3015</v>
      </c>
      <c r="AC405" s="2"/>
      <c r="AD405" s="2" t="s">
        <v>4024</v>
      </c>
    </row>
    <row r="406" s="1" customFormat="1" ht="11.25" spans="1:30">
      <c r="A406" s="2" t="s">
        <v>846</v>
      </c>
      <c r="B406" s="2" t="s">
        <v>812</v>
      </c>
      <c r="C406" s="2"/>
      <c r="D406" s="2" t="s">
        <v>909</v>
      </c>
      <c r="E406" s="2" t="s">
        <v>96</v>
      </c>
      <c r="F406" s="2" t="s">
        <v>127</v>
      </c>
      <c r="G406" s="2"/>
      <c r="H406" s="2" t="s">
        <v>2980</v>
      </c>
      <c r="I406" s="2"/>
      <c r="J406" s="2"/>
      <c r="K406" s="2" t="s">
        <v>2655</v>
      </c>
      <c r="L406" s="2" t="s">
        <v>4025</v>
      </c>
      <c r="M406" s="2" t="s">
        <v>2974</v>
      </c>
      <c r="N406" s="2" t="s">
        <v>908</v>
      </c>
      <c r="O406" s="2" t="s">
        <v>3125</v>
      </c>
      <c r="P406" s="2" t="s">
        <v>2982</v>
      </c>
      <c r="Q406" s="2">
        <v>0</v>
      </c>
      <c r="R406" s="2">
        <v>0</v>
      </c>
      <c r="S406" s="2">
        <v>0</v>
      </c>
      <c r="T406" s="2">
        <v>30</v>
      </c>
      <c r="U406" s="2">
        <v>0</v>
      </c>
      <c r="V406" s="2">
        <v>0</v>
      </c>
      <c r="W406" s="2">
        <v>0</v>
      </c>
      <c r="X406" s="2">
        <v>0</v>
      </c>
      <c r="Y406" s="2">
        <v>0</v>
      </c>
      <c r="Z406" s="2">
        <v>0</v>
      </c>
      <c r="AA406" s="2">
        <v>0</v>
      </c>
      <c r="AB406" s="2" t="s">
        <v>4026</v>
      </c>
      <c r="AC406" s="2"/>
      <c r="AD406" s="2" t="s">
        <v>4027</v>
      </c>
    </row>
    <row r="407" s="1" customFormat="1" ht="11.25" spans="1:30">
      <c r="A407" s="2" t="s">
        <v>847</v>
      </c>
      <c r="B407" s="2" t="s">
        <v>812</v>
      </c>
      <c r="C407" s="2"/>
      <c r="D407" s="2" t="s">
        <v>909</v>
      </c>
      <c r="E407" s="2" t="s">
        <v>96</v>
      </c>
      <c r="F407" s="2" t="s">
        <v>127</v>
      </c>
      <c r="G407" s="2"/>
      <c r="H407" s="2" t="s">
        <v>2980</v>
      </c>
      <c r="I407" s="2"/>
      <c r="J407" s="2"/>
      <c r="K407" s="2" t="s">
        <v>2662</v>
      </c>
      <c r="L407" s="2" t="s">
        <v>4028</v>
      </c>
      <c r="M407" s="2" t="s">
        <v>2974</v>
      </c>
      <c r="N407" s="2" t="s">
        <v>908</v>
      </c>
      <c r="O407" s="2" t="s">
        <v>3125</v>
      </c>
      <c r="P407" s="2" t="s">
        <v>2982</v>
      </c>
      <c r="Q407" s="2">
        <v>0</v>
      </c>
      <c r="R407" s="2">
        <v>0</v>
      </c>
      <c r="S407" s="2">
        <v>0</v>
      </c>
      <c r="T407" s="2">
        <v>15</v>
      </c>
      <c r="U407" s="2">
        <v>0</v>
      </c>
      <c r="V407" s="2">
        <v>0</v>
      </c>
      <c r="W407" s="2">
        <v>0</v>
      </c>
      <c r="X407" s="2">
        <v>0</v>
      </c>
      <c r="Y407" s="2">
        <v>0</v>
      </c>
      <c r="Z407" s="2">
        <v>0</v>
      </c>
      <c r="AA407" s="2">
        <v>0</v>
      </c>
      <c r="AB407" s="2" t="s">
        <v>4026</v>
      </c>
      <c r="AC407" s="2"/>
      <c r="AD407" s="2" t="s">
        <v>3409</v>
      </c>
    </row>
    <row r="408" s="1" customFormat="1" ht="11.25" spans="1:30">
      <c r="A408" s="2" t="s">
        <v>840</v>
      </c>
      <c r="B408" s="2" t="s">
        <v>812</v>
      </c>
      <c r="C408" s="2" t="s">
        <v>3023</v>
      </c>
      <c r="D408" s="2" t="s">
        <v>909</v>
      </c>
      <c r="E408" s="2" t="s">
        <v>96</v>
      </c>
      <c r="F408" s="2" t="s">
        <v>2712</v>
      </c>
      <c r="G408" s="2"/>
      <c r="H408" s="2" t="s">
        <v>2980</v>
      </c>
      <c r="I408" s="2"/>
      <c r="J408" s="2"/>
      <c r="K408" s="2" t="s">
        <v>2748</v>
      </c>
      <c r="L408" s="2" t="s">
        <v>4029</v>
      </c>
      <c r="M408" s="2" t="s">
        <v>2974</v>
      </c>
      <c r="N408" s="2" t="s">
        <v>908</v>
      </c>
      <c r="O408" s="2" t="s">
        <v>3125</v>
      </c>
      <c r="P408" s="2" t="s">
        <v>2982</v>
      </c>
      <c r="Q408" s="2">
        <v>0</v>
      </c>
      <c r="R408" s="2">
        <v>0</v>
      </c>
      <c r="S408" s="2">
        <v>0</v>
      </c>
      <c r="T408" s="2">
        <v>100</v>
      </c>
      <c r="U408" s="2">
        <v>0</v>
      </c>
      <c r="V408" s="2">
        <v>0</v>
      </c>
      <c r="W408" s="2">
        <v>0</v>
      </c>
      <c r="X408" s="2">
        <v>0</v>
      </c>
      <c r="Y408" s="2">
        <v>0</v>
      </c>
      <c r="Z408" s="2">
        <v>0</v>
      </c>
      <c r="AA408" s="2">
        <v>0</v>
      </c>
      <c r="AB408" s="2" t="s">
        <v>4026</v>
      </c>
      <c r="AC408" s="2"/>
      <c r="AD408" s="2" t="s">
        <v>4030</v>
      </c>
    </row>
    <row r="409" s="1" customFormat="1" ht="11.25" spans="1:30">
      <c r="A409" s="2" t="s">
        <v>841</v>
      </c>
      <c r="B409" s="2" t="s">
        <v>812</v>
      </c>
      <c r="C409" s="2" t="s">
        <v>3023</v>
      </c>
      <c r="D409" s="2" t="s">
        <v>909</v>
      </c>
      <c r="E409" s="2" t="s">
        <v>96</v>
      </c>
      <c r="F409" s="2" t="s">
        <v>2712</v>
      </c>
      <c r="G409" s="2"/>
      <c r="H409" s="2" t="s">
        <v>2980</v>
      </c>
      <c r="I409" s="2"/>
      <c r="J409" s="2"/>
      <c r="K409" s="2" t="s">
        <v>2755</v>
      </c>
      <c r="L409" s="2" t="s">
        <v>4031</v>
      </c>
      <c r="M409" s="2" t="s">
        <v>2974</v>
      </c>
      <c r="N409" s="2" t="s">
        <v>908</v>
      </c>
      <c r="O409" s="2" t="s">
        <v>3125</v>
      </c>
      <c r="P409" s="2" t="s">
        <v>2982</v>
      </c>
      <c r="Q409" s="2">
        <v>0</v>
      </c>
      <c r="R409" s="2">
        <v>0</v>
      </c>
      <c r="S409" s="2">
        <v>0</v>
      </c>
      <c r="T409" s="2">
        <v>100</v>
      </c>
      <c r="U409" s="2">
        <v>0</v>
      </c>
      <c r="V409" s="2">
        <v>0</v>
      </c>
      <c r="W409" s="2">
        <v>0</v>
      </c>
      <c r="X409" s="2">
        <v>0</v>
      </c>
      <c r="Y409" s="2">
        <v>0</v>
      </c>
      <c r="Z409" s="2">
        <v>0</v>
      </c>
      <c r="AA409" s="2">
        <v>0</v>
      </c>
      <c r="AB409" s="2" t="s">
        <v>4026</v>
      </c>
      <c r="AC409" s="2"/>
      <c r="AD409" s="2" t="s">
        <v>4032</v>
      </c>
    </row>
    <row r="410" s="1" customFormat="1" ht="11.25" spans="1:30">
      <c r="A410" s="2" t="s">
        <v>866</v>
      </c>
      <c r="B410" s="2" t="s">
        <v>919</v>
      </c>
      <c r="C410" s="2" t="s">
        <v>3023</v>
      </c>
      <c r="D410" s="2" t="s">
        <v>813</v>
      </c>
      <c r="E410" s="2" t="s">
        <v>108</v>
      </c>
      <c r="F410" s="2" t="s">
        <v>168</v>
      </c>
      <c r="G410" s="2"/>
      <c r="H410" s="2" t="s">
        <v>2980</v>
      </c>
      <c r="I410" s="2"/>
      <c r="J410" s="2"/>
      <c r="K410" s="2" t="s">
        <v>971</v>
      </c>
      <c r="L410" s="2" t="s">
        <v>4033</v>
      </c>
      <c r="M410" s="2" t="s">
        <v>2974</v>
      </c>
      <c r="N410" s="2" t="s">
        <v>908</v>
      </c>
      <c r="O410" s="2" t="s">
        <v>3125</v>
      </c>
      <c r="P410" s="2" t="s">
        <v>2982</v>
      </c>
      <c r="Q410" s="2">
        <v>0</v>
      </c>
      <c r="R410" s="2">
        <v>0</v>
      </c>
      <c r="S410" s="2">
        <v>0</v>
      </c>
      <c r="T410" s="2">
        <v>1480</v>
      </c>
      <c r="U410" s="2">
        <v>0</v>
      </c>
      <c r="V410" s="2">
        <v>0</v>
      </c>
      <c r="W410" s="2">
        <v>0</v>
      </c>
      <c r="X410" s="2">
        <v>0</v>
      </c>
      <c r="Y410" s="2">
        <v>0</v>
      </c>
      <c r="Z410" s="2">
        <v>0</v>
      </c>
      <c r="AA410" s="2">
        <v>0</v>
      </c>
      <c r="AB410" s="2" t="s">
        <v>3015</v>
      </c>
      <c r="AC410" s="2"/>
      <c r="AD410" s="2" t="s">
        <v>4034</v>
      </c>
    </row>
    <row r="411" s="1" customFormat="1" ht="11.25" spans="1:30">
      <c r="A411" s="2" t="s">
        <v>867</v>
      </c>
      <c r="B411" s="2" t="s">
        <v>812</v>
      </c>
      <c r="C411" s="2"/>
      <c r="D411" s="2" t="s">
        <v>909</v>
      </c>
      <c r="E411" s="2" t="s">
        <v>108</v>
      </c>
      <c r="F411" s="2" t="s">
        <v>927</v>
      </c>
      <c r="G411" s="2"/>
      <c r="H411" s="2" t="s">
        <v>2980</v>
      </c>
      <c r="I411" s="2"/>
      <c r="J411" s="2"/>
      <c r="K411" s="2" t="s">
        <v>1145</v>
      </c>
      <c r="L411" s="2" t="s">
        <v>4035</v>
      </c>
      <c r="M411" s="2" t="s">
        <v>2974</v>
      </c>
      <c r="N411" s="2" t="s">
        <v>908</v>
      </c>
      <c r="O411" s="2" t="s">
        <v>3125</v>
      </c>
      <c r="P411" s="2" t="s">
        <v>2982</v>
      </c>
      <c r="Q411" s="2">
        <v>0</v>
      </c>
      <c r="R411" s="2">
        <v>0</v>
      </c>
      <c r="S411" s="2">
        <v>0</v>
      </c>
      <c r="T411" s="2">
        <v>80</v>
      </c>
      <c r="U411" s="2">
        <v>0</v>
      </c>
      <c r="V411" s="2">
        <v>0</v>
      </c>
      <c r="W411" s="2">
        <v>0</v>
      </c>
      <c r="X411" s="2">
        <v>0</v>
      </c>
      <c r="Y411" s="2">
        <v>0</v>
      </c>
      <c r="Z411" s="2">
        <v>0</v>
      </c>
      <c r="AA411" s="2">
        <v>0</v>
      </c>
      <c r="AB411" s="2" t="s">
        <v>3219</v>
      </c>
      <c r="AC411" s="2"/>
      <c r="AD411" s="2" t="s">
        <v>4036</v>
      </c>
    </row>
    <row r="412" s="1" customFormat="1" ht="11.25" spans="1:30">
      <c r="A412" s="2" t="s">
        <v>868</v>
      </c>
      <c r="B412" s="2" t="s">
        <v>812</v>
      </c>
      <c r="C412" s="2"/>
      <c r="D412" s="2" t="s">
        <v>909</v>
      </c>
      <c r="E412" s="2" t="s">
        <v>108</v>
      </c>
      <c r="F412" s="2" t="s">
        <v>927</v>
      </c>
      <c r="G412" s="2"/>
      <c r="H412" s="2" t="s">
        <v>2980</v>
      </c>
      <c r="I412" s="2"/>
      <c r="J412" s="2"/>
      <c r="K412" s="2" t="s">
        <v>1152</v>
      </c>
      <c r="L412" s="2" t="s">
        <v>4037</v>
      </c>
      <c r="M412" s="2" t="s">
        <v>2974</v>
      </c>
      <c r="N412" s="2" t="s">
        <v>908</v>
      </c>
      <c r="O412" s="2" t="s">
        <v>3125</v>
      </c>
      <c r="P412" s="2" t="s">
        <v>2982</v>
      </c>
      <c r="Q412" s="2">
        <v>0</v>
      </c>
      <c r="R412" s="2">
        <v>0</v>
      </c>
      <c r="S412" s="2">
        <v>0</v>
      </c>
      <c r="T412" s="2">
        <v>130</v>
      </c>
      <c r="U412" s="2">
        <v>0</v>
      </c>
      <c r="V412" s="2">
        <v>0</v>
      </c>
      <c r="W412" s="2">
        <v>0</v>
      </c>
      <c r="X412" s="2">
        <v>0</v>
      </c>
      <c r="Y412" s="2">
        <v>0</v>
      </c>
      <c r="Z412" s="2">
        <v>0</v>
      </c>
      <c r="AA412" s="2">
        <v>0</v>
      </c>
      <c r="AB412" s="2" t="s">
        <v>3219</v>
      </c>
      <c r="AC412" s="2"/>
      <c r="AD412" s="2" t="s">
        <v>4038</v>
      </c>
    </row>
    <row r="413" s="1" customFormat="1" ht="11.25" spans="1:30">
      <c r="A413" s="2" t="s">
        <v>924</v>
      </c>
      <c r="B413" s="2" t="s">
        <v>2970</v>
      </c>
      <c r="C413" s="2" t="s">
        <v>3023</v>
      </c>
      <c r="D413" s="2" t="s">
        <v>813</v>
      </c>
      <c r="E413" s="2" t="s">
        <v>108</v>
      </c>
      <c r="F413" s="2" t="s">
        <v>927</v>
      </c>
      <c r="G413" s="2"/>
      <c r="H413" s="2" t="s">
        <v>2980</v>
      </c>
      <c r="I413" s="2"/>
      <c r="J413" s="2"/>
      <c r="K413" s="2" t="s">
        <v>925</v>
      </c>
      <c r="L413" s="2" t="s">
        <v>4039</v>
      </c>
      <c r="M413" s="2" t="s">
        <v>2974</v>
      </c>
      <c r="N413" s="2" t="s">
        <v>908</v>
      </c>
      <c r="O413" s="2" t="s">
        <v>2975</v>
      </c>
      <c r="P413" s="2" t="s">
        <v>3655</v>
      </c>
      <c r="Q413" s="2">
        <v>0.09</v>
      </c>
      <c r="R413" s="2">
        <v>0</v>
      </c>
      <c r="S413" s="2">
        <v>0</v>
      </c>
      <c r="T413" s="2">
        <v>0</v>
      </c>
      <c r="U413" s="2">
        <v>0</v>
      </c>
      <c r="V413" s="2">
        <v>0</v>
      </c>
      <c r="W413" s="2">
        <v>0</v>
      </c>
      <c r="X413" s="2">
        <v>0</v>
      </c>
      <c r="Y413" s="2">
        <v>0</v>
      </c>
      <c r="Z413" s="2">
        <v>0</v>
      </c>
      <c r="AA413" s="2">
        <v>0</v>
      </c>
      <c r="AB413" s="2" t="s">
        <v>2993</v>
      </c>
      <c r="AC413" s="2" t="s">
        <v>3169</v>
      </c>
      <c r="AD413" s="2" t="s">
        <v>4040</v>
      </c>
    </row>
    <row r="414" s="1" customFormat="1" ht="11.25" spans="1:30">
      <c r="A414" s="2" t="s">
        <v>303</v>
      </c>
      <c r="B414" s="2" t="s">
        <v>919</v>
      </c>
      <c r="C414" s="2" t="s">
        <v>3004</v>
      </c>
      <c r="D414" s="2" t="s">
        <v>813</v>
      </c>
      <c r="E414" s="2" t="s">
        <v>108</v>
      </c>
      <c r="F414" s="2" t="s">
        <v>927</v>
      </c>
      <c r="G414" s="2"/>
      <c r="H414" s="2" t="s">
        <v>2980</v>
      </c>
      <c r="I414" s="2"/>
      <c r="J414" s="2"/>
      <c r="K414" s="2" t="s">
        <v>1305</v>
      </c>
      <c r="L414" s="2" t="s">
        <v>3755</v>
      </c>
      <c r="M414" s="2" t="s">
        <v>2974</v>
      </c>
      <c r="N414" s="2" t="s">
        <v>908</v>
      </c>
      <c r="O414" s="2" t="s">
        <v>2975</v>
      </c>
      <c r="P414" s="2" t="s">
        <v>4041</v>
      </c>
      <c r="Q414" s="2">
        <v>0</v>
      </c>
      <c r="R414" s="2">
        <v>0</v>
      </c>
      <c r="S414" s="2">
        <v>0</v>
      </c>
      <c r="T414" s="2">
        <v>390</v>
      </c>
      <c r="U414" s="2">
        <v>0</v>
      </c>
      <c r="V414" s="2">
        <v>0</v>
      </c>
      <c r="W414" s="2">
        <v>0</v>
      </c>
      <c r="X414" s="2">
        <v>0</v>
      </c>
      <c r="Y414" s="2">
        <v>0</v>
      </c>
      <c r="Z414" s="2">
        <v>0</v>
      </c>
      <c r="AA414" s="2">
        <v>0</v>
      </c>
      <c r="AB414" s="2" t="s">
        <v>3516</v>
      </c>
      <c r="AC414" s="2" t="s">
        <v>3666</v>
      </c>
      <c r="AD414" s="2" t="s">
        <v>4042</v>
      </c>
    </row>
    <row r="415" s="1" customFormat="1" ht="11.25" spans="1:30">
      <c r="A415" s="2" t="s">
        <v>4043</v>
      </c>
      <c r="B415" s="2" t="s">
        <v>3878</v>
      </c>
      <c r="C415" s="2"/>
      <c r="D415" s="2" t="s">
        <v>813</v>
      </c>
      <c r="E415" s="2" t="s">
        <v>96</v>
      </c>
      <c r="F415" s="2" t="s">
        <v>186</v>
      </c>
      <c r="G415" s="2"/>
      <c r="H415" s="2" t="s">
        <v>2980</v>
      </c>
      <c r="I415" s="2"/>
      <c r="J415" s="2"/>
      <c r="K415" s="2" t="s">
        <v>2074</v>
      </c>
      <c r="L415" s="2" t="s">
        <v>3810</v>
      </c>
      <c r="M415" s="2" t="s">
        <v>2974</v>
      </c>
      <c r="N415" s="2" t="s">
        <v>908</v>
      </c>
      <c r="O415" s="2" t="s">
        <v>2975</v>
      </c>
      <c r="P415" s="2" t="s">
        <v>2982</v>
      </c>
      <c r="Q415" s="2">
        <v>0</v>
      </c>
      <c r="R415" s="2">
        <v>0</v>
      </c>
      <c r="S415" s="2">
        <v>0</v>
      </c>
      <c r="T415" s="2">
        <v>0</v>
      </c>
      <c r="U415" s="2">
        <v>0</v>
      </c>
      <c r="V415" s="2">
        <v>0</v>
      </c>
      <c r="W415" s="2">
        <v>0</v>
      </c>
      <c r="X415" s="2">
        <v>0</v>
      </c>
      <c r="Y415" s="2">
        <v>0</v>
      </c>
      <c r="Z415" s="2">
        <v>0</v>
      </c>
      <c r="AA415" s="2">
        <v>0</v>
      </c>
      <c r="AB415" s="2" t="s">
        <v>3789</v>
      </c>
      <c r="AC415" s="2"/>
      <c r="AD415" s="2" t="s">
        <v>4044</v>
      </c>
    </row>
    <row r="416" s="1" customFormat="1" ht="11.25" spans="1:30">
      <c r="A416" s="2" t="s">
        <v>329</v>
      </c>
      <c r="B416" s="2" t="s">
        <v>2970</v>
      </c>
      <c r="C416" s="2" t="s">
        <v>3023</v>
      </c>
      <c r="D416" s="2" t="s">
        <v>813</v>
      </c>
      <c r="E416" s="2" t="s">
        <v>96</v>
      </c>
      <c r="F416" s="2" t="s">
        <v>115</v>
      </c>
      <c r="G416" s="2"/>
      <c r="H416" s="2" t="s">
        <v>2980</v>
      </c>
      <c r="I416" s="2"/>
      <c r="J416" s="2"/>
      <c r="K416" s="2" t="s">
        <v>328</v>
      </c>
      <c r="L416" s="2" t="s">
        <v>4045</v>
      </c>
      <c r="M416" s="2" t="s">
        <v>2974</v>
      </c>
      <c r="N416" s="2" t="s">
        <v>908</v>
      </c>
      <c r="O416" s="2" t="s">
        <v>2975</v>
      </c>
      <c r="P416" s="2" t="s">
        <v>2982</v>
      </c>
      <c r="Q416" s="2">
        <v>0</v>
      </c>
      <c r="R416" s="2">
        <v>0</v>
      </c>
      <c r="S416" s="2">
        <v>0</v>
      </c>
      <c r="T416" s="2">
        <v>0</v>
      </c>
      <c r="U416" s="2">
        <v>0</v>
      </c>
      <c r="V416" s="2">
        <v>0</v>
      </c>
      <c r="W416" s="2">
        <v>0</v>
      </c>
      <c r="X416" s="2">
        <v>0</v>
      </c>
      <c r="Y416" s="2">
        <v>0</v>
      </c>
      <c r="Z416" s="2">
        <v>0</v>
      </c>
      <c r="AA416" s="2">
        <v>0</v>
      </c>
      <c r="AB416" s="2" t="s">
        <v>4046</v>
      </c>
      <c r="AC416" s="2" t="s">
        <v>3867</v>
      </c>
      <c r="AD416" s="2" t="s">
        <v>3572</v>
      </c>
    </row>
    <row r="417" s="1" customFormat="1" ht="11.25" spans="1:30">
      <c r="A417" s="2" t="s">
        <v>331</v>
      </c>
      <c r="B417" s="2" t="s">
        <v>2970</v>
      </c>
      <c r="C417" s="2" t="s">
        <v>3023</v>
      </c>
      <c r="D417" s="2" t="s">
        <v>813</v>
      </c>
      <c r="E417" s="2" t="s">
        <v>96</v>
      </c>
      <c r="F417" s="2" t="s">
        <v>115</v>
      </c>
      <c r="G417" s="2"/>
      <c r="H417" s="2" t="s">
        <v>2980</v>
      </c>
      <c r="I417" s="2"/>
      <c r="J417" s="2"/>
      <c r="K417" s="2" t="s">
        <v>330</v>
      </c>
      <c r="L417" s="2" t="s">
        <v>4047</v>
      </c>
      <c r="M417" s="2" t="s">
        <v>2974</v>
      </c>
      <c r="N417" s="2" t="s">
        <v>908</v>
      </c>
      <c r="O417" s="2" t="s">
        <v>2975</v>
      </c>
      <c r="P417" s="2" t="s">
        <v>4048</v>
      </c>
      <c r="Q417" s="2">
        <v>0</v>
      </c>
      <c r="R417" s="2">
        <v>0</v>
      </c>
      <c r="S417" s="2">
        <v>0</v>
      </c>
      <c r="T417" s="2">
        <v>0</v>
      </c>
      <c r="U417" s="2">
        <v>0</v>
      </c>
      <c r="V417" s="2">
        <v>0</v>
      </c>
      <c r="W417" s="2">
        <v>0</v>
      </c>
      <c r="X417" s="2">
        <v>0</v>
      </c>
      <c r="Y417" s="2">
        <v>0</v>
      </c>
      <c r="Z417" s="2">
        <v>0</v>
      </c>
      <c r="AA417" s="2">
        <v>0</v>
      </c>
      <c r="AB417" s="2" t="s">
        <v>3269</v>
      </c>
      <c r="AC417" s="2" t="s">
        <v>3705</v>
      </c>
      <c r="AD417" s="2" t="s">
        <v>3835</v>
      </c>
    </row>
    <row r="418" s="1" customFormat="1" ht="11.25" spans="1:30">
      <c r="A418" s="2" t="s">
        <v>333</v>
      </c>
      <c r="B418" s="2" t="s">
        <v>919</v>
      </c>
      <c r="C418" s="2" t="s">
        <v>3023</v>
      </c>
      <c r="D418" s="2" t="s">
        <v>813</v>
      </c>
      <c r="E418" s="2" t="s">
        <v>96</v>
      </c>
      <c r="F418" s="2" t="s">
        <v>115</v>
      </c>
      <c r="G418" s="2"/>
      <c r="H418" s="2" t="s">
        <v>2980</v>
      </c>
      <c r="I418" s="2"/>
      <c r="J418" s="2"/>
      <c r="K418" s="2" t="s">
        <v>332</v>
      </c>
      <c r="L418" s="2" t="s">
        <v>4049</v>
      </c>
      <c r="M418" s="2" t="s">
        <v>2974</v>
      </c>
      <c r="N418" s="2" t="s">
        <v>908</v>
      </c>
      <c r="O418" s="2" t="s">
        <v>2975</v>
      </c>
      <c r="P418" s="2" t="s">
        <v>2982</v>
      </c>
      <c r="Q418" s="2">
        <v>0</v>
      </c>
      <c r="R418" s="2">
        <v>0</v>
      </c>
      <c r="S418" s="2">
        <v>0</v>
      </c>
      <c r="T418" s="2">
        <v>0</v>
      </c>
      <c r="U418" s="2">
        <v>0</v>
      </c>
      <c r="V418" s="2">
        <v>0</v>
      </c>
      <c r="W418" s="2">
        <v>0</v>
      </c>
      <c r="X418" s="2">
        <v>0</v>
      </c>
      <c r="Y418" s="2">
        <v>0</v>
      </c>
      <c r="Z418" s="2">
        <v>0</v>
      </c>
      <c r="AA418" s="2">
        <v>0</v>
      </c>
      <c r="AB418" s="2" t="s">
        <v>2525</v>
      </c>
      <c r="AC418" s="2" t="s">
        <v>3365</v>
      </c>
      <c r="AD418" s="2" t="s">
        <v>3572</v>
      </c>
    </row>
    <row r="419" s="1" customFormat="1" ht="11.25" spans="1:30">
      <c r="A419" s="2" t="s">
        <v>219</v>
      </c>
      <c r="B419" s="2" t="s">
        <v>2970</v>
      </c>
      <c r="C419" s="2" t="s">
        <v>3004</v>
      </c>
      <c r="D419" s="2" t="s">
        <v>813</v>
      </c>
      <c r="E419" s="2" t="s">
        <v>108</v>
      </c>
      <c r="F419" s="2" t="s">
        <v>146</v>
      </c>
      <c r="G419" s="2"/>
      <c r="H419" s="2" t="s">
        <v>2980</v>
      </c>
      <c r="I419" s="2"/>
      <c r="J419" s="2"/>
      <c r="K419" s="2" t="s">
        <v>218</v>
      </c>
      <c r="L419" s="2" t="s">
        <v>3124</v>
      </c>
      <c r="M419" s="2" t="s">
        <v>2974</v>
      </c>
      <c r="N419" s="2" t="s">
        <v>908</v>
      </c>
      <c r="O419" s="2" t="s">
        <v>2975</v>
      </c>
      <c r="P419" s="2" t="s">
        <v>2982</v>
      </c>
      <c r="Q419" s="2">
        <v>0</v>
      </c>
      <c r="R419" s="2">
        <v>0</v>
      </c>
      <c r="S419" s="2">
        <v>0</v>
      </c>
      <c r="T419" s="2">
        <v>0</v>
      </c>
      <c r="U419" s="2">
        <v>0</v>
      </c>
      <c r="V419" s="2">
        <v>0</v>
      </c>
      <c r="W419" s="2">
        <v>0</v>
      </c>
      <c r="X419" s="2">
        <v>0</v>
      </c>
      <c r="Y419" s="2">
        <v>0</v>
      </c>
      <c r="Z419" s="2">
        <v>0</v>
      </c>
      <c r="AA419" s="2">
        <v>0</v>
      </c>
      <c r="AB419" s="2" t="s">
        <v>3169</v>
      </c>
      <c r="AC419" s="2" t="s">
        <v>3169</v>
      </c>
      <c r="AD419" s="2" t="s">
        <v>4050</v>
      </c>
    </row>
    <row r="420" s="1" customFormat="1" ht="11.25" spans="1:30">
      <c r="A420" s="2" t="s">
        <v>4051</v>
      </c>
      <c r="B420" s="2" t="s">
        <v>3878</v>
      </c>
      <c r="C420" s="2"/>
      <c r="D420" s="2" t="s">
        <v>813</v>
      </c>
      <c r="E420" s="2" t="s">
        <v>96</v>
      </c>
      <c r="F420" s="2" t="s">
        <v>186</v>
      </c>
      <c r="G420" s="2"/>
      <c r="H420" s="2" t="s">
        <v>2980</v>
      </c>
      <c r="I420" s="2"/>
      <c r="J420" s="2"/>
      <c r="K420" s="2" t="s">
        <v>2061</v>
      </c>
      <c r="L420" s="2" t="s">
        <v>4052</v>
      </c>
      <c r="M420" s="2" t="s">
        <v>2974</v>
      </c>
      <c r="N420" s="2" t="s">
        <v>908</v>
      </c>
      <c r="O420" s="2" t="s">
        <v>2975</v>
      </c>
      <c r="P420" s="2" t="s">
        <v>2982</v>
      </c>
      <c r="Q420" s="2">
        <v>0</v>
      </c>
      <c r="R420" s="2">
        <v>0</v>
      </c>
      <c r="S420" s="2">
        <v>0</v>
      </c>
      <c r="T420" s="2">
        <v>0</v>
      </c>
      <c r="U420" s="2">
        <v>0</v>
      </c>
      <c r="V420" s="2">
        <v>0</v>
      </c>
      <c r="W420" s="2">
        <v>0</v>
      </c>
      <c r="X420" s="2">
        <v>0</v>
      </c>
      <c r="Y420" s="2">
        <v>0</v>
      </c>
      <c r="Z420" s="2">
        <v>0</v>
      </c>
      <c r="AA420" s="2">
        <v>0</v>
      </c>
      <c r="AB420" s="2" t="s">
        <v>4053</v>
      </c>
      <c r="AC420" s="2"/>
      <c r="AD420" s="2" t="s">
        <v>4054</v>
      </c>
    </row>
    <row r="421" s="1" customFormat="1" ht="11.25" spans="1:30">
      <c r="A421" s="2" t="s">
        <v>753</v>
      </c>
      <c r="B421" s="2" t="s">
        <v>919</v>
      </c>
      <c r="C421" s="2" t="s">
        <v>2979</v>
      </c>
      <c r="D421" s="2" t="s">
        <v>813</v>
      </c>
      <c r="E421" s="2" t="s">
        <v>108</v>
      </c>
      <c r="F421" s="2" t="s">
        <v>146</v>
      </c>
      <c r="G421" s="2"/>
      <c r="H421" s="2" t="s">
        <v>2980</v>
      </c>
      <c r="I421" s="2"/>
      <c r="J421" s="2"/>
      <c r="K421" s="2" t="s">
        <v>752</v>
      </c>
      <c r="L421" s="2" t="s">
        <v>4055</v>
      </c>
      <c r="M421" s="2" t="s">
        <v>2974</v>
      </c>
      <c r="N421" s="2" t="s">
        <v>908</v>
      </c>
      <c r="O421" s="2" t="s">
        <v>2975</v>
      </c>
      <c r="P421" s="2" t="s">
        <v>4056</v>
      </c>
      <c r="Q421" s="2">
        <v>0.22</v>
      </c>
      <c r="R421" s="2">
        <v>0</v>
      </c>
      <c r="S421" s="2">
        <v>0</v>
      </c>
      <c r="T421" s="2">
        <v>720</v>
      </c>
      <c r="U421" s="2">
        <v>0</v>
      </c>
      <c r="V421" s="2">
        <v>0</v>
      </c>
      <c r="W421" s="2">
        <v>0</v>
      </c>
      <c r="X421" s="2">
        <v>0</v>
      </c>
      <c r="Y421" s="2">
        <v>0</v>
      </c>
      <c r="Z421" s="2">
        <v>0</v>
      </c>
      <c r="AA421" s="2">
        <v>0</v>
      </c>
      <c r="AB421" s="2" t="s">
        <v>3360</v>
      </c>
      <c r="AC421" s="2" t="s">
        <v>3219</v>
      </c>
      <c r="AD421" s="2" t="s">
        <v>4057</v>
      </c>
    </row>
    <row r="422" s="1" customFormat="1" ht="11.25" spans="1:30">
      <c r="A422" s="2" t="s">
        <v>575</v>
      </c>
      <c r="B422" s="2" t="s">
        <v>919</v>
      </c>
      <c r="C422" s="2" t="s">
        <v>2979</v>
      </c>
      <c r="D422" s="2" t="s">
        <v>813</v>
      </c>
      <c r="E422" s="2" t="s">
        <v>96</v>
      </c>
      <c r="F422" s="2" t="s">
        <v>127</v>
      </c>
      <c r="G422" s="2"/>
      <c r="H422" s="2" t="s">
        <v>2980</v>
      </c>
      <c r="I422" s="2"/>
      <c r="J422" s="2"/>
      <c r="K422" s="2" t="s">
        <v>574</v>
      </c>
      <c r="L422" s="2" t="s">
        <v>4058</v>
      </c>
      <c r="M422" s="2" t="s">
        <v>2974</v>
      </c>
      <c r="N422" s="2" t="s">
        <v>908</v>
      </c>
      <c r="O422" s="2" t="s">
        <v>2975</v>
      </c>
      <c r="P422" s="2" t="s">
        <v>2982</v>
      </c>
      <c r="Q422" s="2">
        <v>0</v>
      </c>
      <c r="R422" s="2">
        <v>0</v>
      </c>
      <c r="S422" s="2">
        <v>0</v>
      </c>
      <c r="T422" s="2">
        <v>600</v>
      </c>
      <c r="U422" s="2">
        <v>0</v>
      </c>
      <c r="V422" s="2">
        <v>0</v>
      </c>
      <c r="W422" s="2">
        <v>0</v>
      </c>
      <c r="X422" s="2">
        <v>0</v>
      </c>
      <c r="Y422" s="2">
        <v>0</v>
      </c>
      <c r="Z422" s="2">
        <v>0</v>
      </c>
      <c r="AA422" s="2">
        <v>0</v>
      </c>
      <c r="AB422" s="2" t="s">
        <v>3815</v>
      </c>
      <c r="AC422" s="2" t="s">
        <v>3144</v>
      </c>
      <c r="AD422" s="2" t="s">
        <v>4059</v>
      </c>
    </row>
    <row r="423" s="1" customFormat="1" ht="11.25" spans="1:30">
      <c r="A423" s="2" t="s">
        <v>761</v>
      </c>
      <c r="B423" s="2" t="s">
        <v>2970</v>
      </c>
      <c r="C423" s="2" t="s">
        <v>3023</v>
      </c>
      <c r="D423" s="2" t="s">
        <v>813</v>
      </c>
      <c r="E423" s="2" t="s">
        <v>108</v>
      </c>
      <c r="F423" s="2" t="s">
        <v>146</v>
      </c>
      <c r="G423" s="2"/>
      <c r="H423" s="2" t="s">
        <v>2980</v>
      </c>
      <c r="I423" s="2"/>
      <c r="J423" s="2"/>
      <c r="K423" s="2" t="s">
        <v>760</v>
      </c>
      <c r="L423" s="2" t="s">
        <v>4060</v>
      </c>
      <c r="M423" s="2" t="s">
        <v>2974</v>
      </c>
      <c r="N423" s="2" t="s">
        <v>908</v>
      </c>
      <c r="O423" s="2" t="s">
        <v>2975</v>
      </c>
      <c r="P423" s="2" t="s">
        <v>4061</v>
      </c>
      <c r="Q423" s="2">
        <v>1.08</v>
      </c>
      <c r="R423" s="2">
        <v>0</v>
      </c>
      <c r="S423" s="2">
        <v>0</v>
      </c>
      <c r="T423" s="2">
        <v>0</v>
      </c>
      <c r="U423" s="2">
        <v>0</v>
      </c>
      <c r="V423" s="2">
        <v>0</v>
      </c>
      <c r="W423" s="2">
        <v>0</v>
      </c>
      <c r="X423" s="2">
        <v>0</v>
      </c>
      <c r="Y423" s="2">
        <v>0</v>
      </c>
      <c r="Z423" s="2">
        <v>0</v>
      </c>
      <c r="AA423" s="2">
        <v>0</v>
      </c>
      <c r="AB423" s="2" t="s">
        <v>2993</v>
      </c>
      <c r="AC423" s="2" t="s">
        <v>3054</v>
      </c>
      <c r="AD423" s="2" t="s">
        <v>3776</v>
      </c>
    </row>
    <row r="424" s="1" customFormat="1" ht="11.25" spans="1:30">
      <c r="A424" s="2" t="s">
        <v>576</v>
      </c>
      <c r="B424" s="2" t="s">
        <v>919</v>
      </c>
      <c r="C424" s="2" t="s">
        <v>3008</v>
      </c>
      <c r="D424" s="2" t="s">
        <v>813</v>
      </c>
      <c r="E424" s="2" t="s">
        <v>96</v>
      </c>
      <c r="F424" s="2" t="s">
        <v>127</v>
      </c>
      <c r="G424" s="2"/>
      <c r="H424" s="2" t="s">
        <v>2980</v>
      </c>
      <c r="I424" s="2"/>
      <c r="J424" s="2"/>
      <c r="K424" s="2" t="s">
        <v>574</v>
      </c>
      <c r="L424" s="2" t="s">
        <v>4058</v>
      </c>
      <c r="M424" s="2" t="s">
        <v>2974</v>
      </c>
      <c r="N424" s="2" t="s">
        <v>908</v>
      </c>
      <c r="O424" s="2" t="s">
        <v>2975</v>
      </c>
      <c r="P424" s="2" t="s">
        <v>4062</v>
      </c>
      <c r="Q424" s="2">
        <v>6.72</v>
      </c>
      <c r="R424" s="2">
        <v>0</v>
      </c>
      <c r="S424" s="2">
        <v>0</v>
      </c>
      <c r="T424" s="2">
        <v>100</v>
      </c>
      <c r="U424" s="2">
        <v>0</v>
      </c>
      <c r="V424" s="2">
        <v>0</v>
      </c>
      <c r="W424" s="2">
        <v>0</v>
      </c>
      <c r="X424" s="2">
        <v>0</v>
      </c>
      <c r="Y424" s="2">
        <v>4</v>
      </c>
      <c r="Z424" s="2">
        <v>0</v>
      </c>
      <c r="AA424" s="2">
        <v>-4</v>
      </c>
      <c r="AB424" s="2" t="s">
        <v>3011</v>
      </c>
      <c r="AC424" s="2" t="s">
        <v>3011</v>
      </c>
      <c r="AD424" s="2" t="s">
        <v>4063</v>
      </c>
    </row>
    <row r="425" s="1" customFormat="1" ht="11.25" spans="1:30">
      <c r="A425" s="2" t="s">
        <v>779</v>
      </c>
      <c r="B425" s="2" t="s">
        <v>919</v>
      </c>
      <c r="C425" s="2" t="s">
        <v>3004</v>
      </c>
      <c r="D425" s="2" t="s">
        <v>813</v>
      </c>
      <c r="E425" s="2" t="s">
        <v>108</v>
      </c>
      <c r="F425" s="2" t="s">
        <v>146</v>
      </c>
      <c r="G425" s="2"/>
      <c r="H425" s="2" t="s">
        <v>2980</v>
      </c>
      <c r="I425" s="2"/>
      <c r="J425" s="2"/>
      <c r="K425" s="2" t="s">
        <v>778</v>
      </c>
      <c r="L425" s="2" t="s">
        <v>4064</v>
      </c>
      <c r="M425" s="2" t="s">
        <v>2974</v>
      </c>
      <c r="N425" s="2" t="s">
        <v>908</v>
      </c>
      <c r="O425" s="2" t="s">
        <v>2975</v>
      </c>
      <c r="P425" s="2" t="s">
        <v>3646</v>
      </c>
      <c r="Q425" s="2">
        <v>0</v>
      </c>
      <c r="R425" s="2">
        <v>0</v>
      </c>
      <c r="S425" s="2">
        <v>0</v>
      </c>
      <c r="T425" s="2">
        <v>0</v>
      </c>
      <c r="U425" s="2">
        <v>0</v>
      </c>
      <c r="V425" s="2">
        <v>0</v>
      </c>
      <c r="W425" s="2">
        <v>0</v>
      </c>
      <c r="X425" s="2">
        <v>0</v>
      </c>
      <c r="Y425" s="2">
        <v>0</v>
      </c>
      <c r="Z425" s="2">
        <v>0</v>
      </c>
      <c r="AA425" s="2">
        <v>0</v>
      </c>
      <c r="AB425" s="2" t="s">
        <v>3065</v>
      </c>
      <c r="AC425" s="2" t="s">
        <v>1345</v>
      </c>
      <c r="AD425" s="2" t="s">
        <v>4065</v>
      </c>
    </row>
    <row r="426" s="1" customFormat="1" ht="11.25" spans="1:30">
      <c r="A426" s="2" t="s">
        <v>1813</v>
      </c>
      <c r="B426" s="2" t="s">
        <v>2970</v>
      </c>
      <c r="C426" s="2" t="s">
        <v>3023</v>
      </c>
      <c r="D426" s="2" t="s">
        <v>813</v>
      </c>
      <c r="E426" s="2" t="s">
        <v>96</v>
      </c>
      <c r="F426" s="2" t="s">
        <v>115</v>
      </c>
      <c r="G426" s="2"/>
      <c r="H426" s="2" t="s">
        <v>2980</v>
      </c>
      <c r="I426" s="2"/>
      <c r="J426" s="2"/>
      <c r="K426" s="2" t="s">
        <v>434</v>
      </c>
      <c r="L426" s="2" t="s">
        <v>3088</v>
      </c>
      <c r="M426" s="2" t="s">
        <v>2974</v>
      </c>
      <c r="N426" s="2" t="s">
        <v>908</v>
      </c>
      <c r="O426" s="2" t="s">
        <v>2975</v>
      </c>
      <c r="P426" s="2" t="s">
        <v>2982</v>
      </c>
      <c r="Q426" s="2">
        <v>0</v>
      </c>
      <c r="R426" s="2">
        <v>0</v>
      </c>
      <c r="S426" s="2">
        <v>0</v>
      </c>
      <c r="T426" s="2">
        <v>0</v>
      </c>
      <c r="U426" s="2">
        <v>0</v>
      </c>
      <c r="V426" s="2">
        <v>0</v>
      </c>
      <c r="W426" s="2">
        <v>0</v>
      </c>
      <c r="X426" s="2">
        <v>0</v>
      </c>
      <c r="Y426" s="2">
        <v>0</v>
      </c>
      <c r="Z426" s="2">
        <v>0</v>
      </c>
      <c r="AA426" s="2">
        <v>0</v>
      </c>
      <c r="AB426" s="2" t="s">
        <v>3577</v>
      </c>
      <c r="AC426" s="2" t="s">
        <v>2869</v>
      </c>
      <c r="AD426" s="2" t="s">
        <v>3090</v>
      </c>
    </row>
    <row r="427" s="1" customFormat="1" ht="11.25" spans="1:30">
      <c r="A427" s="2" t="s">
        <v>578</v>
      </c>
      <c r="B427" s="2" t="s">
        <v>919</v>
      </c>
      <c r="C427" s="2" t="s">
        <v>2979</v>
      </c>
      <c r="D427" s="2" t="s">
        <v>813</v>
      </c>
      <c r="E427" s="2" t="s">
        <v>96</v>
      </c>
      <c r="F427" s="2" t="s">
        <v>127</v>
      </c>
      <c r="G427" s="2"/>
      <c r="H427" s="2" t="s">
        <v>2980</v>
      </c>
      <c r="I427" s="2"/>
      <c r="J427" s="2"/>
      <c r="K427" s="2" t="s">
        <v>577</v>
      </c>
      <c r="L427" s="2" t="s">
        <v>4066</v>
      </c>
      <c r="M427" s="2" t="s">
        <v>2974</v>
      </c>
      <c r="N427" s="2" t="s">
        <v>908</v>
      </c>
      <c r="O427" s="2" t="s">
        <v>2975</v>
      </c>
      <c r="P427" s="2" t="s">
        <v>4067</v>
      </c>
      <c r="Q427" s="2">
        <v>0.23</v>
      </c>
      <c r="R427" s="2">
        <v>0</v>
      </c>
      <c r="S427" s="2">
        <v>0</v>
      </c>
      <c r="T427" s="2">
        <v>700</v>
      </c>
      <c r="U427" s="2">
        <v>0</v>
      </c>
      <c r="V427" s="2">
        <v>0</v>
      </c>
      <c r="W427" s="2">
        <v>0</v>
      </c>
      <c r="X427" s="2">
        <v>0</v>
      </c>
      <c r="Y427" s="2">
        <v>9</v>
      </c>
      <c r="Z427" s="2">
        <v>0</v>
      </c>
      <c r="AA427" s="2">
        <v>-9</v>
      </c>
      <c r="AB427" s="2" t="s">
        <v>3168</v>
      </c>
      <c r="AC427" s="2" t="s">
        <v>3412</v>
      </c>
      <c r="AD427" s="2" t="s">
        <v>4059</v>
      </c>
    </row>
    <row r="428" s="1" customFormat="1" ht="11.25" spans="1:30">
      <c r="A428" s="2" t="s">
        <v>346</v>
      </c>
      <c r="B428" s="2" t="s">
        <v>919</v>
      </c>
      <c r="C428" s="2" t="s">
        <v>3008</v>
      </c>
      <c r="D428" s="2" t="s">
        <v>813</v>
      </c>
      <c r="E428" s="2" t="s">
        <v>108</v>
      </c>
      <c r="F428" s="2" t="s">
        <v>927</v>
      </c>
      <c r="G428" s="2"/>
      <c r="H428" s="2" t="s">
        <v>2980</v>
      </c>
      <c r="I428" s="2"/>
      <c r="J428" s="2"/>
      <c r="K428" s="2" t="s">
        <v>1526</v>
      </c>
      <c r="L428" s="2" t="s">
        <v>3738</v>
      </c>
      <c r="M428" s="2" t="s">
        <v>2974</v>
      </c>
      <c r="N428" s="2" t="s">
        <v>908</v>
      </c>
      <c r="O428" s="2" t="s">
        <v>2975</v>
      </c>
      <c r="P428" s="2" t="s">
        <v>2982</v>
      </c>
      <c r="Q428" s="2">
        <v>0</v>
      </c>
      <c r="R428" s="2">
        <v>0</v>
      </c>
      <c r="S428" s="2">
        <v>0</v>
      </c>
      <c r="T428" s="2">
        <v>400</v>
      </c>
      <c r="U428" s="2">
        <v>0</v>
      </c>
      <c r="V428" s="2">
        <v>0</v>
      </c>
      <c r="W428" s="2">
        <v>0</v>
      </c>
      <c r="X428" s="2">
        <v>0</v>
      </c>
      <c r="Y428" s="2">
        <v>0</v>
      </c>
      <c r="Z428" s="2">
        <v>0</v>
      </c>
      <c r="AA428" s="2">
        <v>0</v>
      </c>
      <c r="AB428" s="2" t="s">
        <v>1168</v>
      </c>
      <c r="AC428" s="2" t="s">
        <v>3361</v>
      </c>
      <c r="AD428" s="2" t="s">
        <v>4068</v>
      </c>
    </row>
    <row r="429" s="1" customFormat="1" ht="11.25" spans="1:30">
      <c r="A429" s="2" t="s">
        <v>117</v>
      </c>
      <c r="B429" s="2" t="s">
        <v>919</v>
      </c>
      <c r="C429" s="2" t="s">
        <v>3023</v>
      </c>
      <c r="D429" s="2" t="s">
        <v>813</v>
      </c>
      <c r="E429" s="2" t="s">
        <v>96</v>
      </c>
      <c r="F429" s="2" t="s">
        <v>115</v>
      </c>
      <c r="G429" s="2"/>
      <c r="H429" s="2" t="s">
        <v>2980</v>
      </c>
      <c r="I429" s="2"/>
      <c r="J429" s="2"/>
      <c r="K429" s="2" t="s">
        <v>116</v>
      </c>
      <c r="L429" s="2" t="s">
        <v>3722</v>
      </c>
      <c r="M429" s="2" t="s">
        <v>2974</v>
      </c>
      <c r="N429" s="2" t="s">
        <v>908</v>
      </c>
      <c r="O429" s="2" t="s">
        <v>2975</v>
      </c>
      <c r="P429" s="2" t="s">
        <v>4069</v>
      </c>
      <c r="Q429" s="2">
        <v>0.61</v>
      </c>
      <c r="R429" s="2">
        <v>0</v>
      </c>
      <c r="S429" s="2">
        <v>0</v>
      </c>
      <c r="T429" s="2">
        <v>0</v>
      </c>
      <c r="U429" s="2">
        <v>0</v>
      </c>
      <c r="V429" s="2">
        <v>0</v>
      </c>
      <c r="W429" s="2">
        <v>0</v>
      </c>
      <c r="X429" s="2">
        <v>0</v>
      </c>
      <c r="Y429" s="2">
        <v>0</v>
      </c>
      <c r="Z429" s="2">
        <v>0</v>
      </c>
      <c r="AA429" s="2">
        <v>0</v>
      </c>
      <c r="AB429" s="2" t="s">
        <v>3168</v>
      </c>
      <c r="AC429" s="2" t="s">
        <v>3054</v>
      </c>
      <c r="AD429" s="2" t="s">
        <v>4070</v>
      </c>
    </row>
    <row r="430" s="1" customFormat="1" ht="11.25" spans="1:30">
      <c r="A430" s="2" t="s">
        <v>4071</v>
      </c>
      <c r="B430" s="2" t="s">
        <v>3878</v>
      </c>
      <c r="C430" s="2"/>
      <c r="D430" s="2" t="s">
        <v>813</v>
      </c>
      <c r="E430" s="2" t="s">
        <v>96</v>
      </c>
      <c r="F430" s="2" t="s">
        <v>103</v>
      </c>
      <c r="G430" s="2"/>
      <c r="H430" s="2" t="s">
        <v>2980</v>
      </c>
      <c r="I430" s="2"/>
      <c r="J430" s="2"/>
      <c r="K430" s="2" t="s">
        <v>4072</v>
      </c>
      <c r="L430" s="2" t="s">
        <v>4073</v>
      </c>
      <c r="M430" s="2" t="s">
        <v>2974</v>
      </c>
      <c r="N430" s="2" t="s">
        <v>908</v>
      </c>
      <c r="O430" s="2" t="s">
        <v>2975</v>
      </c>
      <c r="P430" s="2" t="s">
        <v>2982</v>
      </c>
      <c r="Q430" s="2">
        <v>0</v>
      </c>
      <c r="R430" s="2">
        <v>0</v>
      </c>
      <c r="S430" s="2">
        <v>0</v>
      </c>
      <c r="T430" s="2">
        <v>0</v>
      </c>
      <c r="U430" s="2">
        <v>0</v>
      </c>
      <c r="V430" s="2">
        <v>0</v>
      </c>
      <c r="W430" s="2">
        <v>0</v>
      </c>
      <c r="X430" s="2">
        <v>0</v>
      </c>
      <c r="Y430" s="2">
        <v>0</v>
      </c>
      <c r="Z430" s="2">
        <v>0</v>
      </c>
      <c r="AA430" s="2">
        <v>0</v>
      </c>
      <c r="AB430" s="2" t="s">
        <v>3577</v>
      </c>
      <c r="AC430" s="2" t="s">
        <v>3334</v>
      </c>
      <c r="AD430" s="2" t="s">
        <v>4074</v>
      </c>
    </row>
    <row r="431" s="1" customFormat="1" ht="11.25" spans="1:30">
      <c r="A431" s="2" t="s">
        <v>4075</v>
      </c>
      <c r="B431" s="2" t="s">
        <v>3878</v>
      </c>
      <c r="C431" s="2"/>
      <c r="D431" s="2" t="s">
        <v>813</v>
      </c>
      <c r="E431" s="2" t="s">
        <v>96</v>
      </c>
      <c r="F431" s="2" t="s">
        <v>103</v>
      </c>
      <c r="G431" s="2"/>
      <c r="H431" s="2" t="s">
        <v>2980</v>
      </c>
      <c r="I431" s="2"/>
      <c r="J431" s="2"/>
      <c r="K431" s="2" t="s">
        <v>4076</v>
      </c>
      <c r="L431" s="2" t="s">
        <v>4077</v>
      </c>
      <c r="M431" s="2" t="s">
        <v>2974</v>
      </c>
      <c r="N431" s="2" t="s">
        <v>908</v>
      </c>
      <c r="O431" s="2" t="s">
        <v>2975</v>
      </c>
      <c r="P431" s="2" t="s">
        <v>2982</v>
      </c>
      <c r="Q431" s="2">
        <v>0</v>
      </c>
      <c r="R431" s="2">
        <v>0</v>
      </c>
      <c r="S431" s="2">
        <v>0</v>
      </c>
      <c r="T431" s="2">
        <v>0</v>
      </c>
      <c r="U431" s="2">
        <v>0</v>
      </c>
      <c r="V431" s="2">
        <v>0</v>
      </c>
      <c r="W431" s="2">
        <v>0</v>
      </c>
      <c r="X431" s="2">
        <v>0</v>
      </c>
      <c r="Y431" s="2">
        <v>0</v>
      </c>
      <c r="Z431" s="2">
        <v>0</v>
      </c>
      <c r="AA431" s="2">
        <v>0</v>
      </c>
      <c r="AB431" s="2" t="s">
        <v>4078</v>
      </c>
      <c r="AC431" s="2" t="s">
        <v>4078</v>
      </c>
      <c r="AD431" s="2" t="s">
        <v>4079</v>
      </c>
    </row>
    <row r="432" s="1" customFormat="1" ht="11.25" spans="1:30">
      <c r="A432" s="2" t="s">
        <v>1880</v>
      </c>
      <c r="B432" s="2" t="s">
        <v>2970</v>
      </c>
      <c r="C432" s="2" t="s">
        <v>3023</v>
      </c>
      <c r="D432" s="2" t="s">
        <v>813</v>
      </c>
      <c r="E432" s="2" t="s">
        <v>96</v>
      </c>
      <c r="F432" s="2" t="s">
        <v>186</v>
      </c>
      <c r="G432" s="2"/>
      <c r="H432" s="2" t="s">
        <v>2980</v>
      </c>
      <c r="I432" s="2"/>
      <c r="J432" s="2"/>
      <c r="K432" s="2" t="s">
        <v>398</v>
      </c>
      <c r="L432" s="2" t="s">
        <v>3105</v>
      </c>
      <c r="M432" s="2" t="s">
        <v>2974</v>
      </c>
      <c r="N432" s="2" t="s">
        <v>908</v>
      </c>
      <c r="O432" s="2" t="s">
        <v>2975</v>
      </c>
      <c r="P432" s="2" t="s">
        <v>2982</v>
      </c>
      <c r="Q432" s="2">
        <v>0</v>
      </c>
      <c r="R432" s="2">
        <v>0</v>
      </c>
      <c r="S432" s="2">
        <v>0</v>
      </c>
      <c r="T432" s="2">
        <v>0</v>
      </c>
      <c r="U432" s="2">
        <v>0</v>
      </c>
      <c r="V432" s="2">
        <v>0</v>
      </c>
      <c r="W432" s="2">
        <v>0</v>
      </c>
      <c r="X432" s="2">
        <v>0</v>
      </c>
      <c r="Y432" s="2">
        <v>0</v>
      </c>
      <c r="Z432" s="2">
        <v>0</v>
      </c>
      <c r="AA432" s="2">
        <v>0</v>
      </c>
      <c r="AB432" s="2" t="s">
        <v>4080</v>
      </c>
      <c r="AC432" s="2" t="s">
        <v>4081</v>
      </c>
      <c r="AD432" s="2" t="s">
        <v>4082</v>
      </c>
    </row>
    <row r="433" s="1" customFormat="1" ht="11.25" spans="1:30">
      <c r="A433" s="2" t="s">
        <v>4083</v>
      </c>
      <c r="B433" s="2" t="s">
        <v>3878</v>
      </c>
      <c r="C433" s="2"/>
      <c r="D433" s="2" t="s">
        <v>813</v>
      </c>
      <c r="E433" s="2" t="s">
        <v>96</v>
      </c>
      <c r="F433" s="2" t="s">
        <v>115</v>
      </c>
      <c r="G433" s="2"/>
      <c r="H433" s="2" t="s">
        <v>2980</v>
      </c>
      <c r="I433" s="2"/>
      <c r="J433" s="2"/>
      <c r="K433" s="2" t="s">
        <v>514</v>
      </c>
      <c r="L433" s="2" t="s">
        <v>3224</v>
      </c>
      <c r="M433" s="2" t="s">
        <v>2974</v>
      </c>
      <c r="N433" s="2" t="s">
        <v>908</v>
      </c>
      <c r="O433" s="2" t="s">
        <v>2975</v>
      </c>
      <c r="P433" s="2" t="s">
        <v>2982</v>
      </c>
      <c r="Q433" s="2">
        <v>0</v>
      </c>
      <c r="R433" s="2">
        <v>0</v>
      </c>
      <c r="S433" s="2">
        <v>0</v>
      </c>
      <c r="T433" s="2">
        <v>0</v>
      </c>
      <c r="U433" s="2">
        <v>0</v>
      </c>
      <c r="V433" s="2">
        <v>0</v>
      </c>
      <c r="W433" s="2">
        <v>0</v>
      </c>
      <c r="X433" s="2">
        <v>0</v>
      </c>
      <c r="Y433" s="2">
        <v>0</v>
      </c>
      <c r="Z433" s="2">
        <v>0</v>
      </c>
      <c r="AA433" s="2">
        <v>0</v>
      </c>
      <c r="AB433" s="2" t="s">
        <v>4084</v>
      </c>
      <c r="AC433" s="2" t="s">
        <v>4085</v>
      </c>
      <c r="AD433" s="2" t="s">
        <v>3226</v>
      </c>
    </row>
    <row r="434" s="1" customFormat="1" ht="11.25" spans="1:30">
      <c r="A434" s="2" t="s">
        <v>362</v>
      </c>
      <c r="B434" s="2" t="s">
        <v>812</v>
      </c>
      <c r="C434" s="2" t="s">
        <v>3023</v>
      </c>
      <c r="D434" s="2" t="s">
        <v>813</v>
      </c>
      <c r="E434" s="2" t="s">
        <v>108</v>
      </c>
      <c r="F434" s="2" t="s">
        <v>109</v>
      </c>
      <c r="G434" s="2"/>
      <c r="H434" s="2" t="s">
        <v>2980</v>
      </c>
      <c r="I434" s="2"/>
      <c r="J434" s="2"/>
      <c r="K434" s="2" t="s">
        <v>356</v>
      </c>
      <c r="L434" s="2" t="s">
        <v>3350</v>
      </c>
      <c r="M434" s="2" t="s">
        <v>2974</v>
      </c>
      <c r="N434" s="2" t="s">
        <v>908</v>
      </c>
      <c r="O434" s="2" t="s">
        <v>2975</v>
      </c>
      <c r="P434" s="2" t="s">
        <v>2982</v>
      </c>
      <c r="Q434" s="2">
        <v>0</v>
      </c>
      <c r="R434" s="2">
        <v>0</v>
      </c>
      <c r="S434" s="2">
        <v>0</v>
      </c>
      <c r="T434" s="2">
        <v>0</v>
      </c>
      <c r="U434" s="2">
        <v>0</v>
      </c>
      <c r="V434" s="2">
        <v>0</v>
      </c>
      <c r="W434" s="2">
        <v>0</v>
      </c>
      <c r="X434" s="2">
        <v>0</v>
      </c>
      <c r="Y434" s="2">
        <v>0</v>
      </c>
      <c r="Z434" s="2">
        <v>0</v>
      </c>
      <c r="AA434" s="2">
        <v>0</v>
      </c>
      <c r="AB434" s="2" t="s">
        <v>4086</v>
      </c>
      <c r="AC434" s="2" t="s">
        <v>4087</v>
      </c>
      <c r="AD434" s="2" t="s">
        <v>4088</v>
      </c>
    </row>
    <row r="435" s="1" customFormat="1" ht="11.25" spans="1:30">
      <c r="A435" s="2" t="s">
        <v>306</v>
      </c>
      <c r="B435" s="2" t="s">
        <v>919</v>
      </c>
      <c r="C435" s="2" t="s">
        <v>2979</v>
      </c>
      <c r="D435" s="2" t="s">
        <v>813</v>
      </c>
      <c r="E435" s="2" t="s">
        <v>108</v>
      </c>
      <c r="F435" s="2" t="s">
        <v>109</v>
      </c>
      <c r="G435" s="2"/>
      <c r="H435" s="2" t="s">
        <v>2980</v>
      </c>
      <c r="I435" s="2"/>
      <c r="J435" s="2"/>
      <c r="K435" s="2" t="s">
        <v>166</v>
      </c>
      <c r="L435" s="2" t="s">
        <v>3221</v>
      </c>
      <c r="M435" s="2" t="s">
        <v>2974</v>
      </c>
      <c r="N435" s="2" t="s">
        <v>908</v>
      </c>
      <c r="O435" s="2" t="s">
        <v>2975</v>
      </c>
      <c r="P435" s="2" t="s">
        <v>3486</v>
      </c>
      <c r="Q435" s="2">
        <v>0</v>
      </c>
      <c r="R435" s="2">
        <v>0</v>
      </c>
      <c r="S435" s="2">
        <v>0</v>
      </c>
      <c r="T435" s="2">
        <v>0</v>
      </c>
      <c r="U435" s="2">
        <v>0</v>
      </c>
      <c r="V435" s="2">
        <v>0</v>
      </c>
      <c r="W435" s="2">
        <v>0</v>
      </c>
      <c r="X435" s="2">
        <v>0</v>
      </c>
      <c r="Y435" s="2">
        <v>0</v>
      </c>
      <c r="Z435" s="2">
        <v>0</v>
      </c>
      <c r="AA435" s="2">
        <v>0</v>
      </c>
      <c r="AB435" s="2" t="s">
        <v>3345</v>
      </c>
      <c r="AC435" s="2" t="s">
        <v>1345</v>
      </c>
      <c r="AD435" s="2" t="s">
        <v>4089</v>
      </c>
    </row>
    <row r="436" s="1" customFormat="1" ht="11.25" spans="1:30">
      <c r="A436" s="2" t="s">
        <v>4090</v>
      </c>
      <c r="B436" s="2" t="s">
        <v>3878</v>
      </c>
      <c r="C436" s="2" t="s">
        <v>3023</v>
      </c>
      <c r="D436" s="2" t="s">
        <v>813</v>
      </c>
      <c r="E436" s="2" t="s">
        <v>96</v>
      </c>
      <c r="F436" s="2" t="s">
        <v>115</v>
      </c>
      <c r="G436" s="2"/>
      <c r="H436" s="2" t="s">
        <v>2980</v>
      </c>
      <c r="I436" s="2"/>
      <c r="J436" s="2"/>
      <c r="K436" s="2" t="s">
        <v>663</v>
      </c>
      <c r="L436" s="2" t="s">
        <v>3121</v>
      </c>
      <c r="M436" s="2" t="s">
        <v>2974</v>
      </c>
      <c r="N436" s="2" t="s">
        <v>908</v>
      </c>
      <c r="O436" s="2" t="s">
        <v>2975</v>
      </c>
      <c r="P436" s="2" t="s">
        <v>2982</v>
      </c>
      <c r="Q436" s="2">
        <v>0</v>
      </c>
      <c r="R436" s="2">
        <v>0</v>
      </c>
      <c r="S436" s="2">
        <v>0</v>
      </c>
      <c r="T436" s="2">
        <v>0</v>
      </c>
      <c r="U436" s="2">
        <v>0</v>
      </c>
      <c r="V436" s="2">
        <v>0</v>
      </c>
      <c r="W436" s="2">
        <v>0</v>
      </c>
      <c r="X436" s="2">
        <v>0</v>
      </c>
      <c r="Y436" s="2">
        <v>0</v>
      </c>
      <c r="Z436" s="2">
        <v>0</v>
      </c>
      <c r="AA436" s="2">
        <v>0</v>
      </c>
      <c r="AB436" s="2" t="s">
        <v>3870</v>
      </c>
      <c r="AC436" s="2" t="s">
        <v>4091</v>
      </c>
      <c r="AD436" s="2" t="s">
        <v>3123</v>
      </c>
    </row>
    <row r="437" s="1" customFormat="1" ht="11.25" spans="1:30">
      <c r="A437" s="2" t="s">
        <v>4092</v>
      </c>
      <c r="B437" s="2" t="s">
        <v>3878</v>
      </c>
      <c r="C437" s="2"/>
      <c r="D437" s="2" t="s">
        <v>813</v>
      </c>
      <c r="E437" s="2" t="s">
        <v>96</v>
      </c>
      <c r="F437" s="2" t="s">
        <v>115</v>
      </c>
      <c r="G437" s="2"/>
      <c r="H437" s="2" t="s">
        <v>2980</v>
      </c>
      <c r="I437" s="2"/>
      <c r="J437" s="2"/>
      <c r="K437" s="2" t="s">
        <v>150</v>
      </c>
      <c r="L437" s="2" t="s">
        <v>3049</v>
      </c>
      <c r="M437" s="2" t="s">
        <v>2974</v>
      </c>
      <c r="N437" s="2" t="s">
        <v>908</v>
      </c>
      <c r="O437" s="2" t="s">
        <v>2975</v>
      </c>
      <c r="P437" s="2" t="s">
        <v>2982</v>
      </c>
      <c r="Q437" s="2">
        <v>0</v>
      </c>
      <c r="R437" s="2">
        <v>0</v>
      </c>
      <c r="S437" s="2">
        <v>0</v>
      </c>
      <c r="T437" s="2">
        <v>0</v>
      </c>
      <c r="U437" s="2">
        <v>0</v>
      </c>
      <c r="V437" s="2">
        <v>0</v>
      </c>
      <c r="W437" s="2">
        <v>0</v>
      </c>
      <c r="X437" s="2">
        <v>0</v>
      </c>
      <c r="Y437" s="2">
        <v>0</v>
      </c>
      <c r="Z437" s="2">
        <v>0</v>
      </c>
      <c r="AA437" s="2">
        <v>0</v>
      </c>
      <c r="AB437" s="2" t="s">
        <v>4093</v>
      </c>
      <c r="AC437" s="2" t="s">
        <v>4085</v>
      </c>
      <c r="AD437" s="2" t="s">
        <v>3051</v>
      </c>
    </row>
    <row r="438" s="1" customFormat="1" ht="11.25" spans="1:30">
      <c r="A438" s="2" t="s">
        <v>385</v>
      </c>
      <c r="B438" s="2" t="s">
        <v>919</v>
      </c>
      <c r="C438" s="2" t="s">
        <v>3023</v>
      </c>
      <c r="D438" s="2" t="s">
        <v>813</v>
      </c>
      <c r="E438" s="2" t="s">
        <v>96</v>
      </c>
      <c r="F438" s="2" t="s">
        <v>115</v>
      </c>
      <c r="G438" s="2"/>
      <c r="H438" s="2" t="s">
        <v>2980</v>
      </c>
      <c r="I438" s="2"/>
      <c r="J438" s="2"/>
      <c r="K438" s="2" t="s">
        <v>384</v>
      </c>
      <c r="L438" s="2" t="s">
        <v>4094</v>
      </c>
      <c r="M438" s="2" t="s">
        <v>2974</v>
      </c>
      <c r="N438" s="2" t="s">
        <v>908</v>
      </c>
      <c r="O438" s="2" t="s">
        <v>2975</v>
      </c>
      <c r="P438" s="2" t="s">
        <v>4095</v>
      </c>
      <c r="Q438" s="2">
        <v>2.88</v>
      </c>
      <c r="R438" s="2">
        <v>0</v>
      </c>
      <c r="S438" s="2">
        <v>0</v>
      </c>
      <c r="T438" s="2">
        <v>300</v>
      </c>
      <c r="U438" s="2">
        <v>0</v>
      </c>
      <c r="V438" s="2">
        <v>0</v>
      </c>
      <c r="W438" s="2">
        <v>0</v>
      </c>
      <c r="X438" s="2">
        <v>0</v>
      </c>
      <c r="Y438" s="2">
        <v>11</v>
      </c>
      <c r="Z438" s="2">
        <v>0</v>
      </c>
      <c r="AA438" s="2">
        <v>-11</v>
      </c>
      <c r="AB438" s="2" t="s">
        <v>3360</v>
      </c>
      <c r="AC438" s="2" t="s">
        <v>1147</v>
      </c>
      <c r="AD438" s="2" t="s">
        <v>4096</v>
      </c>
    </row>
    <row r="439" s="1" customFormat="1" ht="11.25" spans="1:30">
      <c r="A439" s="2" t="s">
        <v>314</v>
      </c>
      <c r="B439" s="2" t="s">
        <v>919</v>
      </c>
      <c r="C439" s="2" t="s">
        <v>2979</v>
      </c>
      <c r="D439" s="2" t="s">
        <v>813</v>
      </c>
      <c r="E439" s="2" t="s">
        <v>108</v>
      </c>
      <c r="F439" s="2" t="s">
        <v>109</v>
      </c>
      <c r="G439" s="2"/>
      <c r="H439" s="2" t="s">
        <v>2980</v>
      </c>
      <c r="I439" s="2"/>
      <c r="J439" s="2"/>
      <c r="K439" s="2" t="s">
        <v>312</v>
      </c>
      <c r="L439" s="2" t="s">
        <v>3804</v>
      </c>
      <c r="M439" s="2" t="s">
        <v>2974</v>
      </c>
      <c r="N439" s="2" t="s">
        <v>908</v>
      </c>
      <c r="O439" s="2" t="s">
        <v>2975</v>
      </c>
      <c r="P439" s="2" t="s">
        <v>4097</v>
      </c>
      <c r="Q439" s="2">
        <v>0.66</v>
      </c>
      <c r="R439" s="2">
        <v>0</v>
      </c>
      <c r="S439" s="2">
        <v>0</v>
      </c>
      <c r="T439" s="2">
        <v>0</v>
      </c>
      <c r="U439" s="2">
        <v>0</v>
      </c>
      <c r="V439" s="2">
        <v>0</v>
      </c>
      <c r="W439" s="2">
        <v>0</v>
      </c>
      <c r="X439" s="2">
        <v>0</v>
      </c>
      <c r="Y439" s="2">
        <v>5</v>
      </c>
      <c r="Z439" s="2">
        <v>0</v>
      </c>
      <c r="AA439" s="2">
        <v>-5</v>
      </c>
      <c r="AB439" s="2" t="s">
        <v>3474</v>
      </c>
      <c r="AC439" s="2" t="s">
        <v>3365</v>
      </c>
      <c r="AD439" s="2" t="s">
        <v>4098</v>
      </c>
    </row>
    <row r="440" s="1" customFormat="1" ht="11.25" spans="1:30">
      <c r="A440" s="2" t="s">
        <v>366</v>
      </c>
      <c r="B440" s="2" t="s">
        <v>812</v>
      </c>
      <c r="C440" s="2"/>
      <c r="D440" s="2" t="s">
        <v>813</v>
      </c>
      <c r="E440" s="2" t="s">
        <v>108</v>
      </c>
      <c r="F440" s="2" t="s">
        <v>109</v>
      </c>
      <c r="G440" s="2"/>
      <c r="H440" s="2" t="s">
        <v>2980</v>
      </c>
      <c r="I440" s="2"/>
      <c r="J440" s="2"/>
      <c r="K440" s="2" t="s">
        <v>363</v>
      </c>
      <c r="L440" s="2" t="s">
        <v>3624</v>
      </c>
      <c r="M440" s="2" t="s">
        <v>2974</v>
      </c>
      <c r="N440" s="2" t="s">
        <v>908</v>
      </c>
      <c r="O440" s="2" t="s">
        <v>2975</v>
      </c>
      <c r="P440" s="2" t="s">
        <v>2982</v>
      </c>
      <c r="Q440" s="2">
        <v>0</v>
      </c>
      <c r="R440" s="2">
        <v>0</v>
      </c>
      <c r="S440" s="2">
        <v>0</v>
      </c>
      <c r="T440" s="2">
        <v>0</v>
      </c>
      <c r="U440" s="2">
        <v>0</v>
      </c>
      <c r="V440" s="2">
        <v>0</v>
      </c>
      <c r="W440" s="2">
        <v>0</v>
      </c>
      <c r="X440" s="2">
        <v>0</v>
      </c>
      <c r="Y440" s="2">
        <v>0</v>
      </c>
      <c r="Z440" s="2">
        <v>0</v>
      </c>
      <c r="AA440" s="2">
        <v>0</v>
      </c>
      <c r="AB440" s="2" t="s">
        <v>4099</v>
      </c>
      <c r="AC440" s="2" t="s">
        <v>3212</v>
      </c>
      <c r="AD440" s="2" t="s">
        <v>4100</v>
      </c>
    </row>
    <row r="441" s="1" customFormat="1" ht="11.25" spans="1:30">
      <c r="A441" s="2" t="s">
        <v>351</v>
      </c>
      <c r="B441" s="2" t="s">
        <v>919</v>
      </c>
      <c r="C441" s="2" t="s">
        <v>3023</v>
      </c>
      <c r="D441" s="2" t="s">
        <v>813</v>
      </c>
      <c r="E441" s="2" t="s">
        <v>108</v>
      </c>
      <c r="F441" s="2" t="s">
        <v>109</v>
      </c>
      <c r="G441" s="2"/>
      <c r="H441" s="2" t="s">
        <v>2980</v>
      </c>
      <c r="I441" s="2"/>
      <c r="J441" s="2"/>
      <c r="K441" s="2" t="s">
        <v>349</v>
      </c>
      <c r="L441" s="2" t="s">
        <v>3807</v>
      </c>
      <c r="M441" s="2" t="s">
        <v>2974</v>
      </c>
      <c r="N441" s="2" t="s">
        <v>908</v>
      </c>
      <c r="O441" s="2" t="s">
        <v>2975</v>
      </c>
      <c r="P441" s="2" t="s">
        <v>3141</v>
      </c>
      <c r="Q441" s="2">
        <v>0.06</v>
      </c>
      <c r="R441" s="2">
        <v>0</v>
      </c>
      <c r="S441" s="2">
        <v>0</v>
      </c>
      <c r="T441" s="2">
        <v>0</v>
      </c>
      <c r="U441" s="2">
        <v>0</v>
      </c>
      <c r="V441" s="2">
        <v>0</v>
      </c>
      <c r="W441" s="2">
        <v>0</v>
      </c>
      <c r="X441" s="2">
        <v>0</v>
      </c>
      <c r="Y441" s="2">
        <v>0</v>
      </c>
      <c r="Z441" s="2">
        <v>0</v>
      </c>
      <c r="AA441" s="2">
        <v>0</v>
      </c>
      <c r="AB441" s="2" t="s">
        <v>3054</v>
      </c>
      <c r="AC441" s="2" t="s">
        <v>3705</v>
      </c>
      <c r="AD441" s="2" t="s">
        <v>4101</v>
      </c>
    </row>
    <row r="442" s="1" customFormat="1" ht="11.25" spans="1:30">
      <c r="A442" s="2" t="s">
        <v>195</v>
      </c>
      <c r="B442" s="2" t="s">
        <v>919</v>
      </c>
      <c r="C442" s="2" t="s">
        <v>3023</v>
      </c>
      <c r="D442" s="2" t="s">
        <v>813</v>
      </c>
      <c r="E442" s="2" t="s">
        <v>96</v>
      </c>
      <c r="F442" s="2" t="s">
        <v>97</v>
      </c>
      <c r="G442" s="2"/>
      <c r="H442" s="2" t="s">
        <v>2980</v>
      </c>
      <c r="I442" s="2"/>
      <c r="J442" s="2"/>
      <c r="K442" s="2" t="s">
        <v>194</v>
      </c>
      <c r="L442" s="2" t="s">
        <v>4102</v>
      </c>
      <c r="M442" s="2" t="s">
        <v>2974</v>
      </c>
      <c r="N442" s="2" t="s">
        <v>908</v>
      </c>
      <c r="O442" s="2" t="s">
        <v>2975</v>
      </c>
      <c r="P442" s="2" t="s">
        <v>4103</v>
      </c>
      <c r="Q442" s="2">
        <v>0.95</v>
      </c>
      <c r="R442" s="2">
        <v>0</v>
      </c>
      <c r="S442" s="2">
        <v>0</v>
      </c>
      <c r="T442" s="2">
        <v>60</v>
      </c>
      <c r="U442" s="2">
        <v>0</v>
      </c>
      <c r="V442" s="2">
        <v>0</v>
      </c>
      <c r="W442" s="2">
        <v>0</v>
      </c>
      <c r="X442" s="2">
        <v>0</v>
      </c>
      <c r="Y442" s="2">
        <v>8</v>
      </c>
      <c r="Z442" s="2">
        <v>0</v>
      </c>
      <c r="AA442" s="2">
        <v>-8</v>
      </c>
      <c r="AB442" s="2" t="s">
        <v>3015</v>
      </c>
      <c r="AC442" s="2" t="s">
        <v>3169</v>
      </c>
      <c r="AD442" s="2" t="s">
        <v>4104</v>
      </c>
    </row>
    <row r="443" s="1" customFormat="1" ht="11.25" spans="1:30">
      <c r="A443" s="2" t="s">
        <v>4105</v>
      </c>
      <c r="B443" s="2" t="s">
        <v>3878</v>
      </c>
      <c r="C443" s="2"/>
      <c r="D443" s="2" t="s">
        <v>813</v>
      </c>
      <c r="E443" s="2" t="s">
        <v>108</v>
      </c>
      <c r="F443" s="2" t="s">
        <v>146</v>
      </c>
      <c r="G443" s="2"/>
      <c r="H443" s="2" t="s">
        <v>2980</v>
      </c>
      <c r="I443" s="2"/>
      <c r="J443" s="2"/>
      <c r="K443" s="2" t="s">
        <v>4106</v>
      </c>
      <c r="L443" s="2" t="s">
        <v>4107</v>
      </c>
      <c r="M443" s="2" t="s">
        <v>2974</v>
      </c>
      <c r="N443" s="2" t="s">
        <v>908</v>
      </c>
      <c r="O443" s="2" t="s">
        <v>2975</v>
      </c>
      <c r="P443" s="2" t="s">
        <v>2982</v>
      </c>
      <c r="Q443" s="2">
        <v>0</v>
      </c>
      <c r="R443" s="2">
        <v>0</v>
      </c>
      <c r="S443" s="2">
        <v>0</v>
      </c>
      <c r="T443" s="2">
        <v>0</v>
      </c>
      <c r="U443" s="2">
        <v>0</v>
      </c>
      <c r="V443" s="2">
        <v>0</v>
      </c>
      <c r="W443" s="2">
        <v>0</v>
      </c>
      <c r="X443" s="2">
        <v>0</v>
      </c>
      <c r="Y443" s="2">
        <v>0</v>
      </c>
      <c r="Z443" s="2">
        <v>0</v>
      </c>
      <c r="AA443" s="2">
        <v>0</v>
      </c>
      <c r="AB443" s="2" t="s">
        <v>3334</v>
      </c>
      <c r="AC443" s="2" t="s">
        <v>3334</v>
      </c>
      <c r="AD443" s="2" t="s">
        <v>4108</v>
      </c>
    </row>
    <row r="444" s="1" customFormat="1" ht="11.25" spans="1:30">
      <c r="A444" s="2" t="s">
        <v>389</v>
      </c>
      <c r="B444" s="2" t="s">
        <v>919</v>
      </c>
      <c r="C444" s="2" t="s">
        <v>2979</v>
      </c>
      <c r="D444" s="2" t="s">
        <v>813</v>
      </c>
      <c r="E444" s="2" t="s">
        <v>96</v>
      </c>
      <c r="F444" s="2" t="s">
        <v>97</v>
      </c>
      <c r="G444" s="2"/>
      <c r="H444" s="2" t="s">
        <v>2980</v>
      </c>
      <c r="I444" s="2"/>
      <c r="J444" s="2"/>
      <c r="K444" s="2" t="s">
        <v>388</v>
      </c>
      <c r="L444" s="2" t="s">
        <v>4109</v>
      </c>
      <c r="M444" s="2" t="s">
        <v>2974</v>
      </c>
      <c r="N444" s="2" t="s">
        <v>908</v>
      </c>
      <c r="O444" s="2" t="s">
        <v>2975</v>
      </c>
      <c r="P444" s="2" t="s">
        <v>4110</v>
      </c>
      <c r="Q444" s="2">
        <v>0.11</v>
      </c>
      <c r="R444" s="2">
        <v>0</v>
      </c>
      <c r="S444" s="2">
        <v>0</v>
      </c>
      <c r="T444" s="2">
        <v>50</v>
      </c>
      <c r="U444" s="2">
        <v>0</v>
      </c>
      <c r="V444" s="2">
        <v>0</v>
      </c>
      <c r="W444" s="2">
        <v>0</v>
      </c>
      <c r="X444" s="2">
        <v>0</v>
      </c>
      <c r="Y444" s="2">
        <v>0</v>
      </c>
      <c r="Z444" s="2">
        <v>0</v>
      </c>
      <c r="AA444" s="2">
        <v>0</v>
      </c>
      <c r="AB444" s="2" t="s">
        <v>2657</v>
      </c>
      <c r="AC444" s="2" t="s">
        <v>2667</v>
      </c>
      <c r="AD444" s="2" t="s">
        <v>4111</v>
      </c>
    </row>
    <row r="445" s="1" customFormat="1" ht="11.25" spans="1:30">
      <c r="A445" s="2" t="s">
        <v>393</v>
      </c>
      <c r="B445" s="2" t="s">
        <v>919</v>
      </c>
      <c r="C445" s="2"/>
      <c r="D445" s="2" t="s">
        <v>813</v>
      </c>
      <c r="E445" s="2" t="s">
        <v>96</v>
      </c>
      <c r="F445" s="2" t="s">
        <v>97</v>
      </c>
      <c r="G445" s="2"/>
      <c r="H445" s="2" t="s">
        <v>2980</v>
      </c>
      <c r="I445" s="2"/>
      <c r="J445" s="2"/>
      <c r="K445" s="2" t="s">
        <v>392</v>
      </c>
      <c r="L445" s="2" t="s">
        <v>4112</v>
      </c>
      <c r="M445" s="2" t="s">
        <v>2974</v>
      </c>
      <c r="N445" s="2" t="s">
        <v>908</v>
      </c>
      <c r="O445" s="2" t="s">
        <v>2975</v>
      </c>
      <c r="P445" s="2" t="s">
        <v>2982</v>
      </c>
      <c r="Q445" s="2">
        <v>0</v>
      </c>
      <c r="R445" s="2">
        <v>0</v>
      </c>
      <c r="S445" s="2">
        <v>0</v>
      </c>
      <c r="T445" s="2">
        <v>60</v>
      </c>
      <c r="U445" s="2">
        <v>0</v>
      </c>
      <c r="V445" s="2">
        <v>0</v>
      </c>
      <c r="W445" s="2">
        <v>0</v>
      </c>
      <c r="X445" s="2">
        <v>0</v>
      </c>
      <c r="Y445" s="2">
        <v>0</v>
      </c>
      <c r="Z445" s="2">
        <v>0</v>
      </c>
      <c r="AA445" s="2">
        <v>0</v>
      </c>
      <c r="AB445" s="2" t="s">
        <v>1015</v>
      </c>
      <c r="AC445" s="2" t="s">
        <v>1083</v>
      </c>
      <c r="AD445" s="2" t="s">
        <v>4113</v>
      </c>
    </row>
    <row r="446" s="1" customFormat="1" ht="11.25" spans="1:30">
      <c r="A446" s="2" t="s">
        <v>387</v>
      </c>
      <c r="B446" s="2" t="s">
        <v>812</v>
      </c>
      <c r="C446" s="2"/>
      <c r="D446" s="2" t="s">
        <v>813</v>
      </c>
      <c r="E446" s="2" t="s">
        <v>96</v>
      </c>
      <c r="F446" s="2" t="s">
        <v>97</v>
      </c>
      <c r="G446" s="2"/>
      <c r="H446" s="2" t="s">
        <v>2980</v>
      </c>
      <c r="I446" s="2"/>
      <c r="J446" s="2"/>
      <c r="K446" s="2" t="s">
        <v>386</v>
      </c>
      <c r="L446" s="2" t="s">
        <v>4114</v>
      </c>
      <c r="M446" s="2" t="s">
        <v>2974</v>
      </c>
      <c r="N446" s="2" t="s">
        <v>908</v>
      </c>
      <c r="O446" s="2" t="s">
        <v>2975</v>
      </c>
      <c r="P446" s="2" t="s">
        <v>2982</v>
      </c>
      <c r="Q446" s="2">
        <v>0</v>
      </c>
      <c r="R446" s="2">
        <v>0</v>
      </c>
      <c r="S446" s="2">
        <v>0</v>
      </c>
      <c r="T446" s="2">
        <v>30</v>
      </c>
      <c r="U446" s="2">
        <v>0</v>
      </c>
      <c r="V446" s="2">
        <v>0</v>
      </c>
      <c r="W446" s="2">
        <v>0</v>
      </c>
      <c r="X446" s="2">
        <v>0</v>
      </c>
      <c r="Y446" s="2">
        <v>0</v>
      </c>
      <c r="Z446" s="2">
        <v>0</v>
      </c>
      <c r="AA446" s="2">
        <v>0</v>
      </c>
      <c r="AB446" s="2" t="s">
        <v>4087</v>
      </c>
      <c r="AC446" s="2" t="s">
        <v>1083</v>
      </c>
      <c r="AD446" s="2" t="s">
        <v>4115</v>
      </c>
    </row>
    <row r="447" s="1" customFormat="1" ht="11.25" spans="1:30">
      <c r="A447" s="2" t="s">
        <v>395</v>
      </c>
      <c r="B447" s="2" t="s">
        <v>919</v>
      </c>
      <c r="C447" s="2" t="s">
        <v>3023</v>
      </c>
      <c r="D447" s="2" t="s">
        <v>813</v>
      </c>
      <c r="E447" s="2" t="s">
        <v>96</v>
      </c>
      <c r="F447" s="2" t="s">
        <v>97</v>
      </c>
      <c r="G447" s="2"/>
      <c r="H447" s="2" t="s">
        <v>2980</v>
      </c>
      <c r="I447" s="2"/>
      <c r="J447" s="2"/>
      <c r="K447" s="2" t="s">
        <v>394</v>
      </c>
      <c r="L447" s="2" t="s">
        <v>4116</v>
      </c>
      <c r="M447" s="2" t="s">
        <v>2974</v>
      </c>
      <c r="N447" s="2" t="s">
        <v>908</v>
      </c>
      <c r="O447" s="2" t="s">
        <v>2975</v>
      </c>
      <c r="P447" s="2" t="s">
        <v>4117</v>
      </c>
      <c r="Q447" s="2">
        <v>0</v>
      </c>
      <c r="R447" s="2">
        <v>0</v>
      </c>
      <c r="S447" s="2">
        <v>0</v>
      </c>
      <c r="T447" s="2">
        <v>258</v>
      </c>
      <c r="U447" s="2">
        <v>0</v>
      </c>
      <c r="V447" s="2">
        <v>0</v>
      </c>
      <c r="W447" s="2">
        <v>0</v>
      </c>
      <c r="X447" s="2">
        <v>0</v>
      </c>
      <c r="Y447" s="2">
        <v>0</v>
      </c>
      <c r="Z447" s="2">
        <v>0</v>
      </c>
      <c r="AA447" s="2">
        <v>0</v>
      </c>
      <c r="AB447" s="2" t="s">
        <v>1345</v>
      </c>
      <c r="AC447" s="2" t="s">
        <v>3341</v>
      </c>
      <c r="AD447" s="2" t="s">
        <v>4118</v>
      </c>
    </row>
    <row r="448" s="1" customFormat="1" ht="11.25" spans="1:30">
      <c r="A448" s="2" t="s">
        <v>217</v>
      </c>
      <c r="B448" s="2" t="s">
        <v>812</v>
      </c>
      <c r="C448" s="2" t="s">
        <v>3023</v>
      </c>
      <c r="D448" s="2" t="s">
        <v>813</v>
      </c>
      <c r="E448" s="2" t="s">
        <v>96</v>
      </c>
      <c r="F448" s="2" t="s">
        <v>97</v>
      </c>
      <c r="G448" s="2"/>
      <c r="H448" s="2" t="s">
        <v>2980</v>
      </c>
      <c r="I448" s="2"/>
      <c r="J448" s="2"/>
      <c r="K448" s="2" t="s">
        <v>216</v>
      </c>
      <c r="L448" s="2" t="s">
        <v>4119</v>
      </c>
      <c r="M448" s="2" t="s">
        <v>2974</v>
      </c>
      <c r="N448" s="2" t="s">
        <v>908</v>
      </c>
      <c r="O448" s="2" t="s">
        <v>2975</v>
      </c>
      <c r="P448" s="2" t="s">
        <v>3447</v>
      </c>
      <c r="Q448" s="2">
        <v>0.12</v>
      </c>
      <c r="R448" s="2">
        <v>0</v>
      </c>
      <c r="S448" s="2">
        <v>0</v>
      </c>
      <c r="T448" s="2">
        <v>50</v>
      </c>
      <c r="U448" s="2">
        <v>0</v>
      </c>
      <c r="V448" s="2">
        <v>0</v>
      </c>
      <c r="W448" s="2">
        <v>0</v>
      </c>
      <c r="X448" s="2">
        <v>0</v>
      </c>
      <c r="Y448" s="2">
        <v>2</v>
      </c>
      <c r="Z448" s="2">
        <v>0</v>
      </c>
      <c r="AA448" s="2">
        <v>-2</v>
      </c>
      <c r="AB448" s="2" t="s">
        <v>4046</v>
      </c>
      <c r="AC448" s="2" t="s">
        <v>1221</v>
      </c>
      <c r="AD448" s="2" t="s">
        <v>4120</v>
      </c>
    </row>
    <row r="449" s="1" customFormat="1" ht="11.25" spans="1:30">
      <c r="A449" s="2" t="s">
        <v>273</v>
      </c>
      <c r="B449" s="2" t="s">
        <v>919</v>
      </c>
      <c r="C449" s="2" t="s">
        <v>3008</v>
      </c>
      <c r="D449" s="2" t="s">
        <v>813</v>
      </c>
      <c r="E449" s="2" t="s">
        <v>96</v>
      </c>
      <c r="F449" s="2" t="s">
        <v>186</v>
      </c>
      <c r="G449" s="2"/>
      <c r="H449" s="2" t="s">
        <v>2980</v>
      </c>
      <c r="I449" s="2"/>
      <c r="J449" s="2"/>
      <c r="K449" s="2" t="s">
        <v>272</v>
      </c>
      <c r="L449" s="2" t="s">
        <v>4121</v>
      </c>
      <c r="M449" s="2" t="s">
        <v>2974</v>
      </c>
      <c r="N449" s="2" t="s">
        <v>908</v>
      </c>
      <c r="O449" s="2" t="s">
        <v>2975</v>
      </c>
      <c r="P449" s="2" t="s">
        <v>4122</v>
      </c>
      <c r="Q449" s="2">
        <v>6.37</v>
      </c>
      <c r="R449" s="2">
        <v>0</v>
      </c>
      <c r="S449" s="2">
        <v>0</v>
      </c>
      <c r="T449" s="2">
        <v>600</v>
      </c>
      <c r="U449" s="2">
        <v>0</v>
      </c>
      <c r="V449" s="2">
        <v>0</v>
      </c>
      <c r="W449" s="2">
        <v>0</v>
      </c>
      <c r="X449" s="2">
        <v>0</v>
      </c>
      <c r="Y449" s="2">
        <v>2</v>
      </c>
      <c r="Z449" s="2">
        <v>0</v>
      </c>
      <c r="AA449" s="2">
        <v>-2</v>
      </c>
      <c r="AB449" s="2" t="s">
        <v>2993</v>
      </c>
      <c r="AC449" s="2" t="s">
        <v>3196</v>
      </c>
      <c r="AD449" s="2" t="s">
        <v>4123</v>
      </c>
    </row>
    <row r="450" s="1" customFormat="1" ht="11.25" spans="1:30">
      <c r="A450" s="2" t="s">
        <v>408</v>
      </c>
      <c r="B450" s="2" t="s">
        <v>919</v>
      </c>
      <c r="C450" s="2" t="s">
        <v>2979</v>
      </c>
      <c r="D450" s="2" t="s">
        <v>813</v>
      </c>
      <c r="E450" s="2" t="s">
        <v>96</v>
      </c>
      <c r="F450" s="2" t="s">
        <v>186</v>
      </c>
      <c r="G450" s="2"/>
      <c r="H450" s="2" t="s">
        <v>2980</v>
      </c>
      <c r="I450" s="2"/>
      <c r="J450" s="2"/>
      <c r="K450" s="2" t="s">
        <v>407</v>
      </c>
      <c r="L450" s="2" t="s">
        <v>4124</v>
      </c>
      <c r="M450" s="2" t="s">
        <v>2974</v>
      </c>
      <c r="N450" s="2" t="s">
        <v>908</v>
      </c>
      <c r="O450" s="2" t="s">
        <v>2975</v>
      </c>
      <c r="P450" s="2" t="s">
        <v>4125</v>
      </c>
      <c r="Q450" s="2">
        <v>0.27</v>
      </c>
      <c r="R450" s="2">
        <v>0</v>
      </c>
      <c r="S450" s="2">
        <v>0</v>
      </c>
      <c r="T450" s="2">
        <v>540</v>
      </c>
      <c r="U450" s="2">
        <v>0</v>
      </c>
      <c r="V450" s="2">
        <v>0</v>
      </c>
      <c r="W450" s="2">
        <v>0</v>
      </c>
      <c r="X450" s="2">
        <v>0</v>
      </c>
      <c r="Y450" s="2">
        <v>1</v>
      </c>
      <c r="Z450" s="2">
        <v>0</v>
      </c>
      <c r="AA450" s="2">
        <v>-1</v>
      </c>
      <c r="AB450" s="2" t="s">
        <v>3282</v>
      </c>
      <c r="AC450" s="2" t="s">
        <v>3483</v>
      </c>
      <c r="AD450" s="2" t="s">
        <v>4126</v>
      </c>
    </row>
    <row r="451" s="1" customFormat="1" ht="11.25" spans="1:30">
      <c r="A451" s="2" t="s">
        <v>257</v>
      </c>
      <c r="B451" s="2" t="s">
        <v>919</v>
      </c>
      <c r="C451" s="2" t="s">
        <v>2979</v>
      </c>
      <c r="D451" s="2" t="s">
        <v>813</v>
      </c>
      <c r="E451" s="2" t="s">
        <v>96</v>
      </c>
      <c r="F451" s="2" t="s">
        <v>186</v>
      </c>
      <c r="G451" s="2"/>
      <c r="H451" s="2" t="s">
        <v>2980</v>
      </c>
      <c r="I451" s="2"/>
      <c r="J451" s="2"/>
      <c r="K451" s="2" t="s">
        <v>256</v>
      </c>
      <c r="L451" s="2" t="s">
        <v>4127</v>
      </c>
      <c r="M451" s="2" t="s">
        <v>2974</v>
      </c>
      <c r="N451" s="2" t="s">
        <v>908</v>
      </c>
      <c r="O451" s="2" t="s">
        <v>2975</v>
      </c>
      <c r="P451" s="2" t="s">
        <v>2982</v>
      </c>
      <c r="Q451" s="2">
        <v>0</v>
      </c>
      <c r="R451" s="2">
        <v>0</v>
      </c>
      <c r="S451" s="2">
        <v>0</v>
      </c>
      <c r="T451" s="2">
        <v>240</v>
      </c>
      <c r="U451" s="2">
        <v>0</v>
      </c>
      <c r="V451" s="2">
        <v>0</v>
      </c>
      <c r="W451" s="2">
        <v>0</v>
      </c>
      <c r="X451" s="2">
        <v>0</v>
      </c>
      <c r="Y451" s="2">
        <v>0</v>
      </c>
      <c r="Z451" s="2">
        <v>0</v>
      </c>
      <c r="AA451" s="2">
        <v>0</v>
      </c>
      <c r="AB451" s="2" t="s">
        <v>3705</v>
      </c>
      <c r="AC451" s="2" t="s">
        <v>1168</v>
      </c>
      <c r="AD451" s="2" t="s">
        <v>4128</v>
      </c>
    </row>
    <row r="452" s="1" customFormat="1" ht="11.25" spans="1:30">
      <c r="A452" s="2" t="s">
        <v>2060</v>
      </c>
      <c r="B452" s="2" t="s">
        <v>2970</v>
      </c>
      <c r="C452" s="2" t="s">
        <v>3023</v>
      </c>
      <c r="D452" s="2" t="s">
        <v>813</v>
      </c>
      <c r="E452" s="2" t="s">
        <v>96</v>
      </c>
      <c r="F452" s="2" t="s">
        <v>186</v>
      </c>
      <c r="G452" s="2"/>
      <c r="H452" s="2" t="s">
        <v>2980</v>
      </c>
      <c r="I452" s="2"/>
      <c r="J452" s="2"/>
      <c r="K452" s="2" t="s">
        <v>2061</v>
      </c>
      <c r="L452" s="2" t="s">
        <v>4052</v>
      </c>
      <c r="M452" s="2" t="s">
        <v>2974</v>
      </c>
      <c r="N452" s="2" t="s">
        <v>908</v>
      </c>
      <c r="O452" s="2" t="s">
        <v>2975</v>
      </c>
      <c r="P452" s="2" t="s">
        <v>4129</v>
      </c>
      <c r="Q452" s="2">
        <v>0.47</v>
      </c>
      <c r="R452" s="2">
        <v>0</v>
      </c>
      <c r="S452" s="2">
        <v>0</v>
      </c>
      <c r="T452" s="2">
        <v>0</v>
      </c>
      <c r="U452" s="2">
        <v>0</v>
      </c>
      <c r="V452" s="2">
        <v>0</v>
      </c>
      <c r="W452" s="2">
        <v>0</v>
      </c>
      <c r="X452" s="2">
        <v>0</v>
      </c>
      <c r="Y452" s="2">
        <v>1</v>
      </c>
      <c r="Z452" s="2">
        <v>0</v>
      </c>
      <c r="AA452" s="2">
        <v>-1</v>
      </c>
      <c r="AB452" s="2" t="s">
        <v>2657</v>
      </c>
      <c r="AC452" s="2" t="s">
        <v>2977</v>
      </c>
      <c r="AD452" s="2" t="s">
        <v>4054</v>
      </c>
    </row>
    <row r="453" s="1" customFormat="1" ht="11.25" spans="1:30">
      <c r="A453" s="2" t="s">
        <v>2078</v>
      </c>
      <c r="B453" s="2" t="s">
        <v>2970</v>
      </c>
      <c r="C453" s="2" t="s">
        <v>3023</v>
      </c>
      <c r="D453" s="2" t="s">
        <v>813</v>
      </c>
      <c r="E453" s="2" t="s">
        <v>96</v>
      </c>
      <c r="F453" s="2" t="s">
        <v>186</v>
      </c>
      <c r="G453" s="2"/>
      <c r="H453" s="2" t="s">
        <v>2980</v>
      </c>
      <c r="I453" s="2"/>
      <c r="J453" s="2"/>
      <c r="K453" s="2" t="s">
        <v>2079</v>
      </c>
      <c r="L453" s="2" t="s">
        <v>4130</v>
      </c>
      <c r="M453" s="2" t="s">
        <v>2974</v>
      </c>
      <c r="N453" s="2" t="s">
        <v>908</v>
      </c>
      <c r="O453" s="2" t="s">
        <v>2975</v>
      </c>
      <c r="P453" s="2" t="s">
        <v>2982</v>
      </c>
      <c r="Q453" s="2">
        <v>0</v>
      </c>
      <c r="R453" s="2">
        <v>0</v>
      </c>
      <c r="S453" s="2">
        <v>0</v>
      </c>
      <c r="T453" s="2">
        <v>0</v>
      </c>
      <c r="U453" s="2">
        <v>0</v>
      </c>
      <c r="V453" s="2">
        <v>0</v>
      </c>
      <c r="W453" s="2">
        <v>0</v>
      </c>
      <c r="X453" s="2">
        <v>0</v>
      </c>
      <c r="Y453" s="2">
        <v>0</v>
      </c>
      <c r="Z453" s="2">
        <v>0</v>
      </c>
      <c r="AA453" s="2">
        <v>0</v>
      </c>
      <c r="AB453" s="2" t="s">
        <v>3483</v>
      </c>
      <c r="AC453" s="2" t="s">
        <v>4131</v>
      </c>
      <c r="AD453" s="2" t="s">
        <v>4132</v>
      </c>
    </row>
    <row r="454" s="1" customFormat="1" ht="11.25" spans="1:30">
      <c r="A454" s="2" t="s">
        <v>2083</v>
      </c>
      <c r="B454" s="2" t="s">
        <v>2970</v>
      </c>
      <c r="C454" s="2" t="s">
        <v>3023</v>
      </c>
      <c r="D454" s="2" t="s">
        <v>813</v>
      </c>
      <c r="E454" s="2" t="s">
        <v>96</v>
      </c>
      <c r="F454" s="2" t="s">
        <v>186</v>
      </c>
      <c r="G454" s="2"/>
      <c r="H454" s="2" t="s">
        <v>2980</v>
      </c>
      <c r="I454" s="2"/>
      <c r="J454" s="2"/>
      <c r="K454" s="2" t="s">
        <v>2084</v>
      </c>
      <c r="L454" s="2" t="s">
        <v>4133</v>
      </c>
      <c r="M454" s="2" t="s">
        <v>2974</v>
      </c>
      <c r="N454" s="2" t="s">
        <v>908</v>
      </c>
      <c r="O454" s="2" t="s">
        <v>2975</v>
      </c>
      <c r="P454" s="2" t="s">
        <v>2982</v>
      </c>
      <c r="Q454" s="2">
        <v>0</v>
      </c>
      <c r="R454" s="2">
        <v>0</v>
      </c>
      <c r="S454" s="2">
        <v>0</v>
      </c>
      <c r="T454" s="2">
        <v>0</v>
      </c>
      <c r="U454" s="2">
        <v>0</v>
      </c>
      <c r="V454" s="2">
        <v>0</v>
      </c>
      <c r="W454" s="2">
        <v>0</v>
      </c>
      <c r="X454" s="2">
        <v>0</v>
      </c>
      <c r="Y454" s="2">
        <v>0</v>
      </c>
      <c r="Z454" s="2">
        <v>0</v>
      </c>
      <c r="AA454" s="2">
        <v>0</v>
      </c>
      <c r="AB454" s="2" t="s">
        <v>2525</v>
      </c>
      <c r="AC454" s="2" t="s">
        <v>4131</v>
      </c>
      <c r="AD454" s="2" t="s">
        <v>4134</v>
      </c>
    </row>
    <row r="455" s="1" customFormat="1" ht="11.25" spans="1:30">
      <c r="A455" s="2" t="s">
        <v>259</v>
      </c>
      <c r="B455" s="2" t="s">
        <v>919</v>
      </c>
      <c r="C455" s="2" t="s">
        <v>3008</v>
      </c>
      <c r="D455" s="2" t="s">
        <v>813</v>
      </c>
      <c r="E455" s="2" t="s">
        <v>96</v>
      </c>
      <c r="F455" s="2" t="s">
        <v>103</v>
      </c>
      <c r="G455" s="2"/>
      <c r="H455" s="2" t="s">
        <v>2980</v>
      </c>
      <c r="I455" s="2"/>
      <c r="J455" s="2"/>
      <c r="K455" s="2" t="s">
        <v>258</v>
      </c>
      <c r="L455" s="2" t="s">
        <v>3908</v>
      </c>
      <c r="M455" s="2" t="s">
        <v>2974</v>
      </c>
      <c r="N455" s="2" t="s">
        <v>908</v>
      </c>
      <c r="O455" s="2" t="s">
        <v>2975</v>
      </c>
      <c r="P455" s="2" t="s">
        <v>4135</v>
      </c>
      <c r="Q455" s="2">
        <v>0.75</v>
      </c>
      <c r="R455" s="2">
        <v>0</v>
      </c>
      <c r="S455" s="2">
        <v>0</v>
      </c>
      <c r="T455" s="2">
        <v>0</v>
      </c>
      <c r="U455" s="2">
        <v>0</v>
      </c>
      <c r="V455" s="2">
        <v>0</v>
      </c>
      <c r="W455" s="2">
        <v>0</v>
      </c>
      <c r="X455" s="2">
        <v>0</v>
      </c>
      <c r="Y455" s="2">
        <v>40</v>
      </c>
      <c r="Z455" s="2">
        <v>0</v>
      </c>
      <c r="AA455" s="2">
        <v>-40</v>
      </c>
      <c r="AB455" s="2" t="s">
        <v>3219</v>
      </c>
      <c r="AC455" s="2" t="s">
        <v>3219</v>
      </c>
      <c r="AD455" s="2" t="s">
        <v>4136</v>
      </c>
    </row>
    <row r="456" s="1" customFormat="1" ht="11.25" spans="1:30">
      <c r="A456" s="2" t="s">
        <v>415</v>
      </c>
      <c r="B456" s="2" t="s">
        <v>919</v>
      </c>
      <c r="C456" s="2" t="s">
        <v>2979</v>
      </c>
      <c r="D456" s="2" t="s">
        <v>813</v>
      </c>
      <c r="E456" s="2" t="s">
        <v>96</v>
      </c>
      <c r="F456" s="2" t="s">
        <v>115</v>
      </c>
      <c r="G456" s="2"/>
      <c r="H456" s="2" t="s">
        <v>2980</v>
      </c>
      <c r="I456" s="2"/>
      <c r="J456" s="2"/>
      <c r="K456" s="2" t="s">
        <v>414</v>
      </c>
      <c r="L456" s="2" t="s">
        <v>4137</v>
      </c>
      <c r="M456" s="2" t="s">
        <v>2974</v>
      </c>
      <c r="N456" s="2" t="s">
        <v>908</v>
      </c>
      <c r="O456" s="2" t="s">
        <v>2975</v>
      </c>
      <c r="P456" s="2" t="s">
        <v>4138</v>
      </c>
      <c r="Q456" s="2">
        <v>1.5</v>
      </c>
      <c r="R456" s="2">
        <v>0</v>
      </c>
      <c r="S456" s="2">
        <v>0</v>
      </c>
      <c r="T456" s="2">
        <v>150</v>
      </c>
      <c r="U456" s="2">
        <v>0</v>
      </c>
      <c r="V456" s="2">
        <v>0</v>
      </c>
      <c r="W456" s="2">
        <v>0</v>
      </c>
      <c r="X456" s="2">
        <v>0</v>
      </c>
      <c r="Y456" s="2">
        <v>2</v>
      </c>
      <c r="Z456" s="2">
        <v>0</v>
      </c>
      <c r="AA456" s="2">
        <v>-2</v>
      </c>
      <c r="AB456" s="2" t="s">
        <v>3119</v>
      </c>
      <c r="AC456" s="2" t="s">
        <v>3345</v>
      </c>
      <c r="AD456" s="2" t="s">
        <v>4139</v>
      </c>
    </row>
    <row r="457" s="1" customFormat="1" ht="11.25" spans="1:30">
      <c r="A457" s="2" t="s">
        <v>410</v>
      </c>
      <c r="B457" s="2" t="s">
        <v>919</v>
      </c>
      <c r="C457" s="2" t="s">
        <v>2979</v>
      </c>
      <c r="D457" s="2" t="s">
        <v>813</v>
      </c>
      <c r="E457" s="2" t="s">
        <v>96</v>
      </c>
      <c r="F457" s="2" t="s">
        <v>186</v>
      </c>
      <c r="G457" s="2"/>
      <c r="H457" s="2" t="s">
        <v>2980</v>
      </c>
      <c r="I457" s="2"/>
      <c r="J457" s="2"/>
      <c r="K457" s="2" t="s">
        <v>409</v>
      </c>
      <c r="L457" s="2" t="s">
        <v>4140</v>
      </c>
      <c r="M457" s="2" t="s">
        <v>2974</v>
      </c>
      <c r="N457" s="2" t="s">
        <v>908</v>
      </c>
      <c r="O457" s="2" t="s">
        <v>2975</v>
      </c>
      <c r="P457" s="2" t="s">
        <v>4141</v>
      </c>
      <c r="Q457" s="2">
        <v>0.45</v>
      </c>
      <c r="R457" s="2">
        <v>0</v>
      </c>
      <c r="S457" s="2">
        <v>0</v>
      </c>
      <c r="T457" s="2">
        <v>380</v>
      </c>
      <c r="U457" s="2">
        <v>0</v>
      </c>
      <c r="V457" s="2">
        <v>0</v>
      </c>
      <c r="W457" s="2">
        <v>0</v>
      </c>
      <c r="X457" s="2">
        <v>0</v>
      </c>
      <c r="Y457" s="2">
        <v>2</v>
      </c>
      <c r="Z457" s="2">
        <v>0</v>
      </c>
      <c r="AA457" s="2">
        <v>-2</v>
      </c>
      <c r="AB457" s="2" t="s">
        <v>3245</v>
      </c>
      <c r="AC457" s="2" t="s">
        <v>3269</v>
      </c>
      <c r="AD457" s="2" t="s">
        <v>4142</v>
      </c>
    </row>
    <row r="458" s="1" customFormat="1" ht="11.25" spans="1:30">
      <c r="A458" s="2" t="s">
        <v>425</v>
      </c>
      <c r="B458" s="2" t="s">
        <v>919</v>
      </c>
      <c r="C458" s="2" t="s">
        <v>2979</v>
      </c>
      <c r="D458" s="2" t="s">
        <v>813</v>
      </c>
      <c r="E458" s="2" t="s">
        <v>108</v>
      </c>
      <c r="F458" s="2" t="s">
        <v>206</v>
      </c>
      <c r="G458" s="2"/>
      <c r="H458" s="2" t="s">
        <v>2980</v>
      </c>
      <c r="I458" s="2"/>
      <c r="J458" s="2"/>
      <c r="K458" s="2" t="s">
        <v>424</v>
      </c>
      <c r="L458" s="2" t="s">
        <v>4143</v>
      </c>
      <c r="M458" s="2" t="s">
        <v>2974</v>
      </c>
      <c r="N458" s="2" t="s">
        <v>908</v>
      </c>
      <c r="O458" s="2" t="s">
        <v>2975</v>
      </c>
      <c r="P458" s="2" t="s">
        <v>4144</v>
      </c>
      <c r="Q458" s="2">
        <v>2.01</v>
      </c>
      <c r="R458" s="2">
        <v>0</v>
      </c>
      <c r="S458" s="2">
        <v>0</v>
      </c>
      <c r="T458" s="2">
        <v>200</v>
      </c>
      <c r="U458" s="2">
        <v>0</v>
      </c>
      <c r="V458" s="2">
        <v>0</v>
      </c>
      <c r="W458" s="2">
        <v>0</v>
      </c>
      <c r="X458" s="2">
        <v>0</v>
      </c>
      <c r="Y458" s="2">
        <v>1</v>
      </c>
      <c r="Z458" s="2">
        <v>0</v>
      </c>
      <c r="AA458" s="2">
        <v>-1</v>
      </c>
      <c r="AB458" s="2" t="s">
        <v>3011</v>
      </c>
      <c r="AC458" s="2" t="s">
        <v>3229</v>
      </c>
      <c r="AD458" s="2" t="s">
        <v>4145</v>
      </c>
    </row>
    <row r="459" s="1" customFormat="1" ht="11.25" spans="1:30">
      <c r="A459" s="2" t="s">
        <v>368</v>
      </c>
      <c r="B459" s="2" t="s">
        <v>919</v>
      </c>
      <c r="C459" s="2" t="s">
        <v>2979</v>
      </c>
      <c r="D459" s="2" t="s">
        <v>813</v>
      </c>
      <c r="E459" s="2" t="s">
        <v>108</v>
      </c>
      <c r="F459" s="2" t="s">
        <v>109</v>
      </c>
      <c r="G459" s="2"/>
      <c r="H459" s="2" t="s">
        <v>2980</v>
      </c>
      <c r="I459" s="2"/>
      <c r="J459" s="2"/>
      <c r="K459" s="2" t="s">
        <v>367</v>
      </c>
      <c r="L459" s="2" t="s">
        <v>4146</v>
      </c>
      <c r="M459" s="2" t="s">
        <v>2974</v>
      </c>
      <c r="N459" s="2" t="s">
        <v>908</v>
      </c>
      <c r="O459" s="2" t="s">
        <v>2975</v>
      </c>
      <c r="P459" s="2" t="s">
        <v>4147</v>
      </c>
      <c r="Q459" s="2">
        <v>0.55</v>
      </c>
      <c r="R459" s="2">
        <v>0</v>
      </c>
      <c r="S459" s="2">
        <v>0</v>
      </c>
      <c r="T459" s="2">
        <v>87</v>
      </c>
      <c r="U459" s="2">
        <v>0</v>
      </c>
      <c r="V459" s="2">
        <v>0</v>
      </c>
      <c r="W459" s="2">
        <v>0</v>
      </c>
      <c r="X459" s="2">
        <v>0</v>
      </c>
      <c r="Y459" s="2">
        <v>5</v>
      </c>
      <c r="Z459" s="2">
        <v>0</v>
      </c>
      <c r="AA459" s="2">
        <v>-5</v>
      </c>
      <c r="AB459" s="2" t="s">
        <v>3179</v>
      </c>
      <c r="AC459" s="2" t="s">
        <v>3534</v>
      </c>
      <c r="AD459" s="2" t="s">
        <v>4148</v>
      </c>
    </row>
    <row r="460" s="1" customFormat="1" ht="11.25" spans="1:30">
      <c r="A460" s="2" t="s">
        <v>355</v>
      </c>
      <c r="B460" s="2" t="s">
        <v>919</v>
      </c>
      <c r="C460" s="2" t="s">
        <v>3023</v>
      </c>
      <c r="D460" s="2" t="s">
        <v>813</v>
      </c>
      <c r="E460" s="2" t="s">
        <v>108</v>
      </c>
      <c r="F460" s="2" t="s">
        <v>109</v>
      </c>
      <c r="G460" s="2"/>
      <c r="H460" s="2" t="s">
        <v>2980</v>
      </c>
      <c r="I460" s="2"/>
      <c r="J460" s="2"/>
      <c r="K460" s="2" t="s">
        <v>354</v>
      </c>
      <c r="L460" s="2" t="s">
        <v>4149</v>
      </c>
      <c r="M460" s="2" t="s">
        <v>2974</v>
      </c>
      <c r="N460" s="2" t="s">
        <v>908</v>
      </c>
      <c r="O460" s="2" t="s">
        <v>2975</v>
      </c>
      <c r="P460" s="2" t="s">
        <v>4150</v>
      </c>
      <c r="Q460" s="2">
        <v>0.22</v>
      </c>
      <c r="R460" s="2">
        <v>0</v>
      </c>
      <c r="S460" s="2">
        <v>0</v>
      </c>
      <c r="T460" s="2">
        <v>80</v>
      </c>
      <c r="U460" s="2">
        <v>0</v>
      </c>
      <c r="V460" s="2">
        <v>0</v>
      </c>
      <c r="W460" s="2">
        <v>0</v>
      </c>
      <c r="X460" s="2">
        <v>0</v>
      </c>
      <c r="Y460" s="2">
        <v>11</v>
      </c>
      <c r="Z460" s="2">
        <v>0</v>
      </c>
      <c r="AA460" s="2">
        <v>-11</v>
      </c>
      <c r="AB460" s="2" t="s">
        <v>3334</v>
      </c>
      <c r="AC460" s="2" t="s">
        <v>3334</v>
      </c>
      <c r="AD460" s="2" t="s">
        <v>4151</v>
      </c>
    </row>
    <row r="461" s="1" customFormat="1" ht="11.25" spans="1:30">
      <c r="A461" s="2" t="s">
        <v>4152</v>
      </c>
      <c r="B461" s="2" t="s">
        <v>2970</v>
      </c>
      <c r="C461" s="2"/>
      <c r="D461" s="2" t="s">
        <v>813</v>
      </c>
      <c r="E461" s="2" t="s">
        <v>2990</v>
      </c>
      <c r="F461" s="2"/>
      <c r="G461" s="2"/>
      <c r="H461" s="2" t="s">
        <v>2972</v>
      </c>
      <c r="I461" s="2"/>
      <c r="J461" s="2"/>
      <c r="K461" s="2" t="s">
        <v>4153</v>
      </c>
      <c r="L461" s="2" t="s">
        <v>4153</v>
      </c>
      <c r="M461" s="2" t="s">
        <v>2974</v>
      </c>
      <c r="N461" s="2" t="s">
        <v>908</v>
      </c>
      <c r="O461" s="2" t="s">
        <v>2975</v>
      </c>
      <c r="P461" s="2" t="s">
        <v>4154</v>
      </c>
      <c r="Q461" s="2">
        <v>0.38</v>
      </c>
      <c r="R461" s="2">
        <v>0</v>
      </c>
      <c r="S461" s="2">
        <v>0</v>
      </c>
      <c r="T461" s="2">
        <v>0</v>
      </c>
      <c r="U461" s="2">
        <v>0</v>
      </c>
      <c r="V461" s="2">
        <v>0</v>
      </c>
      <c r="W461" s="2">
        <v>0</v>
      </c>
      <c r="X461" s="2">
        <v>0</v>
      </c>
      <c r="Y461" s="2">
        <v>15</v>
      </c>
      <c r="Z461" s="2">
        <v>0</v>
      </c>
      <c r="AA461" s="2">
        <v>-15</v>
      </c>
      <c r="AB461" s="2" t="s">
        <v>2978</v>
      </c>
      <c r="AC461" s="2"/>
      <c r="AD461" s="2"/>
    </row>
    <row r="462" s="1" customFormat="1" ht="11.25" spans="1:30">
      <c r="A462" s="2" t="s">
        <v>4155</v>
      </c>
      <c r="B462" s="2" t="s">
        <v>2970</v>
      </c>
      <c r="C462" s="2"/>
      <c r="D462" s="2" t="s">
        <v>813</v>
      </c>
      <c r="E462" s="2" t="s">
        <v>2990</v>
      </c>
      <c r="F462" s="2"/>
      <c r="G462" s="2"/>
      <c r="H462" s="2" t="s">
        <v>2972</v>
      </c>
      <c r="I462" s="2"/>
      <c r="J462" s="2"/>
      <c r="K462" s="2" t="s">
        <v>4156</v>
      </c>
      <c r="L462" s="2" t="s">
        <v>4156</v>
      </c>
      <c r="M462" s="2" t="s">
        <v>2974</v>
      </c>
      <c r="N462" s="2" t="s">
        <v>908</v>
      </c>
      <c r="O462" s="2" t="s">
        <v>2975</v>
      </c>
      <c r="P462" s="2" t="s">
        <v>2982</v>
      </c>
      <c r="Q462" s="2">
        <v>0</v>
      </c>
      <c r="R462" s="2">
        <v>0</v>
      </c>
      <c r="S462" s="2">
        <v>0</v>
      </c>
      <c r="T462" s="2">
        <v>0</v>
      </c>
      <c r="U462" s="2">
        <v>0</v>
      </c>
      <c r="V462" s="2">
        <v>0</v>
      </c>
      <c r="W462" s="2">
        <v>0</v>
      </c>
      <c r="X462" s="2">
        <v>0</v>
      </c>
      <c r="Y462" s="2">
        <v>0</v>
      </c>
      <c r="Z462" s="2">
        <v>0</v>
      </c>
      <c r="AA462" s="2">
        <v>0</v>
      </c>
      <c r="AB462" s="2" t="s">
        <v>2978</v>
      </c>
      <c r="AC462" s="2"/>
      <c r="AD462" s="2"/>
    </row>
    <row r="463" s="1" customFormat="1" ht="11.25" spans="1:30">
      <c r="A463" s="2" t="s">
        <v>133</v>
      </c>
      <c r="B463" s="2" t="s">
        <v>3878</v>
      </c>
      <c r="C463" s="2"/>
      <c r="D463" s="2" t="s">
        <v>813</v>
      </c>
      <c r="E463" s="2" t="s">
        <v>96</v>
      </c>
      <c r="F463" s="2" t="s">
        <v>103</v>
      </c>
      <c r="G463" s="2"/>
      <c r="H463" s="2" t="s">
        <v>2980</v>
      </c>
      <c r="I463" s="2"/>
      <c r="J463" s="2"/>
      <c r="K463" s="2" t="s">
        <v>132</v>
      </c>
      <c r="L463" s="2" t="s">
        <v>4157</v>
      </c>
      <c r="M463" s="2" t="s">
        <v>2974</v>
      </c>
      <c r="N463" s="2" t="s">
        <v>908</v>
      </c>
      <c r="O463" s="2" t="s">
        <v>2975</v>
      </c>
      <c r="P463" s="2" t="s">
        <v>4158</v>
      </c>
      <c r="Q463" s="2">
        <v>0.09</v>
      </c>
      <c r="R463" s="2">
        <v>0</v>
      </c>
      <c r="S463" s="2">
        <v>0</v>
      </c>
      <c r="T463" s="2">
        <v>0</v>
      </c>
      <c r="U463" s="2">
        <v>0</v>
      </c>
      <c r="V463" s="2">
        <v>0</v>
      </c>
      <c r="W463" s="2">
        <v>0</v>
      </c>
      <c r="X463" s="2">
        <v>0</v>
      </c>
      <c r="Y463" s="2">
        <v>0</v>
      </c>
      <c r="Z463" s="2">
        <v>0</v>
      </c>
      <c r="AA463" s="2">
        <v>0</v>
      </c>
      <c r="AB463" s="2" t="s">
        <v>3258</v>
      </c>
      <c r="AC463" s="2" t="s">
        <v>3196</v>
      </c>
      <c r="AD463" s="2" t="s">
        <v>4159</v>
      </c>
    </row>
    <row r="464" s="1" customFormat="1" ht="11.25" spans="1:30">
      <c r="A464" s="2" t="s">
        <v>105</v>
      </c>
      <c r="B464" s="2" t="s">
        <v>2970</v>
      </c>
      <c r="C464" s="2"/>
      <c r="D464" s="2" t="s">
        <v>813</v>
      </c>
      <c r="E464" s="2" t="s">
        <v>96</v>
      </c>
      <c r="F464" s="2" t="s">
        <v>103</v>
      </c>
      <c r="G464" s="2"/>
      <c r="H464" s="2" t="s">
        <v>2980</v>
      </c>
      <c r="I464" s="2"/>
      <c r="J464" s="2"/>
      <c r="K464" s="2" t="s">
        <v>104</v>
      </c>
      <c r="L464" s="2" t="s">
        <v>4160</v>
      </c>
      <c r="M464" s="2" t="s">
        <v>2974</v>
      </c>
      <c r="N464" s="2" t="s">
        <v>908</v>
      </c>
      <c r="O464" s="2" t="s">
        <v>2975</v>
      </c>
      <c r="P464" s="2" t="s">
        <v>4161</v>
      </c>
      <c r="Q464" s="2">
        <v>0.05</v>
      </c>
      <c r="R464" s="2">
        <v>0</v>
      </c>
      <c r="S464" s="2">
        <v>0</v>
      </c>
      <c r="T464" s="2">
        <v>0</v>
      </c>
      <c r="U464" s="2">
        <v>0</v>
      </c>
      <c r="V464" s="2">
        <v>0</v>
      </c>
      <c r="W464" s="2">
        <v>0</v>
      </c>
      <c r="X464" s="2">
        <v>0</v>
      </c>
      <c r="Y464" s="2">
        <v>0</v>
      </c>
      <c r="Z464" s="2">
        <v>0</v>
      </c>
      <c r="AA464" s="2">
        <v>0</v>
      </c>
      <c r="AB464" s="2" t="s">
        <v>3360</v>
      </c>
      <c r="AC464" s="2" t="s">
        <v>3258</v>
      </c>
      <c r="AD464" s="2" t="s">
        <v>4162</v>
      </c>
    </row>
    <row r="465" s="1" customFormat="1" ht="11.25" spans="1:30">
      <c r="A465" s="2" t="s">
        <v>305</v>
      </c>
      <c r="B465" s="2" t="s">
        <v>2970</v>
      </c>
      <c r="C465" s="2" t="s">
        <v>3023</v>
      </c>
      <c r="D465" s="2" t="s">
        <v>813</v>
      </c>
      <c r="E465" s="2" t="s">
        <v>96</v>
      </c>
      <c r="F465" s="2" t="s">
        <v>115</v>
      </c>
      <c r="G465" s="2"/>
      <c r="H465" s="2" t="s">
        <v>2980</v>
      </c>
      <c r="I465" s="2"/>
      <c r="J465" s="2"/>
      <c r="K465" s="2" t="s">
        <v>304</v>
      </c>
      <c r="L465" s="2" t="s">
        <v>3086</v>
      </c>
      <c r="M465" s="2" t="s">
        <v>2974</v>
      </c>
      <c r="N465" s="2" t="s">
        <v>908</v>
      </c>
      <c r="O465" s="2" t="s">
        <v>2975</v>
      </c>
      <c r="P465" s="2" t="s">
        <v>3392</v>
      </c>
      <c r="Q465" s="2">
        <v>0.01</v>
      </c>
      <c r="R465" s="2">
        <v>0</v>
      </c>
      <c r="S465" s="2">
        <v>0</v>
      </c>
      <c r="T465" s="2">
        <v>0</v>
      </c>
      <c r="U465" s="2">
        <v>0</v>
      </c>
      <c r="V465" s="2">
        <v>0</v>
      </c>
      <c r="W465" s="2">
        <v>0</v>
      </c>
      <c r="X465" s="2">
        <v>0</v>
      </c>
      <c r="Y465" s="2">
        <v>0</v>
      </c>
      <c r="Z465" s="2">
        <v>0</v>
      </c>
      <c r="AA465" s="2">
        <v>0</v>
      </c>
      <c r="AB465" s="2" t="s">
        <v>3245</v>
      </c>
      <c r="AC465" s="2" t="s">
        <v>3705</v>
      </c>
      <c r="AD465" s="2" t="s">
        <v>3012</v>
      </c>
    </row>
    <row r="466" s="1" customFormat="1" ht="11.25" spans="1:30">
      <c r="A466" s="2" t="s">
        <v>4163</v>
      </c>
      <c r="B466" s="2" t="s">
        <v>3878</v>
      </c>
      <c r="C466" s="2"/>
      <c r="D466" s="2" t="s">
        <v>813</v>
      </c>
      <c r="E466" s="2" t="s">
        <v>108</v>
      </c>
      <c r="F466" s="2" t="s">
        <v>146</v>
      </c>
      <c r="G466" s="2"/>
      <c r="H466" s="2" t="s">
        <v>2980</v>
      </c>
      <c r="I466" s="2"/>
      <c r="J466" s="2"/>
      <c r="K466" s="2" t="s">
        <v>4164</v>
      </c>
      <c r="L466" s="2" t="s">
        <v>4165</v>
      </c>
      <c r="M466" s="2" t="s">
        <v>2974</v>
      </c>
      <c r="N466" s="2" t="s">
        <v>908</v>
      </c>
      <c r="O466" s="2" t="s">
        <v>2975</v>
      </c>
      <c r="P466" s="2" t="s">
        <v>2982</v>
      </c>
      <c r="Q466" s="2">
        <v>0</v>
      </c>
      <c r="R466" s="2">
        <v>0</v>
      </c>
      <c r="S466" s="2">
        <v>0</v>
      </c>
      <c r="T466" s="2">
        <v>0</v>
      </c>
      <c r="U466" s="2">
        <v>0</v>
      </c>
      <c r="V466" s="2">
        <v>0</v>
      </c>
      <c r="W466" s="2">
        <v>0</v>
      </c>
      <c r="X466" s="2">
        <v>0</v>
      </c>
      <c r="Y466" s="2">
        <v>1</v>
      </c>
      <c r="Z466" s="2">
        <v>0</v>
      </c>
      <c r="AA466" s="2">
        <v>-1</v>
      </c>
      <c r="AB466" s="2" t="s">
        <v>4166</v>
      </c>
      <c r="AC466" s="2" t="s">
        <v>4167</v>
      </c>
      <c r="AD466" s="2" t="s">
        <v>4168</v>
      </c>
    </row>
    <row r="467" s="1" customFormat="1" ht="11.25" spans="1:30">
      <c r="A467" s="2" t="s">
        <v>250</v>
      </c>
      <c r="B467" s="2" t="s">
        <v>919</v>
      </c>
      <c r="C467" s="2" t="s">
        <v>3004</v>
      </c>
      <c r="D467" s="2" t="s">
        <v>813</v>
      </c>
      <c r="E467" s="2" t="s">
        <v>96</v>
      </c>
      <c r="F467" s="2" t="s">
        <v>127</v>
      </c>
      <c r="G467" s="2"/>
      <c r="H467" s="2" t="s">
        <v>2980</v>
      </c>
      <c r="I467" s="2"/>
      <c r="J467" s="2"/>
      <c r="K467" s="2" t="s">
        <v>249</v>
      </c>
      <c r="L467" s="2" t="s">
        <v>3177</v>
      </c>
      <c r="M467" s="2" t="s">
        <v>2974</v>
      </c>
      <c r="N467" s="2" t="s">
        <v>908</v>
      </c>
      <c r="O467" s="2" t="s">
        <v>2975</v>
      </c>
      <c r="P467" s="2" t="s">
        <v>2982</v>
      </c>
      <c r="Q467" s="2">
        <v>0</v>
      </c>
      <c r="R467" s="2">
        <v>0</v>
      </c>
      <c r="S467" s="2">
        <v>0</v>
      </c>
      <c r="T467" s="2">
        <v>0</v>
      </c>
      <c r="U467" s="2">
        <v>0</v>
      </c>
      <c r="V467" s="2">
        <v>0</v>
      </c>
      <c r="W467" s="2">
        <v>0</v>
      </c>
      <c r="X467" s="2">
        <v>0</v>
      </c>
      <c r="Y467" s="2">
        <v>0</v>
      </c>
      <c r="Z467" s="2">
        <v>0</v>
      </c>
      <c r="AA467" s="2">
        <v>0</v>
      </c>
      <c r="AB467" s="2" t="s">
        <v>3789</v>
      </c>
      <c r="AC467" s="2"/>
      <c r="AD467" s="2" t="s">
        <v>4169</v>
      </c>
    </row>
    <row r="468" s="1" customFormat="1" ht="11.25" spans="1:30">
      <c r="A468" s="2" t="s">
        <v>161</v>
      </c>
      <c r="B468" s="2" t="s">
        <v>919</v>
      </c>
      <c r="C468" s="2" t="s">
        <v>3023</v>
      </c>
      <c r="D468" s="2" t="s">
        <v>813</v>
      </c>
      <c r="E468" s="2" t="s">
        <v>108</v>
      </c>
      <c r="F468" s="2" t="s">
        <v>109</v>
      </c>
      <c r="G468" s="2"/>
      <c r="H468" s="2" t="s">
        <v>2980</v>
      </c>
      <c r="I468" s="2"/>
      <c r="J468" s="2"/>
      <c r="K468" s="2" t="s">
        <v>160</v>
      </c>
      <c r="L468" s="2" t="s">
        <v>4170</v>
      </c>
      <c r="M468" s="2" t="s">
        <v>2974</v>
      </c>
      <c r="N468" s="2" t="s">
        <v>908</v>
      </c>
      <c r="O468" s="2" t="s">
        <v>2975</v>
      </c>
      <c r="P468" s="2" t="s">
        <v>2982</v>
      </c>
      <c r="Q468" s="2">
        <v>0</v>
      </c>
      <c r="R468" s="2">
        <v>0</v>
      </c>
      <c r="S468" s="2">
        <v>0</v>
      </c>
      <c r="T468" s="2">
        <v>0</v>
      </c>
      <c r="U468" s="2">
        <v>0</v>
      </c>
      <c r="V468" s="2">
        <v>0</v>
      </c>
      <c r="W468" s="2">
        <v>0</v>
      </c>
      <c r="X468" s="2">
        <v>0</v>
      </c>
      <c r="Y468" s="2">
        <v>0</v>
      </c>
      <c r="Z468" s="2">
        <v>0</v>
      </c>
      <c r="AA468" s="2">
        <v>0</v>
      </c>
      <c r="AB468" s="2" t="s">
        <v>4171</v>
      </c>
      <c r="AC468" s="2" t="s">
        <v>4172</v>
      </c>
      <c r="AD468" s="2" t="s">
        <v>4173</v>
      </c>
    </row>
    <row r="469" s="1" customFormat="1" ht="11.25" spans="1:30">
      <c r="A469" s="2" t="s">
        <v>4174</v>
      </c>
      <c r="B469" s="2" t="s">
        <v>3878</v>
      </c>
      <c r="C469" s="2"/>
      <c r="D469" s="2" t="s">
        <v>813</v>
      </c>
      <c r="E469" s="2" t="s">
        <v>108</v>
      </c>
      <c r="F469" s="2" t="s">
        <v>109</v>
      </c>
      <c r="G469" s="2"/>
      <c r="H469" s="2" t="s">
        <v>2980</v>
      </c>
      <c r="I469" s="2"/>
      <c r="J469" s="2"/>
      <c r="K469" s="2" t="s">
        <v>4175</v>
      </c>
      <c r="L469" s="2" t="s">
        <v>4176</v>
      </c>
      <c r="M469" s="2" t="s">
        <v>2974</v>
      </c>
      <c r="N469" s="2" t="s">
        <v>908</v>
      </c>
      <c r="O469" s="2" t="s">
        <v>2975</v>
      </c>
      <c r="P469" s="2" t="s">
        <v>2982</v>
      </c>
      <c r="Q469" s="2">
        <v>0</v>
      </c>
      <c r="R469" s="2">
        <v>0</v>
      </c>
      <c r="S469" s="2">
        <v>0</v>
      </c>
      <c r="T469" s="2">
        <v>0</v>
      </c>
      <c r="U469" s="2">
        <v>0</v>
      </c>
      <c r="V469" s="2">
        <v>0</v>
      </c>
      <c r="W469" s="2">
        <v>0</v>
      </c>
      <c r="X469" s="2">
        <v>0</v>
      </c>
      <c r="Y469" s="2">
        <v>0</v>
      </c>
      <c r="Z469" s="2">
        <v>0</v>
      </c>
      <c r="AA469" s="2">
        <v>0</v>
      </c>
      <c r="AB469" s="2" t="s">
        <v>4177</v>
      </c>
      <c r="AC469" s="2" t="s">
        <v>3783</v>
      </c>
      <c r="AD469" s="2" t="s">
        <v>4178</v>
      </c>
    </row>
    <row r="470" s="1" customFormat="1" ht="11.25" spans="1:30">
      <c r="A470" s="2" t="s">
        <v>4179</v>
      </c>
      <c r="B470" s="2" t="s">
        <v>3878</v>
      </c>
      <c r="C470" s="2"/>
      <c r="D470" s="2" t="s">
        <v>813</v>
      </c>
      <c r="E470" s="2" t="s">
        <v>96</v>
      </c>
      <c r="F470" s="2" t="s">
        <v>97</v>
      </c>
      <c r="G470" s="2"/>
      <c r="H470" s="2" t="s">
        <v>2980</v>
      </c>
      <c r="I470" s="2"/>
      <c r="J470" s="2"/>
      <c r="K470" s="2" t="s">
        <v>4180</v>
      </c>
      <c r="L470" s="2" t="s">
        <v>4181</v>
      </c>
      <c r="M470" s="2" t="s">
        <v>2974</v>
      </c>
      <c r="N470" s="2" t="s">
        <v>908</v>
      </c>
      <c r="O470" s="2" t="s">
        <v>2975</v>
      </c>
      <c r="P470" s="2" t="s">
        <v>2982</v>
      </c>
      <c r="Q470" s="2">
        <v>0</v>
      </c>
      <c r="R470" s="2">
        <v>0</v>
      </c>
      <c r="S470" s="2">
        <v>0</v>
      </c>
      <c r="T470" s="2">
        <v>0</v>
      </c>
      <c r="U470" s="2">
        <v>0</v>
      </c>
      <c r="V470" s="2">
        <v>0</v>
      </c>
      <c r="W470" s="2">
        <v>0</v>
      </c>
      <c r="X470" s="2">
        <v>0</v>
      </c>
      <c r="Y470" s="2">
        <v>1</v>
      </c>
      <c r="Z470" s="2">
        <v>0</v>
      </c>
      <c r="AA470" s="2">
        <v>-1</v>
      </c>
      <c r="AB470" s="2" t="s">
        <v>4182</v>
      </c>
      <c r="AC470" s="2" t="s">
        <v>3341</v>
      </c>
      <c r="AD470" s="2" t="s">
        <v>4183</v>
      </c>
    </row>
    <row r="471" s="1" customFormat="1" ht="11.25" spans="1:30">
      <c r="A471" s="2" t="s">
        <v>4184</v>
      </c>
      <c r="B471" s="2" t="s">
        <v>3878</v>
      </c>
      <c r="C471" s="2"/>
      <c r="D471" s="2" t="s">
        <v>813</v>
      </c>
      <c r="E471" s="2" t="s">
        <v>108</v>
      </c>
      <c r="F471" s="2" t="s">
        <v>206</v>
      </c>
      <c r="G471" s="2"/>
      <c r="H471" s="2" t="s">
        <v>2980</v>
      </c>
      <c r="I471" s="2"/>
      <c r="J471" s="2"/>
      <c r="K471" s="2" t="s">
        <v>4185</v>
      </c>
      <c r="L471" s="2" t="s">
        <v>4186</v>
      </c>
      <c r="M471" s="2" t="s">
        <v>2974</v>
      </c>
      <c r="N471" s="2" t="s">
        <v>908</v>
      </c>
      <c r="O471" s="2" t="s">
        <v>2975</v>
      </c>
      <c r="P471" s="2" t="s">
        <v>2982</v>
      </c>
      <c r="Q471" s="2">
        <v>0</v>
      </c>
      <c r="R471" s="2">
        <v>0</v>
      </c>
      <c r="S471" s="2">
        <v>0</v>
      </c>
      <c r="T471" s="2">
        <v>0</v>
      </c>
      <c r="U471" s="2">
        <v>0</v>
      </c>
      <c r="V471" s="2">
        <v>0</v>
      </c>
      <c r="W471" s="2">
        <v>0</v>
      </c>
      <c r="X471" s="2">
        <v>0</v>
      </c>
      <c r="Y471" s="2">
        <v>0</v>
      </c>
      <c r="Z471" s="2">
        <v>0</v>
      </c>
      <c r="AA471" s="2">
        <v>0</v>
      </c>
      <c r="AB471" s="2" t="s">
        <v>4187</v>
      </c>
      <c r="AC471" s="2" t="s">
        <v>4188</v>
      </c>
      <c r="AD471" s="2" t="s">
        <v>4189</v>
      </c>
    </row>
    <row r="472" s="1" customFormat="1" ht="11.25" spans="1:30">
      <c r="A472" s="2" t="s">
        <v>1416</v>
      </c>
      <c r="B472" s="2" t="s">
        <v>2970</v>
      </c>
      <c r="C472" s="2" t="s">
        <v>3023</v>
      </c>
      <c r="D472" s="2" t="s">
        <v>813</v>
      </c>
      <c r="E472" s="2" t="s">
        <v>96</v>
      </c>
      <c r="F472" s="2" t="s">
        <v>103</v>
      </c>
      <c r="G472" s="2"/>
      <c r="H472" s="2" t="s">
        <v>2980</v>
      </c>
      <c r="I472" s="2"/>
      <c r="J472" s="2"/>
      <c r="K472" s="2" t="s">
        <v>1417</v>
      </c>
      <c r="L472" s="2" t="s">
        <v>4190</v>
      </c>
      <c r="M472" s="2" t="s">
        <v>2974</v>
      </c>
      <c r="N472" s="2" t="s">
        <v>908</v>
      </c>
      <c r="O472" s="2" t="s">
        <v>2975</v>
      </c>
      <c r="P472" s="2" t="s">
        <v>4191</v>
      </c>
      <c r="Q472" s="2">
        <v>0.01</v>
      </c>
      <c r="R472" s="2">
        <v>0</v>
      </c>
      <c r="S472" s="2">
        <v>0</v>
      </c>
      <c r="T472" s="2">
        <v>0</v>
      </c>
      <c r="U472" s="2">
        <v>0</v>
      </c>
      <c r="V472" s="2">
        <v>0</v>
      </c>
      <c r="W472" s="2">
        <v>0</v>
      </c>
      <c r="X472" s="2">
        <v>0</v>
      </c>
      <c r="Y472" s="2">
        <v>0</v>
      </c>
      <c r="Z472" s="2">
        <v>0</v>
      </c>
      <c r="AA472" s="2">
        <v>0</v>
      </c>
      <c r="AB472" s="2" t="s">
        <v>3282</v>
      </c>
      <c r="AC472" s="2" t="s">
        <v>3533</v>
      </c>
      <c r="AD472" s="2" t="s">
        <v>4192</v>
      </c>
    </row>
    <row r="473" s="1" customFormat="1" ht="11.25" spans="1:30">
      <c r="A473" s="2" t="s">
        <v>4193</v>
      </c>
      <c r="B473" s="2" t="s">
        <v>3878</v>
      </c>
      <c r="C473" s="2"/>
      <c r="D473" s="2" t="s">
        <v>813</v>
      </c>
      <c r="E473" s="2" t="s">
        <v>96</v>
      </c>
      <c r="F473" s="2" t="s">
        <v>103</v>
      </c>
      <c r="G473" s="2"/>
      <c r="H473" s="2" t="s">
        <v>2980</v>
      </c>
      <c r="I473" s="2"/>
      <c r="J473" s="2"/>
      <c r="K473" s="2" t="s">
        <v>4194</v>
      </c>
      <c r="L473" s="2" t="s">
        <v>4195</v>
      </c>
      <c r="M473" s="2" t="s">
        <v>2974</v>
      </c>
      <c r="N473" s="2" t="s">
        <v>908</v>
      </c>
      <c r="O473" s="2" t="s">
        <v>2975</v>
      </c>
      <c r="P473" s="2" t="s">
        <v>2982</v>
      </c>
      <c r="Q473" s="2">
        <v>0</v>
      </c>
      <c r="R473" s="2">
        <v>0</v>
      </c>
      <c r="S473" s="2">
        <v>0</v>
      </c>
      <c r="T473" s="2">
        <v>0</v>
      </c>
      <c r="U473" s="2">
        <v>0</v>
      </c>
      <c r="V473" s="2">
        <v>0</v>
      </c>
      <c r="W473" s="2">
        <v>0</v>
      </c>
      <c r="X473" s="2">
        <v>0</v>
      </c>
      <c r="Y473" s="2">
        <v>0</v>
      </c>
      <c r="Z473" s="2">
        <v>0</v>
      </c>
      <c r="AA473" s="2">
        <v>0</v>
      </c>
      <c r="AB473" s="2" t="s">
        <v>4196</v>
      </c>
      <c r="AC473" s="2" t="s">
        <v>4197</v>
      </c>
      <c r="AD473" s="2" t="s">
        <v>4198</v>
      </c>
    </row>
    <row r="474" s="1" customFormat="1" ht="11.25" spans="1:30">
      <c r="A474" s="2" t="s">
        <v>248</v>
      </c>
      <c r="B474" s="2" t="s">
        <v>2970</v>
      </c>
      <c r="C474" s="2" t="s">
        <v>3023</v>
      </c>
      <c r="D474" s="2" t="s">
        <v>813</v>
      </c>
      <c r="E474" s="2" t="s">
        <v>108</v>
      </c>
      <c r="F474" s="2" t="s">
        <v>109</v>
      </c>
      <c r="G474" s="2"/>
      <c r="H474" s="2" t="s">
        <v>2980</v>
      </c>
      <c r="I474" s="2"/>
      <c r="J474" s="2"/>
      <c r="K474" s="2" t="s">
        <v>247</v>
      </c>
      <c r="L474" s="2" t="s">
        <v>4199</v>
      </c>
      <c r="M474" s="2" t="s">
        <v>2974</v>
      </c>
      <c r="N474" s="2" t="s">
        <v>908</v>
      </c>
      <c r="O474" s="2" t="s">
        <v>2975</v>
      </c>
      <c r="P474" s="2" t="s">
        <v>2982</v>
      </c>
      <c r="Q474" s="2">
        <v>0</v>
      </c>
      <c r="R474" s="2">
        <v>0</v>
      </c>
      <c r="S474" s="2">
        <v>0</v>
      </c>
      <c r="T474" s="2">
        <v>0</v>
      </c>
      <c r="U474" s="2">
        <v>0</v>
      </c>
      <c r="V474" s="2">
        <v>0</v>
      </c>
      <c r="W474" s="2">
        <v>0</v>
      </c>
      <c r="X474" s="2">
        <v>0</v>
      </c>
      <c r="Y474" s="2">
        <v>0</v>
      </c>
      <c r="Z474" s="2">
        <v>0</v>
      </c>
      <c r="AA474" s="2">
        <v>0</v>
      </c>
      <c r="AB474" s="2" t="s">
        <v>1140</v>
      </c>
      <c r="AC474" s="2" t="s">
        <v>3464</v>
      </c>
      <c r="AD474" s="2" t="s">
        <v>3751</v>
      </c>
    </row>
    <row r="475" s="1" customFormat="1" ht="11.25" spans="1:30">
      <c r="A475" s="2" t="s">
        <v>4200</v>
      </c>
      <c r="B475" s="2" t="s">
        <v>3878</v>
      </c>
      <c r="C475" s="2"/>
      <c r="D475" s="2" t="s">
        <v>813</v>
      </c>
      <c r="E475" s="2" t="s">
        <v>96</v>
      </c>
      <c r="F475" s="2" t="s">
        <v>97</v>
      </c>
      <c r="G475" s="2"/>
      <c r="H475" s="2" t="s">
        <v>2980</v>
      </c>
      <c r="I475" s="2"/>
      <c r="J475" s="2"/>
      <c r="K475" s="2" t="s">
        <v>4201</v>
      </c>
      <c r="L475" s="2" t="s">
        <v>4202</v>
      </c>
      <c r="M475" s="2" t="s">
        <v>2974</v>
      </c>
      <c r="N475" s="2" t="s">
        <v>908</v>
      </c>
      <c r="O475" s="2" t="s">
        <v>2975</v>
      </c>
      <c r="P475" s="2" t="s">
        <v>2982</v>
      </c>
      <c r="Q475" s="2">
        <v>0</v>
      </c>
      <c r="R475" s="2">
        <v>0</v>
      </c>
      <c r="S475" s="2">
        <v>0</v>
      </c>
      <c r="T475" s="2">
        <v>0</v>
      </c>
      <c r="U475" s="2">
        <v>0</v>
      </c>
      <c r="V475" s="2">
        <v>0</v>
      </c>
      <c r="W475" s="2">
        <v>0</v>
      </c>
      <c r="X475" s="2">
        <v>0</v>
      </c>
      <c r="Y475" s="2">
        <v>0</v>
      </c>
      <c r="Z475" s="2">
        <v>0</v>
      </c>
      <c r="AA475" s="2">
        <v>0</v>
      </c>
      <c r="AB475" s="2" t="s">
        <v>4203</v>
      </c>
      <c r="AC475" s="2"/>
      <c r="AD475" s="2" t="s">
        <v>3607</v>
      </c>
    </row>
    <row r="476" s="1" customFormat="1" ht="11.25" spans="1:30">
      <c r="A476" s="2" t="s">
        <v>4204</v>
      </c>
      <c r="B476" s="2" t="s">
        <v>3878</v>
      </c>
      <c r="C476" s="2"/>
      <c r="D476" s="2" t="s">
        <v>813</v>
      </c>
      <c r="E476" s="2" t="s">
        <v>108</v>
      </c>
      <c r="F476" s="2" t="s">
        <v>206</v>
      </c>
      <c r="G476" s="2"/>
      <c r="H476" s="2" t="s">
        <v>2980</v>
      </c>
      <c r="I476" s="2"/>
      <c r="J476" s="2"/>
      <c r="K476" s="2" t="s">
        <v>4205</v>
      </c>
      <c r="L476" s="2" t="s">
        <v>4206</v>
      </c>
      <c r="M476" s="2" t="s">
        <v>2974</v>
      </c>
      <c r="N476" s="2" t="s">
        <v>908</v>
      </c>
      <c r="O476" s="2" t="s">
        <v>2975</v>
      </c>
      <c r="P476" s="2" t="s">
        <v>2982</v>
      </c>
      <c r="Q476" s="2">
        <v>0</v>
      </c>
      <c r="R476" s="2">
        <v>0</v>
      </c>
      <c r="S476" s="2">
        <v>0</v>
      </c>
      <c r="T476" s="2">
        <v>0</v>
      </c>
      <c r="U476" s="2">
        <v>0</v>
      </c>
      <c r="V476" s="2">
        <v>0</v>
      </c>
      <c r="W476" s="2">
        <v>0</v>
      </c>
      <c r="X476" s="2">
        <v>0</v>
      </c>
      <c r="Y476" s="2">
        <v>0</v>
      </c>
      <c r="Z476" s="2">
        <v>0</v>
      </c>
      <c r="AA476" s="2">
        <v>0</v>
      </c>
      <c r="AB476" s="2" t="s">
        <v>3919</v>
      </c>
      <c r="AC476" s="2" t="s">
        <v>4091</v>
      </c>
      <c r="AD476" s="2" t="s">
        <v>4207</v>
      </c>
    </row>
    <row r="477" s="1" customFormat="1" ht="11.25" spans="1:30">
      <c r="A477" s="2" t="s">
        <v>4208</v>
      </c>
      <c r="B477" s="2" t="s">
        <v>3878</v>
      </c>
      <c r="C477" s="2"/>
      <c r="D477" s="2" t="s">
        <v>813</v>
      </c>
      <c r="E477" s="2" t="s">
        <v>108</v>
      </c>
      <c r="F477" s="2" t="s">
        <v>109</v>
      </c>
      <c r="G477" s="2"/>
      <c r="H477" s="2" t="s">
        <v>2980</v>
      </c>
      <c r="I477" s="2"/>
      <c r="J477" s="2"/>
      <c r="K477" s="2" t="s">
        <v>4209</v>
      </c>
      <c r="L477" s="2" t="s">
        <v>4210</v>
      </c>
      <c r="M477" s="2" t="s">
        <v>2974</v>
      </c>
      <c r="N477" s="2" t="s">
        <v>908</v>
      </c>
      <c r="O477" s="2" t="s">
        <v>2975</v>
      </c>
      <c r="P477" s="2" t="s">
        <v>2982</v>
      </c>
      <c r="Q477" s="2">
        <v>0</v>
      </c>
      <c r="R477" s="2">
        <v>0</v>
      </c>
      <c r="S477" s="2">
        <v>0</v>
      </c>
      <c r="T477" s="2">
        <v>0</v>
      </c>
      <c r="U477" s="2">
        <v>0</v>
      </c>
      <c r="V477" s="2">
        <v>0</v>
      </c>
      <c r="W477" s="2">
        <v>0</v>
      </c>
      <c r="X477" s="2">
        <v>0</v>
      </c>
      <c r="Y477" s="2">
        <v>0</v>
      </c>
      <c r="Z477" s="2">
        <v>0</v>
      </c>
      <c r="AA477" s="2">
        <v>0</v>
      </c>
      <c r="AB477" s="2" t="s">
        <v>3840</v>
      </c>
      <c r="AC477" s="2" t="s">
        <v>2694</v>
      </c>
      <c r="AD477" s="2" t="s">
        <v>4211</v>
      </c>
    </row>
    <row r="478" s="1" customFormat="1" ht="11.25" spans="1:30">
      <c r="A478" s="2" t="s">
        <v>377</v>
      </c>
      <c r="B478" s="2" t="s">
        <v>919</v>
      </c>
      <c r="C478" s="2" t="s">
        <v>2979</v>
      </c>
      <c r="D478" s="2" t="s">
        <v>813</v>
      </c>
      <c r="E478" s="2" t="s">
        <v>108</v>
      </c>
      <c r="F478" s="2" t="s">
        <v>109</v>
      </c>
      <c r="G478" s="2"/>
      <c r="H478" s="2" t="s">
        <v>2980</v>
      </c>
      <c r="I478" s="2"/>
      <c r="J478" s="2"/>
      <c r="K478" s="2" t="s">
        <v>376</v>
      </c>
      <c r="L478" s="2" t="s">
        <v>4212</v>
      </c>
      <c r="M478" s="2" t="s">
        <v>2974</v>
      </c>
      <c r="N478" s="2" t="s">
        <v>908</v>
      </c>
      <c r="O478" s="2" t="s">
        <v>2975</v>
      </c>
      <c r="P478" s="2" t="s">
        <v>2982</v>
      </c>
      <c r="Q478" s="2">
        <v>0</v>
      </c>
      <c r="R478" s="2">
        <v>0</v>
      </c>
      <c r="S478" s="2">
        <v>0</v>
      </c>
      <c r="T478" s="2">
        <v>100</v>
      </c>
      <c r="U478" s="2">
        <v>0</v>
      </c>
      <c r="V478" s="2">
        <v>0</v>
      </c>
      <c r="W478" s="2">
        <v>0</v>
      </c>
      <c r="X478" s="2">
        <v>0</v>
      </c>
      <c r="Y478" s="2">
        <v>0</v>
      </c>
      <c r="Z478" s="2">
        <v>0</v>
      </c>
      <c r="AA478" s="2">
        <v>0</v>
      </c>
      <c r="AB478" s="2" t="s">
        <v>4213</v>
      </c>
      <c r="AC478" s="2" t="s">
        <v>3325</v>
      </c>
      <c r="AD478" s="2" t="s">
        <v>4214</v>
      </c>
    </row>
    <row r="479" s="1" customFormat="1" ht="11.25" spans="1:30">
      <c r="A479" s="2" t="s">
        <v>379</v>
      </c>
      <c r="B479" s="2" t="s">
        <v>919</v>
      </c>
      <c r="C479" s="2" t="s">
        <v>3023</v>
      </c>
      <c r="D479" s="2" t="s">
        <v>813</v>
      </c>
      <c r="E479" s="2" t="s">
        <v>108</v>
      </c>
      <c r="F479" s="2" t="s">
        <v>109</v>
      </c>
      <c r="G479" s="2"/>
      <c r="H479" s="2" t="s">
        <v>2980</v>
      </c>
      <c r="I479" s="2"/>
      <c r="J479" s="2"/>
      <c r="K479" s="2" t="s">
        <v>378</v>
      </c>
      <c r="L479" s="2" t="s">
        <v>4215</v>
      </c>
      <c r="M479" s="2" t="s">
        <v>2974</v>
      </c>
      <c r="N479" s="2" t="s">
        <v>908</v>
      </c>
      <c r="O479" s="2" t="s">
        <v>2975</v>
      </c>
      <c r="P479" s="2" t="s">
        <v>2982</v>
      </c>
      <c r="Q479" s="2">
        <v>0</v>
      </c>
      <c r="R479" s="2">
        <v>0</v>
      </c>
      <c r="S479" s="2">
        <v>0</v>
      </c>
      <c r="T479" s="2">
        <v>100</v>
      </c>
      <c r="U479" s="2">
        <v>0</v>
      </c>
      <c r="V479" s="2">
        <v>0</v>
      </c>
      <c r="W479" s="2">
        <v>0</v>
      </c>
      <c r="X479" s="2">
        <v>0</v>
      </c>
      <c r="Y479" s="2">
        <v>0</v>
      </c>
      <c r="Z479" s="2">
        <v>0</v>
      </c>
      <c r="AA479" s="2">
        <v>0</v>
      </c>
      <c r="AB479" s="2" t="s">
        <v>3196</v>
      </c>
      <c r="AC479" s="2" t="s">
        <v>4216</v>
      </c>
      <c r="AD479" s="2" t="s">
        <v>4217</v>
      </c>
    </row>
    <row r="480" s="1" customFormat="1" ht="11.25" spans="1:30">
      <c r="A480" s="2" t="s">
        <v>322</v>
      </c>
      <c r="B480" s="2" t="s">
        <v>919</v>
      </c>
      <c r="C480" s="2" t="s">
        <v>2979</v>
      </c>
      <c r="D480" s="2" t="s">
        <v>813</v>
      </c>
      <c r="E480" s="2" t="s">
        <v>108</v>
      </c>
      <c r="F480" s="2" t="s">
        <v>278</v>
      </c>
      <c r="G480" s="2"/>
      <c r="H480" s="2" t="s">
        <v>2980</v>
      </c>
      <c r="I480" s="2"/>
      <c r="J480" s="2"/>
      <c r="K480" s="2" t="s">
        <v>321</v>
      </c>
      <c r="L480" s="2" t="s">
        <v>3373</v>
      </c>
      <c r="M480" s="2" t="s">
        <v>2974</v>
      </c>
      <c r="N480" s="2" t="s">
        <v>908</v>
      </c>
      <c r="O480" s="2" t="s">
        <v>2975</v>
      </c>
      <c r="P480" s="2" t="s">
        <v>3141</v>
      </c>
      <c r="Q480" s="2">
        <v>0.06</v>
      </c>
      <c r="R480" s="2">
        <v>0</v>
      </c>
      <c r="S480" s="2">
        <v>0</v>
      </c>
      <c r="T480" s="2">
        <v>0</v>
      </c>
      <c r="U480" s="2">
        <v>0</v>
      </c>
      <c r="V480" s="2">
        <v>0</v>
      </c>
      <c r="W480" s="2">
        <v>0</v>
      </c>
      <c r="X480" s="2">
        <v>0</v>
      </c>
      <c r="Y480" s="2">
        <v>0</v>
      </c>
      <c r="Z480" s="2">
        <v>0</v>
      </c>
      <c r="AA480" s="2">
        <v>0</v>
      </c>
      <c r="AB480" s="2" t="s">
        <v>3054</v>
      </c>
      <c r="AC480" s="2" t="s">
        <v>3705</v>
      </c>
      <c r="AD480" s="2" t="s">
        <v>3375</v>
      </c>
    </row>
    <row r="481" s="1" customFormat="1" ht="11.25" spans="1:30">
      <c r="A481" s="2" t="s">
        <v>120</v>
      </c>
      <c r="B481" s="2" t="s">
        <v>919</v>
      </c>
      <c r="C481" s="2" t="s">
        <v>3004</v>
      </c>
      <c r="D481" s="2" t="s">
        <v>813</v>
      </c>
      <c r="E481" s="2" t="s">
        <v>108</v>
      </c>
      <c r="F481" s="2" t="s">
        <v>109</v>
      </c>
      <c r="G481" s="2"/>
      <c r="H481" s="2" t="s">
        <v>2980</v>
      </c>
      <c r="I481" s="2"/>
      <c r="J481" s="2"/>
      <c r="K481" s="2" t="s">
        <v>119</v>
      </c>
      <c r="L481" s="2" t="s">
        <v>4218</v>
      </c>
      <c r="M481" s="2" t="s">
        <v>2974</v>
      </c>
      <c r="N481" s="2" t="s">
        <v>908</v>
      </c>
      <c r="O481" s="2" t="s">
        <v>2975</v>
      </c>
      <c r="P481" s="2" t="s">
        <v>2982</v>
      </c>
      <c r="Q481" s="2">
        <v>0</v>
      </c>
      <c r="R481" s="2">
        <v>0</v>
      </c>
      <c r="S481" s="2">
        <v>0</v>
      </c>
      <c r="T481" s="2">
        <v>0</v>
      </c>
      <c r="U481" s="2">
        <v>0</v>
      </c>
      <c r="V481" s="2">
        <v>0</v>
      </c>
      <c r="W481" s="2">
        <v>0</v>
      </c>
      <c r="X481" s="2">
        <v>0</v>
      </c>
      <c r="Y481" s="2">
        <v>0</v>
      </c>
      <c r="Z481" s="2">
        <v>0</v>
      </c>
      <c r="AA481" s="2">
        <v>0</v>
      </c>
      <c r="AB481" s="2" t="s">
        <v>4080</v>
      </c>
      <c r="AC481" s="2" t="s">
        <v>2994</v>
      </c>
      <c r="AD481" s="2" t="s">
        <v>4219</v>
      </c>
    </row>
    <row r="482" s="1" customFormat="1" ht="11.25" spans="1:30">
      <c r="A482" s="2" t="s">
        <v>1342</v>
      </c>
      <c r="B482" s="2" t="s">
        <v>919</v>
      </c>
      <c r="C482" s="2" t="s">
        <v>2979</v>
      </c>
      <c r="D482" s="2" t="s">
        <v>813</v>
      </c>
      <c r="E482" s="2" t="s">
        <v>108</v>
      </c>
      <c r="F482" s="2" t="s">
        <v>168</v>
      </c>
      <c r="G482" s="2"/>
      <c r="H482" s="2" t="s">
        <v>2980</v>
      </c>
      <c r="I482" s="2"/>
      <c r="J482" s="2"/>
      <c r="K482" s="2" t="s">
        <v>1343</v>
      </c>
      <c r="L482" s="2" t="s">
        <v>4220</v>
      </c>
      <c r="M482" s="2" t="s">
        <v>2974</v>
      </c>
      <c r="N482" s="2" t="s">
        <v>908</v>
      </c>
      <c r="O482" s="2" t="s">
        <v>2975</v>
      </c>
      <c r="P482" s="2" t="s">
        <v>2982</v>
      </c>
      <c r="Q482" s="2">
        <v>0</v>
      </c>
      <c r="R482" s="2">
        <v>0</v>
      </c>
      <c r="S482" s="2">
        <v>0</v>
      </c>
      <c r="T482" s="2">
        <v>150</v>
      </c>
      <c r="U482" s="2">
        <v>0</v>
      </c>
      <c r="V482" s="2">
        <v>0</v>
      </c>
      <c r="W482" s="2">
        <v>0</v>
      </c>
      <c r="X482" s="2">
        <v>0</v>
      </c>
      <c r="Y482" s="2">
        <v>0</v>
      </c>
      <c r="Z482" s="2">
        <v>0</v>
      </c>
      <c r="AA482" s="2">
        <v>0</v>
      </c>
      <c r="AB482" s="2" t="s">
        <v>2667</v>
      </c>
      <c r="AC482" s="2"/>
      <c r="AD482" s="2" t="s">
        <v>4221</v>
      </c>
    </row>
    <row r="483" s="1" customFormat="1" ht="11.25" spans="1:30">
      <c r="A483" s="2" t="s">
        <v>2358</v>
      </c>
      <c r="B483" s="2" t="s">
        <v>919</v>
      </c>
      <c r="C483" s="2" t="s">
        <v>2979</v>
      </c>
      <c r="D483" s="2" t="s">
        <v>813</v>
      </c>
      <c r="E483" s="2" t="s">
        <v>96</v>
      </c>
      <c r="F483" s="2" t="s">
        <v>97</v>
      </c>
      <c r="G483" s="2"/>
      <c r="H483" s="2" t="s">
        <v>2980</v>
      </c>
      <c r="I483" s="2"/>
      <c r="J483" s="2"/>
      <c r="K483" s="2" t="s">
        <v>2359</v>
      </c>
      <c r="L483" s="2" t="s">
        <v>4222</v>
      </c>
      <c r="M483" s="2" t="s">
        <v>2974</v>
      </c>
      <c r="N483" s="2" t="s">
        <v>908</v>
      </c>
      <c r="O483" s="2" t="s">
        <v>2975</v>
      </c>
      <c r="P483" s="2" t="s">
        <v>3759</v>
      </c>
      <c r="Q483" s="2">
        <v>0.01</v>
      </c>
      <c r="R483" s="2">
        <v>0</v>
      </c>
      <c r="S483" s="2">
        <v>0</v>
      </c>
      <c r="T483" s="2">
        <v>0</v>
      </c>
      <c r="U483" s="2">
        <v>0</v>
      </c>
      <c r="V483" s="2">
        <v>0</v>
      </c>
      <c r="W483" s="2">
        <v>0</v>
      </c>
      <c r="X483" s="2">
        <v>0</v>
      </c>
      <c r="Y483" s="2">
        <v>0</v>
      </c>
      <c r="Z483" s="2">
        <v>0</v>
      </c>
      <c r="AA483" s="2">
        <v>0</v>
      </c>
      <c r="AB483" s="2" t="s">
        <v>3533</v>
      </c>
      <c r="AC483" s="2" t="s">
        <v>3269</v>
      </c>
      <c r="AD483" s="2" t="s">
        <v>4223</v>
      </c>
    </row>
    <row r="484" s="1" customFormat="1" ht="11.25" spans="1:30">
      <c r="A484" s="2" t="s">
        <v>4224</v>
      </c>
      <c r="B484" s="2" t="s">
        <v>3878</v>
      </c>
      <c r="C484" s="2"/>
      <c r="D484" s="2" t="s">
        <v>813</v>
      </c>
      <c r="E484" s="2" t="s">
        <v>108</v>
      </c>
      <c r="F484" s="2" t="s">
        <v>927</v>
      </c>
      <c r="G484" s="2"/>
      <c r="H484" s="2" t="s">
        <v>2980</v>
      </c>
      <c r="I484" s="2"/>
      <c r="J484" s="2"/>
      <c r="K484" s="2" t="s">
        <v>4225</v>
      </c>
      <c r="L484" s="2" t="s">
        <v>4226</v>
      </c>
      <c r="M484" s="2" t="s">
        <v>2974</v>
      </c>
      <c r="N484" s="2" t="s">
        <v>908</v>
      </c>
      <c r="O484" s="2" t="s">
        <v>2975</v>
      </c>
      <c r="P484" s="2" t="s">
        <v>2982</v>
      </c>
      <c r="Q484" s="2">
        <v>0</v>
      </c>
      <c r="R484" s="2">
        <v>0</v>
      </c>
      <c r="S484" s="2">
        <v>0</v>
      </c>
      <c r="T484" s="2">
        <v>0</v>
      </c>
      <c r="U484" s="2">
        <v>0</v>
      </c>
      <c r="V484" s="2">
        <v>0</v>
      </c>
      <c r="W484" s="2">
        <v>0</v>
      </c>
      <c r="X484" s="2">
        <v>0</v>
      </c>
      <c r="Y484" s="2">
        <v>0</v>
      </c>
      <c r="Z484" s="2">
        <v>0</v>
      </c>
      <c r="AA484" s="2">
        <v>0</v>
      </c>
      <c r="AB484" s="2" t="s">
        <v>2202</v>
      </c>
      <c r="AC484" s="2" t="s">
        <v>4227</v>
      </c>
      <c r="AD484" s="2" t="s">
        <v>4228</v>
      </c>
    </row>
    <row r="485" s="1" customFormat="1" ht="11.25" spans="1:30">
      <c r="A485" s="2" t="s">
        <v>421</v>
      </c>
      <c r="B485" s="2" t="s">
        <v>919</v>
      </c>
      <c r="C485" s="2" t="s">
        <v>3023</v>
      </c>
      <c r="D485" s="2" t="s">
        <v>813</v>
      </c>
      <c r="E485" s="2" t="s">
        <v>96</v>
      </c>
      <c r="F485" s="2" t="s">
        <v>115</v>
      </c>
      <c r="G485" s="2"/>
      <c r="H485" s="2" t="s">
        <v>2980</v>
      </c>
      <c r="I485" s="2"/>
      <c r="J485" s="2"/>
      <c r="K485" s="2" t="s">
        <v>420</v>
      </c>
      <c r="L485" s="2" t="s">
        <v>4229</v>
      </c>
      <c r="M485" s="2" t="s">
        <v>2974</v>
      </c>
      <c r="N485" s="2" t="s">
        <v>908</v>
      </c>
      <c r="O485" s="2" t="s">
        <v>2975</v>
      </c>
      <c r="P485" s="2" t="s">
        <v>2982</v>
      </c>
      <c r="Q485" s="2">
        <v>0</v>
      </c>
      <c r="R485" s="2">
        <v>0</v>
      </c>
      <c r="S485" s="2">
        <v>0</v>
      </c>
      <c r="T485" s="2">
        <v>10</v>
      </c>
      <c r="U485" s="2">
        <v>0</v>
      </c>
      <c r="V485" s="2">
        <v>0</v>
      </c>
      <c r="W485" s="2">
        <v>0</v>
      </c>
      <c r="X485" s="2">
        <v>0</v>
      </c>
      <c r="Y485" s="2">
        <v>0</v>
      </c>
      <c r="Z485" s="2">
        <v>0</v>
      </c>
      <c r="AA485" s="2">
        <v>0</v>
      </c>
      <c r="AB485" s="2" t="s">
        <v>2525</v>
      </c>
      <c r="AC485" s="2" t="s">
        <v>4099</v>
      </c>
      <c r="AD485" s="2" t="s">
        <v>4230</v>
      </c>
    </row>
    <row r="486" s="1" customFormat="1" ht="11.25" spans="1:30">
      <c r="A486" s="2" t="s">
        <v>729</v>
      </c>
      <c r="B486" s="2" t="s">
        <v>919</v>
      </c>
      <c r="C486" s="2" t="s">
        <v>2979</v>
      </c>
      <c r="D486" s="2" t="s">
        <v>813</v>
      </c>
      <c r="E486" s="2" t="s">
        <v>96</v>
      </c>
      <c r="F486" s="2" t="s">
        <v>115</v>
      </c>
      <c r="G486" s="2"/>
      <c r="H486" s="2" t="s">
        <v>2980</v>
      </c>
      <c r="I486" s="2"/>
      <c r="J486" s="2"/>
      <c r="K486" s="2" t="s">
        <v>728</v>
      </c>
      <c r="L486" s="2" t="s">
        <v>4231</v>
      </c>
      <c r="M486" s="2" t="s">
        <v>2974</v>
      </c>
      <c r="N486" s="2" t="s">
        <v>908</v>
      </c>
      <c r="O486" s="2" t="s">
        <v>2975</v>
      </c>
      <c r="P486" s="2" t="s">
        <v>3646</v>
      </c>
      <c r="Q486" s="2">
        <v>0</v>
      </c>
      <c r="R486" s="2">
        <v>0</v>
      </c>
      <c r="S486" s="2">
        <v>0</v>
      </c>
      <c r="T486" s="2">
        <v>100</v>
      </c>
      <c r="U486" s="2">
        <v>0</v>
      </c>
      <c r="V486" s="2">
        <v>0</v>
      </c>
      <c r="W486" s="2">
        <v>0</v>
      </c>
      <c r="X486" s="2">
        <v>0</v>
      </c>
      <c r="Y486" s="2">
        <v>0</v>
      </c>
      <c r="Z486" s="2">
        <v>0</v>
      </c>
      <c r="AA486" s="2">
        <v>0</v>
      </c>
      <c r="AB486" s="2" t="s">
        <v>3065</v>
      </c>
      <c r="AC486" s="2" t="s">
        <v>3771</v>
      </c>
      <c r="AD486" s="2" t="s">
        <v>3036</v>
      </c>
    </row>
    <row r="487" s="1" customFormat="1" ht="11.25" spans="1:30">
      <c r="A487" s="2" t="s">
        <v>727</v>
      </c>
      <c r="B487" s="2" t="s">
        <v>919</v>
      </c>
      <c r="C487" s="2" t="s">
        <v>2979</v>
      </c>
      <c r="D487" s="2" t="s">
        <v>813</v>
      </c>
      <c r="E487" s="2" t="s">
        <v>96</v>
      </c>
      <c r="F487" s="2" t="s">
        <v>115</v>
      </c>
      <c r="G487" s="2"/>
      <c r="H487" s="2" t="s">
        <v>2980</v>
      </c>
      <c r="I487" s="2"/>
      <c r="J487" s="2"/>
      <c r="K487" s="2" t="s">
        <v>726</v>
      </c>
      <c r="L487" s="2" t="s">
        <v>4232</v>
      </c>
      <c r="M487" s="2" t="s">
        <v>2974</v>
      </c>
      <c r="N487" s="2" t="s">
        <v>908</v>
      </c>
      <c r="O487" s="2" t="s">
        <v>2975</v>
      </c>
      <c r="P487" s="2" t="s">
        <v>2982</v>
      </c>
      <c r="Q487" s="2">
        <v>0</v>
      </c>
      <c r="R487" s="2">
        <v>0</v>
      </c>
      <c r="S487" s="2">
        <v>0</v>
      </c>
      <c r="T487" s="2">
        <v>50</v>
      </c>
      <c r="U487" s="2">
        <v>0</v>
      </c>
      <c r="V487" s="2">
        <v>0</v>
      </c>
      <c r="W487" s="2">
        <v>0</v>
      </c>
      <c r="X487" s="2">
        <v>0</v>
      </c>
      <c r="Y487" s="2">
        <v>0</v>
      </c>
      <c r="Z487" s="2">
        <v>0</v>
      </c>
      <c r="AA487" s="2">
        <v>0</v>
      </c>
      <c r="AB487" s="2" t="s">
        <v>3798</v>
      </c>
      <c r="AC487" s="2" t="s">
        <v>3771</v>
      </c>
      <c r="AD487" s="2" t="s">
        <v>3036</v>
      </c>
    </row>
    <row r="488" s="1" customFormat="1" ht="11.25" spans="1:30">
      <c r="A488" s="2" t="s">
        <v>462</v>
      </c>
      <c r="B488" s="2" t="s">
        <v>812</v>
      </c>
      <c r="C488" s="2"/>
      <c r="D488" s="2" t="s">
        <v>813</v>
      </c>
      <c r="E488" s="2" t="s">
        <v>96</v>
      </c>
      <c r="F488" s="2" t="s">
        <v>115</v>
      </c>
      <c r="G488" s="2"/>
      <c r="H488" s="2" t="s">
        <v>2980</v>
      </c>
      <c r="I488" s="2"/>
      <c r="J488" s="2"/>
      <c r="K488" s="2" t="s">
        <v>461</v>
      </c>
      <c r="L488" s="2" t="s">
        <v>4233</v>
      </c>
      <c r="M488" s="2" t="s">
        <v>2974</v>
      </c>
      <c r="N488" s="2" t="s">
        <v>908</v>
      </c>
      <c r="O488" s="2" t="s">
        <v>2975</v>
      </c>
      <c r="P488" s="2" t="s">
        <v>2982</v>
      </c>
      <c r="Q488" s="2">
        <v>0</v>
      </c>
      <c r="R488" s="2">
        <v>0</v>
      </c>
      <c r="S488" s="2">
        <v>0</v>
      </c>
      <c r="T488" s="2">
        <v>216</v>
      </c>
      <c r="U488" s="2">
        <v>0</v>
      </c>
      <c r="V488" s="2">
        <v>0</v>
      </c>
      <c r="W488" s="2">
        <v>0</v>
      </c>
      <c r="X488" s="2">
        <v>0</v>
      </c>
      <c r="Y488" s="2">
        <v>0</v>
      </c>
      <c r="Z488" s="2">
        <v>0</v>
      </c>
      <c r="AA488" s="2">
        <v>0</v>
      </c>
      <c r="AB488" s="2" t="s">
        <v>2568</v>
      </c>
      <c r="AC488" s="2" t="s">
        <v>3619</v>
      </c>
      <c r="AD488" s="2" t="s">
        <v>4234</v>
      </c>
    </row>
    <row r="489" s="1" customFormat="1" ht="11.25" spans="1:30">
      <c r="A489" s="2" t="s">
        <v>614</v>
      </c>
      <c r="B489" s="2" t="s">
        <v>919</v>
      </c>
      <c r="C489" s="2" t="s">
        <v>2979</v>
      </c>
      <c r="D489" s="2" t="s">
        <v>813</v>
      </c>
      <c r="E489" s="2" t="s">
        <v>96</v>
      </c>
      <c r="F489" s="2" t="s">
        <v>127</v>
      </c>
      <c r="G489" s="2"/>
      <c r="H489" s="2" t="s">
        <v>2980</v>
      </c>
      <c r="I489" s="2"/>
      <c r="J489" s="2"/>
      <c r="K489" s="2" t="s">
        <v>613</v>
      </c>
      <c r="L489" s="2" t="s">
        <v>4235</v>
      </c>
      <c r="M489" s="2" t="s">
        <v>2974</v>
      </c>
      <c r="N489" s="2" t="s">
        <v>908</v>
      </c>
      <c r="O489" s="2" t="s">
        <v>2975</v>
      </c>
      <c r="P489" s="2" t="s">
        <v>4236</v>
      </c>
      <c r="Q489" s="2">
        <v>3.42</v>
      </c>
      <c r="R489" s="2">
        <v>0</v>
      </c>
      <c r="S489" s="2">
        <v>0</v>
      </c>
      <c r="T489" s="2">
        <v>260</v>
      </c>
      <c r="U489" s="2">
        <v>0</v>
      </c>
      <c r="V489" s="2">
        <v>0</v>
      </c>
      <c r="W489" s="2">
        <v>0</v>
      </c>
      <c r="X489" s="2">
        <v>0</v>
      </c>
      <c r="Y489" s="2">
        <v>0</v>
      </c>
      <c r="Z489" s="2">
        <v>0</v>
      </c>
      <c r="AA489" s="2">
        <v>0</v>
      </c>
      <c r="AB489" s="2" t="s">
        <v>2997</v>
      </c>
      <c r="AC489" s="2" t="s">
        <v>2993</v>
      </c>
      <c r="AD489" s="2" t="s">
        <v>3409</v>
      </c>
    </row>
    <row r="490" s="1" customFormat="1" ht="11.25" spans="1:30">
      <c r="A490" s="2" t="s">
        <v>473</v>
      </c>
      <c r="B490" s="2" t="s">
        <v>919</v>
      </c>
      <c r="C490" s="2" t="s">
        <v>3023</v>
      </c>
      <c r="D490" s="2" t="s">
        <v>813</v>
      </c>
      <c r="E490" s="2" t="s">
        <v>96</v>
      </c>
      <c r="F490" s="2" t="s">
        <v>115</v>
      </c>
      <c r="G490" s="2"/>
      <c r="H490" s="2" t="s">
        <v>2980</v>
      </c>
      <c r="I490" s="2"/>
      <c r="J490" s="2"/>
      <c r="K490" s="2" t="s">
        <v>472</v>
      </c>
      <c r="L490" s="2" t="s">
        <v>4237</v>
      </c>
      <c r="M490" s="2" t="s">
        <v>2974</v>
      </c>
      <c r="N490" s="2" t="s">
        <v>908</v>
      </c>
      <c r="O490" s="2" t="s">
        <v>2975</v>
      </c>
      <c r="P490" s="2" t="s">
        <v>2982</v>
      </c>
      <c r="Q490" s="2">
        <v>0</v>
      </c>
      <c r="R490" s="2">
        <v>0</v>
      </c>
      <c r="S490" s="2">
        <v>0</v>
      </c>
      <c r="T490" s="2">
        <v>50</v>
      </c>
      <c r="U490" s="2">
        <v>0</v>
      </c>
      <c r="V490" s="2">
        <v>0</v>
      </c>
      <c r="W490" s="2">
        <v>0</v>
      </c>
      <c r="X490" s="2">
        <v>0</v>
      </c>
      <c r="Y490" s="2">
        <v>0</v>
      </c>
      <c r="Z490" s="2">
        <v>0</v>
      </c>
      <c r="AA490" s="2">
        <v>0</v>
      </c>
      <c r="AB490" s="2" t="s">
        <v>2525</v>
      </c>
      <c r="AC490" s="2" t="s">
        <v>4238</v>
      </c>
      <c r="AD490" s="2" t="s">
        <v>4239</v>
      </c>
    </row>
    <row r="491" s="1" customFormat="1" ht="11.25" spans="1:30">
      <c r="A491" s="2" t="s">
        <v>475</v>
      </c>
      <c r="B491" s="2" t="s">
        <v>919</v>
      </c>
      <c r="C491" s="2" t="s">
        <v>3023</v>
      </c>
      <c r="D491" s="2" t="s">
        <v>813</v>
      </c>
      <c r="E491" s="2" t="s">
        <v>96</v>
      </c>
      <c r="F491" s="2" t="s">
        <v>115</v>
      </c>
      <c r="G491" s="2"/>
      <c r="H491" s="2" t="s">
        <v>2980</v>
      </c>
      <c r="I491" s="2"/>
      <c r="J491" s="2"/>
      <c r="K491" s="2" t="s">
        <v>474</v>
      </c>
      <c r="L491" s="2" t="s">
        <v>4240</v>
      </c>
      <c r="M491" s="2" t="s">
        <v>2974</v>
      </c>
      <c r="N491" s="2" t="s">
        <v>908</v>
      </c>
      <c r="O491" s="2" t="s">
        <v>2975</v>
      </c>
      <c r="P491" s="2" t="s">
        <v>2982</v>
      </c>
      <c r="Q491" s="2">
        <v>0</v>
      </c>
      <c r="R491" s="2">
        <v>0</v>
      </c>
      <c r="S491" s="2">
        <v>0</v>
      </c>
      <c r="T491" s="2">
        <v>50</v>
      </c>
      <c r="U491" s="2">
        <v>0</v>
      </c>
      <c r="V491" s="2">
        <v>0</v>
      </c>
      <c r="W491" s="2">
        <v>0</v>
      </c>
      <c r="X491" s="2">
        <v>0</v>
      </c>
      <c r="Y491" s="2">
        <v>0</v>
      </c>
      <c r="Z491" s="2">
        <v>0</v>
      </c>
      <c r="AA491" s="2">
        <v>0</v>
      </c>
      <c r="AB491" s="2" t="s">
        <v>4046</v>
      </c>
      <c r="AC491" s="2" t="s">
        <v>3619</v>
      </c>
      <c r="AD491" s="2" t="s">
        <v>4241</v>
      </c>
    </row>
    <row r="492" s="1" customFormat="1" ht="11.25" spans="1:30">
      <c r="A492" s="2" t="s">
        <v>4242</v>
      </c>
      <c r="B492" s="2" t="s">
        <v>2970</v>
      </c>
      <c r="C492" s="2"/>
      <c r="D492" s="2" t="s">
        <v>813</v>
      </c>
      <c r="E492" s="2" t="s">
        <v>2990</v>
      </c>
      <c r="F492" s="2"/>
      <c r="G492" s="2"/>
      <c r="H492" s="2" t="s">
        <v>2972</v>
      </c>
      <c r="I492" s="2"/>
      <c r="J492" s="2"/>
      <c r="K492" s="2" t="s">
        <v>4243</v>
      </c>
      <c r="L492" s="2" t="s">
        <v>4243</v>
      </c>
      <c r="M492" s="2" t="s">
        <v>2974</v>
      </c>
      <c r="N492" s="2" t="s">
        <v>908</v>
      </c>
      <c r="O492" s="2" t="s">
        <v>2975</v>
      </c>
      <c r="P492" s="2" t="s">
        <v>2982</v>
      </c>
      <c r="Q492" s="2">
        <v>0</v>
      </c>
      <c r="R492" s="2">
        <v>0</v>
      </c>
      <c r="S492" s="2">
        <v>0</v>
      </c>
      <c r="T492" s="2">
        <v>0</v>
      </c>
      <c r="U492" s="2">
        <v>0</v>
      </c>
      <c r="V492" s="2">
        <v>0</v>
      </c>
      <c r="W492" s="2">
        <v>0</v>
      </c>
      <c r="X492" s="2">
        <v>0</v>
      </c>
      <c r="Y492" s="2">
        <v>0</v>
      </c>
      <c r="Z492" s="2">
        <v>0</v>
      </c>
      <c r="AA492" s="2">
        <v>0</v>
      </c>
      <c r="AB492" s="2" t="s">
        <v>2993</v>
      </c>
      <c r="AC492" s="2" t="s">
        <v>1273</v>
      </c>
      <c r="AD492" s="2"/>
    </row>
    <row r="493" s="1" customFormat="1" ht="11.25" spans="1:30">
      <c r="A493" s="2" t="s">
        <v>500</v>
      </c>
      <c r="B493" s="2" t="s">
        <v>919</v>
      </c>
      <c r="C493" s="2" t="s">
        <v>2979</v>
      </c>
      <c r="D493" s="2" t="s">
        <v>813</v>
      </c>
      <c r="E493" s="2" t="s">
        <v>96</v>
      </c>
      <c r="F493" s="2" t="s">
        <v>115</v>
      </c>
      <c r="G493" s="2"/>
      <c r="H493" s="2" t="s">
        <v>2980</v>
      </c>
      <c r="I493" s="2"/>
      <c r="J493" s="2"/>
      <c r="K493" s="2" t="s">
        <v>499</v>
      </c>
      <c r="L493" s="2" t="s">
        <v>4244</v>
      </c>
      <c r="M493" s="2" t="s">
        <v>2974</v>
      </c>
      <c r="N493" s="2" t="s">
        <v>908</v>
      </c>
      <c r="O493" s="2" t="s">
        <v>2975</v>
      </c>
      <c r="P493" s="2" t="s">
        <v>4245</v>
      </c>
      <c r="Q493" s="2">
        <v>0</v>
      </c>
      <c r="R493" s="2">
        <v>0</v>
      </c>
      <c r="S493" s="2">
        <v>0</v>
      </c>
      <c r="T493" s="2">
        <v>380</v>
      </c>
      <c r="U493" s="2">
        <v>0</v>
      </c>
      <c r="V493" s="2">
        <v>0</v>
      </c>
      <c r="W493" s="2">
        <v>0</v>
      </c>
      <c r="X493" s="2">
        <v>0</v>
      </c>
      <c r="Y493" s="2">
        <v>0</v>
      </c>
      <c r="Z493" s="2">
        <v>0</v>
      </c>
      <c r="AA493" s="2">
        <v>0</v>
      </c>
      <c r="AB493" s="2" t="s">
        <v>3345</v>
      </c>
      <c r="AC493" s="2" t="s">
        <v>3705</v>
      </c>
      <c r="AD493" s="2" t="s">
        <v>3510</v>
      </c>
    </row>
    <row r="494" s="1" customFormat="1" ht="11.25" spans="1:30">
      <c r="A494" s="2" t="s">
        <v>492</v>
      </c>
      <c r="B494" s="2" t="s">
        <v>919</v>
      </c>
      <c r="C494" s="2" t="s">
        <v>2979</v>
      </c>
      <c r="D494" s="2" t="s">
        <v>813</v>
      </c>
      <c r="E494" s="2" t="s">
        <v>96</v>
      </c>
      <c r="F494" s="2" t="s">
        <v>115</v>
      </c>
      <c r="G494" s="2"/>
      <c r="H494" s="2" t="s">
        <v>2980</v>
      </c>
      <c r="I494" s="2"/>
      <c r="J494" s="2"/>
      <c r="K494" s="2" t="s">
        <v>491</v>
      </c>
      <c r="L494" s="2" t="s">
        <v>4246</v>
      </c>
      <c r="M494" s="2" t="s">
        <v>2974</v>
      </c>
      <c r="N494" s="2" t="s">
        <v>908</v>
      </c>
      <c r="O494" s="2" t="s">
        <v>2975</v>
      </c>
      <c r="P494" s="2" t="s">
        <v>4247</v>
      </c>
      <c r="Q494" s="2">
        <v>0.35</v>
      </c>
      <c r="R494" s="2">
        <v>0</v>
      </c>
      <c r="S494" s="2">
        <v>0</v>
      </c>
      <c r="T494" s="2">
        <v>432</v>
      </c>
      <c r="U494" s="2">
        <v>0</v>
      </c>
      <c r="V494" s="2">
        <v>0</v>
      </c>
      <c r="W494" s="2">
        <v>0</v>
      </c>
      <c r="X494" s="2">
        <v>0</v>
      </c>
      <c r="Y494" s="2">
        <v>0</v>
      </c>
      <c r="Z494" s="2">
        <v>0</v>
      </c>
      <c r="AA494" s="2">
        <v>0</v>
      </c>
      <c r="AB494" s="2" t="s">
        <v>3169</v>
      </c>
      <c r="AC494" s="2" t="s">
        <v>3169</v>
      </c>
      <c r="AD494" s="2" t="s">
        <v>3522</v>
      </c>
    </row>
    <row r="495" s="1" customFormat="1" ht="11.25" spans="1:30">
      <c r="A495" s="2" t="s">
        <v>498</v>
      </c>
      <c r="B495" s="2" t="s">
        <v>919</v>
      </c>
      <c r="C495" s="2" t="s">
        <v>2979</v>
      </c>
      <c r="D495" s="2" t="s">
        <v>813</v>
      </c>
      <c r="E495" s="2" t="s">
        <v>96</v>
      </c>
      <c r="F495" s="2" t="s">
        <v>115</v>
      </c>
      <c r="G495" s="2"/>
      <c r="H495" s="2" t="s">
        <v>2980</v>
      </c>
      <c r="I495" s="2"/>
      <c r="J495" s="2"/>
      <c r="K495" s="2" t="s">
        <v>497</v>
      </c>
      <c r="L495" s="2" t="s">
        <v>4248</v>
      </c>
      <c r="M495" s="2" t="s">
        <v>2974</v>
      </c>
      <c r="N495" s="2" t="s">
        <v>908</v>
      </c>
      <c r="O495" s="2" t="s">
        <v>2975</v>
      </c>
      <c r="P495" s="2" t="s">
        <v>4249</v>
      </c>
      <c r="Q495" s="2">
        <v>2.67</v>
      </c>
      <c r="R495" s="2">
        <v>0</v>
      </c>
      <c r="S495" s="2">
        <v>0</v>
      </c>
      <c r="T495" s="2">
        <v>260</v>
      </c>
      <c r="U495" s="2">
        <v>0</v>
      </c>
      <c r="V495" s="2">
        <v>0</v>
      </c>
      <c r="W495" s="2">
        <v>0</v>
      </c>
      <c r="X495" s="2">
        <v>0</v>
      </c>
      <c r="Y495" s="2">
        <v>0</v>
      </c>
      <c r="Z495" s="2">
        <v>0</v>
      </c>
      <c r="AA495" s="2">
        <v>0</v>
      </c>
      <c r="AB495" s="2" t="s">
        <v>3011</v>
      </c>
      <c r="AC495" s="2" t="s">
        <v>1147</v>
      </c>
      <c r="AD495" s="2" t="s">
        <v>3510</v>
      </c>
    </row>
    <row r="496" s="1" customFormat="1" ht="11.25"/>
  </sheetData>
  <sheetProtection formatCells="0" formatColumns="0" formatRows="0" insertRows="0" insertColumns="0" insertHyperlinks="0" deleteColumns="0" deleteRows="0" sort="0" autoFilter="0" pivotTables="0"/>
  <protectedRanges>
    <protectedRange sqref="A1:AC495" name="Range1"/>
  </protectedRange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21" master="" otherUserPermission="visible"/>
  <rangeList sheetStid="27" master="" otherUserPermission="edit"/>
  <rangeList sheetStid="22" master="" otherUserPermission="edit"/>
  <rangeList sheetStid="23" master="" otherUserPermission="edit">
    <arrUserId title="Range1" rangeCreator="250457878" othersAccessPermission="visible">
      <userID accessPermission="edit">250457878</userID>
    </arrUserId>
  </rangeList>
  <rangeList sheetStid="25" master="" otherUserPermission="visible">
    <arrUserId title="Range1" rangeCreator="250457878" othersAccessPermission="visible">
      <userID accessPermission="edit">250457878</userID>
    </arrUserId>
  </rangeList>
</allowEditUser>
</file>

<file path=customXml/item2.xml>���S�Nۏ�Oi��{ў�Oi��{�[x>k�Q�gёr��Oi��g�R�R�N�Oi��{�~r��[x>k�R�R�N�Oi��{�~r�c�~>k�R�R�N�TaUё�Oi��{�Q�gc�~>k�[_��w�Oi��{�Oi��{ў�mvfb�g�Oi��g�b^>k�Oi��{��S>k�Oi��{ў\�R�R�N�TaUё�Oi��{�[x>k�eA6ўr��Oi��{c�~>k���iё�Oi��{�Q�g�[x45S>k���iё�Oi��{�Q�gc�~>k�mvfb�gўr��Oi��{�[x>k�Oi��{ў\�[x�Oi��{ў�eA6�Oi��{c�~>k�eA6�Oi��{�[x>k�eA6ўr��Oi��{�[x>k�mvfb�gўr��Oi��{c�~>k�mvfb�g�Oi��g�[xA15>k�Oi��{pp}vr��[x>k�Oi��{pp}vr�c�~>k�Oi��{�[x>kўr��Oi��g�mvfb�gўr��Oi��{�Q�gc�~>k
</file>

<file path=customXml/item3.xml>��
</file>

<file path=customXml/item4.xml>��
</file>

<file path=customXml/item5.xml><?xml version="1.0" encoding="utf-8"?>
<NetdiskSupbooks xmlns="http://www.wps.cn/et/2019/netdiskSupbooks">
  <NetdiskSupbook Target="\Users\admin\WPS%20Cloud%20Files\250457878\漫游文档\我的电脑-DESKTOP-EN3JCVU\2026-马来超期.xlsx" FileId="508446460281" NetdiskName="yunwps"/>
</NetdiskSupbook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customXml/itemProps5.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5</vt:i4>
      </vt:variant>
    </vt:vector>
  </HeadingPairs>
  <TitlesOfParts>
    <vt:vector size="5" baseType="lpstr">
      <vt:lpstr>6月调整栏</vt:lpstr>
      <vt:lpstr>6月达人佣金特殊申请</vt:lpstr>
      <vt:lpstr>6月控价 </vt:lpstr>
      <vt:lpstr>6月产品包</vt:lpstr>
      <vt:lpstr>6月库存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曾伟铭</cp:lastModifiedBy>
  <dcterms:created xsi:type="dcterms:W3CDTF">2026-01-24T04:41:00Z</dcterms:created>
  <dcterms:modified xsi:type="dcterms:W3CDTF">2026-06-05T01:33:29Z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6C03ED65FAB74D55974FCDDB9DB92906_13</vt:lpwstr>
  </property>
  <property fmtid="{D5CDD505-2E9C-101B-9397-08002B2CF9AE}" pid="3" name="KSOProductBuildVer">
    <vt:lpwstr>2052-12.1.0.26375</vt:lpwstr>
  </property>
  <property fmtid="{D5CDD505-2E9C-101B-9397-08002B2CF9AE}" pid="4" name="KSOReadingLayout">
    <vt:bool>true</vt:bool>
  </property>
  <property fmtid="{D5CDD505-2E9C-101B-9397-08002B2CF9AE}" pid="5" name="CalculationRule">
    <vt:i4>0</vt:i4>
  </property>
</Properties>
</file>